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19200" windowHeight="6930" activeTab="1"/>
  </bookViews>
  <sheets>
    <sheet name="Questions List" sheetId="1" r:id="rId1"/>
    <sheet name="Pivot Table Sheet" sheetId="2" r:id="rId2"/>
    <sheet name="Sheet1" sheetId="3" r:id="rId3"/>
    <sheet name="pivot answer" sheetId="4" r:id="rId4"/>
  </sheets>
  <definedNames>
    <definedName name="_xlnm._FilterDatabase" localSheetId="2" hidden="1">Sheet1!$A$16:$O$26</definedName>
    <definedName name="_xlchart.0" hidden="1">Sheet1!$A$61:$C$69</definedName>
    <definedName name="_xlchart.1" hidden="1">Sheet1!$D$60</definedName>
    <definedName name="_xlchart.10" hidden="1">Sheet1!$H$61:$H$69</definedName>
    <definedName name="_xlchart.11" hidden="1">Sheet1!$A$61:$C$69</definedName>
    <definedName name="_xlchart.12" hidden="1">Sheet1!$D$60</definedName>
    <definedName name="_xlchart.13" hidden="1">Sheet1!$D$61:$D$69</definedName>
    <definedName name="_xlchart.14" hidden="1">Sheet1!$E$60</definedName>
    <definedName name="_xlchart.15" hidden="1">Sheet1!$E$61:$E$69</definedName>
    <definedName name="_xlchart.16" hidden="1">Sheet1!$F$60</definedName>
    <definedName name="_xlchart.17" hidden="1">Sheet1!$F$61:$F$69</definedName>
    <definedName name="_xlchart.18" hidden="1">Sheet1!$G$60</definedName>
    <definedName name="_xlchart.19" hidden="1">Sheet1!$G$61:$G$69</definedName>
    <definedName name="_xlchart.2" hidden="1">Sheet1!$D$61:$D$69</definedName>
    <definedName name="_xlchart.20" hidden="1">Sheet1!$H$60</definedName>
    <definedName name="_xlchart.21" hidden="1">Sheet1!$H$61:$H$69</definedName>
    <definedName name="_xlchart.22" hidden="1">Sheet1!$A$1:$C$69</definedName>
    <definedName name="_xlchart.23" hidden="1">Sheet1!$A$61:$C$69</definedName>
    <definedName name="_xlchart.24" hidden="1">Sheet1!$D$60</definedName>
    <definedName name="_xlchart.25" hidden="1">Sheet1!$D$61:$D$69</definedName>
    <definedName name="_xlchart.26" hidden="1">Sheet1!$E$60</definedName>
    <definedName name="_xlchart.27" hidden="1">Sheet1!$E$61:$E$69</definedName>
    <definedName name="_xlchart.28" hidden="1">Sheet1!$F$60</definedName>
    <definedName name="_xlchart.29" hidden="1">Sheet1!$F$61:$F$69</definedName>
    <definedName name="_xlchart.3" hidden="1">Sheet1!$E$60</definedName>
    <definedName name="_xlchart.30" hidden="1">Sheet1!$G$60</definedName>
    <definedName name="_xlchart.31" hidden="1">Sheet1!$G$61:$G$69</definedName>
    <definedName name="_xlchart.32" hidden="1">Sheet1!$H$60</definedName>
    <definedName name="_xlchart.33" hidden="1">Sheet1!$H$61:$H$69</definedName>
    <definedName name="_xlchart.4" hidden="1">Sheet1!$E$61:$E$69</definedName>
    <definedName name="_xlchart.5" hidden="1">Sheet1!$F$60</definedName>
    <definedName name="_xlchart.6" hidden="1">Sheet1!$F$61:$F$69</definedName>
    <definedName name="_xlchart.7" hidden="1">Sheet1!$G$60</definedName>
    <definedName name="_xlchart.8" hidden="1">Sheet1!$G$61:$G$69</definedName>
    <definedName name="_xlchart.9" hidden="1">Sheet1!$H$60</definedName>
  </definedNames>
  <calcPr calcId="162913"/>
  <pivotCaches>
    <pivotCache cacheId="25" r:id="rId5"/>
  </pivotCaches>
</workbook>
</file>

<file path=xl/calcChain.xml><?xml version="1.0" encoding="utf-8"?>
<calcChain xmlns="http://schemas.openxmlformats.org/spreadsheetml/2006/main">
  <c r="L92" i="3" l="1"/>
  <c r="K92" i="3"/>
  <c r="I92" i="3"/>
  <c r="H92" i="3"/>
  <c r="K52" i="3"/>
  <c r="K51" i="3"/>
  <c r="K50" i="3"/>
  <c r="K49" i="3"/>
  <c r="K48" i="3"/>
  <c r="U18" i="3"/>
  <c r="U19" i="3"/>
  <c r="U20" i="3"/>
  <c r="U21" i="3"/>
  <c r="U22" i="3"/>
  <c r="U23" i="3"/>
  <c r="U24" i="3"/>
  <c r="U25" i="3"/>
  <c r="U26" i="3"/>
  <c r="U17" i="3"/>
  <c r="S18" i="3"/>
  <c r="S19" i="3"/>
  <c r="S20" i="3"/>
  <c r="S21" i="3"/>
  <c r="S22" i="3"/>
  <c r="S23" i="3"/>
  <c r="S24" i="3"/>
  <c r="S25" i="3"/>
  <c r="S26" i="3"/>
  <c r="S17" i="3"/>
  <c r="Q17" i="3"/>
  <c r="R17" i="3"/>
  <c r="P17" i="3"/>
  <c r="P18" i="3"/>
  <c r="P19" i="3"/>
  <c r="P20" i="3"/>
  <c r="P21" i="3"/>
  <c r="P22" i="3"/>
  <c r="P23" i="3"/>
  <c r="P24" i="3"/>
  <c r="P25" i="3"/>
  <c r="P26" i="3"/>
  <c r="O17" i="3"/>
  <c r="N17" i="3"/>
  <c r="N20" i="3"/>
  <c r="N18" i="3"/>
  <c r="N19" i="3"/>
  <c r="N21" i="3"/>
  <c r="N22" i="3"/>
  <c r="N23" i="3"/>
  <c r="N24" i="3"/>
  <c r="N25" i="3"/>
  <c r="N26" i="3"/>
  <c r="K18" i="3"/>
  <c r="L18" i="3" s="1"/>
  <c r="K19" i="3"/>
  <c r="L19" i="3" s="1"/>
  <c r="K20" i="3"/>
  <c r="L20" i="3" s="1"/>
  <c r="K21" i="3"/>
  <c r="L21" i="3" s="1"/>
  <c r="K22" i="3"/>
  <c r="L22" i="3" s="1"/>
  <c r="K23" i="3"/>
  <c r="L23" i="3" s="1"/>
  <c r="K24" i="3"/>
  <c r="L24" i="3" s="1"/>
  <c r="K25" i="3"/>
  <c r="L25" i="3" s="1"/>
  <c r="K26" i="3"/>
  <c r="L26" i="3" s="1"/>
  <c r="K17" i="3"/>
  <c r="L17" i="3" s="1"/>
  <c r="N48" i="3"/>
  <c r="M25" i="3" l="1"/>
  <c r="M18" i="3"/>
  <c r="M26" i="3"/>
  <c r="M19" i="3"/>
  <c r="M17" i="3"/>
  <c r="M24" i="3" s="1"/>
  <c r="M20" i="3"/>
  <c r="M22" i="3"/>
  <c r="M21" i="3"/>
  <c r="M23" i="3"/>
</calcChain>
</file>

<file path=xl/sharedStrings.xml><?xml version="1.0" encoding="utf-8"?>
<sst xmlns="http://schemas.openxmlformats.org/spreadsheetml/2006/main" count="25516" uniqueCount="201">
  <si>
    <t>Question Paper</t>
  </si>
  <si>
    <t>Total-60M</t>
  </si>
  <si>
    <t>Q1)By Using Proper Rules of Condtional Formatting</t>
  </si>
  <si>
    <t>(5M)</t>
  </si>
  <si>
    <t>a]Highlight English Marks which are greater than 60</t>
  </si>
  <si>
    <t>b]Highlight Values from Department Column which are duplicates</t>
  </si>
  <si>
    <t>Name</t>
  </si>
  <si>
    <t>Location</t>
  </si>
  <si>
    <t>Department</t>
  </si>
  <si>
    <t>English Marks</t>
  </si>
  <si>
    <t>Maths Marks</t>
  </si>
  <si>
    <t>Priya</t>
  </si>
  <si>
    <t>Panvel</t>
  </si>
  <si>
    <t>IT</t>
  </si>
  <si>
    <t>Suchita</t>
  </si>
  <si>
    <t>Kurla</t>
  </si>
  <si>
    <t>CS</t>
  </si>
  <si>
    <t>Sanket</t>
  </si>
  <si>
    <t>Vashi</t>
  </si>
  <si>
    <t>Mech</t>
  </si>
  <si>
    <t>Aadiraj</t>
  </si>
  <si>
    <t>Wadala</t>
  </si>
  <si>
    <t>Auto</t>
  </si>
  <si>
    <t>Rushiraj</t>
  </si>
  <si>
    <t>Thane</t>
  </si>
  <si>
    <t>(10M)</t>
  </si>
  <si>
    <t>Q2)Considering the Table Below answer the following questions</t>
  </si>
  <si>
    <t>Order_ID</t>
  </si>
  <si>
    <t>Order_Date</t>
  </si>
  <si>
    <t>First_Name</t>
  </si>
  <si>
    <t>Last_Name</t>
  </si>
  <si>
    <t>City</t>
  </si>
  <si>
    <t>Quantity</t>
  </si>
  <si>
    <t>Unit_Price</t>
  </si>
  <si>
    <t>Discount</t>
  </si>
  <si>
    <t>Target</t>
  </si>
  <si>
    <t>Rating</t>
  </si>
  <si>
    <t>Amit</t>
  </si>
  <si>
    <t>Sharma</t>
  </si>
  <si>
    <t>Mumbai</t>
  </si>
  <si>
    <t>Neha</t>
  </si>
  <si>
    <t>Verma</t>
  </si>
  <si>
    <t>MUMBAI</t>
  </si>
  <si>
    <t>Rahul</t>
  </si>
  <si>
    <t>Singh</t>
  </si>
  <si>
    <t>Delhi</t>
  </si>
  <si>
    <t>Kapoor</t>
  </si>
  <si>
    <t>pune</t>
  </si>
  <si>
    <t>Karan</t>
  </si>
  <si>
    <t>Mehta</t>
  </si>
  <si>
    <t>Bangalore</t>
  </si>
  <si>
    <t>Sneha</t>
  </si>
  <si>
    <t>Rao</t>
  </si>
  <si>
    <t>Vikas</t>
  </si>
  <si>
    <t>Desai</t>
  </si>
  <si>
    <t>DELHI</t>
  </si>
  <si>
    <t>Anjali</t>
  </si>
  <si>
    <t>Gupta</t>
  </si>
  <si>
    <t>Pune</t>
  </si>
  <si>
    <t>Rohit</t>
  </si>
  <si>
    <t>Pooja</t>
  </si>
  <si>
    <t>Shah</t>
  </si>
  <si>
    <t>1. Create a column Total_Sales which is made up of Quantity × Unit_Price</t>
  </si>
  <si>
    <t>2. Create Net_Sales = Total_Sales − Discount</t>
  </si>
  <si>
    <t>3. Create a column:Net_Sales_Category</t>
  </si>
  <si>
    <t xml:space="preserve">          If Net_Sales &gt; 15000 → “High”, Else → “Normal”</t>
  </si>
  <si>
    <t>4. Extract month and year from order date</t>
  </si>
  <si>
    <t>5. Calculate total Net_Sales only for Mumbai</t>
  </si>
  <si>
    <t>6. Create column:Remarks</t>
  </si>
  <si>
    <t xml:space="preserve">         1. If Rating ≥ 4.5 → “Excellent”</t>
  </si>
  <si>
    <t xml:space="preserve">        2. If Rating ≥ 4 → “Good”</t>
  </si>
  <si>
    <t xml:space="preserve">        3. Else → “Average”</t>
  </si>
  <si>
    <t>7. Calculate Summation of Net_Sales where Rating ≥ 4</t>
  </si>
  <si>
    <t>8. Calculate total Discount where Net_Sales &gt; 10000</t>
  </si>
  <si>
    <t>9. If Net_Sales &gt; 15000 AND Discount &gt; 500 → “Premium Order” else "NOT PREMIUM ORDER"</t>
  </si>
  <si>
    <t>10. Combine First Name, Last Name and City with “--”</t>
  </si>
  <si>
    <t>Q3)From the following Table solve the Questions given</t>
  </si>
  <si>
    <t>Customer_ID</t>
  </si>
  <si>
    <t>Customer_Name</t>
  </si>
  <si>
    <t>Product</t>
  </si>
  <si>
    <t>Total_Sales</t>
  </si>
  <si>
    <t>C101</t>
  </si>
  <si>
    <t>Amit Sharma</t>
  </si>
  <si>
    <t>Laptop</t>
  </si>
  <si>
    <t>C102</t>
  </si>
  <si>
    <t>Neha Verma</t>
  </si>
  <si>
    <t>Mobile</t>
  </si>
  <si>
    <t>C103</t>
  </si>
  <si>
    <t>Rahul Singh</t>
  </si>
  <si>
    <t>Tablet</t>
  </si>
  <si>
    <t>C104</t>
  </si>
  <si>
    <t>Priya Kapoor</t>
  </si>
  <si>
    <t>C105</t>
  </si>
  <si>
    <t>Karan Mehta</t>
  </si>
  <si>
    <t>C106</t>
  </si>
  <si>
    <t>Sneha Rao</t>
  </si>
  <si>
    <t>C107</t>
  </si>
  <si>
    <t>Vikas Desai</t>
  </si>
  <si>
    <t>C108</t>
  </si>
  <si>
    <t>Anjali Gupta</t>
  </si>
  <si>
    <t>a]Apply VLOOKUP &amp; fill the details</t>
  </si>
  <si>
    <t>b]Apply XLOOKUP&amp; fill the details</t>
  </si>
  <si>
    <t>Shantanu Mhatre</t>
  </si>
  <si>
    <t>Q4)Charts</t>
  </si>
  <si>
    <t>Month</t>
  </si>
  <si>
    <t>Units_Sold</t>
  </si>
  <si>
    <t>Revenue</t>
  </si>
  <si>
    <t>Cost</t>
  </si>
  <si>
    <t>Profit</t>
  </si>
  <si>
    <t>Jan</t>
  </si>
  <si>
    <t>Feb</t>
  </si>
  <si>
    <t>Keyboard</t>
  </si>
  <si>
    <t>March</t>
  </si>
  <si>
    <t>PC</t>
  </si>
  <si>
    <t>April</t>
  </si>
  <si>
    <t>Satara</t>
  </si>
  <si>
    <t>GPU</t>
  </si>
  <si>
    <t>May</t>
  </si>
  <si>
    <t>Lucknow</t>
  </si>
  <si>
    <t>LED TV</t>
  </si>
  <si>
    <t>June</t>
  </si>
  <si>
    <t>Ranchi</t>
  </si>
  <si>
    <t>Washing Machine</t>
  </si>
  <si>
    <t>July</t>
  </si>
  <si>
    <t>Dehra Dun</t>
  </si>
  <si>
    <t>Light&amp;Fan</t>
  </si>
  <si>
    <t>August</t>
  </si>
  <si>
    <t>Gujarat</t>
  </si>
  <si>
    <t>Projector</t>
  </si>
  <si>
    <t>September</t>
  </si>
  <si>
    <t>Mahad</t>
  </si>
  <si>
    <t>Speaker</t>
  </si>
  <si>
    <t>a]Make atleast 5 Different Charts with This Data with proper data representation</t>
  </si>
  <si>
    <t>Q5)Pivot Table Charts</t>
  </si>
  <si>
    <t>(20M)</t>
  </si>
  <si>
    <t>In Pivot Table Sheet, data is given so solve the following questions</t>
  </si>
  <si>
    <t>1. Which city generates the highest Total_Sales?</t>
  </si>
  <si>
    <t>2. Show the Top 6 cities by Total_Sales.</t>
  </si>
  <si>
    <t>3. Which product generates the highest Profit?</t>
  </si>
  <si>
    <t>4. Show Top 4 products by Total_Sales.</t>
  </si>
  <si>
    <t>5. Which department contributes the most Profit?</t>
  </si>
  <si>
    <t>6. Make a Suitable Chart for Showing Month vs Discount</t>
  </si>
  <si>
    <t>7. Which payment mode generates the highest Net_Sales?</t>
  </si>
  <si>
    <t>8. Show Top 3 months by Net_Sales.</t>
  </si>
  <si>
    <t>9. Which city has the highest average Unit Price?</t>
  </si>
  <si>
    <t>10. Show City Wise Profit by adding Year Column as a filter</t>
  </si>
  <si>
    <t>Q6)Study the table and answer the following questions</t>
  </si>
  <si>
    <t>Emp ID</t>
  </si>
  <si>
    <t>Salary</t>
  </si>
  <si>
    <t>Sales</t>
  </si>
  <si>
    <t>Experience</t>
  </si>
  <si>
    <t>HR</t>
  </si>
  <si>
    <t>Finance</t>
  </si>
  <si>
    <t>Arjun</t>
  </si>
  <si>
    <t>a]Calculate the total Salary of employees from Mumbai</t>
  </si>
  <si>
    <t>b]Find the average Sales of employees in the Sales department having Experience greater than 4 years</t>
  </si>
  <si>
    <t>c]Find the maximum Salary in the IT department</t>
  </si>
  <si>
    <t>d]Calculate the total Sales of employees from Pune city and Experience greater than 3 years</t>
  </si>
  <si>
    <t>e]Count the number of employees who belong to the HR department and are from Mumbai</t>
  </si>
  <si>
    <t>Payment_Mode</t>
  </si>
  <si>
    <t>Net_Sales</t>
  </si>
  <si>
    <t>Year</t>
  </si>
  <si>
    <t>Corporate</t>
  </si>
  <si>
    <t>Net Banking</t>
  </si>
  <si>
    <t>UPI</t>
  </si>
  <si>
    <t>Online</t>
  </si>
  <si>
    <t>Card</t>
  </si>
  <si>
    <t>Chennai</t>
  </si>
  <si>
    <t>Retail</t>
  </si>
  <si>
    <t>December</t>
  </si>
  <si>
    <t>Monitor</t>
  </si>
  <si>
    <t>January</t>
  </si>
  <si>
    <t>Cash</t>
  </si>
  <si>
    <t>November</t>
  </si>
  <si>
    <t>October</t>
  </si>
  <si>
    <t>February</t>
  </si>
  <si>
    <t>Net_Sales_Category</t>
  </si>
  <si>
    <t>Month&amp;Year</t>
  </si>
  <si>
    <t>total_net_sales_Mumbai</t>
  </si>
  <si>
    <t>Remarks</t>
  </si>
  <si>
    <t>Sum net sales &gt;= 4 rating</t>
  </si>
  <si>
    <t>Total discount Net_Sales &gt; 10000</t>
  </si>
  <si>
    <t>If Net_Sales &gt; 15000 AND Discount &gt; 500 → “Premium Order” else "NOT PREMIUM ORDER"</t>
  </si>
  <si>
    <t>Row Labels</t>
  </si>
  <si>
    <t>Grand Total</t>
  </si>
  <si>
    <t>Sum of Total_Sales</t>
  </si>
  <si>
    <t>Answer : Delhi</t>
  </si>
  <si>
    <t>Sum of Profit</t>
  </si>
  <si>
    <t>Answe: Keyboard</t>
  </si>
  <si>
    <t>Answer: online</t>
  </si>
  <si>
    <t>Sum of Discount</t>
  </si>
  <si>
    <t>Sum of Net_Sales</t>
  </si>
  <si>
    <t>answer: card</t>
  </si>
  <si>
    <t>Average of Unit_Price</t>
  </si>
  <si>
    <t>Answer: Mumbai</t>
  </si>
  <si>
    <t>answer</t>
  </si>
  <si>
    <t>sum ofSalary of employee from mumbai</t>
  </si>
  <si>
    <t>Find the average Sales of employees in the Sales department having Experience greater than 4 years</t>
  </si>
  <si>
    <t>Find the maximum Salary in the IT department</t>
  </si>
  <si>
    <t>Calculate the total Sales of employees from Pune city and Experience greater than 3 years</t>
  </si>
  <si>
    <t>Count the number of employees who belong to the HR department and are from Mumbai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</si>
</sst>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/m/yyyy"/>
    <numFmt numFmtId="165" formatCode="[$-F800]dddd\,\ mmmm\ dd\,\ yyyy"/>
  </numFmts>
  <fonts count="9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</font>
    <font>
      <sz val="11"/>
      <name val="Calibri"/>
    </font>
    <font>
      <sz val="11"/>
      <color theme="1"/>
      <name val="Calibri"/>
    </font>
    <font>
      <b/>
      <sz val="11"/>
      <color theme="1"/>
      <name val="Calibri"/>
    </font>
    <font>
      <b/>
      <sz val="12"/>
      <color theme="1"/>
      <name val="Calibri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7CAAC"/>
        <bgColor rgb="FFF7CAAC"/>
      </patternFill>
    </fill>
    <fill>
      <patternFill patternType="solid">
        <fgColor rgb="FFADB9CA"/>
        <bgColor rgb="FFADB9CA"/>
      </patternFill>
    </fill>
    <fill>
      <patternFill patternType="solid">
        <fgColor rgb="FF8496B0"/>
        <bgColor rgb="FF8496B0"/>
      </patternFill>
    </fill>
  </fills>
  <borders count="25">
    <border>
      <left/>
      <right/>
      <top/>
      <bottom/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/>
      <right/>
      <top style="medium">
        <color rgb="FFCCCCCC"/>
      </top>
      <bottom/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/>
      <bottom/>
      <diagonal/>
    </border>
    <border>
      <left/>
      <right style="medium">
        <color rgb="FFCCCCCC"/>
      </right>
      <top/>
      <bottom/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/>
      <right/>
      <top/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/>
      <right/>
      <top style="medium">
        <color rgb="FFCCCCCC"/>
      </top>
      <bottom style="medium">
        <color rgb="FF000000"/>
      </bottom>
      <diagonal/>
    </border>
    <border>
      <left/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CCCCCC"/>
      </left>
      <right style="medium">
        <color rgb="FF000000"/>
      </right>
      <top/>
      <bottom/>
      <diagonal/>
    </border>
  </borders>
  <cellStyleXfs count="1">
    <xf numFmtId="0" fontId="0" fillId="0" borderId="0"/>
  </cellStyleXfs>
  <cellXfs count="60">
    <xf numFmtId="0" fontId="0" fillId="0" borderId="0" xfId="0" applyFont="1" applyAlignment="1"/>
    <xf numFmtId="0" fontId="4" fillId="0" borderId="4" xfId="0" applyFont="1" applyBorder="1" applyAlignment="1">
      <alignment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wrapText="1"/>
    </xf>
    <xf numFmtId="0" fontId="5" fillId="0" borderId="4" xfId="0" applyFont="1" applyBorder="1" applyAlignment="1">
      <alignment wrapText="1"/>
    </xf>
    <xf numFmtId="0" fontId="4" fillId="0" borderId="13" xfId="0" applyFont="1" applyBorder="1" applyAlignment="1">
      <alignment wrapText="1"/>
    </xf>
    <xf numFmtId="0" fontId="4" fillId="0" borderId="14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164" fontId="4" fillId="0" borderId="15" xfId="0" applyNumberFormat="1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wrapText="1"/>
    </xf>
    <xf numFmtId="0" fontId="5" fillId="0" borderId="15" xfId="0" applyFont="1" applyBorder="1" applyAlignment="1">
      <alignment horizontal="center" wrapText="1"/>
    </xf>
    <xf numFmtId="0" fontId="4" fillId="0" borderId="22" xfId="0" applyFont="1" applyBorder="1" applyAlignment="1">
      <alignment wrapText="1"/>
    </xf>
    <xf numFmtId="0" fontId="5" fillId="0" borderId="15" xfId="0" applyFont="1" applyBorder="1" applyAlignment="1">
      <alignment wrapText="1"/>
    </xf>
    <xf numFmtId="0" fontId="5" fillId="0" borderId="23" xfId="0" applyFont="1" applyBorder="1" applyAlignment="1">
      <alignment horizontal="center" vertical="top" wrapText="1"/>
    </xf>
    <xf numFmtId="0" fontId="4" fillId="0" borderId="23" xfId="0" applyFont="1" applyBorder="1" applyAlignment="1">
      <alignment horizontal="center" wrapText="1"/>
    </xf>
    <xf numFmtId="164" fontId="4" fillId="0" borderId="23" xfId="0" applyNumberFormat="1" applyFont="1" applyBorder="1" applyAlignment="1">
      <alignment horizont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2" xfId="0" applyFont="1" applyBorder="1"/>
    <xf numFmtId="0" fontId="3" fillId="0" borderId="3" xfId="0" applyFont="1" applyBorder="1"/>
    <xf numFmtId="0" fontId="3" fillId="0" borderId="5" xfId="0" applyFont="1" applyBorder="1"/>
    <xf numFmtId="0" fontId="0" fillId="0" borderId="0" xfId="0" applyFont="1" applyAlignment="1"/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0" fontId="5" fillId="3" borderId="10" xfId="0" applyFont="1" applyFill="1" applyBorder="1" applyAlignment="1">
      <alignment wrapText="1"/>
    </xf>
    <xf numFmtId="0" fontId="3" fillId="0" borderId="11" xfId="0" applyFont="1" applyBorder="1"/>
    <xf numFmtId="0" fontId="3" fillId="0" borderId="12" xfId="0" applyFont="1" applyBorder="1"/>
    <xf numFmtId="0" fontId="4" fillId="3" borderId="10" xfId="0" applyFont="1" applyFill="1" applyBorder="1" applyAlignment="1">
      <alignment wrapText="1"/>
    </xf>
    <xf numFmtId="0" fontId="5" fillId="3" borderId="16" xfId="0" applyFont="1" applyFill="1" applyBorder="1" applyAlignment="1">
      <alignment wrapText="1"/>
    </xf>
    <xf numFmtId="0" fontId="3" fillId="0" borderId="17" xfId="0" applyFont="1" applyBorder="1"/>
    <xf numFmtId="0" fontId="3" fillId="0" borderId="18" xfId="0" applyFont="1" applyBorder="1"/>
    <xf numFmtId="0" fontId="4" fillId="0" borderId="19" xfId="0" applyFont="1" applyBorder="1" applyAlignment="1">
      <alignment vertical="center" wrapText="1"/>
    </xf>
    <xf numFmtId="0" fontId="3" fillId="0" borderId="20" xfId="0" applyFont="1" applyBorder="1"/>
    <xf numFmtId="0" fontId="3" fillId="0" borderId="21" xfId="0" applyFont="1" applyBorder="1"/>
    <xf numFmtId="0" fontId="5" fillId="0" borderId="10" xfId="0" applyFont="1" applyBorder="1" applyAlignment="1">
      <alignment horizontal="center" vertical="center" wrapText="1"/>
    </xf>
    <xf numFmtId="0" fontId="5" fillId="0" borderId="10" xfId="0" applyFont="1" applyBorder="1" applyAlignment="1">
      <alignment wrapText="1"/>
    </xf>
    <xf numFmtId="0" fontId="5" fillId="3" borderId="10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vertical="center" wrapText="1"/>
    </xf>
    <xf numFmtId="0" fontId="5" fillId="4" borderId="10" xfId="0" applyFont="1" applyFill="1" applyBorder="1" applyAlignment="1">
      <alignment wrapText="1"/>
    </xf>
    <xf numFmtId="0" fontId="5" fillId="0" borderId="10" xfId="0" applyFont="1" applyBorder="1" applyAlignment="1">
      <alignment horizontal="left" wrapText="1"/>
    </xf>
    <xf numFmtId="0" fontId="5" fillId="0" borderId="24" xfId="0" applyFont="1" applyFill="1" applyBorder="1" applyAlignment="1">
      <alignment horizontal="center" vertical="center" wrapText="1"/>
    </xf>
    <xf numFmtId="165" fontId="5" fillId="0" borderId="24" xfId="0" applyNumberFormat="1" applyFont="1" applyFill="1" applyBorder="1" applyAlignment="1">
      <alignment horizontal="center" vertical="center" wrapText="1"/>
    </xf>
    <xf numFmtId="165" fontId="0" fillId="0" borderId="0" xfId="0" applyNumberFormat="1" applyFont="1" applyAlignment="1"/>
    <xf numFmtId="0" fontId="0" fillId="0" borderId="0" xfId="0" applyNumberFormat="1" applyFont="1" applyAlignment="1"/>
    <xf numFmtId="0" fontId="1" fillId="0" borderId="0" xfId="0" applyFont="1" applyAlignment="1"/>
    <xf numFmtId="0" fontId="8" fillId="0" borderId="24" xfId="0" applyFont="1" applyFill="1" applyBorder="1" applyAlignment="1">
      <alignment horizontal="center" vertical="center" wrapText="1"/>
    </xf>
    <xf numFmtId="0" fontId="7" fillId="0" borderId="19" xfId="0" applyFont="1" applyBorder="1" applyAlignment="1">
      <alignment vertical="center" wrapText="1"/>
    </xf>
    <xf numFmtId="0" fontId="8" fillId="0" borderId="15" xfId="0" applyFont="1" applyBorder="1" applyAlignment="1">
      <alignment wrapText="1"/>
    </xf>
    <xf numFmtId="0" fontId="0" fillId="0" borderId="0" xfId="0" pivotButton="1" applyFont="1" applyAlignment="1"/>
    <xf numFmtId="0" fontId="0" fillId="0" borderId="0" xfId="0" applyFont="1" applyAlignment="1">
      <alignment horizontal="left"/>
    </xf>
    <xf numFmtId="0" fontId="0" fillId="0" borderId="0" xfId="0" applyFont="1" applyFill="1" applyBorder="1" applyAlignment="1">
      <alignment horizontal="left"/>
    </xf>
    <xf numFmtId="0" fontId="7" fillId="0" borderId="4" xfId="0" applyFont="1" applyBorder="1" applyAlignment="1">
      <alignment wrapText="1"/>
    </xf>
    <xf numFmtId="0" fontId="8" fillId="0" borderId="1" xfId="0" applyFont="1" applyBorder="1" applyAlignment="1">
      <alignment vertical="center" wrapText="1"/>
    </xf>
    <xf numFmtId="0" fontId="8" fillId="0" borderId="10" xfId="0" applyFont="1" applyBorder="1" applyAlignment="1">
      <alignment horizontal="left" wrapText="1"/>
    </xf>
    <xf numFmtId="0" fontId="1" fillId="0" borderId="0" xfId="0" applyFont="1" applyAlignment="1">
      <alignment wrapText="1"/>
    </xf>
    <xf numFmtId="0" fontId="0" fillId="0" borderId="0" xfId="0" applyFont="1" applyAlignment="1">
      <alignment wrapText="1"/>
    </xf>
  </cellXfs>
  <cellStyles count="1">
    <cellStyle name="Normal" xfId="0" builtinId="0"/>
  </cellStyles>
  <dxfs count="2"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Sheet1!$D$60</c:f>
              <c:strCache>
                <c:ptCount val="1"/>
                <c:pt idx="0">
                  <c:v>Units_Sold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multiLvlStrRef>
              <c:f>Sheet1!$A$61:$C$69</c:f>
              <c:multiLvlStrCache>
                <c:ptCount val="9"/>
                <c:lvl>
                  <c:pt idx="0">
                    <c:v>Laptop</c:v>
                  </c:pt>
                  <c:pt idx="1">
                    <c:v>Keyboard</c:v>
                  </c:pt>
                  <c:pt idx="2">
                    <c:v>PC</c:v>
                  </c:pt>
                  <c:pt idx="3">
                    <c:v>GPU</c:v>
                  </c:pt>
                  <c:pt idx="4">
                    <c:v>LED TV</c:v>
                  </c:pt>
                  <c:pt idx="5">
                    <c:v>Washing Machine</c:v>
                  </c:pt>
                  <c:pt idx="6">
                    <c:v>Light&amp;Fan</c:v>
                  </c:pt>
                  <c:pt idx="7">
                    <c:v>Projector</c:v>
                  </c:pt>
                  <c:pt idx="8">
                    <c:v>Speaker</c:v>
                  </c:pt>
                </c:lvl>
                <c:lvl>
                  <c:pt idx="0">
                    <c:v>Mumbai</c:v>
                  </c:pt>
                  <c:pt idx="1">
                    <c:v>Delhi</c:v>
                  </c:pt>
                  <c:pt idx="2">
                    <c:v>Pune</c:v>
                  </c:pt>
                  <c:pt idx="3">
                    <c:v>Satara</c:v>
                  </c:pt>
                  <c:pt idx="4">
                    <c:v>Lucknow</c:v>
                  </c:pt>
                  <c:pt idx="5">
                    <c:v>Ranchi</c:v>
                  </c:pt>
                  <c:pt idx="6">
                    <c:v>Dehra Dun</c:v>
                  </c:pt>
                  <c:pt idx="7">
                    <c:v>Gujarat</c:v>
                  </c:pt>
                  <c:pt idx="8">
                    <c:v>Mahad</c:v>
                  </c:pt>
                </c:lvl>
                <c:lvl>
                  <c:pt idx="0">
                    <c:v>Jan</c:v>
                  </c:pt>
                  <c:pt idx="1">
                    <c:v>Feb</c:v>
                  </c:pt>
                  <c:pt idx="2">
                    <c:v>March</c:v>
                  </c:pt>
                  <c:pt idx="3">
                    <c:v>April</c:v>
                  </c:pt>
                  <c:pt idx="4">
                    <c:v>May</c:v>
                  </c:pt>
                  <c:pt idx="5">
                    <c:v>June</c:v>
                  </c:pt>
                  <c:pt idx="6">
                    <c:v>July</c:v>
                  </c:pt>
                  <c:pt idx="7">
                    <c:v>August</c:v>
                  </c:pt>
                  <c:pt idx="8">
                    <c:v>September</c:v>
                  </c:pt>
                </c:lvl>
              </c:multiLvlStrCache>
            </c:multiLvlStrRef>
          </c:cat>
          <c:val>
            <c:numRef>
              <c:f>Sheet1!$D$61:$D$69</c:f>
              <c:numCache>
                <c:formatCode>General</c:formatCode>
                <c:ptCount val="9"/>
                <c:pt idx="0">
                  <c:v>50</c:v>
                </c:pt>
                <c:pt idx="1">
                  <c:v>40</c:v>
                </c:pt>
                <c:pt idx="2">
                  <c:v>35</c:v>
                </c:pt>
                <c:pt idx="3">
                  <c:v>60</c:v>
                </c:pt>
                <c:pt idx="4">
                  <c:v>45</c:v>
                </c:pt>
                <c:pt idx="5">
                  <c:v>38</c:v>
                </c:pt>
                <c:pt idx="6">
                  <c:v>70</c:v>
                </c:pt>
                <c:pt idx="7">
                  <c:v>50</c:v>
                </c:pt>
                <c:pt idx="8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06-40FD-A59C-A13AC064082E}"/>
            </c:ext>
          </c:extLst>
        </c:ser>
        <c:ser>
          <c:idx val="1"/>
          <c:order val="1"/>
          <c:tx>
            <c:strRef>
              <c:f>Sheet1!$E$60</c:f>
              <c:strCache>
                <c:ptCount val="1"/>
                <c:pt idx="0">
                  <c:v>Revenue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multiLvlStrRef>
              <c:f>Sheet1!$A$61:$C$69</c:f>
              <c:multiLvlStrCache>
                <c:ptCount val="9"/>
                <c:lvl>
                  <c:pt idx="0">
                    <c:v>Laptop</c:v>
                  </c:pt>
                  <c:pt idx="1">
                    <c:v>Keyboard</c:v>
                  </c:pt>
                  <c:pt idx="2">
                    <c:v>PC</c:v>
                  </c:pt>
                  <c:pt idx="3">
                    <c:v>GPU</c:v>
                  </c:pt>
                  <c:pt idx="4">
                    <c:v>LED TV</c:v>
                  </c:pt>
                  <c:pt idx="5">
                    <c:v>Washing Machine</c:v>
                  </c:pt>
                  <c:pt idx="6">
                    <c:v>Light&amp;Fan</c:v>
                  </c:pt>
                  <c:pt idx="7">
                    <c:v>Projector</c:v>
                  </c:pt>
                  <c:pt idx="8">
                    <c:v>Speaker</c:v>
                  </c:pt>
                </c:lvl>
                <c:lvl>
                  <c:pt idx="0">
                    <c:v>Mumbai</c:v>
                  </c:pt>
                  <c:pt idx="1">
                    <c:v>Delhi</c:v>
                  </c:pt>
                  <c:pt idx="2">
                    <c:v>Pune</c:v>
                  </c:pt>
                  <c:pt idx="3">
                    <c:v>Satara</c:v>
                  </c:pt>
                  <c:pt idx="4">
                    <c:v>Lucknow</c:v>
                  </c:pt>
                  <c:pt idx="5">
                    <c:v>Ranchi</c:v>
                  </c:pt>
                  <c:pt idx="6">
                    <c:v>Dehra Dun</c:v>
                  </c:pt>
                  <c:pt idx="7">
                    <c:v>Gujarat</c:v>
                  </c:pt>
                  <c:pt idx="8">
                    <c:v>Mahad</c:v>
                  </c:pt>
                </c:lvl>
                <c:lvl>
                  <c:pt idx="0">
                    <c:v>Jan</c:v>
                  </c:pt>
                  <c:pt idx="1">
                    <c:v>Feb</c:v>
                  </c:pt>
                  <c:pt idx="2">
                    <c:v>March</c:v>
                  </c:pt>
                  <c:pt idx="3">
                    <c:v>April</c:v>
                  </c:pt>
                  <c:pt idx="4">
                    <c:v>May</c:v>
                  </c:pt>
                  <c:pt idx="5">
                    <c:v>June</c:v>
                  </c:pt>
                  <c:pt idx="6">
                    <c:v>July</c:v>
                  </c:pt>
                  <c:pt idx="7">
                    <c:v>August</c:v>
                  </c:pt>
                  <c:pt idx="8">
                    <c:v>September</c:v>
                  </c:pt>
                </c:lvl>
              </c:multiLvlStrCache>
            </c:multiLvlStrRef>
          </c:cat>
          <c:val>
            <c:numRef>
              <c:f>Sheet1!$E$61:$E$69</c:f>
              <c:numCache>
                <c:formatCode>General</c:formatCode>
                <c:ptCount val="9"/>
                <c:pt idx="0">
                  <c:v>2500000</c:v>
                </c:pt>
                <c:pt idx="1">
                  <c:v>2000000</c:v>
                </c:pt>
                <c:pt idx="2">
                  <c:v>1750000</c:v>
                </c:pt>
                <c:pt idx="3">
                  <c:v>3000000</c:v>
                </c:pt>
                <c:pt idx="4">
                  <c:v>2250000</c:v>
                </c:pt>
                <c:pt idx="5">
                  <c:v>1900000</c:v>
                </c:pt>
                <c:pt idx="6">
                  <c:v>3500000</c:v>
                </c:pt>
                <c:pt idx="7">
                  <c:v>2500000</c:v>
                </c:pt>
                <c:pt idx="8">
                  <c:v>2100000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306-40FD-A59C-A13AC064082E}"/>
            </c:ext>
          </c:extLst>
        </c:ser>
        <c:ser>
          <c:idx val="2"/>
          <c:order val="2"/>
          <c:tx>
            <c:strRef>
              <c:f>Sheet1!$F$60</c:f>
              <c:strCache>
                <c:ptCount val="1"/>
                <c:pt idx="0">
                  <c:v>Cost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multiLvlStrRef>
              <c:f>Sheet1!$A$61:$C$69</c:f>
              <c:multiLvlStrCache>
                <c:ptCount val="9"/>
                <c:lvl>
                  <c:pt idx="0">
                    <c:v>Laptop</c:v>
                  </c:pt>
                  <c:pt idx="1">
                    <c:v>Keyboard</c:v>
                  </c:pt>
                  <c:pt idx="2">
                    <c:v>PC</c:v>
                  </c:pt>
                  <c:pt idx="3">
                    <c:v>GPU</c:v>
                  </c:pt>
                  <c:pt idx="4">
                    <c:v>LED TV</c:v>
                  </c:pt>
                  <c:pt idx="5">
                    <c:v>Washing Machine</c:v>
                  </c:pt>
                  <c:pt idx="6">
                    <c:v>Light&amp;Fan</c:v>
                  </c:pt>
                  <c:pt idx="7">
                    <c:v>Projector</c:v>
                  </c:pt>
                  <c:pt idx="8">
                    <c:v>Speaker</c:v>
                  </c:pt>
                </c:lvl>
                <c:lvl>
                  <c:pt idx="0">
                    <c:v>Mumbai</c:v>
                  </c:pt>
                  <c:pt idx="1">
                    <c:v>Delhi</c:v>
                  </c:pt>
                  <c:pt idx="2">
                    <c:v>Pune</c:v>
                  </c:pt>
                  <c:pt idx="3">
                    <c:v>Satara</c:v>
                  </c:pt>
                  <c:pt idx="4">
                    <c:v>Lucknow</c:v>
                  </c:pt>
                  <c:pt idx="5">
                    <c:v>Ranchi</c:v>
                  </c:pt>
                  <c:pt idx="6">
                    <c:v>Dehra Dun</c:v>
                  </c:pt>
                  <c:pt idx="7">
                    <c:v>Gujarat</c:v>
                  </c:pt>
                  <c:pt idx="8">
                    <c:v>Mahad</c:v>
                  </c:pt>
                </c:lvl>
                <c:lvl>
                  <c:pt idx="0">
                    <c:v>Jan</c:v>
                  </c:pt>
                  <c:pt idx="1">
                    <c:v>Feb</c:v>
                  </c:pt>
                  <c:pt idx="2">
                    <c:v>March</c:v>
                  </c:pt>
                  <c:pt idx="3">
                    <c:v>April</c:v>
                  </c:pt>
                  <c:pt idx="4">
                    <c:v>May</c:v>
                  </c:pt>
                  <c:pt idx="5">
                    <c:v>June</c:v>
                  </c:pt>
                  <c:pt idx="6">
                    <c:v>July</c:v>
                  </c:pt>
                  <c:pt idx="7">
                    <c:v>August</c:v>
                  </c:pt>
                  <c:pt idx="8">
                    <c:v>September</c:v>
                  </c:pt>
                </c:lvl>
              </c:multiLvlStrCache>
            </c:multiLvlStrRef>
          </c:cat>
          <c:val>
            <c:numRef>
              <c:f>Sheet1!$F$61:$F$69</c:f>
              <c:numCache>
                <c:formatCode>General</c:formatCode>
                <c:ptCount val="9"/>
                <c:pt idx="0">
                  <c:v>2000000</c:v>
                </c:pt>
                <c:pt idx="1">
                  <c:v>1600000</c:v>
                </c:pt>
                <c:pt idx="2">
                  <c:v>1400000</c:v>
                </c:pt>
                <c:pt idx="3">
                  <c:v>2400000</c:v>
                </c:pt>
                <c:pt idx="4">
                  <c:v>1800000</c:v>
                </c:pt>
                <c:pt idx="5">
                  <c:v>1500000</c:v>
                </c:pt>
                <c:pt idx="6">
                  <c:v>2800000</c:v>
                </c:pt>
                <c:pt idx="7">
                  <c:v>2000000</c:v>
                </c:pt>
                <c:pt idx="8">
                  <c:v>1650000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306-40FD-A59C-A13AC064082E}"/>
            </c:ext>
          </c:extLst>
        </c:ser>
        <c:ser>
          <c:idx val="3"/>
          <c:order val="3"/>
          <c:tx>
            <c:strRef>
              <c:f>Sheet1!$G$60</c:f>
              <c:strCache>
                <c:ptCount val="1"/>
                <c:pt idx="0">
                  <c:v>Profit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multiLvlStrRef>
              <c:f>Sheet1!$A$61:$C$69</c:f>
              <c:multiLvlStrCache>
                <c:ptCount val="9"/>
                <c:lvl>
                  <c:pt idx="0">
                    <c:v>Laptop</c:v>
                  </c:pt>
                  <c:pt idx="1">
                    <c:v>Keyboard</c:v>
                  </c:pt>
                  <c:pt idx="2">
                    <c:v>PC</c:v>
                  </c:pt>
                  <c:pt idx="3">
                    <c:v>GPU</c:v>
                  </c:pt>
                  <c:pt idx="4">
                    <c:v>LED TV</c:v>
                  </c:pt>
                  <c:pt idx="5">
                    <c:v>Washing Machine</c:v>
                  </c:pt>
                  <c:pt idx="6">
                    <c:v>Light&amp;Fan</c:v>
                  </c:pt>
                  <c:pt idx="7">
                    <c:v>Projector</c:v>
                  </c:pt>
                  <c:pt idx="8">
                    <c:v>Speaker</c:v>
                  </c:pt>
                </c:lvl>
                <c:lvl>
                  <c:pt idx="0">
                    <c:v>Mumbai</c:v>
                  </c:pt>
                  <c:pt idx="1">
                    <c:v>Delhi</c:v>
                  </c:pt>
                  <c:pt idx="2">
                    <c:v>Pune</c:v>
                  </c:pt>
                  <c:pt idx="3">
                    <c:v>Satara</c:v>
                  </c:pt>
                  <c:pt idx="4">
                    <c:v>Lucknow</c:v>
                  </c:pt>
                  <c:pt idx="5">
                    <c:v>Ranchi</c:v>
                  </c:pt>
                  <c:pt idx="6">
                    <c:v>Dehra Dun</c:v>
                  </c:pt>
                  <c:pt idx="7">
                    <c:v>Gujarat</c:v>
                  </c:pt>
                  <c:pt idx="8">
                    <c:v>Mahad</c:v>
                  </c:pt>
                </c:lvl>
                <c:lvl>
                  <c:pt idx="0">
                    <c:v>Jan</c:v>
                  </c:pt>
                  <c:pt idx="1">
                    <c:v>Feb</c:v>
                  </c:pt>
                  <c:pt idx="2">
                    <c:v>March</c:v>
                  </c:pt>
                  <c:pt idx="3">
                    <c:v>April</c:v>
                  </c:pt>
                  <c:pt idx="4">
                    <c:v>May</c:v>
                  </c:pt>
                  <c:pt idx="5">
                    <c:v>June</c:v>
                  </c:pt>
                  <c:pt idx="6">
                    <c:v>July</c:v>
                  </c:pt>
                  <c:pt idx="7">
                    <c:v>August</c:v>
                  </c:pt>
                  <c:pt idx="8">
                    <c:v>September</c:v>
                  </c:pt>
                </c:lvl>
              </c:multiLvlStrCache>
            </c:multiLvlStrRef>
          </c:cat>
          <c:val>
            <c:numRef>
              <c:f>Sheet1!$G$61:$G$69</c:f>
              <c:numCache>
                <c:formatCode>General</c:formatCode>
                <c:ptCount val="9"/>
                <c:pt idx="0">
                  <c:v>500000</c:v>
                </c:pt>
                <c:pt idx="1">
                  <c:v>400000</c:v>
                </c:pt>
                <c:pt idx="2">
                  <c:v>350000</c:v>
                </c:pt>
                <c:pt idx="3">
                  <c:v>600000</c:v>
                </c:pt>
                <c:pt idx="4">
                  <c:v>450000</c:v>
                </c:pt>
                <c:pt idx="5">
                  <c:v>400000</c:v>
                </c:pt>
                <c:pt idx="6">
                  <c:v>700000</c:v>
                </c:pt>
                <c:pt idx="7">
                  <c:v>500000</c:v>
                </c:pt>
                <c:pt idx="8">
                  <c:v>450000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306-40FD-A59C-A13AC064082E}"/>
            </c:ext>
          </c:extLst>
        </c:ser>
        <c:ser>
          <c:idx val="4"/>
          <c:order val="4"/>
          <c:tx>
            <c:strRef>
              <c:f>Sheet1!$H$60</c:f>
              <c:strCache>
                <c:ptCount val="1"/>
                <c:pt idx="0">
                  <c:v>Target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multiLvlStrRef>
              <c:f>Sheet1!$A$61:$C$69</c:f>
              <c:multiLvlStrCache>
                <c:ptCount val="9"/>
                <c:lvl>
                  <c:pt idx="0">
                    <c:v>Laptop</c:v>
                  </c:pt>
                  <c:pt idx="1">
                    <c:v>Keyboard</c:v>
                  </c:pt>
                  <c:pt idx="2">
                    <c:v>PC</c:v>
                  </c:pt>
                  <c:pt idx="3">
                    <c:v>GPU</c:v>
                  </c:pt>
                  <c:pt idx="4">
                    <c:v>LED TV</c:v>
                  </c:pt>
                  <c:pt idx="5">
                    <c:v>Washing Machine</c:v>
                  </c:pt>
                  <c:pt idx="6">
                    <c:v>Light&amp;Fan</c:v>
                  </c:pt>
                  <c:pt idx="7">
                    <c:v>Projector</c:v>
                  </c:pt>
                  <c:pt idx="8">
                    <c:v>Speaker</c:v>
                  </c:pt>
                </c:lvl>
                <c:lvl>
                  <c:pt idx="0">
                    <c:v>Mumbai</c:v>
                  </c:pt>
                  <c:pt idx="1">
                    <c:v>Delhi</c:v>
                  </c:pt>
                  <c:pt idx="2">
                    <c:v>Pune</c:v>
                  </c:pt>
                  <c:pt idx="3">
                    <c:v>Satara</c:v>
                  </c:pt>
                  <c:pt idx="4">
                    <c:v>Lucknow</c:v>
                  </c:pt>
                  <c:pt idx="5">
                    <c:v>Ranchi</c:v>
                  </c:pt>
                  <c:pt idx="6">
                    <c:v>Dehra Dun</c:v>
                  </c:pt>
                  <c:pt idx="7">
                    <c:v>Gujarat</c:v>
                  </c:pt>
                  <c:pt idx="8">
                    <c:v>Mahad</c:v>
                  </c:pt>
                </c:lvl>
                <c:lvl>
                  <c:pt idx="0">
                    <c:v>Jan</c:v>
                  </c:pt>
                  <c:pt idx="1">
                    <c:v>Feb</c:v>
                  </c:pt>
                  <c:pt idx="2">
                    <c:v>March</c:v>
                  </c:pt>
                  <c:pt idx="3">
                    <c:v>April</c:v>
                  </c:pt>
                  <c:pt idx="4">
                    <c:v>May</c:v>
                  </c:pt>
                  <c:pt idx="5">
                    <c:v>June</c:v>
                  </c:pt>
                  <c:pt idx="6">
                    <c:v>July</c:v>
                  </c:pt>
                  <c:pt idx="7">
                    <c:v>August</c:v>
                  </c:pt>
                  <c:pt idx="8">
                    <c:v>September</c:v>
                  </c:pt>
                </c:lvl>
              </c:multiLvlStrCache>
            </c:multiLvlStrRef>
          </c:cat>
          <c:val>
            <c:numRef>
              <c:f>Sheet1!$H$61:$H$69</c:f>
              <c:numCache>
                <c:formatCode>General</c:formatCode>
                <c:ptCount val="9"/>
                <c:pt idx="0">
                  <c:v>2300000</c:v>
                </c:pt>
                <c:pt idx="1">
                  <c:v>1900000</c:v>
                </c:pt>
                <c:pt idx="2">
                  <c:v>1600000</c:v>
                </c:pt>
                <c:pt idx="3">
                  <c:v>2700000</c:v>
                </c:pt>
                <c:pt idx="4">
                  <c:v>2100000</c:v>
                </c:pt>
                <c:pt idx="5">
                  <c:v>1750000</c:v>
                </c:pt>
                <c:pt idx="6">
                  <c:v>3200000</c:v>
                </c:pt>
                <c:pt idx="7">
                  <c:v>2300000</c:v>
                </c:pt>
                <c:pt idx="8">
                  <c:v>1900000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306-40FD-A59C-A13AC06408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Sheet1!$D$60</c:f>
              <c:strCache>
                <c:ptCount val="1"/>
                <c:pt idx="0">
                  <c:v>Units_Sold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Sheet1!$B$61:$C$69</c:f>
              <c:multiLvlStrCache>
                <c:ptCount val="9"/>
                <c:lvl>
                  <c:pt idx="0">
                    <c:v>Laptop</c:v>
                  </c:pt>
                  <c:pt idx="1">
                    <c:v>Keyboard</c:v>
                  </c:pt>
                  <c:pt idx="2">
                    <c:v>PC</c:v>
                  </c:pt>
                  <c:pt idx="3">
                    <c:v>GPU</c:v>
                  </c:pt>
                  <c:pt idx="4">
                    <c:v>LED TV</c:v>
                  </c:pt>
                  <c:pt idx="5">
                    <c:v>Washing Machine</c:v>
                  </c:pt>
                  <c:pt idx="6">
                    <c:v>Light&amp;Fan</c:v>
                  </c:pt>
                  <c:pt idx="7">
                    <c:v>Projector</c:v>
                  </c:pt>
                  <c:pt idx="8">
                    <c:v>Speaker</c:v>
                  </c:pt>
                </c:lvl>
                <c:lvl>
                  <c:pt idx="0">
                    <c:v>Mumbai</c:v>
                  </c:pt>
                  <c:pt idx="1">
                    <c:v>Delhi</c:v>
                  </c:pt>
                  <c:pt idx="2">
                    <c:v>Pune</c:v>
                  </c:pt>
                  <c:pt idx="3">
                    <c:v>Satara</c:v>
                  </c:pt>
                  <c:pt idx="4">
                    <c:v>Lucknow</c:v>
                  </c:pt>
                  <c:pt idx="5">
                    <c:v>Ranchi</c:v>
                  </c:pt>
                  <c:pt idx="6">
                    <c:v>Dehra Dun</c:v>
                  </c:pt>
                  <c:pt idx="7">
                    <c:v>Gujarat</c:v>
                  </c:pt>
                  <c:pt idx="8">
                    <c:v>Mahad</c:v>
                  </c:pt>
                </c:lvl>
              </c:multiLvlStrCache>
            </c:multiLvlStrRef>
          </c:cat>
          <c:val>
            <c:numRef>
              <c:f>Sheet1!$D$61:$D$69</c:f>
              <c:numCache>
                <c:formatCode>General</c:formatCode>
                <c:ptCount val="9"/>
                <c:pt idx="0">
                  <c:v>50</c:v>
                </c:pt>
                <c:pt idx="1">
                  <c:v>40</c:v>
                </c:pt>
                <c:pt idx="2">
                  <c:v>35</c:v>
                </c:pt>
                <c:pt idx="3">
                  <c:v>60</c:v>
                </c:pt>
                <c:pt idx="4">
                  <c:v>45</c:v>
                </c:pt>
                <c:pt idx="5">
                  <c:v>38</c:v>
                </c:pt>
                <c:pt idx="6">
                  <c:v>70</c:v>
                </c:pt>
                <c:pt idx="7">
                  <c:v>50</c:v>
                </c:pt>
                <c:pt idx="8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17-464D-891A-DE67342BA8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06081776"/>
        <c:axId val="606082608"/>
      </c:barChart>
      <c:catAx>
        <c:axId val="606081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6082608"/>
        <c:crosses val="autoZero"/>
        <c:auto val="1"/>
        <c:lblAlgn val="ctr"/>
        <c:lblOffset val="100"/>
        <c:noMultiLvlLbl val="0"/>
      </c:catAx>
      <c:valAx>
        <c:axId val="606082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60817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Sheet1!$D$60</c:f>
              <c:strCache>
                <c:ptCount val="1"/>
                <c:pt idx="0">
                  <c:v>Units_Sold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Sheet1!$B$61:$C$69</c15:sqref>
                  </c15:fullRef>
                  <c15:levelRef>
                    <c15:sqref>Sheet1!$B$61:$B$69</c15:sqref>
                  </c15:levelRef>
                </c:ext>
              </c:extLst>
              <c:f>Sheet1!$B$61:$B$69</c:f>
              <c:strCache>
                <c:ptCount val="9"/>
                <c:pt idx="0">
                  <c:v>Mumbai</c:v>
                </c:pt>
                <c:pt idx="1">
                  <c:v>Delhi</c:v>
                </c:pt>
                <c:pt idx="2">
                  <c:v>Pune</c:v>
                </c:pt>
                <c:pt idx="3">
                  <c:v>Satara</c:v>
                </c:pt>
                <c:pt idx="4">
                  <c:v>Lucknow</c:v>
                </c:pt>
                <c:pt idx="5">
                  <c:v>Ranchi</c:v>
                </c:pt>
                <c:pt idx="6">
                  <c:v>Dehra Dun</c:v>
                </c:pt>
                <c:pt idx="7">
                  <c:v>Gujarat</c:v>
                </c:pt>
                <c:pt idx="8">
                  <c:v>Mahad</c:v>
                </c:pt>
              </c:strCache>
            </c:strRef>
          </c:cat>
          <c:val>
            <c:numRef>
              <c:f>Sheet1!$D$61:$D$69</c:f>
              <c:numCache>
                <c:formatCode>General</c:formatCode>
                <c:ptCount val="9"/>
                <c:pt idx="0">
                  <c:v>50</c:v>
                </c:pt>
                <c:pt idx="1">
                  <c:v>40</c:v>
                </c:pt>
                <c:pt idx="2">
                  <c:v>35</c:v>
                </c:pt>
                <c:pt idx="3">
                  <c:v>60</c:v>
                </c:pt>
                <c:pt idx="4">
                  <c:v>45</c:v>
                </c:pt>
                <c:pt idx="5">
                  <c:v>38</c:v>
                </c:pt>
                <c:pt idx="6">
                  <c:v>70</c:v>
                </c:pt>
                <c:pt idx="7">
                  <c:v>50</c:v>
                </c:pt>
                <c:pt idx="8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A7-4BBE-AD32-76C981368821}"/>
            </c:ext>
          </c:extLst>
        </c:ser>
        <c:ser>
          <c:idx val="1"/>
          <c:order val="1"/>
          <c:tx>
            <c:strRef>
              <c:f>Sheet1!$E$60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Sheet1!$B$61:$C$69</c15:sqref>
                  </c15:fullRef>
                  <c15:levelRef>
                    <c15:sqref>Sheet1!$B$61:$B$69</c15:sqref>
                  </c15:levelRef>
                </c:ext>
              </c:extLst>
              <c:f>Sheet1!$B$61:$B$69</c:f>
              <c:strCache>
                <c:ptCount val="9"/>
                <c:pt idx="0">
                  <c:v>Mumbai</c:v>
                </c:pt>
                <c:pt idx="1">
                  <c:v>Delhi</c:v>
                </c:pt>
                <c:pt idx="2">
                  <c:v>Pune</c:v>
                </c:pt>
                <c:pt idx="3">
                  <c:v>Satara</c:v>
                </c:pt>
                <c:pt idx="4">
                  <c:v>Lucknow</c:v>
                </c:pt>
                <c:pt idx="5">
                  <c:v>Ranchi</c:v>
                </c:pt>
                <c:pt idx="6">
                  <c:v>Dehra Dun</c:v>
                </c:pt>
                <c:pt idx="7">
                  <c:v>Gujarat</c:v>
                </c:pt>
                <c:pt idx="8">
                  <c:v>Mahad</c:v>
                </c:pt>
              </c:strCache>
            </c:strRef>
          </c:cat>
          <c:val>
            <c:numRef>
              <c:f>Sheet1!$E$61:$E$69</c:f>
              <c:numCache>
                <c:formatCode>General</c:formatCode>
                <c:ptCount val="9"/>
                <c:pt idx="0">
                  <c:v>2500000</c:v>
                </c:pt>
                <c:pt idx="1">
                  <c:v>2000000</c:v>
                </c:pt>
                <c:pt idx="2">
                  <c:v>1750000</c:v>
                </c:pt>
                <c:pt idx="3">
                  <c:v>3000000</c:v>
                </c:pt>
                <c:pt idx="4">
                  <c:v>2250000</c:v>
                </c:pt>
                <c:pt idx="5">
                  <c:v>1900000</c:v>
                </c:pt>
                <c:pt idx="6">
                  <c:v>3500000</c:v>
                </c:pt>
                <c:pt idx="7">
                  <c:v>2500000</c:v>
                </c:pt>
                <c:pt idx="8">
                  <c:v>2100000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7A7-4BBE-AD32-76C981368821}"/>
            </c:ext>
          </c:extLst>
        </c:ser>
        <c:ser>
          <c:idx val="2"/>
          <c:order val="2"/>
          <c:tx>
            <c:strRef>
              <c:f>Sheet1!$F$60</c:f>
              <c:strCache>
                <c:ptCount val="1"/>
                <c:pt idx="0">
                  <c:v>Cost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Sheet1!$B$61:$C$69</c15:sqref>
                  </c15:fullRef>
                  <c15:levelRef>
                    <c15:sqref>Sheet1!$B$61:$B$69</c15:sqref>
                  </c15:levelRef>
                </c:ext>
              </c:extLst>
              <c:f>Sheet1!$B$61:$B$69</c:f>
              <c:strCache>
                <c:ptCount val="9"/>
                <c:pt idx="0">
                  <c:v>Mumbai</c:v>
                </c:pt>
                <c:pt idx="1">
                  <c:v>Delhi</c:v>
                </c:pt>
                <c:pt idx="2">
                  <c:v>Pune</c:v>
                </c:pt>
                <c:pt idx="3">
                  <c:v>Satara</c:v>
                </c:pt>
                <c:pt idx="4">
                  <c:v>Lucknow</c:v>
                </c:pt>
                <c:pt idx="5">
                  <c:v>Ranchi</c:v>
                </c:pt>
                <c:pt idx="6">
                  <c:v>Dehra Dun</c:v>
                </c:pt>
                <c:pt idx="7">
                  <c:v>Gujarat</c:v>
                </c:pt>
                <c:pt idx="8">
                  <c:v>Mahad</c:v>
                </c:pt>
              </c:strCache>
            </c:strRef>
          </c:cat>
          <c:val>
            <c:numRef>
              <c:f>Sheet1!$F$61:$F$69</c:f>
              <c:numCache>
                <c:formatCode>General</c:formatCode>
                <c:ptCount val="9"/>
                <c:pt idx="0">
                  <c:v>2000000</c:v>
                </c:pt>
                <c:pt idx="1">
                  <c:v>1600000</c:v>
                </c:pt>
                <c:pt idx="2">
                  <c:v>1400000</c:v>
                </c:pt>
                <c:pt idx="3">
                  <c:v>2400000</c:v>
                </c:pt>
                <c:pt idx="4">
                  <c:v>1800000</c:v>
                </c:pt>
                <c:pt idx="5">
                  <c:v>1500000</c:v>
                </c:pt>
                <c:pt idx="6">
                  <c:v>2800000</c:v>
                </c:pt>
                <c:pt idx="7">
                  <c:v>2000000</c:v>
                </c:pt>
                <c:pt idx="8">
                  <c:v>1650000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7A7-4BBE-AD32-76C981368821}"/>
            </c:ext>
          </c:extLst>
        </c:ser>
        <c:ser>
          <c:idx val="3"/>
          <c:order val="3"/>
          <c:tx>
            <c:strRef>
              <c:f>Sheet1!$G$60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Sheet1!$B$61:$C$69</c15:sqref>
                  </c15:fullRef>
                  <c15:levelRef>
                    <c15:sqref>Sheet1!$B$61:$B$69</c15:sqref>
                  </c15:levelRef>
                </c:ext>
              </c:extLst>
              <c:f>Sheet1!$B$61:$B$69</c:f>
              <c:strCache>
                <c:ptCount val="9"/>
                <c:pt idx="0">
                  <c:v>Mumbai</c:v>
                </c:pt>
                <c:pt idx="1">
                  <c:v>Delhi</c:v>
                </c:pt>
                <c:pt idx="2">
                  <c:v>Pune</c:v>
                </c:pt>
                <c:pt idx="3">
                  <c:v>Satara</c:v>
                </c:pt>
                <c:pt idx="4">
                  <c:v>Lucknow</c:v>
                </c:pt>
                <c:pt idx="5">
                  <c:v>Ranchi</c:v>
                </c:pt>
                <c:pt idx="6">
                  <c:v>Dehra Dun</c:v>
                </c:pt>
                <c:pt idx="7">
                  <c:v>Gujarat</c:v>
                </c:pt>
                <c:pt idx="8">
                  <c:v>Mahad</c:v>
                </c:pt>
              </c:strCache>
            </c:strRef>
          </c:cat>
          <c:val>
            <c:numRef>
              <c:f>Sheet1!$G$61:$G$69</c:f>
              <c:numCache>
                <c:formatCode>General</c:formatCode>
                <c:ptCount val="9"/>
                <c:pt idx="0">
                  <c:v>500000</c:v>
                </c:pt>
                <c:pt idx="1">
                  <c:v>400000</c:v>
                </c:pt>
                <c:pt idx="2">
                  <c:v>350000</c:v>
                </c:pt>
                <c:pt idx="3">
                  <c:v>600000</c:v>
                </c:pt>
                <c:pt idx="4">
                  <c:v>450000</c:v>
                </c:pt>
                <c:pt idx="5">
                  <c:v>400000</c:v>
                </c:pt>
                <c:pt idx="6">
                  <c:v>700000</c:v>
                </c:pt>
                <c:pt idx="7">
                  <c:v>500000</c:v>
                </c:pt>
                <c:pt idx="8">
                  <c:v>450000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7A7-4BBE-AD32-76C981368821}"/>
            </c:ext>
          </c:extLst>
        </c:ser>
        <c:ser>
          <c:idx val="4"/>
          <c:order val="4"/>
          <c:tx>
            <c:strRef>
              <c:f>Sheet1!$H$60</c:f>
              <c:strCache>
                <c:ptCount val="1"/>
                <c:pt idx="0">
                  <c:v>Target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Sheet1!$B$61:$C$69</c15:sqref>
                  </c15:fullRef>
                  <c15:levelRef>
                    <c15:sqref>Sheet1!$B$61:$B$69</c15:sqref>
                  </c15:levelRef>
                </c:ext>
              </c:extLst>
              <c:f>Sheet1!$B$61:$B$69</c:f>
              <c:strCache>
                <c:ptCount val="9"/>
                <c:pt idx="0">
                  <c:v>Mumbai</c:v>
                </c:pt>
                <c:pt idx="1">
                  <c:v>Delhi</c:v>
                </c:pt>
                <c:pt idx="2">
                  <c:v>Pune</c:v>
                </c:pt>
                <c:pt idx="3">
                  <c:v>Satara</c:v>
                </c:pt>
                <c:pt idx="4">
                  <c:v>Lucknow</c:v>
                </c:pt>
                <c:pt idx="5">
                  <c:v>Ranchi</c:v>
                </c:pt>
                <c:pt idx="6">
                  <c:v>Dehra Dun</c:v>
                </c:pt>
                <c:pt idx="7">
                  <c:v>Gujarat</c:v>
                </c:pt>
                <c:pt idx="8">
                  <c:v>Mahad</c:v>
                </c:pt>
              </c:strCache>
            </c:strRef>
          </c:cat>
          <c:val>
            <c:numRef>
              <c:f>Sheet1!$H$61:$H$69</c:f>
              <c:numCache>
                <c:formatCode>General</c:formatCode>
                <c:ptCount val="9"/>
                <c:pt idx="0">
                  <c:v>2300000</c:v>
                </c:pt>
                <c:pt idx="1">
                  <c:v>1900000</c:v>
                </c:pt>
                <c:pt idx="2">
                  <c:v>1600000</c:v>
                </c:pt>
                <c:pt idx="3">
                  <c:v>2700000</c:v>
                </c:pt>
                <c:pt idx="4">
                  <c:v>2100000</c:v>
                </c:pt>
                <c:pt idx="5">
                  <c:v>1750000</c:v>
                </c:pt>
                <c:pt idx="6">
                  <c:v>3200000</c:v>
                </c:pt>
                <c:pt idx="7">
                  <c:v>2300000</c:v>
                </c:pt>
                <c:pt idx="8">
                  <c:v>1900000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7A7-4BBE-AD32-76C9813688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81612016"/>
        <c:axId val="481614512"/>
      </c:barChart>
      <c:catAx>
        <c:axId val="481612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1614512"/>
        <c:crosses val="autoZero"/>
        <c:auto val="1"/>
        <c:lblAlgn val="ctr"/>
        <c:lblOffset val="100"/>
        <c:noMultiLvlLbl val="0"/>
      </c:catAx>
      <c:valAx>
        <c:axId val="481614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1612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_xlchart.22</cx:f>
      </cx:strDim>
      <cx:numDim type="val">
        <cx:f>_xlchart.25</cx:f>
      </cx:numDim>
    </cx:data>
    <cx:data id="1">
      <cx:strDim type="cat">
        <cx:f>_xlchart.23</cx:f>
      </cx:strDim>
      <cx:numDim type="val">
        <cx:f>_xlchart.27</cx:f>
      </cx:numDim>
    </cx:data>
    <cx:data id="2">
      <cx:strDim type="cat">
        <cx:f>_xlchart.23</cx:f>
      </cx:strDim>
      <cx:numDim type="val">
        <cx:f>_xlchart.29</cx:f>
      </cx:numDim>
    </cx:data>
    <cx:data id="3">
      <cx:strDim type="cat">
        <cx:f>_xlchart.23</cx:f>
      </cx:strDim>
      <cx:numDim type="val">
        <cx:f>_xlchart.31</cx:f>
      </cx:numDim>
    </cx:data>
    <cx:data id="4">
      <cx:strDim type="cat">
        <cx:f>_xlchart.23</cx:f>
      </cx:strDim>
      <cx:numDim type="val">
        <cx:f>_xlchart.33</cx:f>
      </cx:numDim>
    </cx:data>
  </cx:chartData>
  <cx:chart>
    <cx:title pos="t" align="ctr" overlay="0"/>
    <cx:plotArea>
      <cx:plotAreaRegion>
        <cx:series layoutId="clusteredColumn" uniqueId="{BB171A07-2209-4D3C-B65F-CF9A2056B278}" formatIdx="0">
          <cx:tx>
            <cx:txData>
              <cx:f>_xlchart.24</cx:f>
              <cx:v>Units_Sold</cx:v>
            </cx:txData>
          </cx:tx>
          <cx:dataId val="0"/>
          <cx:layoutPr>
            <cx:aggregation/>
          </cx:layoutPr>
          <cx:axisId val="1"/>
        </cx:series>
        <cx:series layoutId="clusteredColumn" hidden="1" uniqueId="{7B032572-E861-4E56-BBE9-DD81F8C9289B}" formatIdx="2">
          <cx:tx>
            <cx:txData>
              <cx:f>_xlchart.26</cx:f>
              <cx:v>Revenue</cx:v>
            </cx:txData>
          </cx:tx>
          <cx:dataId val="1"/>
          <cx:layoutPr>
            <cx:aggregation/>
          </cx:layoutPr>
          <cx:axisId val="1"/>
        </cx:series>
        <cx:series layoutId="clusteredColumn" hidden="1" uniqueId="{05037C5C-737B-449D-8865-7B4AAF05E835}" formatIdx="4">
          <cx:tx>
            <cx:txData>
              <cx:f>_xlchart.28</cx:f>
              <cx:v>Cost</cx:v>
            </cx:txData>
          </cx:tx>
          <cx:dataId val="2"/>
          <cx:layoutPr>
            <cx:aggregation/>
          </cx:layoutPr>
          <cx:axisId val="1"/>
        </cx:series>
        <cx:series layoutId="clusteredColumn" hidden="1" uniqueId="{B34FFE51-C8A8-4248-A67B-CBC357035B1C}" formatIdx="6">
          <cx:tx>
            <cx:txData>
              <cx:f>_xlchart.30</cx:f>
              <cx:v>Profit</cx:v>
            </cx:txData>
          </cx:tx>
          <cx:dataId val="3"/>
          <cx:layoutPr>
            <cx:aggregation/>
          </cx:layoutPr>
          <cx:axisId val="1"/>
        </cx:series>
        <cx:series layoutId="clusteredColumn" hidden="1" uniqueId="{4FB5E9F1-64DC-4B5D-A7A9-10DADDDA8851}" formatIdx="8">
          <cx:tx>
            <cx:txData>
              <cx:f>_xlchart.32</cx:f>
              <cx:v>Target</cx:v>
            </cx:txData>
          </cx:tx>
          <cx:dataId val="4"/>
          <cx:layoutPr>
            <cx:aggregation/>
          </cx:layoutPr>
          <cx:axisId val="1"/>
        </cx:series>
        <cx:series layoutId="paretoLine" ownerIdx="0" uniqueId="{12C85B7A-07B5-4A63-B118-61004B9324B5}" formatIdx="1">
          <cx:axisId val="2"/>
        </cx:series>
        <cx:series layoutId="paretoLine" ownerIdx="1" uniqueId="{D33EA2E1-9F65-4097-8CD7-D1C4B8497AA8}" formatIdx="3">
          <cx:axisId val="2"/>
        </cx:series>
        <cx:series layoutId="paretoLine" ownerIdx="2" uniqueId="{5109483E-5558-4826-AC7E-323B0C105C33}" formatIdx="5">
          <cx:axisId val="2"/>
        </cx:series>
        <cx:series layoutId="paretoLine" ownerIdx="3" uniqueId="{1D60D19F-E15F-466A-93C5-962416CE85D4}" formatIdx="7">
          <cx:axisId val="2"/>
        </cx:series>
        <cx:series layoutId="paretoLine" ownerIdx="4" uniqueId="{87B58016-528B-4CBE-B006-49A5FA9FF1A1}" formatIdx="9"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  <cx:clrMapOvr bg1="lt1" tx1="dk1" bg2="lt2" tx2="dk2" accent1="accent1" accent2="accent2" accent3="accent3" accent4="accent4" accent5="accent5" accent6="accent6" hlink="hlink" folHlink="folHlink"/>
</cx:chartSpace>
</file>

<file path=xl/charts/chart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_xlchart.0</cx:f>
      </cx:strDim>
      <cx:numDim type="val">
        <cx:f>_xlchart.2</cx:f>
      </cx:numDim>
    </cx:data>
    <cx:data id="1">
      <cx:strDim type="cat">
        <cx:f>_xlchart.0</cx:f>
      </cx:strDim>
      <cx:numDim type="val">
        <cx:f>_xlchart.4</cx:f>
      </cx:numDim>
    </cx:data>
    <cx:data id="2">
      <cx:strDim type="cat">
        <cx:f>_xlchart.0</cx:f>
      </cx:strDim>
      <cx:numDim type="val">
        <cx:f>_xlchart.6</cx:f>
      </cx:numDim>
    </cx:data>
    <cx:data id="3">
      <cx:strDim type="cat">
        <cx:f>_xlchart.0</cx:f>
      </cx:strDim>
      <cx:numDim type="val">
        <cx:f>_xlchart.8</cx:f>
      </cx:numDim>
    </cx:data>
    <cx:data id="4">
      <cx:strDim type="cat">
        <cx:f>_xlchart.0</cx:f>
      </cx:strDim>
      <cx:numDim type="val">
        <cx:f>_xlchart.10</cx:f>
      </cx:numDim>
    </cx:data>
  </cx:chartData>
  <cx:chart>
    <cx:title pos="t" align="ctr" overlay="0"/>
    <cx:plotArea>
      <cx:plotAreaRegion>
        <cx:series layoutId="clusteredColumn" uniqueId="{A1AB1842-2FFF-447C-80AD-3A6AFDE8A34E}" formatIdx="0">
          <cx:tx>
            <cx:txData>
              <cx:f>_xlchart.1</cx:f>
              <cx:v>Units_Sold</cx:v>
            </cx:txData>
          </cx:tx>
          <cx:dataId val="0"/>
          <cx:layoutPr>
            <cx:aggregation/>
          </cx:layoutPr>
          <cx:axisId val="1"/>
        </cx:series>
        <cx:series layoutId="clusteredColumn" hidden="1" uniqueId="{7E07D556-E0B5-4869-A28D-475E8234EC53}" formatIdx="2">
          <cx:tx>
            <cx:txData>
              <cx:f>_xlchart.3</cx:f>
              <cx:v>Revenue</cx:v>
            </cx:txData>
          </cx:tx>
          <cx:dataId val="1"/>
          <cx:layoutPr>
            <cx:aggregation/>
          </cx:layoutPr>
          <cx:axisId val="1"/>
        </cx:series>
        <cx:series layoutId="clusteredColumn" hidden="1" uniqueId="{BCB5CD3D-699B-4CF7-9D37-BD29673DB689}" formatIdx="4">
          <cx:tx>
            <cx:txData>
              <cx:f>_xlchart.5</cx:f>
              <cx:v>Cost</cx:v>
            </cx:txData>
          </cx:tx>
          <cx:dataId val="2"/>
          <cx:layoutPr>
            <cx:aggregation/>
          </cx:layoutPr>
          <cx:axisId val="1"/>
        </cx:series>
        <cx:series layoutId="clusteredColumn" hidden="1" uniqueId="{74543CF0-D002-4C94-8B51-EE7D4025E863}" formatIdx="6">
          <cx:tx>
            <cx:txData>
              <cx:f>_xlchart.7</cx:f>
              <cx:v>Profit</cx:v>
            </cx:txData>
          </cx:tx>
          <cx:dataId val="3"/>
          <cx:layoutPr>
            <cx:aggregation/>
          </cx:layoutPr>
          <cx:axisId val="1"/>
        </cx:series>
        <cx:series layoutId="clusteredColumn" hidden="1" uniqueId="{F21EDF44-3B0F-408F-A39F-AE8EFAAE7274}" formatIdx="8">
          <cx:tx>
            <cx:txData>
              <cx:f>_xlchart.9</cx:f>
              <cx:v>Target</cx:v>
            </cx:txData>
          </cx:tx>
          <cx:dataId val="4"/>
          <cx:layoutPr>
            <cx:aggregation/>
          </cx:layoutPr>
          <cx:axisId val="1"/>
        </cx:series>
        <cx:series layoutId="paretoLine" ownerIdx="0" uniqueId="{820A3767-00BB-4695-8F6E-D77E0B67657A}" formatIdx="1">
          <cx:axisId val="2"/>
        </cx:series>
        <cx:series layoutId="paretoLine" ownerIdx="1" uniqueId="{E19EAE2B-3D20-4D1E-A3B3-3A5D0944BFE9}" formatIdx="3">
          <cx:axisId val="2"/>
        </cx:series>
        <cx:series layoutId="paretoLine" ownerIdx="2" uniqueId="{FCB16376-EB54-46E5-BE4A-7E2F6B74A76C}" formatIdx="5">
          <cx:axisId val="2"/>
        </cx:series>
        <cx:series layoutId="paretoLine" ownerIdx="3" uniqueId="{648F24E9-1212-43E6-BA0A-9EA2C780EFD3}" formatIdx="7">
          <cx:axisId val="2"/>
        </cx:series>
        <cx:series layoutId="paretoLine" ownerIdx="4" uniqueId="{D86DF5E2-9915-4A6F-B4F1-CCBB27120422}" formatIdx="9"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307975</xdr:colOff>
      <xdr:row>59</xdr:row>
      <xdr:rowOff>123825</xdr:rowOff>
    </xdr:from>
    <xdr:to>
      <xdr:col>14</xdr:col>
      <xdr:colOff>400050</xdr:colOff>
      <xdr:row>68</xdr:row>
      <xdr:rowOff>63500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600075</xdr:colOff>
      <xdr:row>69</xdr:row>
      <xdr:rowOff>9525</xdr:rowOff>
    </xdr:from>
    <xdr:to>
      <xdr:col>15</xdr:col>
      <xdr:colOff>371475</xdr:colOff>
      <xdr:row>83</xdr:row>
      <xdr:rowOff>161925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41275</xdr:colOff>
      <xdr:row>71</xdr:row>
      <xdr:rowOff>15875</xdr:rowOff>
    </xdr:from>
    <xdr:to>
      <xdr:col>7</xdr:col>
      <xdr:colOff>295275</xdr:colOff>
      <xdr:row>85</xdr:row>
      <xdr:rowOff>180975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600075</xdr:colOff>
      <xdr:row>58</xdr:row>
      <xdr:rowOff>187325</xdr:rowOff>
    </xdr:from>
    <xdr:to>
      <xdr:col>22</xdr:col>
      <xdr:colOff>295275</xdr:colOff>
      <xdr:row>69</xdr:row>
      <xdr:rowOff>98425</xdr:rowOff>
    </xdr:to>
    <mc:AlternateContent xmlns:mc="http://schemas.openxmlformats.org/markup-compatibility/2006">
      <mc:Choice xmlns:cx="http://schemas.microsoft.com/office/drawing/2014/chartex" Requires="cx">
        <xdr:graphicFrame macro="">
          <xdr:nvGraphicFramePr>
            <xdr:cNvPr id="6" name="Chart 5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:chart xmlns:c="http://schemas.openxmlformats.org/drawingml/2006/chart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15</xdr:col>
      <xdr:colOff>333375</xdr:colOff>
      <xdr:row>69</xdr:row>
      <xdr:rowOff>73025</xdr:rowOff>
    </xdr:from>
    <xdr:to>
      <xdr:col>23</xdr:col>
      <xdr:colOff>28575</xdr:colOff>
      <xdr:row>84</xdr:row>
      <xdr:rowOff>41275</xdr:rowOff>
    </xdr:to>
    <mc:AlternateContent xmlns:mc="http://schemas.openxmlformats.org/markup-compatibility/2006">
      <mc:Choice xmlns:cx="http://schemas.microsoft.com/office/drawing/2014/chartex" Requires="cx">
        <xdr:graphicFrame macro="">
          <xdr:nvGraphicFramePr>
            <xdr:cNvPr id="7" name="Chart 6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:chart xmlns:c="http://schemas.openxmlformats.org/drawingml/2006/chart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hp" refreshedDate="46211.618743287036" createdVersion="6" refreshedVersion="6" minRefreshableVersion="3" recordCount="5000">
  <cacheSource type="worksheet">
    <worksheetSource ref="A1:N5001" sheet="Pivot Table Sheet"/>
  </cacheSource>
  <cacheFields count="14">
    <cacheField name="Order_ID" numFmtId="0">
      <sharedItems containsSemiMixedTypes="0" containsString="0" containsNumber="1" containsInteger="1" minValue="10001" maxValue="15000"/>
    </cacheField>
    <cacheField name="Order_Date" numFmtId="164">
      <sharedItems containsSemiMixedTypes="0" containsNonDate="0" containsDate="1" containsString="0" minDate="2024-01-01T00:00:00" maxDate="2026-01-01T00:00:00"/>
    </cacheField>
    <cacheField name="City" numFmtId="0">
      <sharedItems count="5">
        <s v="Delhi"/>
        <s v="Pune"/>
        <s v="Bangalore"/>
        <s v="Chennai"/>
        <s v="Mumbai"/>
      </sharedItems>
    </cacheField>
    <cacheField name="Product" numFmtId="0">
      <sharedItems count="5">
        <s v="Laptop"/>
        <s v="Mobile"/>
        <s v="Tablet"/>
        <s v="Monitor"/>
        <s v="Keyboard"/>
      </sharedItems>
    </cacheField>
    <cacheField name="Department" numFmtId="0">
      <sharedItems count="3">
        <s v="Corporate"/>
        <s v="Online"/>
        <s v="Retail"/>
      </sharedItems>
    </cacheField>
    <cacheField name="Payment_Mode" numFmtId="0">
      <sharedItems count="4">
        <s v="Net Banking"/>
        <s v="UPI"/>
        <s v="Card"/>
        <s v="Cash"/>
      </sharedItems>
    </cacheField>
    <cacheField name="Quantity" numFmtId="0">
      <sharedItems containsSemiMixedTypes="0" containsString="0" containsNumber="1" containsInteger="1" minValue="1" maxValue="9"/>
    </cacheField>
    <cacheField name="Unit_Price" numFmtId="0">
      <sharedItems containsSemiMixedTypes="0" containsString="0" containsNumber="1" containsInteger="1" minValue="5015" maxValue="79993"/>
    </cacheField>
    <cacheField name="Total_Sales" numFmtId="0">
      <sharedItems containsSemiMixedTypes="0" containsString="0" containsNumber="1" containsInteger="1" minValue="5105" maxValue="718578" count="4957">
        <n v="668205"/>
        <n v="137812"/>
        <n v="373725"/>
        <n v="92012"/>
        <n v="44121"/>
        <n v="146895"/>
        <n v="331662"/>
        <n v="77442"/>
        <n v="119512"/>
        <n v="66579"/>
        <n v="233652"/>
        <n v="568888"/>
        <n v="359512"/>
        <n v="82992"/>
        <n v="443274"/>
        <n v="424035"/>
        <n v="469161"/>
        <n v="129968"/>
        <n v="94990"/>
        <n v="137241"/>
        <n v="637520"/>
        <n v="588402"/>
        <n v="79665"/>
        <n v="284607"/>
        <n v="338472"/>
        <n v="278330"/>
        <n v="18201"/>
        <n v="155855"/>
        <n v="697005"/>
        <n v="158496"/>
        <n v="173373"/>
        <n v="155625"/>
        <n v="410963"/>
        <n v="368480"/>
        <n v="145644"/>
        <n v="115368"/>
        <n v="81168"/>
        <n v="230841"/>
        <n v="292816"/>
        <n v="77740"/>
        <n v="167293"/>
        <n v="447528"/>
        <n v="108820"/>
        <n v="565668"/>
        <n v="217770"/>
        <n v="34026"/>
        <n v="151092"/>
        <n v="365491"/>
        <n v="290458"/>
        <n v="5678"/>
        <n v="141408"/>
        <n v="304782"/>
        <n v="112784"/>
        <n v="40377"/>
        <n v="131682"/>
        <n v="603536"/>
        <n v="103184"/>
        <n v="442816"/>
        <n v="52207"/>
        <n v="311072"/>
        <n v="615040"/>
        <n v="64732"/>
        <n v="142524"/>
        <n v="157094"/>
        <n v="491488"/>
        <n v="91840"/>
        <n v="70744"/>
        <n v="340228"/>
        <n v="92136"/>
        <n v="323141"/>
        <n v="32793"/>
        <n v="59928"/>
        <n v="450674"/>
        <n v="179088"/>
        <n v="12011"/>
        <n v="396144"/>
        <n v="235431"/>
        <n v="78896"/>
        <n v="43118"/>
        <n v="344245"/>
        <n v="452727"/>
        <n v="83515"/>
        <n v="60288"/>
        <n v="585423"/>
        <n v="638019"/>
        <n v="53728"/>
        <n v="82800"/>
        <n v="494896"/>
        <n v="211372"/>
        <n v="258090"/>
        <n v="387948"/>
        <n v="35112"/>
        <n v="122274"/>
        <n v="476784"/>
        <n v="423180"/>
        <n v="40719"/>
        <n v="219320"/>
        <n v="215004"/>
        <n v="113256"/>
        <n v="286435"/>
        <n v="23776"/>
        <n v="54200"/>
        <n v="348684"/>
        <n v="133326"/>
        <n v="48489"/>
        <n v="201044"/>
        <n v="295668"/>
        <n v="77204"/>
        <n v="50268"/>
        <n v="74720"/>
        <n v="699426"/>
        <n v="227112"/>
        <n v="75308"/>
        <n v="302108"/>
        <n v="78876"/>
        <n v="75826"/>
        <n v="562950"/>
        <n v="635076"/>
        <n v="500248"/>
        <n v="77604"/>
        <n v="212196"/>
        <n v="120560"/>
        <n v="467232"/>
        <n v="49889"/>
        <n v="270944"/>
        <n v="72273"/>
        <n v="89598"/>
        <n v="20877"/>
        <n v="79162"/>
        <n v="122633"/>
        <n v="235056"/>
        <n v="13351"/>
        <n v="41296"/>
        <n v="562932"/>
        <n v="474761"/>
        <n v="346360"/>
        <n v="352136"/>
        <n v="354024"/>
        <n v="717417"/>
        <n v="53848"/>
        <n v="318912"/>
        <n v="139944"/>
        <n v="51685"/>
        <n v="341405"/>
        <n v="84140"/>
        <n v="371590"/>
        <n v="49768"/>
        <n v="28148"/>
        <n v="159535"/>
        <n v="40872"/>
        <n v="78425"/>
        <n v="290304"/>
        <n v="30910"/>
        <n v="32388"/>
        <n v="106488"/>
        <n v="111938"/>
        <n v="546742"/>
        <n v="26487"/>
        <n v="11234"/>
        <n v="56425"/>
        <n v="76448"/>
        <n v="639324"/>
        <n v="248904"/>
        <n v="305946"/>
        <n v="67439"/>
        <n v="56467"/>
        <n v="28014"/>
        <n v="302036"/>
        <n v="677790"/>
        <n v="562032"/>
        <n v="364819"/>
        <n v="66594"/>
        <n v="165654"/>
        <n v="462510"/>
        <n v="382356"/>
        <n v="237940"/>
        <n v="109812"/>
        <n v="364560"/>
        <n v="32936"/>
        <n v="11494"/>
        <n v="323125"/>
        <n v="19239"/>
        <n v="75034"/>
        <n v="379015"/>
        <n v="301615"/>
        <n v="122822"/>
        <n v="58958"/>
        <n v="248622"/>
        <n v="117734"/>
        <n v="73285"/>
        <n v="89036"/>
        <n v="168225"/>
        <n v="135348"/>
        <n v="634160"/>
        <n v="592416"/>
        <n v="120192"/>
        <n v="135003"/>
        <n v="124016"/>
        <n v="18170"/>
        <n v="205578"/>
        <n v="155335"/>
        <n v="589664"/>
        <n v="169866"/>
        <n v="164780"/>
        <n v="182264"/>
        <n v="101888"/>
        <n v="479322"/>
        <n v="145425"/>
        <n v="346577"/>
        <n v="82854"/>
        <n v="48696"/>
        <n v="244228"/>
        <n v="123243"/>
        <n v="537664"/>
        <n v="119416"/>
        <n v="207288"/>
        <n v="59679"/>
        <n v="34272"/>
        <n v="160436"/>
        <n v="167010"/>
        <n v="165066"/>
        <n v="21076"/>
        <n v="98474"/>
        <n v="116264"/>
        <n v="64650"/>
        <n v="608104"/>
        <n v="43089"/>
        <n v="102608"/>
        <n v="151371"/>
        <n v="85955"/>
        <n v="57495"/>
        <n v="408006"/>
        <n v="90672"/>
        <n v="96334"/>
        <n v="169736"/>
        <n v="449496"/>
        <n v="108420"/>
        <n v="42807"/>
        <n v="477297"/>
        <n v="271908"/>
        <n v="48130"/>
        <n v="379890"/>
        <n v="45767"/>
        <n v="266020"/>
        <n v="29168"/>
        <n v="99295"/>
        <n v="213510"/>
        <n v="35276"/>
        <n v="37680"/>
        <n v="479360"/>
        <n v="57441"/>
        <n v="649485"/>
        <n v="109072"/>
        <n v="73550"/>
        <n v="31546"/>
        <n v="45762"/>
        <n v="599364"/>
        <n v="119520"/>
        <n v="581337"/>
        <n v="30555"/>
        <n v="324947"/>
        <n v="96996"/>
        <n v="446292"/>
        <n v="101096"/>
        <n v="153474"/>
        <n v="58798"/>
        <n v="514215"/>
        <n v="21155"/>
        <n v="220788"/>
        <n v="308790"/>
        <n v="318486"/>
        <n v="247944"/>
        <n v="121912"/>
        <n v="271668"/>
        <n v="367430"/>
        <n v="352152"/>
        <n v="365085"/>
        <n v="99567"/>
        <n v="347830"/>
        <n v="126028"/>
        <n v="63305"/>
        <n v="247134"/>
        <n v="162513"/>
        <n v="201565"/>
        <n v="209940"/>
        <n v="122437"/>
        <n v="130318"/>
        <n v="115230"/>
        <n v="134058"/>
        <n v="78708"/>
        <n v="34512"/>
        <n v="208866"/>
        <n v="271030"/>
        <n v="111125"/>
        <n v="48580"/>
        <n v="14544"/>
        <n v="11141"/>
        <n v="435169"/>
        <n v="148390"/>
        <n v="557879"/>
        <n v="54639"/>
        <n v="132720"/>
        <n v="58266"/>
        <n v="8630"/>
        <n v="70763"/>
        <n v="538767"/>
        <n v="361848"/>
        <n v="149724"/>
        <n v="271148"/>
        <n v="13238"/>
        <n v="218220"/>
        <n v="136026"/>
        <n v="114984"/>
        <n v="98688"/>
        <n v="384643"/>
        <n v="325890"/>
        <n v="30410"/>
        <n v="140094"/>
        <n v="306252"/>
        <n v="366500"/>
        <n v="193476"/>
        <n v="69735"/>
        <n v="148203"/>
        <n v="118791"/>
        <n v="128380"/>
        <n v="396063"/>
        <n v="52711"/>
        <n v="93085"/>
        <n v="33304"/>
        <n v="295460"/>
        <n v="301105"/>
        <n v="228360"/>
        <n v="158682"/>
        <n v="477750"/>
        <n v="55917"/>
        <n v="29685"/>
        <n v="352080"/>
        <n v="130712"/>
        <n v="32220"/>
        <n v="231048"/>
        <n v="104512"/>
        <n v="78736"/>
        <n v="393085"/>
        <n v="29419"/>
        <n v="52216"/>
        <n v="181980"/>
        <n v="172212"/>
        <n v="131028"/>
        <n v="309984"/>
        <n v="141435"/>
        <n v="391242"/>
        <n v="25994"/>
        <n v="177845"/>
        <n v="93008"/>
        <n v="71712"/>
        <n v="471393"/>
        <n v="92232"/>
        <n v="240960"/>
        <n v="148834"/>
        <n v="79420"/>
        <n v="75464"/>
        <n v="108189"/>
        <n v="307872"/>
        <n v="207680"/>
        <n v="35084"/>
        <n v="178812"/>
        <n v="124024"/>
        <n v="179298"/>
        <n v="680121"/>
        <n v="224766"/>
        <n v="52628"/>
        <n v="214968"/>
        <n v="50700"/>
        <n v="93684"/>
        <n v="116255"/>
        <n v="255141"/>
        <n v="433424"/>
        <n v="159320"/>
        <n v="104292"/>
        <n v="136392"/>
        <n v="261800"/>
        <n v="92680"/>
        <n v="53900"/>
        <n v="396725"/>
        <n v="120690"/>
        <n v="463432"/>
        <n v="50513"/>
        <n v="43100"/>
        <n v="132200"/>
        <n v="37947"/>
        <n v="235596"/>
        <n v="579717"/>
        <n v="196728"/>
        <n v="245160"/>
        <n v="537472"/>
        <n v="608504"/>
        <n v="112362"/>
        <n v="30876"/>
        <n v="71696"/>
        <n v="56860"/>
        <n v="392964"/>
        <n v="53009"/>
        <n v="73824"/>
        <n v="36864"/>
        <n v="42302"/>
        <n v="528480"/>
        <n v="429252"/>
        <n v="224308"/>
        <n v="77635"/>
        <n v="44296"/>
        <n v="202265"/>
        <n v="34900"/>
        <n v="458652"/>
        <n v="268149"/>
        <n v="348908"/>
        <n v="168145"/>
        <n v="32775"/>
        <n v="405261"/>
        <n v="401160"/>
        <n v="628047"/>
        <n v="187952"/>
        <n v="120904"/>
        <n v="15153"/>
        <n v="119272"/>
        <n v="53488"/>
        <n v="72615"/>
        <n v="104768"/>
        <n v="474912"/>
        <n v="192348"/>
        <n v="94815"/>
        <n v="67420"/>
        <n v="356260"/>
        <n v="258003"/>
        <n v="225333"/>
        <n v="82548"/>
        <n v="228735"/>
        <n v="64749"/>
        <n v="101437"/>
        <n v="464800"/>
        <n v="105786"/>
        <n v="289638"/>
        <n v="41709"/>
        <n v="125564"/>
        <n v="205545"/>
        <n v="684774"/>
        <n v="65436"/>
        <n v="23167"/>
        <n v="91329"/>
        <n v="166920"/>
        <n v="172740"/>
        <n v="269432"/>
        <n v="138960"/>
        <n v="409640"/>
        <n v="538240"/>
        <n v="167408"/>
        <n v="50021"/>
        <n v="78365"/>
        <n v="429282"/>
        <n v="146430"/>
        <n v="154324"/>
        <n v="190314"/>
        <n v="427600"/>
        <n v="150168"/>
        <n v="63576"/>
        <n v="691308"/>
        <n v="97653"/>
        <n v="309456"/>
        <n v="346555"/>
        <n v="132888"/>
        <n v="76248"/>
        <n v="111924"/>
        <n v="10406"/>
        <n v="25129"/>
        <n v="617200"/>
        <n v="38264"/>
        <n v="107934"/>
        <n v="54214"/>
        <n v="576920"/>
        <n v="333390"/>
        <n v="188649"/>
        <n v="292225"/>
        <n v="75412"/>
        <n v="74661"/>
        <n v="41312"/>
        <n v="485712"/>
        <n v="423360"/>
        <n v="64199"/>
        <n v="186117"/>
        <n v="223000"/>
        <n v="42238"/>
        <n v="203119"/>
        <n v="161340"/>
        <n v="31204"/>
        <n v="24562"/>
        <n v="88284"/>
        <n v="158982"/>
        <n v="33488"/>
        <n v="22453"/>
        <n v="398496"/>
        <n v="77920"/>
        <n v="110985"/>
        <n v="479872"/>
        <n v="48181"/>
        <n v="173208"/>
        <n v="46872"/>
        <n v="80934"/>
        <n v="697941"/>
        <n v="454278"/>
        <n v="229221"/>
        <n v="109070"/>
        <n v="132600"/>
        <n v="46434"/>
        <n v="83934"/>
        <n v="84470"/>
        <n v="227073"/>
        <n v="494800"/>
        <n v="443536"/>
        <n v="313988"/>
        <n v="260847"/>
        <n v="97488"/>
        <n v="12506"/>
        <n v="368208"/>
        <n v="51070"/>
        <n v="215804"/>
        <n v="76746"/>
        <n v="464345"/>
        <n v="309224"/>
        <n v="119144"/>
        <n v="241232"/>
        <n v="501813"/>
        <n v="398322"/>
        <n v="183020"/>
        <n v="37028"/>
        <n v="254506"/>
        <n v="85893"/>
        <n v="32421"/>
        <n v="230376"/>
        <n v="67632"/>
        <n v="58870"/>
        <n v="374100"/>
        <n v="200148"/>
        <n v="177160"/>
        <n v="318570"/>
        <n v="173043"/>
        <n v="47208"/>
        <n v="277110"/>
        <n v="215664"/>
        <n v="163122"/>
        <n v="172638"/>
        <n v="81225"/>
        <n v="118048"/>
        <n v="104535"/>
        <n v="128772"/>
        <n v="260980"/>
        <n v="155280"/>
        <n v="390104"/>
        <n v="516592"/>
        <n v="81900"/>
        <n v="53826"/>
        <n v="187662"/>
        <n v="440790"/>
        <n v="67104"/>
        <n v="172720"/>
        <n v="263136"/>
        <n v="159180"/>
        <n v="101456"/>
        <n v="16788"/>
        <n v="155384"/>
        <n v="78906"/>
        <n v="63030"/>
        <n v="63948"/>
        <n v="182022"/>
        <n v="439254"/>
        <n v="422136"/>
        <n v="464154"/>
        <n v="89288"/>
        <n v="218705"/>
        <n v="420726"/>
        <n v="709362"/>
        <n v="278610"/>
        <n v="65280"/>
        <n v="57418"/>
        <n v="202565"/>
        <n v="148300"/>
        <n v="45834"/>
        <n v="494284"/>
        <n v="308036"/>
        <n v="109354"/>
        <n v="119040"/>
        <n v="363816"/>
        <n v="303328"/>
        <n v="223608"/>
        <n v="638469"/>
        <n v="100152"/>
        <n v="81380"/>
        <n v="43176"/>
        <n v="157320"/>
        <n v="176040"/>
        <n v="94128"/>
        <n v="24857"/>
        <n v="623412"/>
        <n v="25310"/>
        <n v="69984"/>
        <n v="139191"/>
        <n v="388431"/>
        <n v="55762"/>
        <n v="548562"/>
        <n v="128608"/>
        <n v="377986"/>
        <n v="69853"/>
        <n v="192384"/>
        <n v="110434"/>
        <n v="153765"/>
        <n v="508960"/>
        <n v="227787"/>
        <n v="28885"/>
        <n v="640251"/>
        <n v="614648"/>
        <n v="184592"/>
        <n v="96824"/>
        <n v="151255"/>
        <n v="58638"/>
        <n v="20456"/>
        <n v="116140"/>
        <n v="30276"/>
        <n v="285420"/>
        <n v="291025"/>
        <n v="18240"/>
        <n v="515774"/>
        <n v="20930"/>
        <n v="311563"/>
        <n v="73422"/>
        <n v="46755"/>
        <n v="114960"/>
        <n v="24586"/>
        <n v="294168"/>
        <n v="65528"/>
        <n v="117424"/>
        <n v="83822"/>
        <n v="78796"/>
        <n v="133736"/>
        <n v="537021"/>
        <n v="203418"/>
        <n v="45786"/>
        <n v="74760"/>
        <n v="326788"/>
        <n v="141956"/>
        <n v="189525"/>
        <n v="117204"/>
        <n v="155772"/>
        <n v="128667"/>
        <n v="231910"/>
        <n v="141660"/>
        <n v="54128"/>
        <n v="5388"/>
        <n v="99224"/>
        <n v="277332"/>
        <n v="59112"/>
        <n v="95389"/>
        <n v="574353"/>
        <n v="306432"/>
        <n v="315585"/>
        <n v="39627"/>
        <n v="175446"/>
        <n v="259182"/>
        <n v="23076"/>
        <n v="524384"/>
        <n v="190446"/>
        <n v="115395"/>
        <n v="132846"/>
        <n v="390166"/>
        <n v="159345"/>
        <n v="31907"/>
        <n v="176496"/>
        <n v="536508"/>
        <n v="628008"/>
        <n v="30496"/>
        <n v="415904"/>
        <n v="99688"/>
        <n v="63996"/>
        <n v="142568"/>
        <n v="74610"/>
        <n v="128870"/>
        <n v="217197"/>
        <n v="113436"/>
        <n v="398310"/>
        <n v="291600"/>
        <n v="195865"/>
        <n v="16179"/>
        <n v="200658"/>
        <n v="364455"/>
        <n v="34461"/>
        <n v="39520"/>
        <n v="307308"/>
        <n v="172015"/>
        <n v="511259"/>
        <n v="47285"/>
        <n v="370422"/>
        <n v="610816"/>
        <n v="75232"/>
        <n v="579408"/>
        <n v="239728"/>
        <n v="63440"/>
        <n v="133452"/>
        <n v="583695"/>
        <n v="227871"/>
        <n v="74282"/>
        <n v="499536"/>
        <n v="117895"/>
        <n v="108084"/>
        <n v="480987"/>
        <n v="375688"/>
        <n v="184503"/>
        <n v="319570"/>
        <n v="165588"/>
        <n v="78302"/>
        <n v="383415"/>
        <n v="365246"/>
        <n v="6063"/>
        <n v="317464"/>
        <n v="86004"/>
        <n v="271143"/>
        <n v="328344"/>
        <n v="143024"/>
        <n v="27207"/>
        <n v="103020"/>
        <n v="137284"/>
        <n v="162306"/>
        <n v="309190"/>
        <n v="250505"/>
        <n v="425286"/>
        <n v="256260"/>
        <n v="57452"/>
        <n v="70160"/>
        <n v="442089"/>
        <n v="157920"/>
        <n v="152910"/>
        <n v="314336"/>
        <n v="297954"/>
        <n v="259959"/>
        <n v="82292"/>
        <n v="174672"/>
        <n v="116432"/>
        <n v="58797"/>
        <n v="144120"/>
        <n v="29202"/>
        <n v="323085"/>
        <n v="436736"/>
        <n v="231486"/>
        <n v="135668"/>
        <n v="46572"/>
        <n v="73076"/>
        <n v="140148"/>
        <n v="36421"/>
        <n v="333790"/>
        <n v="489880"/>
        <n v="282128"/>
        <n v="217376"/>
        <n v="315336"/>
        <n v="398856"/>
        <n v="92466"/>
        <n v="38475"/>
        <n v="349936"/>
        <n v="522382"/>
        <n v="316505"/>
        <n v="113360"/>
        <n v="32151"/>
        <n v="144981"/>
        <n v="28504"/>
        <n v="322512"/>
        <n v="594176"/>
        <n v="261840"/>
        <n v="330550"/>
        <n v="26688"/>
        <n v="70937"/>
        <n v="20322"/>
        <n v="97146"/>
        <n v="168324"/>
        <n v="78660"/>
        <n v="199875"/>
        <n v="544536"/>
        <n v="148782"/>
        <n v="501048"/>
        <n v="108478"/>
        <n v="245192"/>
        <n v="7967"/>
        <n v="210090"/>
        <n v="115372"/>
        <n v="29795"/>
        <n v="63826"/>
        <n v="147548"/>
        <n v="67565"/>
        <n v="659466"/>
        <n v="452832"/>
        <n v="158416"/>
        <n v="216312"/>
        <n v="561832"/>
        <n v="155445"/>
        <n v="9720"/>
        <n v="182900"/>
        <n v="244615"/>
        <n v="395400"/>
        <n v="221465"/>
        <n v="627768"/>
        <n v="280232"/>
        <n v="267656"/>
        <n v="284265"/>
        <n v="63271"/>
        <n v="311865"/>
        <n v="144490"/>
        <n v="142245"/>
        <n v="93896"/>
        <n v="362772"/>
        <n v="211482"/>
        <n v="559575"/>
        <n v="272472"/>
        <n v="91344"/>
        <n v="49416"/>
        <n v="31944"/>
        <n v="115868"/>
        <n v="45940"/>
        <n v="83860"/>
        <n v="35062"/>
        <n v="500512"/>
        <n v="43635"/>
        <n v="92757"/>
        <n v="195300"/>
        <n v="42394"/>
        <n v="80060"/>
        <n v="218850"/>
        <n v="41118"/>
        <n v="65114"/>
        <n v="258048"/>
        <n v="133371"/>
        <n v="280902"/>
        <n v="59958"/>
        <n v="480429"/>
        <n v="629976"/>
        <n v="148120"/>
        <n v="128010"/>
        <n v="318620"/>
        <n v="64575"/>
        <n v="14810"/>
        <n v="402605"/>
        <n v="74046"/>
        <n v="204988"/>
        <n v="132008"/>
        <n v="589068"/>
        <n v="445739"/>
        <n v="135094"/>
        <n v="95764"/>
        <n v="150095"/>
        <n v="41558"/>
        <n v="187408"/>
        <n v="67668"/>
        <n v="105549"/>
        <n v="71314"/>
        <n v="204635"/>
        <n v="91160"/>
        <n v="76818"/>
        <n v="91350"/>
        <n v="109144"/>
        <n v="382488"/>
        <n v="475976"/>
        <n v="164796"/>
        <n v="43650"/>
        <n v="116124"/>
        <n v="323152"/>
        <n v="390186"/>
        <n v="266200"/>
        <n v="72435"/>
        <n v="300420"/>
        <n v="323379"/>
        <n v="147294"/>
        <n v="294904"/>
        <n v="266632"/>
        <n v="137636"/>
        <n v="180369"/>
        <n v="370968"/>
        <n v="318830"/>
        <n v="457275"/>
        <n v="361928"/>
        <n v="40056"/>
        <n v="51410"/>
        <n v="249776"/>
        <n v="66303"/>
        <n v="18376"/>
        <n v="70129"/>
        <n v="43293"/>
        <n v="230220"/>
        <n v="41622"/>
        <n v="148005"/>
        <n v="42469"/>
        <n v="92360"/>
        <n v="120030"/>
        <n v="152588"/>
        <n v="59654"/>
        <n v="467656"/>
        <n v="229336"/>
        <n v="40784"/>
        <n v="258400"/>
        <n v="106779"/>
        <n v="560472"/>
        <n v="303180"/>
        <n v="395208"/>
        <n v="329337"/>
        <n v="15461"/>
        <n v="162760"/>
        <n v="443538"/>
        <n v="214608"/>
        <n v="117318"/>
        <n v="348990"/>
        <n v="249816"/>
        <n v="107631"/>
        <n v="334005"/>
        <n v="206274"/>
        <n v="27674"/>
        <n v="29118"/>
        <n v="223512"/>
        <n v="31104"/>
        <n v="27755"/>
        <n v="70669"/>
        <n v="34821"/>
        <n v="335811"/>
        <n v="174290"/>
        <n v="44367"/>
        <n v="64851"/>
        <n v="492288"/>
        <n v="212130"/>
        <n v="286566"/>
        <n v="170394"/>
        <n v="388308"/>
        <n v="179907"/>
        <n v="203280"/>
        <n v="152872"/>
        <n v="44970"/>
        <n v="106668"/>
        <n v="225700"/>
        <n v="509454"/>
        <n v="669096"/>
        <n v="194613"/>
        <n v="305460"/>
        <n v="103770"/>
        <n v="226068"/>
        <n v="72145"/>
        <n v="171485"/>
        <n v="295794"/>
        <n v="77982"/>
        <n v="27628"/>
        <n v="61876"/>
        <n v="86480"/>
        <n v="545400"/>
        <n v="190836"/>
        <n v="384345"/>
        <n v="135690"/>
        <n v="427638"/>
        <n v="375921"/>
        <n v="320625"/>
        <n v="328086"/>
        <n v="37567"/>
        <n v="28254"/>
        <n v="424476"/>
        <n v="34930"/>
        <n v="217965"/>
        <n v="311864"/>
        <n v="73978"/>
        <n v="363209"/>
        <n v="255978"/>
        <n v="113701"/>
        <n v="25660"/>
        <n v="123336"/>
        <n v="277588"/>
        <n v="451080"/>
        <n v="38855"/>
        <n v="59356"/>
        <n v="192192"/>
        <n v="192880"/>
        <n v="46078"/>
        <n v="142860"/>
        <n v="56385"/>
        <n v="194649"/>
        <n v="327084"/>
        <n v="122632"/>
        <n v="69817"/>
        <n v="74458"/>
        <n v="264236"/>
        <n v="92546"/>
        <n v="179352"/>
        <n v="184720"/>
        <n v="128618"/>
        <n v="460044"/>
        <n v="256532"/>
        <n v="510503"/>
        <n v="62278"/>
        <n v="82924"/>
        <n v="452368"/>
        <n v="110282"/>
        <n v="93930"/>
        <n v="421776"/>
        <n v="57050"/>
        <n v="457716"/>
        <n v="38678"/>
        <n v="223760"/>
        <n v="584559"/>
        <n v="117535"/>
        <n v="400116"/>
        <n v="185880"/>
        <n v="210732"/>
        <n v="144302"/>
        <n v="115176"/>
        <n v="69310"/>
        <n v="352230"/>
        <n v="291834"/>
        <n v="119150"/>
        <n v="78084"/>
        <n v="400386"/>
        <n v="144183"/>
        <n v="221256"/>
        <n v="241731"/>
        <n v="71724"/>
        <n v="101079"/>
        <n v="37206"/>
        <n v="340914"/>
        <n v="93380"/>
        <n v="27687"/>
        <n v="207486"/>
        <n v="211965"/>
        <n v="26584"/>
        <n v="50688"/>
        <n v="24628"/>
        <n v="59034"/>
        <n v="175260"/>
        <n v="94431"/>
        <n v="352956"/>
        <n v="287000"/>
        <n v="25010"/>
        <n v="350730"/>
        <n v="315665"/>
        <n v="410787"/>
        <n v="413496"/>
        <n v="423944"/>
        <n v="150390"/>
        <n v="565664"/>
        <n v="155890"/>
        <n v="11263"/>
        <n v="180264"/>
        <n v="132968"/>
        <n v="142107"/>
        <n v="698328"/>
        <n v="522136"/>
        <n v="38490"/>
        <n v="226056"/>
        <n v="283184"/>
        <n v="172512"/>
        <n v="38112"/>
        <n v="92187"/>
        <n v="100666"/>
        <n v="322420"/>
        <n v="329844"/>
        <n v="282808"/>
        <n v="184170"/>
        <n v="44878"/>
        <n v="43778"/>
        <n v="18572"/>
        <n v="78545"/>
        <n v="372715"/>
        <n v="39984"/>
        <n v="536416"/>
        <n v="117784"/>
        <n v="70183"/>
        <n v="78360"/>
        <n v="450018"/>
        <n v="258895"/>
        <n v="102096"/>
        <n v="159549"/>
        <n v="48720"/>
        <n v="51357"/>
        <n v="281912"/>
        <n v="107532"/>
        <n v="10168"/>
        <n v="228588"/>
        <n v="262524"/>
        <n v="183357"/>
        <n v="91404"/>
        <n v="217755"/>
        <n v="130389"/>
        <n v="54305"/>
        <n v="87918"/>
        <n v="224544"/>
        <n v="39787"/>
        <n v="30673"/>
        <n v="148085"/>
        <n v="38990"/>
        <n v="124984"/>
        <n v="50307"/>
        <n v="87842"/>
        <n v="144450"/>
        <n v="122408"/>
        <n v="608344"/>
        <n v="60001"/>
        <n v="480231"/>
        <n v="480952"/>
        <n v="667719"/>
        <n v="192123"/>
        <n v="162318"/>
        <n v="192168"/>
        <n v="73028"/>
        <n v="509504"/>
        <n v="190350"/>
        <n v="121128"/>
        <n v="218418"/>
        <n v="127272"/>
        <n v="389544"/>
        <n v="237141"/>
        <n v="235602"/>
        <n v="22821"/>
        <n v="45712"/>
        <n v="398835"/>
        <n v="311528"/>
        <n v="29124"/>
        <n v="202599"/>
        <n v="536292"/>
        <n v="81075"/>
        <n v="151659"/>
        <n v="346950"/>
        <n v="426706"/>
        <n v="49424"/>
        <n v="72942"/>
        <n v="205256"/>
        <n v="144584"/>
        <n v="659340"/>
        <n v="120909"/>
        <n v="59013"/>
        <n v="31005"/>
        <n v="420721"/>
        <n v="70656"/>
        <n v="673704"/>
        <n v="441744"/>
        <n v="278736"/>
        <n v="40992"/>
        <n v="287670"/>
        <n v="430176"/>
        <n v="62856"/>
        <n v="27936"/>
        <n v="129225"/>
        <n v="389921"/>
        <n v="241290"/>
        <n v="92156"/>
        <n v="41264"/>
        <n v="197420"/>
        <n v="235810"/>
        <n v="431946"/>
        <n v="134382"/>
        <n v="34237"/>
        <n v="281176"/>
        <n v="292028"/>
        <n v="10734"/>
        <n v="147336"/>
        <n v="343968"/>
        <n v="221730"/>
        <n v="11773"/>
        <n v="57615"/>
        <n v="483544"/>
        <n v="236252"/>
        <n v="156357"/>
        <n v="154672"/>
        <n v="31080"/>
        <n v="135074"/>
        <n v="197232"/>
        <n v="386532"/>
        <n v="220408"/>
        <n v="8606"/>
        <n v="38025"/>
        <n v="55373"/>
        <n v="96940"/>
        <n v="215520"/>
        <n v="241158"/>
        <n v="120066"/>
        <n v="326286"/>
        <n v="63266"/>
        <n v="96636"/>
        <n v="214288"/>
        <n v="494816"/>
        <n v="65832"/>
        <n v="394585"/>
        <n v="184656"/>
        <n v="33715"/>
        <n v="533259"/>
        <n v="369535"/>
        <n v="139012"/>
        <n v="81618"/>
        <n v="82908"/>
        <n v="219456"/>
        <n v="42174"/>
        <n v="254665"/>
        <n v="36288"/>
        <n v="88543"/>
        <n v="374805"/>
        <n v="57674"/>
        <n v="35636"/>
        <n v="251280"/>
        <n v="520872"/>
        <n v="296331"/>
        <n v="531522"/>
        <n v="271170"/>
        <n v="126864"/>
        <n v="108891"/>
        <n v="168434"/>
        <n v="172460"/>
        <n v="307405"/>
        <n v="142754"/>
        <n v="93402"/>
        <n v="250836"/>
        <n v="317828"/>
        <n v="374425"/>
        <n v="368718"/>
        <n v="603856"/>
        <n v="288762"/>
        <n v="142510"/>
        <n v="231579"/>
        <n v="390068"/>
        <n v="89920"/>
        <n v="160632"/>
        <n v="108200"/>
        <n v="75790"/>
        <n v="67680"/>
        <n v="142572"/>
        <n v="273816"/>
        <n v="84753"/>
        <n v="146190"/>
        <n v="325220"/>
        <n v="65446"/>
        <n v="359757"/>
        <n v="54052"/>
        <n v="434844"/>
        <n v="317025"/>
        <n v="18758"/>
        <n v="146745"/>
        <n v="330498"/>
        <n v="120858"/>
        <n v="284856"/>
        <n v="443277"/>
        <n v="102832"/>
        <n v="139926"/>
        <n v="228347"/>
        <n v="315009"/>
        <n v="115320"/>
        <n v="280488"/>
        <n v="72907"/>
        <n v="171136"/>
        <n v="132210"/>
        <n v="309050"/>
        <n v="331310"/>
        <n v="181632"/>
        <n v="64322"/>
        <n v="52360"/>
        <n v="119125"/>
        <n v="48136"/>
        <n v="207080"/>
        <n v="256300"/>
        <n v="30520"/>
        <n v="239784"/>
        <n v="361634"/>
        <n v="252108"/>
        <n v="420693"/>
        <n v="336530"/>
        <n v="68460"/>
        <n v="238152"/>
        <n v="80428"/>
        <n v="299936"/>
        <n v="481369"/>
        <n v="202419"/>
        <n v="34748"/>
        <n v="378945"/>
        <n v="278540"/>
        <n v="705600"/>
        <n v="536641"/>
        <n v="54704"/>
        <n v="18834"/>
        <n v="55684"/>
        <n v="302157"/>
        <n v="171504"/>
        <n v="46330"/>
        <n v="42713"/>
        <n v="27970"/>
        <n v="108272"/>
        <n v="53464"/>
        <n v="446304"/>
        <n v="212832"/>
        <n v="67648"/>
        <n v="153279"/>
        <n v="25026"/>
        <n v="45887"/>
        <n v="202662"/>
        <n v="191720"/>
        <n v="26640"/>
        <n v="266517"/>
        <n v="210798"/>
        <n v="298690"/>
        <n v="50777"/>
        <n v="285616"/>
        <n v="200412"/>
        <n v="18021"/>
        <n v="294006"/>
        <n v="24092"/>
        <n v="101745"/>
        <n v="291615"/>
        <n v="227608"/>
        <n v="145173"/>
        <n v="468072"/>
        <n v="235401"/>
        <n v="149592"/>
        <n v="62432"/>
        <n v="107808"/>
        <n v="417172"/>
        <n v="54993"/>
        <n v="138732"/>
        <n v="346744"/>
        <n v="16775"/>
        <n v="136024"/>
        <n v="52686"/>
        <n v="302785"/>
        <n v="484652"/>
        <n v="305244"/>
        <n v="219516"/>
        <n v="372054"/>
        <n v="44856"/>
        <n v="211930"/>
        <n v="473564"/>
        <n v="174336"/>
        <n v="378225"/>
        <n v="205476"/>
        <n v="91338"/>
        <n v="83829"/>
        <n v="67860"/>
        <n v="71287"/>
        <n v="227640"/>
        <n v="155892"/>
        <n v="83310"/>
        <n v="712422"/>
        <n v="553416"/>
        <n v="193527"/>
        <n v="458227"/>
        <n v="94632"/>
        <n v="205665"/>
        <n v="102480"/>
        <n v="378603"/>
        <n v="519883"/>
        <n v="138700"/>
        <n v="577608"/>
        <n v="11720"/>
        <n v="228326"/>
        <n v="32916"/>
        <n v="223024"/>
        <n v="261324"/>
        <n v="158980"/>
        <n v="129105"/>
        <n v="598662"/>
        <n v="82752"/>
        <n v="149382"/>
        <n v="709749"/>
        <n v="46890"/>
        <n v="244065"/>
        <n v="17460"/>
        <n v="16684"/>
        <n v="437290"/>
        <n v="158252"/>
        <n v="75205"/>
        <n v="233860"/>
        <n v="472338"/>
        <n v="132640"/>
        <n v="300992"/>
        <n v="34904"/>
        <n v="443144"/>
        <n v="20529"/>
        <n v="299645"/>
        <n v="191568"/>
        <n v="493220"/>
        <n v="56262"/>
        <n v="270824"/>
        <n v="581040"/>
        <n v="145632"/>
        <n v="234996"/>
        <n v="66969"/>
        <n v="399180"/>
        <n v="469826"/>
        <n v="127772"/>
        <n v="250896"/>
        <n v="37150"/>
        <n v="358955"/>
        <n v="91696"/>
        <n v="32560"/>
        <n v="58597"/>
        <n v="413084"/>
        <n v="547092"/>
        <n v="7932"/>
        <n v="79410"/>
        <n v="29556"/>
        <n v="140165"/>
        <n v="30608"/>
        <n v="393275"/>
        <n v="97035"/>
        <n v="302076"/>
        <n v="52647"/>
        <n v="34698"/>
        <n v="95332"/>
        <n v="87192"/>
        <n v="553637"/>
        <n v="54927"/>
        <n v="531387"/>
        <n v="227535"/>
        <n v="38939"/>
        <n v="576378"/>
        <n v="633360"/>
        <n v="119945"/>
        <n v="401688"/>
        <n v="453292"/>
        <n v="399636"/>
        <n v="45534"/>
        <n v="44085"/>
        <n v="32166"/>
        <n v="219496"/>
        <n v="46728"/>
        <n v="213579"/>
        <n v="45160"/>
        <n v="74232"/>
        <n v="183932"/>
        <n v="137608"/>
        <n v="108316"/>
        <n v="331752"/>
        <n v="37816"/>
        <n v="456883"/>
        <n v="47231"/>
        <n v="301326"/>
        <n v="53145"/>
        <n v="130194"/>
        <n v="336860"/>
        <n v="120972"/>
        <n v="97352"/>
        <n v="37161"/>
        <n v="218225"/>
        <n v="107385"/>
        <n v="169716"/>
        <n v="136210"/>
        <n v="17602"/>
        <n v="111717"/>
        <n v="22665"/>
        <n v="13187"/>
        <n v="69989"/>
        <n v="92352"/>
        <n v="108908"/>
        <n v="56415"/>
        <n v="233575"/>
        <n v="525699"/>
        <n v="94372"/>
        <n v="78111"/>
        <n v="198558"/>
        <n v="238875"/>
        <n v="192318"/>
        <n v="78924"/>
        <n v="189448"/>
        <n v="171990"/>
        <n v="48869"/>
        <n v="43938"/>
        <n v="194013"/>
        <n v="452949"/>
        <n v="91173"/>
        <n v="169110"/>
        <n v="171488"/>
        <n v="137360"/>
        <n v="66514"/>
        <n v="53020"/>
        <n v="181797"/>
        <n v="507008"/>
        <n v="33111"/>
        <n v="165921"/>
        <n v="129444"/>
        <n v="116796"/>
        <n v="102389"/>
        <n v="26593"/>
        <n v="226788"/>
        <n v="197043"/>
        <n v="43474"/>
        <n v="72854"/>
        <n v="50487"/>
        <n v="181884"/>
        <n v="201435"/>
        <n v="35451"/>
        <n v="227889"/>
        <n v="296597"/>
        <n v="266670"/>
        <n v="506124"/>
        <n v="232002"/>
        <n v="90297"/>
        <n v="43098"/>
        <n v="98619"/>
        <n v="57116"/>
        <n v="325615"/>
        <n v="284144"/>
        <n v="288815"/>
        <n v="79716"/>
        <n v="192516"/>
        <n v="43750"/>
        <n v="118167"/>
        <n v="123030"/>
        <n v="109095"/>
        <n v="236285"/>
        <n v="246488"/>
        <n v="504976"/>
        <n v="298879"/>
        <n v="198588"/>
        <n v="46688"/>
        <n v="25656"/>
        <n v="188292"/>
        <n v="324279"/>
        <n v="229047"/>
        <n v="327870"/>
        <n v="650340"/>
        <n v="562761"/>
        <n v="45458"/>
        <n v="93452"/>
        <n v="53624"/>
        <n v="50874"/>
        <n v="48640"/>
        <n v="46343"/>
        <n v="114372"/>
        <n v="31704"/>
        <n v="318498"/>
        <n v="299957"/>
        <n v="126890"/>
        <n v="121419"/>
        <n v="141000"/>
        <n v="142872"/>
        <n v="25836"/>
        <n v="97220"/>
        <n v="40301"/>
        <n v="150768"/>
        <n v="221735"/>
        <n v="199701"/>
        <n v="37785"/>
        <n v="208110"/>
        <n v="34605"/>
        <n v="44322"/>
        <n v="29475"/>
        <n v="10282"/>
        <n v="150952"/>
        <n v="20451"/>
        <n v="45810"/>
        <n v="23094"/>
        <n v="149976"/>
        <n v="87568"/>
        <n v="212272"/>
        <n v="690534"/>
        <n v="208134"/>
        <n v="73208"/>
        <n v="521199"/>
        <n v="66729"/>
        <n v="439083"/>
        <n v="235890"/>
        <n v="296280"/>
        <n v="39844"/>
        <n v="43640"/>
        <n v="310056"/>
        <n v="164742"/>
        <n v="5735"/>
        <n v="466500"/>
        <n v="144840"/>
        <n v="446616"/>
        <n v="364476"/>
        <n v="376320"/>
        <n v="41497"/>
        <n v="12241"/>
        <n v="66639"/>
        <n v="154399"/>
        <n v="328200"/>
        <n v="97160"/>
        <n v="265952"/>
        <n v="191624"/>
        <n v="617856"/>
        <n v="171735"/>
        <n v="104996"/>
        <n v="116916"/>
        <n v="368676"/>
        <n v="39010"/>
        <n v="69099"/>
        <n v="360792"/>
        <n v="202743"/>
        <n v="135712"/>
        <n v="46005"/>
        <n v="28218"/>
        <n v="113522"/>
        <n v="269388"/>
        <n v="156254"/>
        <n v="64952"/>
        <n v="63935"/>
        <n v="253308"/>
        <n v="288745"/>
        <n v="256376"/>
        <n v="101208"/>
        <n v="63792"/>
        <n v="138330"/>
        <n v="99104"/>
        <n v="23554"/>
        <n v="10226"/>
        <n v="44248"/>
        <n v="44142"/>
        <n v="67280"/>
        <n v="558404"/>
        <n v="118432"/>
        <n v="93268"/>
        <n v="315952"/>
        <n v="355332"/>
        <n v="275910"/>
        <n v="121248"/>
        <n v="253000"/>
        <n v="28906"/>
        <n v="164605"/>
        <n v="357345"/>
        <n v="501102"/>
        <n v="121568"/>
        <n v="223062"/>
        <n v="541638"/>
        <n v="252324"/>
        <n v="519786"/>
        <n v="11878"/>
        <n v="46336"/>
        <n v="16367"/>
        <n v="174924"/>
        <n v="43641"/>
        <n v="134272"/>
        <n v="475349"/>
        <n v="496908"/>
        <n v="425979"/>
        <n v="69379"/>
        <n v="9138"/>
        <n v="469008"/>
        <n v="312916"/>
        <n v="49182"/>
        <n v="396855"/>
        <n v="41765"/>
        <n v="306792"/>
        <n v="70064"/>
        <n v="60121"/>
        <n v="77024"/>
        <n v="460800"/>
        <n v="301665"/>
        <n v="574596"/>
        <n v="52049"/>
        <n v="52866"/>
        <n v="51279"/>
        <n v="261284"/>
        <n v="225220"/>
        <n v="536200"/>
        <n v="159256"/>
        <n v="413399"/>
        <n v="17921"/>
        <n v="207176"/>
        <n v="73618"/>
        <n v="388050"/>
        <n v="102990"/>
        <n v="67869"/>
        <n v="261108"/>
        <n v="10918"/>
        <n v="490259"/>
        <n v="231660"/>
        <n v="305860"/>
        <n v="146674"/>
        <n v="202986"/>
        <n v="196623"/>
        <n v="47976"/>
        <n v="216200"/>
        <n v="139568"/>
        <n v="45536"/>
        <n v="424536"/>
        <n v="16198"/>
        <n v="315568"/>
        <n v="43146"/>
        <n v="232960"/>
        <n v="242790"/>
        <n v="223650"/>
        <n v="146924"/>
        <n v="20735"/>
        <n v="115338"/>
        <n v="61086"/>
        <n v="179944"/>
        <n v="255681"/>
        <n v="218799"/>
        <n v="21628"/>
        <n v="55776"/>
        <n v="156116"/>
        <n v="163014"/>
        <n v="128252"/>
        <n v="350889"/>
        <n v="145334"/>
        <n v="144039"/>
        <n v="51862"/>
        <n v="457114"/>
        <n v="354224"/>
        <n v="505352"/>
        <n v="135550"/>
        <n v="271015"/>
        <n v="66348"/>
        <n v="666459"/>
        <n v="443196"/>
        <n v="361080"/>
        <n v="292950"/>
        <n v="715626"/>
        <n v="141848"/>
        <n v="31615"/>
        <n v="37165"/>
        <n v="190888"/>
        <n v="79760"/>
        <n v="20103"/>
        <n v="451010"/>
        <n v="424305"/>
        <n v="132711"/>
        <n v="78756"/>
        <n v="25736"/>
        <n v="102087"/>
        <n v="62391"/>
        <n v="529713"/>
        <n v="187456"/>
        <n v="276738"/>
        <n v="559048"/>
        <n v="435366"/>
        <n v="5105"/>
        <n v="146856"/>
        <n v="414882"/>
        <n v="235560"/>
        <n v="160830"/>
        <n v="213702"/>
        <n v="344610"/>
        <n v="373648"/>
        <n v="210096"/>
        <n v="140760"/>
        <n v="174125"/>
        <n v="516831"/>
        <n v="514161"/>
        <n v="424464"/>
        <n v="172900"/>
        <n v="77769"/>
        <n v="48237"/>
        <n v="127040"/>
        <n v="368158"/>
        <n v="207570"/>
        <n v="63351"/>
        <n v="123365"/>
        <n v="331884"/>
        <n v="267488"/>
        <n v="26372"/>
        <n v="68708"/>
        <n v="38038"/>
        <n v="93114"/>
        <n v="138180"/>
        <n v="121638"/>
        <n v="30774"/>
        <n v="310904"/>
        <n v="189831"/>
        <n v="100476"/>
        <n v="47241"/>
        <n v="215502"/>
        <n v="318393"/>
        <n v="199824"/>
        <n v="171342"/>
        <n v="49335"/>
        <n v="229752"/>
        <n v="73473"/>
        <n v="560646"/>
        <n v="286516"/>
        <n v="494480"/>
        <n v="92492"/>
        <n v="417708"/>
        <n v="205016"/>
        <n v="100182"/>
        <n v="385296"/>
        <n v="510280"/>
        <n v="335982"/>
        <n v="148074"/>
        <n v="222772"/>
        <n v="40712"/>
        <n v="146335"/>
        <n v="52728"/>
        <n v="92610"/>
        <n v="68576"/>
        <n v="533440"/>
        <n v="317685"/>
        <n v="304488"/>
        <n v="431244"/>
        <n v="327710"/>
        <n v="267628"/>
        <n v="105755"/>
        <n v="203252"/>
        <n v="57627"/>
        <n v="93351"/>
        <n v="584272"/>
        <n v="213381"/>
        <n v="533848"/>
        <n v="184407"/>
        <n v="214893"/>
        <n v="404376"/>
        <n v="64704"/>
        <n v="225432"/>
        <n v="158862"/>
        <n v="108044"/>
        <n v="107034"/>
        <n v="115806"/>
        <n v="479927"/>
        <n v="57250"/>
        <n v="117405"/>
        <n v="98232"/>
        <n v="324936"/>
        <n v="117172"/>
        <n v="345940"/>
        <n v="63427"/>
        <n v="267687"/>
        <n v="67055"/>
        <n v="604744"/>
        <n v="98346"/>
        <n v="51445"/>
        <n v="140360"/>
        <n v="36105"/>
        <n v="476959"/>
        <n v="287652"/>
        <n v="133175"/>
        <n v="231052"/>
        <n v="448576"/>
        <n v="96600"/>
        <n v="27378"/>
        <n v="80168"/>
        <n v="166278"/>
        <n v="36584"/>
        <n v="108735"/>
        <n v="511672"/>
        <n v="39932"/>
        <n v="251279"/>
        <n v="319214"/>
        <n v="272055"/>
        <n v="73742"/>
        <n v="172504"/>
        <n v="525301"/>
        <n v="303050"/>
        <n v="57850"/>
        <n v="330208"/>
        <n v="57378"/>
        <n v="551536"/>
        <n v="118292"/>
        <n v="101190"/>
        <n v="261696"/>
        <n v="29807"/>
        <n v="635656"/>
        <n v="48612"/>
        <n v="280980"/>
        <n v="174268"/>
        <n v="203485"/>
        <n v="19590"/>
        <n v="263673"/>
        <n v="319352"/>
        <n v="215624"/>
        <n v="427506"/>
        <n v="525984"/>
        <n v="317065"/>
        <n v="229856"/>
        <n v="48892"/>
        <n v="92105"/>
        <n v="95330"/>
        <n v="26576"/>
        <n v="57120"/>
        <n v="320080"/>
        <n v="139134"/>
        <n v="37110"/>
        <n v="227000"/>
        <n v="119154"/>
        <n v="321110"/>
        <n v="23328"/>
        <n v="39645"/>
        <n v="243635"/>
        <n v="443514"/>
        <n v="403844"/>
        <n v="272725"/>
        <n v="106676"/>
        <n v="129924"/>
        <n v="112644"/>
        <n v="13823"/>
        <n v="266623"/>
        <n v="65850"/>
        <n v="78159"/>
        <n v="157129"/>
        <n v="48666"/>
        <n v="446740"/>
        <n v="368110"/>
        <n v="463704"/>
        <n v="345018"/>
        <n v="187672"/>
        <n v="76868"/>
        <n v="95084"/>
        <n v="442272"/>
        <n v="29664"/>
        <n v="136308"/>
        <n v="554309"/>
        <n v="108402"/>
        <n v="47390"/>
        <n v="49832"/>
        <n v="72066"/>
        <n v="331429"/>
        <n v="6363"/>
        <n v="152607"/>
        <n v="164187"/>
        <n v="50606"/>
        <n v="389265"/>
        <n v="33056"/>
        <n v="139890"/>
        <n v="131042"/>
        <n v="119244"/>
        <n v="268835"/>
        <n v="57157"/>
        <n v="194469"/>
        <n v="24856"/>
        <n v="103940"/>
        <n v="502083"/>
        <n v="127990"/>
        <n v="190164"/>
        <n v="62608"/>
        <n v="175704"/>
        <n v="111669"/>
        <n v="144096"/>
        <n v="17882"/>
        <n v="473538"/>
        <n v="711540"/>
        <n v="186468"/>
        <n v="358224"/>
        <n v="124100"/>
        <n v="96448"/>
        <n v="109662"/>
        <n v="376026"/>
        <n v="183980"/>
        <n v="87773"/>
        <n v="302824"/>
        <n v="95433"/>
        <n v="23818"/>
        <n v="292165"/>
        <n v="102168"/>
        <n v="392845"/>
        <n v="370896"/>
        <n v="125984"/>
        <n v="453612"/>
        <n v="269860"/>
        <n v="163224"/>
        <n v="33996"/>
        <n v="18764"/>
        <n v="100758"/>
        <n v="129176"/>
        <n v="336990"/>
        <n v="469890"/>
        <n v="49560"/>
        <n v="296804"/>
        <n v="152138"/>
        <n v="238128"/>
        <n v="620640"/>
        <n v="21189"/>
        <n v="218504"/>
        <n v="64174"/>
        <n v="253895"/>
        <n v="180724"/>
        <n v="208845"/>
        <n v="52392"/>
        <n v="160660"/>
        <n v="501633"/>
        <n v="445710"/>
        <n v="139098"/>
        <n v="40306"/>
        <n v="30592"/>
        <n v="348306"/>
        <n v="23154"/>
        <n v="92841"/>
        <n v="13072"/>
        <n v="263256"/>
        <n v="201224"/>
        <n v="53455"/>
        <n v="6953"/>
        <n v="528493"/>
        <n v="85518"/>
        <n v="50370"/>
        <n v="631864"/>
        <n v="357291"/>
        <n v="470940"/>
        <n v="58739"/>
        <n v="60631"/>
        <n v="160615"/>
        <n v="346352"/>
        <n v="53760"/>
        <n v="527481"/>
        <n v="304384"/>
        <n v="87795"/>
        <n v="626008"/>
        <n v="129942"/>
        <n v="75779"/>
        <n v="67258"/>
        <n v="67442"/>
        <n v="36340"/>
        <n v="206591"/>
        <n v="455588"/>
        <n v="411630"/>
        <n v="333330"/>
        <n v="293648"/>
        <n v="449424"/>
        <n v="532644"/>
        <n v="43009"/>
        <n v="413856"/>
        <n v="74450"/>
        <n v="173748"/>
        <n v="379675"/>
        <n v="149184"/>
        <n v="287616"/>
        <n v="90526"/>
        <n v="266865"/>
        <n v="289070"/>
        <n v="420822"/>
        <n v="51972"/>
        <n v="265176"/>
        <n v="72885"/>
        <n v="59485"/>
        <n v="302771"/>
        <n v="32514"/>
        <n v="436080"/>
        <n v="157070"/>
        <n v="306236"/>
        <n v="198471"/>
        <n v="68966"/>
        <n v="66052"/>
        <n v="181647"/>
        <n v="199208"/>
        <n v="220157"/>
        <n v="229545"/>
        <n v="212364"/>
        <n v="344334"/>
        <n v="321741"/>
        <n v="298670"/>
        <n v="493563"/>
        <n v="111873"/>
        <n v="187719"/>
        <n v="235998"/>
        <n v="45354"/>
        <n v="157952"/>
        <n v="216930"/>
        <n v="78063"/>
        <n v="309490"/>
        <n v="504324"/>
        <n v="465408"/>
        <n v="380394"/>
        <n v="207054"/>
        <n v="114868"/>
        <n v="626319"/>
        <n v="48414"/>
        <n v="103374"/>
        <n v="281556"/>
        <n v="202140"/>
        <n v="67600"/>
        <n v="126660"/>
        <n v="61254"/>
        <n v="67476"/>
        <n v="18352"/>
        <n v="75773"/>
        <n v="62906"/>
        <n v="247252"/>
        <n v="427956"/>
        <n v="368165"/>
        <n v="323288"/>
        <n v="400302"/>
        <n v="86436"/>
        <n v="397695"/>
        <n v="96204"/>
        <n v="51996"/>
        <n v="531568"/>
        <n v="523313"/>
        <n v="376506"/>
        <n v="102984"/>
        <n v="132035"/>
        <n v="157015"/>
        <n v="116459"/>
        <n v="122508"/>
        <n v="283280"/>
        <n v="71120"/>
        <n v="65108"/>
        <n v="76368"/>
        <n v="672966"/>
        <n v="480158"/>
        <n v="23464"/>
        <n v="332487"/>
        <n v="107514"/>
        <n v="98271"/>
        <n v="168368"/>
        <n v="115173"/>
        <n v="455096"/>
        <n v="556899"/>
        <n v="32232"/>
        <n v="716193"/>
        <n v="286756"/>
        <n v="32258"/>
        <n v="146154"/>
        <n v="71656"/>
        <n v="37608"/>
        <n v="300355"/>
        <n v="116244"/>
        <n v="400032"/>
        <n v="22152"/>
        <n v="246560"/>
        <n v="313072"/>
        <n v="520960"/>
        <n v="393552"/>
        <n v="383615"/>
        <n v="395155"/>
        <n v="14885"/>
        <n v="47400"/>
        <n v="80072"/>
        <n v="372366"/>
        <n v="254254"/>
        <n v="55073"/>
        <n v="621200"/>
        <n v="77110"/>
        <n v="269964"/>
        <n v="297380"/>
        <n v="359128"/>
        <n v="205494"/>
        <n v="677007"/>
        <n v="52246"/>
        <n v="266665"/>
        <n v="325925"/>
        <n v="412188"/>
        <n v="10291"/>
        <n v="415737"/>
        <n v="8122"/>
        <n v="49380"/>
        <n v="637280"/>
        <n v="62147"/>
        <n v="47761"/>
        <n v="115304"/>
        <n v="442428"/>
        <n v="387674"/>
        <n v="138483"/>
        <n v="337050"/>
        <n v="95920"/>
        <n v="204568"/>
        <n v="84847"/>
        <n v="291864"/>
        <n v="156980"/>
        <n v="151929"/>
        <n v="446472"/>
        <n v="140485"/>
        <n v="39890"/>
        <n v="9332"/>
        <n v="180801"/>
        <n v="494432"/>
        <n v="348760"/>
        <n v="170904"/>
        <n v="523264"/>
        <n v="354108"/>
        <n v="92592"/>
        <n v="26490"/>
        <n v="514458"/>
        <n v="61996"/>
        <n v="504532"/>
        <n v="35677"/>
        <n v="170505"/>
        <n v="108477"/>
        <n v="10670"/>
        <n v="122248"/>
        <n v="525069"/>
        <n v="657621"/>
        <n v="126048"/>
        <n v="280300"/>
        <n v="415947"/>
        <n v="492261"/>
        <n v="132288"/>
        <n v="288030"/>
        <n v="14876"/>
        <n v="504600"/>
        <n v="20171"/>
        <n v="47204"/>
        <n v="30498"/>
        <n v="389872"/>
        <n v="555528"/>
        <n v="350546"/>
        <n v="163890"/>
        <n v="207392"/>
        <n v="101664"/>
        <n v="569944"/>
        <n v="60096"/>
        <n v="189075"/>
        <n v="158728"/>
        <n v="22489"/>
        <n v="321170"/>
        <n v="438907"/>
        <n v="21951"/>
        <n v="110036"/>
        <n v="148068"/>
        <n v="168175"/>
        <n v="230531"/>
        <n v="302967"/>
        <n v="183309"/>
        <n v="195671"/>
        <n v="194090"/>
        <n v="267318"/>
        <n v="22556"/>
        <n v="198264"/>
        <n v="184288"/>
        <n v="29583"/>
        <n v="677196"/>
        <n v="72380"/>
        <n v="227562"/>
        <n v="174508"/>
        <n v="50441"/>
        <n v="89262"/>
        <n v="558008"/>
        <n v="49958"/>
        <n v="150892"/>
        <n v="595449"/>
        <n v="205110"/>
        <n v="341285"/>
        <n v="9453"/>
        <n v="339450"/>
        <n v="498080"/>
        <n v="274230"/>
        <n v="425831"/>
        <n v="236116"/>
        <n v="18354"/>
        <n v="73965"/>
        <n v="227712"/>
        <n v="679626"/>
        <n v="280420"/>
        <n v="153420"/>
        <n v="26796"/>
        <n v="166044"/>
        <n v="233332"/>
        <n v="159054"/>
        <n v="693738"/>
        <n v="242064"/>
        <n v="150354"/>
        <n v="237601"/>
        <n v="554592"/>
        <n v="218520"/>
        <n v="15352"/>
        <n v="355473"/>
        <n v="99948"/>
        <n v="225596"/>
        <n v="69410"/>
        <n v="85072"/>
        <n v="75846"/>
        <n v="29463"/>
        <n v="162942"/>
        <n v="14827"/>
        <n v="304496"/>
        <n v="36720"/>
        <n v="13170"/>
        <n v="345192"/>
        <n v="62164"/>
        <n v="41708"/>
        <n v="28066"/>
        <n v="72140"/>
        <n v="324624"/>
        <n v="85995"/>
        <n v="159984"/>
        <n v="110908"/>
        <n v="39655"/>
        <n v="61193"/>
        <n v="21398"/>
        <n v="188367"/>
        <n v="161605"/>
        <n v="330160"/>
        <n v="50544"/>
        <n v="217188"/>
        <n v="179901"/>
        <n v="56086"/>
        <n v="246372"/>
        <n v="469875"/>
        <n v="141592"/>
        <n v="225849"/>
        <n v="606192"/>
        <n v="70506"/>
        <n v="53203"/>
        <n v="456084"/>
        <n v="218610"/>
        <n v="77652"/>
        <n v="514248"/>
        <n v="135670"/>
        <n v="92330"/>
        <n v="84150"/>
        <n v="312440"/>
        <n v="292116"/>
        <n v="67400"/>
        <n v="617168"/>
        <n v="137680"/>
        <n v="241416"/>
        <n v="312557"/>
        <n v="237356"/>
        <n v="434256"/>
        <n v="92140"/>
        <n v="591327"/>
        <n v="182436"/>
        <n v="441063"/>
        <n v="6066"/>
        <n v="226518"/>
        <n v="289700"/>
        <n v="388283"/>
        <n v="28350"/>
        <n v="82026"/>
        <n v="270995"/>
        <n v="210399"/>
        <n v="183715"/>
        <n v="386128"/>
        <n v="52785"/>
        <n v="309526"/>
        <n v="211001"/>
        <n v="204712"/>
        <n v="690300"/>
        <n v="12787"/>
        <n v="69517"/>
        <n v="251430"/>
        <n v="15243"/>
        <n v="72045"/>
        <n v="394720"/>
        <n v="37338"/>
        <n v="63217"/>
        <n v="60338"/>
        <n v="113808"/>
        <n v="281286"/>
        <n v="372165"/>
        <n v="310550"/>
        <n v="560277"/>
        <n v="601472"/>
        <n v="49940"/>
        <n v="61558"/>
        <n v="34184"/>
        <n v="390285"/>
        <n v="108651"/>
        <n v="20102"/>
        <n v="300320"/>
        <n v="71500"/>
        <n v="224673"/>
        <n v="49984"/>
        <n v="283310"/>
        <n v="253900"/>
        <n v="180370"/>
        <n v="584416"/>
        <n v="55244"/>
        <n v="648135"/>
        <n v="45982"/>
        <n v="512552"/>
        <n v="250390"/>
        <n v="111746"/>
        <n v="550384"/>
        <n v="318920"/>
        <n v="80508"/>
        <n v="511581"/>
        <n v="132520"/>
        <n v="323850"/>
        <n v="567960"/>
        <n v="72772"/>
        <n v="51660"/>
        <n v="568928"/>
        <n v="136073"/>
        <n v="87435"/>
        <n v="62214"/>
        <n v="387152"/>
        <n v="261990"/>
        <n v="37425"/>
        <n v="259496"/>
        <n v="92864"/>
        <n v="342643"/>
        <n v="78021"/>
        <n v="122616"/>
        <n v="164120"/>
        <n v="48190"/>
        <n v="73402"/>
        <n v="248000"/>
        <n v="42753"/>
        <n v="125532"/>
        <n v="345882"/>
        <n v="282892"/>
        <n v="186735"/>
        <n v="96392"/>
        <n v="99264"/>
        <n v="370345"/>
        <n v="74676"/>
        <n v="344910"/>
        <n v="457624"/>
        <n v="238468"/>
        <n v="22010"/>
        <n v="229218"/>
        <n v="669960"/>
        <n v="372645"/>
        <n v="50919"/>
        <n v="259880"/>
        <n v="218391"/>
        <n v="255464"/>
        <n v="182432"/>
        <n v="200808"/>
        <n v="156828"/>
        <n v="237440"/>
        <n v="461769"/>
        <n v="153034"/>
        <n v="89106"/>
        <n v="97188"/>
        <n v="220722"/>
        <n v="457191"/>
        <n v="151844"/>
        <n v="292496"/>
        <n v="248520"/>
        <n v="222504"/>
        <n v="168114"/>
        <n v="155742"/>
        <n v="438696"/>
        <n v="201834"/>
        <n v="149816"/>
        <n v="117592"/>
        <n v="16277"/>
        <n v="142822"/>
        <n v="455483"/>
        <n v="358660"/>
        <n v="511749"/>
        <n v="163461"/>
        <n v="92368"/>
        <n v="113592"/>
        <n v="67034"/>
        <n v="502481"/>
        <n v="177384"/>
        <n v="96888"/>
        <n v="129865"/>
        <n v="10620"/>
        <n v="91952"/>
        <n v="27043"/>
        <n v="116268"/>
        <n v="241304"/>
        <n v="134286"/>
        <n v="153056"/>
        <n v="108276"/>
        <n v="95928"/>
        <n v="645606"/>
        <n v="87280"/>
        <n v="608160"/>
        <n v="255825"/>
        <n v="213336"/>
        <n v="226926"/>
        <n v="444528"/>
        <n v="428824"/>
        <n v="265972"/>
        <n v="572160"/>
        <n v="120176"/>
        <n v="286854"/>
        <n v="191495"/>
        <n v="135294"/>
        <n v="628512"/>
        <n v="113571"/>
        <n v="217515"/>
        <n v="561736"/>
        <n v="278838"/>
        <n v="646452"/>
        <n v="291310"/>
        <n v="57760"/>
        <n v="87913"/>
        <n v="290843"/>
        <n v="321272"/>
        <n v="442960"/>
        <n v="321445"/>
        <n v="7252"/>
        <n v="59464"/>
        <n v="171988"/>
        <n v="37659"/>
        <n v="302648"/>
        <n v="216969"/>
        <n v="249050"/>
        <n v="127438"/>
        <n v="100356"/>
        <n v="446706"/>
        <n v="419384"/>
        <n v="40736"/>
        <n v="34995"/>
        <n v="339785"/>
        <n v="13354"/>
        <n v="134460"/>
        <n v="244026"/>
        <n v="166528"/>
        <n v="256456"/>
        <n v="526024"/>
        <n v="294186"/>
        <n v="440392"/>
        <n v="391650"/>
        <n v="158643"/>
        <n v="462920"/>
        <n v="278420"/>
        <n v="303435"/>
        <n v="430066"/>
        <n v="373884"/>
        <n v="499527"/>
        <n v="250180"/>
        <n v="153528"/>
        <n v="75150"/>
        <n v="108459"/>
        <n v="122020"/>
        <n v="15589"/>
        <n v="131160"/>
        <n v="142664"/>
        <n v="142268"/>
        <n v="187424"/>
        <n v="108210"/>
        <n v="91542"/>
        <n v="105679"/>
        <n v="198982"/>
        <n v="213999"/>
        <n v="48463"/>
        <n v="304996"/>
        <n v="90158"/>
        <n v="101616"/>
        <n v="611576"/>
        <n v="17908"/>
        <n v="74848"/>
        <n v="180993"/>
        <n v="426517"/>
        <n v="140640"/>
        <n v="380442"/>
        <n v="251286"/>
        <n v="413760"/>
        <n v="151284"/>
        <n v="61281"/>
        <n v="217352"/>
        <n v="352933"/>
        <n v="280325"/>
        <n v="289948"/>
        <n v="477006"/>
        <n v="125865"/>
        <n v="225846"/>
        <n v="223176"/>
        <n v="50652"/>
        <n v="65838"/>
        <n v="156500"/>
        <n v="215019"/>
        <n v="355854"/>
        <n v="123436"/>
        <n v="295236"/>
        <n v="165762"/>
        <n v="288105"/>
        <n v="360504"/>
        <n v="120906"/>
        <n v="253928"/>
        <n v="388170"/>
        <n v="375860"/>
        <n v="395496"/>
        <n v="385314"/>
        <n v="253416"/>
        <n v="145764"/>
        <n v="75936"/>
        <n v="6042"/>
        <n v="18063"/>
        <n v="58918"/>
        <n v="178430"/>
        <n v="45967"/>
        <n v="368832"/>
        <n v="155676"/>
        <n v="161256"/>
        <n v="393900"/>
        <n v="21906"/>
        <n v="192136"/>
        <n v="189244"/>
        <n v="37527"/>
        <n v="173044"/>
        <n v="22171"/>
        <n v="277356"/>
        <n v="171635"/>
        <n v="680652"/>
        <n v="623007"/>
        <n v="600416"/>
        <n v="480368"/>
        <n v="39060"/>
        <n v="114480"/>
        <n v="117843"/>
        <n v="385620"/>
        <n v="357728"/>
        <n v="160410"/>
        <n v="386425"/>
        <n v="48020"/>
        <n v="125128"/>
        <n v="508464"/>
        <n v="244286"/>
        <n v="186956"/>
        <n v="200096"/>
        <n v="97060"/>
        <n v="358926"/>
        <n v="68756"/>
        <n v="145236"/>
        <n v="29740"/>
        <n v="33544"/>
        <n v="531832"/>
        <n v="353521"/>
        <n v="538804"/>
        <n v="545573"/>
        <n v="96928"/>
        <n v="367375"/>
        <n v="64554"/>
        <n v="295060"/>
        <n v="48828"/>
        <n v="162981"/>
        <n v="442188"/>
        <n v="38760"/>
        <n v="123060"/>
        <n v="52533"/>
        <n v="495976"/>
        <n v="283507"/>
        <n v="49770"/>
        <n v="658701"/>
        <n v="590346"/>
        <n v="254688"/>
        <n v="300713"/>
        <n v="163575"/>
        <n v="195145"/>
        <n v="547183"/>
        <n v="13312"/>
        <n v="43300"/>
        <n v="299970"/>
        <n v="70956"/>
        <n v="178654"/>
        <n v="10623"/>
        <n v="82300"/>
        <n v="121872"/>
        <n v="548624"/>
        <n v="103810"/>
        <n v="240940"/>
        <n v="204065"/>
        <n v="48438"/>
        <n v="130059"/>
        <n v="14369"/>
        <n v="159940"/>
        <n v="330785"/>
        <n v="63261"/>
        <n v="133180"/>
        <n v="252430"/>
        <n v="475947"/>
        <n v="60318"/>
        <n v="226264"/>
        <n v="16950"/>
        <n v="229685"/>
        <n v="131495"/>
        <n v="63724"/>
        <n v="106560"/>
        <n v="143487"/>
        <n v="368670"/>
        <n v="44650"/>
        <n v="554876"/>
        <n v="458046"/>
        <n v="405153"/>
        <n v="573904"/>
        <n v="345050"/>
        <n v="16012"/>
        <n v="468132"/>
        <n v="477596"/>
        <n v="456448"/>
        <n v="94535"/>
        <n v="178486"/>
        <n v="193545"/>
        <n v="540144"/>
        <n v="23206"/>
        <n v="59488"/>
        <n v="519526"/>
        <n v="55380"/>
        <n v="58273"/>
        <n v="301896"/>
        <n v="35592"/>
        <n v="33593"/>
        <n v="297942"/>
        <n v="26916"/>
        <n v="49515"/>
        <n v="237124"/>
        <n v="319488"/>
        <n v="121891"/>
        <n v="52652"/>
        <n v="312876"/>
        <n v="412704"/>
        <n v="101482"/>
        <n v="234612"/>
        <n v="453411"/>
        <n v="238296"/>
        <n v="72849"/>
        <n v="151410"/>
        <n v="208680"/>
        <n v="234630"/>
        <n v="289920"/>
        <n v="116960"/>
        <n v="87489"/>
        <n v="34197"/>
        <n v="31173"/>
        <n v="54594"/>
        <n v="322090"/>
        <n v="289816"/>
        <n v="159986"/>
        <n v="173538"/>
        <n v="178890"/>
        <n v="248346"/>
        <n v="389920"/>
        <n v="246044"/>
        <n v="501746"/>
        <n v="359755"/>
        <n v="90992"/>
        <n v="255792"/>
        <n v="148356"/>
        <n v="184570"/>
        <n v="440112"/>
        <n v="199137"/>
        <n v="100429"/>
        <n v="192045"/>
        <n v="431184"/>
        <n v="110362"/>
        <n v="142560"/>
        <n v="48840"/>
        <n v="634128"/>
        <n v="335880"/>
        <n v="19057"/>
        <n v="592744"/>
        <n v="307026"/>
        <n v="61215"/>
        <n v="117900"/>
        <n v="88812"/>
        <n v="298172"/>
        <n v="19350"/>
        <n v="95290"/>
        <n v="216004"/>
        <n v="297633"/>
        <n v="460530"/>
        <n v="61335"/>
        <n v="710586"/>
        <n v="134780"/>
        <n v="281135"/>
        <n v="105555"/>
        <n v="407264"/>
        <n v="340417"/>
        <n v="370951"/>
        <n v="56624"/>
        <n v="201446"/>
        <n v="85191"/>
        <n v="221571"/>
        <n v="34674"/>
        <n v="11011"/>
        <n v="224275"/>
        <n v="207380"/>
        <n v="50092"/>
        <n v="11618"/>
        <n v="232305"/>
        <n v="217932"/>
        <n v="77594"/>
        <n v="140896"/>
        <n v="267253"/>
        <n v="217551"/>
        <n v="39073"/>
        <n v="381267"/>
        <n v="83485"/>
        <n v="40844"/>
        <n v="347040"/>
        <n v="263428"/>
        <n v="508011"/>
        <n v="131295"/>
        <n v="232866"/>
        <n v="49192"/>
        <n v="55584"/>
        <n v="21390"/>
        <n v="196020"/>
        <n v="164072"/>
        <n v="185297"/>
        <n v="173367"/>
        <n v="391854"/>
        <n v="57451"/>
        <n v="603032"/>
        <n v="33118"/>
        <n v="274912"/>
        <n v="29856"/>
        <n v="400356"/>
        <n v="91220"/>
        <n v="35765"/>
        <n v="117171"/>
        <n v="128787"/>
        <n v="44056"/>
        <n v="79240"/>
        <n v="481266"/>
        <n v="93738"/>
        <n v="17618"/>
        <n v="168138"/>
        <n v="67496"/>
        <n v="73478"/>
        <n v="116904"/>
        <n v="156648"/>
        <n v="83839"/>
        <n v="119514"/>
        <n v="292768"/>
        <n v="18268"/>
        <n v="292100"/>
        <n v="309879"/>
        <n v="666180"/>
        <n v="381955"/>
        <n v="495944"/>
        <n v="315175"/>
        <n v="261560"/>
        <n v="131748"/>
        <n v="154158"/>
        <n v="43559"/>
        <n v="165174"/>
        <n v="33716"/>
        <n v="528017"/>
        <n v="434916"/>
        <n v="219776"/>
        <n v="344309"/>
        <n v="12720"/>
        <n v="49336"/>
        <n v="132060"/>
        <n v="391480"/>
        <n v="164892"/>
        <n v="113919"/>
        <n v="161480"/>
        <n v="74097"/>
        <n v="547965"/>
        <n v="139746"/>
        <n v="23061"/>
        <n v="99194"/>
        <n v="63568"/>
        <n v="57862"/>
        <n v="118616"/>
        <n v="255280"/>
        <n v="235544"/>
        <n v="77470"/>
        <n v="718578"/>
        <n v="492268"/>
        <n v="140054"/>
        <n v="19275"/>
        <n v="53864"/>
        <n v="352625"/>
        <n v="277644"/>
        <n v="62412"/>
        <n v="154368"/>
        <n v="104005"/>
        <n v="306590"/>
        <n v="153895"/>
        <n v="26068"/>
        <n v="55593"/>
        <n v="78576"/>
        <n v="429918"/>
        <n v="270408"/>
        <n v="17459"/>
        <n v="225324"/>
        <n v="150626"/>
        <n v="77084"/>
        <n v="52806"/>
        <n v="232779"/>
        <n v="94533"/>
        <n v="234138"/>
        <n v="314540"/>
        <n v="542097"/>
        <n v="100044"/>
        <n v="271852"/>
        <n v="215600"/>
        <n v="180348"/>
        <n v="283470"/>
        <n v="149972"/>
        <n v="83720"/>
        <n v="77532"/>
        <n v="172809"/>
        <n v="377895"/>
        <n v="65019"/>
        <n v="25420"/>
        <n v="45602"/>
        <n v="518805"/>
        <n v="464992"/>
        <n v="324186"/>
        <n v="105774"/>
        <n v="376386"/>
        <n v="134700"/>
        <n v="33310"/>
        <n v="37767"/>
        <n v="163092"/>
        <n v="67585"/>
        <n v="396425"/>
        <n v="126376"/>
        <n v="58225"/>
        <n v="159048"/>
        <n v="157902"/>
        <n v="52864"/>
        <n v="158670"/>
        <n v="448777"/>
        <n v="630152"/>
        <n v="243055"/>
        <n v="31671"/>
        <n v="125280"/>
        <n v="132932"/>
        <n v="170364"/>
        <n v="72804"/>
        <n v="495819"/>
        <n v="37752"/>
        <n v="101792"/>
        <n v="146871"/>
        <n v="44112"/>
        <n v="123760"/>
        <n v="80532"/>
        <n v="453208"/>
        <n v="323240"/>
        <n v="387528"/>
        <n v="25688"/>
        <n v="205120"/>
        <n v="19472"/>
        <n v="122013"/>
        <n v="460663"/>
        <n v="78299"/>
        <n v="79800"/>
        <n v="7074"/>
        <n v="470166"/>
        <n v="358497"/>
        <n v="122928"/>
        <n v="451260"/>
        <n v="282632"/>
        <n v="330648"/>
        <n v="52960"/>
        <n v="220552"/>
        <n v="101101"/>
        <n v="449814"/>
        <n v="53910"/>
        <n v="66336"/>
        <n v="204582"/>
        <n v="225735"/>
        <n v="193488"/>
        <n v="56356"/>
        <n v="35844"/>
        <n v="107298"/>
        <n v="74361"/>
        <n v="192759"/>
        <n v="464272"/>
        <n v="454878"/>
        <n v="57449"/>
        <n v="265872"/>
        <n v="213408"/>
        <n v="147266"/>
        <n v="59703"/>
        <n v="172869"/>
        <n v="526086"/>
        <n v="459417"/>
        <n v="43284"/>
        <n v="13990"/>
        <n v="117244"/>
        <n v="169989"/>
        <n v="55020"/>
        <n v="268353"/>
        <n v="81088"/>
        <n v="60408"/>
        <n v="629496"/>
        <n v="402353"/>
        <n v="92838"/>
        <n v="213000"/>
        <n v="112566"/>
        <n v="158908"/>
        <n v="61389"/>
        <n v="482814"/>
        <n v="123600"/>
        <n v="479250"/>
        <n v="82894"/>
        <n v="102552"/>
        <n v="328524"/>
        <n v="87244"/>
        <n v="252760"/>
        <n v="22757"/>
        <n v="101724"/>
        <n v="132698"/>
        <n v="257580"/>
        <n v="8811"/>
        <n v="70736"/>
        <n v="339471"/>
        <n v="81822"/>
        <n v="137064"/>
        <n v="363902"/>
        <n v="304839"/>
        <n v="418248"/>
        <n v="253332"/>
        <n v="423556"/>
        <n v="32005"/>
        <n v="105028"/>
        <n v="161204"/>
        <n v="10901"/>
        <n v="298484"/>
        <n v="218253"/>
        <n v="484281"/>
        <n v="315855"/>
        <n v="290880"/>
        <n v="557952"/>
        <n v="76770"/>
        <n v="191580"/>
        <n v="29008"/>
        <n v="474560"/>
        <n v="17046"/>
        <n v="633944"/>
        <n v="193935"/>
        <n v="231856"/>
        <n v="30245"/>
        <n v="18381"/>
        <n v="145752"/>
        <n v="320340"/>
        <n v="51183"/>
        <n v="609928"/>
        <n v="276480"/>
        <n v="87042"/>
        <n v="486745"/>
        <n v="561528"/>
        <n v="226304"/>
        <n v="298323"/>
        <n v="438120"/>
        <n v="61148"/>
        <n v="33725"/>
        <n v="135740"/>
        <n v="148512"/>
        <n v="328503"/>
        <n v="405822"/>
        <n v="519928"/>
        <n v="54024"/>
        <n v="499191"/>
        <n v="101675"/>
        <n v="193392"/>
        <n v="130894"/>
        <n v="294600"/>
        <n v="287524"/>
        <n v="42246"/>
        <n v="397782"/>
        <n v="66219"/>
        <n v="33028"/>
        <n v="85320"/>
        <n v="340983"/>
        <n v="43937"/>
        <n v="560360"/>
        <n v="133006"/>
        <n v="194568"/>
        <n v="19839"/>
        <n v="373401"/>
        <n v="156318"/>
        <n v="260508"/>
        <n v="513792"/>
        <n v="457170"/>
        <n v="200092"/>
        <n v="69306"/>
        <n v="186462"/>
        <n v="319508"/>
        <n v="532971"/>
        <n v="117908"/>
        <n v="149072"/>
        <n v="156425"/>
        <n v="458480"/>
        <n v="153072"/>
        <n v="234568"/>
        <n v="21820"/>
        <n v="625432"/>
        <n v="225468"/>
        <n v="97069"/>
        <n v="244616"/>
        <n v="269176"/>
        <n v="215576"/>
        <n v="680715"/>
        <n v="75548"/>
        <n v="386512"/>
        <n v="319218"/>
        <n v="25295"/>
        <n v="70692"/>
        <n v="301755"/>
        <n v="76067"/>
        <n v="513100"/>
        <n v="54352"/>
        <n v="141489"/>
        <n v="192858"/>
        <n v="96174"/>
        <n v="262215"/>
        <n v="415578"/>
        <n v="67722"/>
        <n v="518157"/>
        <n v="160992"/>
        <n v="266088"/>
        <n v="148264"/>
        <n v="107664"/>
        <n v="332110"/>
        <n v="277625"/>
        <n v="59871"/>
        <n v="92008"/>
        <n v="454517"/>
        <n v="343560"/>
        <n v="41748"/>
        <n v="300144"/>
        <n v="28830"/>
        <n v="79285"/>
        <n v="309318"/>
        <n v="21830"/>
        <n v="101085"/>
        <n v="78812"/>
        <n v="52956"/>
        <n v="510426"/>
        <n v="35128"/>
        <n v="174750"/>
        <n v="84252"/>
        <n v="466191"/>
        <n v="505984"/>
        <n v="113721"/>
        <n v="63220"/>
        <n v="118749"/>
        <n v="357360"/>
        <n v="100925"/>
        <n v="93976"/>
        <n v="123568"/>
        <n v="168972"/>
        <n v="57450"/>
        <n v="46304"/>
        <n v="205015"/>
        <n v="113492"/>
        <n v="143846"/>
        <n v="53847"/>
        <n v="364798"/>
        <n v="337644"/>
        <n v="24378"/>
        <n v="25096"/>
        <n v="312347"/>
        <n v="213933"/>
        <n v="53062"/>
        <n v="137220"/>
        <n v="436376"/>
        <n v="405904"/>
        <n v="145074"/>
        <n v="118536"/>
        <n v="313535"/>
        <n v="320810"/>
        <n v="60184"/>
        <n v="57304"/>
        <n v="180087"/>
        <n v="377604"/>
        <n v="151088"/>
        <n v="331407"/>
        <n v="219740"/>
        <n v="91610"/>
        <n v="548310"/>
        <n v="78134"/>
        <n v="10905"/>
        <n v="312415"/>
        <n v="347656"/>
        <n v="142660"/>
        <n v="41016"/>
        <n v="197408"/>
        <n v="154866"/>
        <n v="6564"/>
        <n v="56610"/>
        <n v="57657"/>
        <n v="149280"/>
        <n v="46137"/>
        <n v="415058"/>
        <n v="63584"/>
        <n v="122706"/>
        <n v="125721"/>
        <n v="67805"/>
        <n v="76938"/>
        <n v="196698"/>
        <n v="425726"/>
        <n v="342255"/>
        <n v="34712"/>
        <n v="147758"/>
        <n v="63098"/>
        <n v="30321"/>
        <n v="296961"/>
        <n v="78020"/>
        <n v="53627"/>
        <n v="58788"/>
        <n v="284304"/>
        <n v="136645"/>
        <n v="488480"/>
        <n v="154250"/>
        <n v="24471"/>
        <n v="84970"/>
        <n v="62016"/>
        <n v="466206"/>
        <n v="330960"/>
        <n v="457160"/>
        <n v="40836"/>
        <n v="531216"/>
        <n v="12645"/>
        <n v="261048"/>
        <n v="376932"/>
        <n v="33054"/>
        <n v="503172"/>
        <n v="156870"/>
        <n v="10713"/>
        <n v="42182"/>
        <n v="225027"/>
        <n v="300812"/>
        <n v="336636"/>
        <n v="307616"/>
        <n v="33072"/>
        <n v="50922"/>
        <n v="312512"/>
        <n v="235758"/>
        <n v="336294"/>
        <n v="102336"/>
        <n v="23208"/>
        <n v="264105"/>
        <n v="304899"/>
        <n v="99360"/>
        <n v="217605"/>
        <n v="200853"/>
        <n v="168108"/>
        <n v="340380"/>
        <n v="80864"/>
        <n v="682047"/>
        <n v="710433"/>
        <n v="132042"/>
        <n v="59988"/>
        <n v="41044"/>
        <n v="673236"/>
        <n v="306080"/>
        <n v="207408"/>
        <n v="634914"/>
        <n v="110720"/>
        <n v="185418"/>
        <n v="18531"/>
        <n v="329760"/>
        <n v="70840"/>
        <n v="14778"/>
        <n v="68184"/>
        <n v="288297"/>
        <n v="374815"/>
        <n v="134920"/>
        <n v="47872"/>
        <n v="78669"/>
        <n v="26517"/>
        <n v="120695"/>
        <n v="363335"/>
        <n v="230996"/>
        <n v="210252"/>
        <n v="402176"/>
        <n v="26960"/>
        <n v="318940"/>
        <n v="109833"/>
        <n v="379135"/>
        <n v="288872"/>
        <n v="73443"/>
        <n v="51235"/>
        <n v="58621"/>
        <n v="52766"/>
        <n v="208605"/>
        <n v="30319"/>
        <n v="399006"/>
        <n v="258552"/>
        <n v="177210"/>
        <n v="190084"/>
        <n v="348885"/>
        <n v="68548"/>
        <n v="243180"/>
        <n v="139335"/>
        <n v="280192"/>
        <n v="139932"/>
        <n v="90808"/>
        <n v="172040"/>
        <n v="523530"/>
        <n v="594639"/>
        <n v="67490"/>
        <n v="380736"/>
        <n v="277864"/>
        <n v="362160"/>
        <n v="559422"/>
        <n v="35644"/>
        <n v="432840"/>
        <n v="236628"/>
        <n v="346610"/>
        <n v="333376"/>
        <n v="527884"/>
        <n v="71239"/>
        <n v="275216"/>
        <n v="133454"/>
        <n v="22880"/>
        <n v="507920"/>
        <n v="62253"/>
        <n v="53190"/>
        <n v="418752"/>
        <n v="158280"/>
        <n v="33972"/>
        <n v="69385"/>
        <n v="252678"/>
        <n v="106043"/>
        <n v="540126"/>
        <n v="173608"/>
        <n v="327342"/>
        <n v="15729"/>
        <n v="29656"/>
        <n v="79704"/>
        <n v="76799"/>
        <n v="319745"/>
        <n v="324744"/>
        <n v="52410"/>
        <n v="37544"/>
        <n v="64764"/>
        <n v="74662"/>
        <n v="92920"/>
        <n v="85173"/>
        <n v="293755"/>
        <n v="17097"/>
        <n v="214551"/>
        <n v="85386"/>
        <n v="455904"/>
        <n v="219076"/>
        <n v="44814"/>
        <n v="157212"/>
        <n v="308175"/>
        <n v="65320"/>
        <n v="438221"/>
        <n v="96502"/>
        <n v="472734"/>
        <n v="33942"/>
        <n v="100034"/>
        <n v="196665"/>
        <n v="111627"/>
        <n v="177460"/>
        <n v="32035"/>
        <n v="414486"/>
        <n v="30976"/>
        <n v="375752"/>
        <n v="259950"/>
        <n v="555669"/>
        <n v="102575"/>
        <n v="288218"/>
        <n v="42800"/>
        <n v="471978"/>
        <n v="350274"/>
        <n v="129564"/>
        <n v="432486"/>
        <n v="498272"/>
        <n v="336030"/>
        <n v="128970"/>
        <n v="688851"/>
        <n v="156128"/>
        <n v="92624"/>
        <n v="380212"/>
        <n v="322722"/>
        <n v="186316"/>
        <n v="375444"/>
        <n v="231783"/>
        <n v="449645"/>
        <n v="347424"/>
        <n v="125220"/>
        <n v="78130"/>
        <n v="272770"/>
        <n v="24398"/>
        <n v="308224"/>
        <n v="66360"/>
        <n v="141740"/>
        <n v="210720"/>
        <n v="77155"/>
        <n v="15214"/>
        <n v="479508"/>
        <n v="158232"/>
        <n v="108104"/>
        <n v="88692"/>
        <n v="353358"/>
        <n v="398321"/>
        <n v="365092"/>
        <n v="77246"/>
        <n v="336505"/>
        <n v="207942"/>
        <n v="76347"/>
        <n v="212796"/>
        <n v="117116"/>
        <n v="134696"/>
        <n v="116836"/>
        <n v="137760"/>
        <n v="35860"/>
        <n v="141828"/>
        <n v="161150"/>
        <n v="234600"/>
        <n v="70165"/>
        <n v="532352"/>
        <n v="224288"/>
        <n v="562576"/>
        <n v="39388"/>
        <n v="501948"/>
        <n v="53679"/>
        <n v="67543"/>
        <n v="213426"/>
        <n v="149517"/>
        <n v="235332"/>
        <n v="269692"/>
        <n v="278292"/>
        <n v="458784"/>
        <n v="176115"/>
        <n v="486536"/>
        <n v="393136"/>
        <n v="526274"/>
        <n v="130956"/>
        <n v="55450"/>
        <n v="115804"/>
        <n v="97504"/>
        <n v="197144"/>
        <n v="267882"/>
        <n v="560656"/>
        <n v="233922"/>
        <n v="23474"/>
        <n v="254412"/>
        <n v="43008"/>
        <n v="105912"/>
        <n v="395215"/>
        <n v="28100"/>
        <n v="203576"/>
        <n v="144708"/>
        <n v="201153"/>
        <n v="464391"/>
        <n v="285976"/>
        <n v="60800"/>
        <n v="127408"/>
        <n v="175461"/>
        <n v="205860"/>
        <n v="243880"/>
        <n v="70305"/>
        <n v="423176"/>
        <n v="551008"/>
        <n v="108824"/>
        <n v="309128"/>
        <n v="267872"/>
        <n v="43658"/>
        <n v="11053"/>
        <n v="241004"/>
        <n v="91290"/>
        <n v="7545"/>
        <n v="108480"/>
        <n v="134750"/>
        <n v="34648"/>
        <n v="133491"/>
        <n v="115212"/>
        <n v="536896"/>
        <n v="226032"/>
        <n v="117432"/>
        <n v="57600"/>
        <n v="197352"/>
        <n v="181104"/>
        <n v="142505"/>
        <n v="352506"/>
        <n v="370719"/>
        <n v="275808"/>
        <n v="63896"/>
        <n v="18966"/>
        <n v="305615"/>
        <n v="224435"/>
        <n v="330275"/>
        <n v="145028"/>
        <n v="186616"/>
        <n v="381520"/>
        <n v="29866"/>
        <n v="248245"/>
        <n v="14166"/>
        <n v="56168"/>
        <n v="16969"/>
        <n v="341280"/>
        <n v="466434"/>
        <n v="68588"/>
        <n v="77128"/>
        <n v="134144"/>
        <n v="39092"/>
        <n v="19102"/>
        <n v="42087"/>
        <n v="367815"/>
        <n v="130576"/>
        <n v="88270"/>
        <n v="431641"/>
        <n v="129374"/>
        <n v="50032"/>
        <n v="317154"/>
        <n v="135660"/>
        <n v="424800"/>
        <n v="42050"/>
        <n v="496468"/>
        <n v="580856"/>
        <n v="269730"/>
        <n v="316416"/>
        <n v="89880"/>
        <n v="34654"/>
        <n v="516672"/>
        <n v="164652"/>
        <n v="280972"/>
        <n v="104670"/>
        <n v="52736"/>
        <n v="36016"/>
        <n v="157461"/>
        <n v="73395"/>
        <n v="14786"/>
        <n v="121942"/>
        <n v="515599"/>
        <n v="477912"/>
        <n v="679563"/>
        <n v="173220"/>
        <n v="370098"/>
        <n v="75573"/>
        <n v="119138"/>
        <n v="514197"/>
        <n v="160557"/>
        <n v="228171"/>
        <n v="307359"/>
        <n v="59304"/>
        <n v="454152"/>
        <n v="73367"/>
        <n v="395793"/>
        <n v="199064"/>
        <n v="117060"/>
        <n v="115488"/>
        <n v="143280"/>
        <n v="28608"/>
        <n v="203644"/>
        <n v="96026"/>
        <n v="226570"/>
        <n v="167142"/>
        <n v="33894"/>
        <n v="348560"/>
        <n v="142160"/>
        <n v="222100"/>
        <n v="489680"/>
        <n v="163670"/>
        <n v="123657"/>
        <n v="431832"/>
        <n v="60813"/>
        <n v="16007"/>
        <n v="266728"/>
        <n v="380877"/>
        <n v="234261"/>
        <n v="427448"/>
        <n v="78728"/>
        <n v="45729"/>
        <n v="546574"/>
        <n v="125608"/>
        <n v="114012"/>
        <n v="53168"/>
        <n v="327955"/>
        <n v="170527"/>
        <n v="211484"/>
        <n v="76404"/>
        <n v="429966"/>
        <n v="429309"/>
        <n v="127827"/>
        <n v="72836"/>
        <n v="39663"/>
        <n v="158499"/>
        <n v="213899"/>
        <n v="112734"/>
        <n v="25004"/>
        <n v="150352"/>
        <n v="59492"/>
        <n v="11889"/>
        <n v="102438"/>
        <n v="401226"/>
        <n v="707292"/>
        <n v="170552"/>
        <n v="12294"/>
        <n v="47082"/>
        <n v="392010"/>
        <n v="345492"/>
        <n v="277388"/>
        <n v="359864"/>
        <n v="146460"/>
        <n v="62152"/>
        <n v="321768"/>
        <n v="393198"/>
        <n v="168024"/>
        <n v="701586"/>
        <n v="22710"/>
        <n v="70657"/>
        <n v="210405"/>
        <n v="497052"/>
        <n v="179585"/>
        <n v="94381"/>
        <n v="90188"/>
        <n v="139350"/>
        <n v="120836"/>
        <n v="102632"/>
        <n v="212004"/>
        <n v="164810"/>
        <n v="144466"/>
        <n v="393786"/>
        <n v="388085"/>
        <n v="356256"/>
        <n v="73412"/>
        <n v="610368"/>
        <n v="18771"/>
        <n v="71026"/>
        <n v="46315"/>
        <n v="114921"/>
        <n v="60668"/>
        <n v="113247"/>
        <n v="133080"/>
        <n v="350550"/>
        <n v="20712"/>
        <n v="454830"/>
        <n v="215808"/>
        <n v="33250"/>
        <n v="87335"/>
        <n v="311400"/>
        <n v="81036"/>
        <n v="440490"/>
        <n v="18714"/>
        <n v="47595"/>
        <n v="146736"/>
        <n v="66039"/>
        <n v="76294"/>
        <n v="71289"/>
        <n v="37712"/>
        <n v="393235"/>
        <n v="402899"/>
        <n v="34732"/>
        <n v="467307"/>
        <n v="142256"/>
        <n v="7642"/>
        <n v="150792"/>
        <n v="97376"/>
        <n v="183498"/>
        <n v="129678"/>
        <n v="247698"/>
        <n v="58400"/>
        <n v="87535"/>
        <n v="239865"/>
        <n v="486063"/>
        <n v="163059"/>
        <n v="147392"/>
        <n v="443097"/>
        <n v="502785"/>
        <n v="51488"/>
        <n v="51356"/>
        <n v="123912"/>
        <n v="106731"/>
        <n v="308160"/>
        <n v="162798"/>
        <n v="447096"/>
        <n v="308651"/>
        <n v="341820"/>
        <n v="163860"/>
        <n v="48825"/>
        <n v="314708"/>
        <n v="111454"/>
        <n v="494865"/>
        <n v="156252"/>
        <n v="447852"/>
        <n v="32040"/>
        <n v="120674"/>
        <n v="44612"/>
        <n v="397467"/>
        <n v="62529"/>
        <n v="380548"/>
        <n v="301293"/>
        <n v="594738"/>
        <n v="193980"/>
        <n v="340552"/>
        <n v="478026"/>
        <n v="216882"/>
        <n v="414636"/>
        <n v="217740"/>
        <n v="473186"/>
        <n v="113820"/>
        <n v="336150"/>
        <n v="46741"/>
        <n v="301086"/>
        <n v="29200"/>
        <n v="269688"/>
        <n v="22725"/>
        <n v="69196"/>
        <n v="389564"/>
        <n v="304380"/>
        <n v="37597"/>
        <n v="13707"/>
        <n v="53943"/>
        <n v="344015"/>
        <n v="57085"/>
        <n v="257148"/>
        <n v="517552"/>
        <n v="143028"/>
        <n v="448587"/>
        <n v="161428"/>
        <n v="140835"/>
        <n v="382390"/>
        <n v="95932"/>
        <n v="241656"/>
        <n v="50279"/>
        <n v="128966"/>
        <n v="305804"/>
        <n v="28180"/>
        <n v="378752"/>
        <n v="131076"/>
        <n v="64420"/>
        <n v="370524"/>
        <n v="100224"/>
        <n v="274260"/>
        <n v="474201"/>
        <n v="148540"/>
        <n v="226872"/>
        <n v="675423"/>
        <n v="83316"/>
        <n v="89425"/>
        <n v="416661"/>
        <n v="15707"/>
        <n v="36744"/>
        <n v="332630"/>
        <n v="560848"/>
        <n v="350850"/>
        <n v="435407"/>
        <n v="98871"/>
        <n v="367458"/>
        <n v="708768"/>
        <n v="116979"/>
        <n v="234096"/>
        <n v="212478"/>
        <n v="268185"/>
        <n v="78784"/>
        <n v="381384"/>
        <n v="100698"/>
        <n v="487858"/>
        <n v="200595"/>
        <n v="412349"/>
        <n v="389683"/>
        <n v="63696"/>
        <n v="300712"/>
        <n v="227196"/>
        <n v="176064"/>
        <n v="65360"/>
        <n v="149061"/>
        <n v="161652"/>
        <n v="314502"/>
        <n v="397554"/>
        <n v="20980"/>
        <n v="187033"/>
        <n v="379400"/>
        <n v="174736"/>
        <n v="143364"/>
        <n v="143348"/>
        <n v="231248"/>
        <n v="433692"/>
        <n v="708354"/>
        <n v="427924"/>
        <n v="130322"/>
        <n v="144624"/>
        <n v="100700"/>
        <n v="78912"/>
        <n v="427888"/>
        <n v="345176"/>
        <n v="40998"/>
        <n v="357534"/>
        <n v="322134"/>
        <n v="357812"/>
        <n v="687780"/>
        <n v="61740"/>
        <n v="83898"/>
        <n v="43235"/>
        <n v="64961"/>
        <n v="166068"/>
        <n v="269307"/>
        <n v="38750"/>
        <n v="26983"/>
        <n v="54525"/>
        <n v="483864"/>
        <n v="60056"/>
        <n v="298436"/>
        <n v="342276"/>
        <n v="7234"/>
        <n v="312668"/>
        <n v="240044"/>
        <n v="153549"/>
        <n v="488277"/>
        <n v="298002"/>
        <n v="510368"/>
        <n v="276260"/>
        <n v="285104"/>
        <n v="86652"/>
        <n v="71394"/>
        <n v="72684"/>
        <n v="177750"/>
        <n v="99752"/>
        <n v="52771"/>
        <n v="34476"/>
        <n v="48797"/>
        <n v="205400"/>
        <n v="73220"/>
        <n v="553552"/>
        <n v="17534"/>
        <n v="17768"/>
        <n v="193375"/>
        <n v="302940"/>
        <n v="100128"/>
        <n v="559480"/>
        <n v="300244"/>
        <n v="158372"/>
        <n v="366895"/>
        <n v="264213"/>
        <n v="49473"/>
        <n v="21402"/>
        <n v="71499"/>
        <n v="151896"/>
        <n v="263662"/>
        <n v="369600"/>
        <n v="374140"/>
        <n v="35182"/>
        <n v="68432"/>
        <n v="97350"/>
        <n v="313065"/>
        <n v="65277"/>
        <n v="278152"/>
        <n v="419334"/>
        <n v="50052"/>
        <n v="173421"/>
        <n v="610902"/>
        <n v="295548"/>
        <n v="409176"/>
        <n v="252085"/>
        <n v="12172"/>
        <n v="205842"/>
        <n v="465954"/>
        <n v="24168"/>
        <n v="350958"/>
        <n v="222440"/>
        <n v="66786"/>
        <n v="76992"/>
        <n v="75003"/>
        <n v="60768"/>
        <n v="7896"/>
        <n v="92172"/>
        <n v="366192"/>
        <n v="66022"/>
        <n v="55748"/>
        <n v="209564"/>
        <n v="349568"/>
        <n v="353724"/>
        <n v="32452"/>
        <n v="109290"/>
        <n v="247392"/>
        <n v="177200"/>
        <n v="371760"/>
        <n v="150565"/>
        <n v="171288"/>
        <n v="108064"/>
        <n v="75920"/>
        <n v="136500"/>
        <n v="89780"/>
        <n v="240450"/>
        <n v="43382"/>
        <n v="398620"/>
        <n v="277740"/>
        <n v="281368"/>
        <n v="103263"/>
        <n v="47089"/>
        <n v="110970"/>
        <n v="566712"/>
        <n v="34458"/>
        <n v="380510"/>
        <n v="148854"/>
        <n v="14046"/>
        <n v="173705"/>
        <n v="320445"/>
        <n v="64344"/>
        <n v="106694"/>
        <n v="248976"/>
        <n v="151772"/>
        <n v="28328"/>
        <n v="399530"/>
        <n v="340848"/>
        <n v="259516"/>
        <n v="312222"/>
        <n v="55970"/>
        <n v="251472"/>
        <n v="219123"/>
        <n v="93246"/>
        <n v="21360"/>
        <n v="76856"/>
        <n v="128888"/>
        <n v="77279"/>
        <n v="59094"/>
        <n v="69204"/>
        <n v="79788"/>
        <n v="458704"/>
        <n v="283759"/>
        <n v="247221"/>
        <n v="91888"/>
        <n v="77777"/>
        <n v="48742"/>
        <n v="75048"/>
        <n v="560808"/>
        <n v="109896"/>
        <n v="469269"/>
        <n v="18810"/>
        <n v="28612"/>
        <n v="30131"/>
        <n v="74040"/>
        <n v="351864"/>
        <n v="299547"/>
        <n v="65357"/>
        <n v="123230"/>
        <n v="89608"/>
        <n v="147252"/>
        <n v="46904"/>
        <n v="230800"/>
        <n v="186192"/>
        <n v="30336"/>
        <n v="60309"/>
        <n v="177835"/>
        <n v="114764"/>
        <n v="370460"/>
        <n v="135216"/>
        <n v="532062"/>
        <n v="305064"/>
        <n v="125358"/>
        <n v="5656"/>
        <n v="184480"/>
        <n v="437626"/>
        <n v="124270"/>
        <n v="232848"/>
        <n v="492264"/>
        <n v="571936"/>
        <n v="188385"/>
        <n v="177360"/>
        <n v="225268"/>
        <n v="39515"/>
        <n v="38146"/>
        <n v="44877"/>
        <n v="346416"/>
        <n v="347851"/>
        <n v="226071"/>
        <n v="368753"/>
        <n v="163467"/>
        <n v="322218"/>
        <n v="457400"/>
        <n v="105777"/>
        <n v="194808"/>
        <n v="211578"/>
        <n v="130595"/>
        <n v="468272"/>
        <n v="283773"/>
        <n v="60387"/>
        <n v="382584"/>
        <n v="74555"/>
        <n v="209672"/>
        <n v="107390"/>
        <n v="334680"/>
        <n v="128508"/>
        <n v="126968"/>
        <n v="212112"/>
        <n v="88326"/>
        <n v="295664"/>
        <n v="119256"/>
        <n v="78900"/>
        <n v="322945"/>
        <n v="75223"/>
        <n v="203876"/>
        <n v="432732"/>
        <n v="104448"/>
        <n v="607664"/>
        <n v="588114"/>
        <n v="29760"/>
        <n v="35042"/>
        <n v="47718"/>
        <n v="147028"/>
        <n v="429921"/>
        <n v="217650"/>
        <n v="48766"/>
        <n v="52029"/>
        <n v="248647"/>
        <n v="40635"/>
        <n v="204340"/>
        <n v="118029"/>
        <n v="555289"/>
        <n v="201915"/>
        <n v="120240"/>
        <n v="90561"/>
        <n v="406068"/>
        <n v="220675"/>
        <n v="347152"/>
        <n v="137978"/>
        <n v="89304"/>
        <n v="476412"/>
        <n v="433600"/>
        <n v="100075"/>
        <n v="65911"/>
        <n v="61221"/>
        <n v="231255"/>
        <n v="119220"/>
        <n v="29190"/>
        <n v="103976"/>
        <n v="55504"/>
        <n v="46138"/>
        <n v="66485"/>
        <n v="62291"/>
        <n v="319572"/>
        <n v="56574"/>
        <n v="341412"/>
        <n v="471982"/>
        <n v="54096"/>
        <n v="75355"/>
        <n v="185864"/>
        <n v="220376"/>
        <n v="45239"/>
        <n v="315360"/>
        <n v="356468"/>
        <n v="416794"/>
        <n v="434112"/>
        <n v="509593"/>
        <n v="258132"/>
        <n v="324632"/>
        <n v="52713"/>
        <n v="479025"/>
        <n v="36681"/>
        <n v="184756"/>
        <n v="115242"/>
        <n v="467248"/>
        <n v="140349"/>
        <n v="203274"/>
        <n v="169225"/>
        <n v="75075"/>
        <n v="132480"/>
        <n v="51363"/>
        <n v="159369"/>
        <n v="283203"/>
        <n v="109062"/>
        <n v="413304"/>
        <n v="97278"/>
        <n v="55472"/>
        <n v="453728"/>
        <n v="95046"/>
        <n v="195140"/>
        <n v="15545"/>
        <n v="10714"/>
        <n v="26788"/>
        <n v="130812"/>
        <n v="119478"/>
        <n v="48010"/>
        <n v="111601"/>
        <n v="38012"/>
        <n v="375540"/>
        <n v="85000"/>
        <n v="343371"/>
        <n v="310716"/>
        <n v="611240"/>
        <n v="306028"/>
        <n v="218648"/>
        <n v="331555"/>
        <n v="382520"/>
        <n v="184971"/>
        <n v="390915"/>
        <n v="152495"/>
        <n v="294280"/>
        <n v="556752"/>
        <n v="456240"/>
        <n v="214545"/>
        <n v="616048"/>
        <n v="184257"/>
        <n v="50126"/>
        <n v="16850"/>
        <n v="35904"/>
        <n v="166350"/>
        <n v="61700"/>
        <n v="466338"/>
        <n v="202712"/>
        <n v="391329"/>
        <n v="416106"/>
        <n v="347034"/>
        <n v="69236"/>
        <n v="266435"/>
        <n v="195918"/>
        <n v="400379"/>
        <n v="273915"/>
        <n v="435726"/>
        <n v="179185"/>
        <n v="283465"/>
        <n v="402840"/>
        <n v="135420"/>
        <n v="212290"/>
        <n v="227784"/>
        <n v="358005"/>
        <n v="193053"/>
        <n v="210244"/>
        <n v="496827"/>
        <n v="27640"/>
        <n v="497856"/>
        <n v="213813"/>
        <n v="257940"/>
        <n v="91406"/>
        <n v="250452"/>
        <n v="77195"/>
        <n v="495840"/>
        <n v="678393"/>
        <n v="23335"/>
        <n v="418808"/>
        <n v="221880"/>
        <n v="315006"/>
        <n v="487016"/>
        <n v="97690"/>
        <n v="70152"/>
        <n v="256102"/>
        <n v="510153"/>
        <n v="517454"/>
        <n v="514971"/>
        <n v="240642"/>
        <n v="34098"/>
        <n v="644310"/>
        <n v="396582"/>
        <n v="478814"/>
        <n v="200795"/>
        <n v="141768"/>
        <n v="170896"/>
        <n v="33018"/>
        <n v="184180"/>
        <n v="130032"/>
        <n v="306320"/>
        <n v="65495"/>
        <n v="67536"/>
        <n v="226640"/>
        <n v="271845"/>
        <n v="412434"/>
        <n v="151140"/>
        <n v="6268"/>
        <n v="573696"/>
        <n v="207144"/>
        <n v="334695"/>
        <n v="271330"/>
        <n v="373696"/>
        <n v="94144"/>
        <n v="321070"/>
        <n v="95888"/>
        <n v="468972"/>
        <n v="342060"/>
        <n v="402248"/>
        <n v="300627"/>
        <n v="35226"/>
        <n v="304047"/>
        <n v="473634"/>
        <n v="365775"/>
        <n v="503181"/>
        <n v="589600"/>
        <n v="295092"/>
        <n v="109494"/>
        <n v="120657"/>
        <n v="563528"/>
        <n v="5403"/>
        <n v="225568"/>
        <n v="42425"/>
        <n v="159968"/>
        <n v="140982"/>
        <n v="154096"/>
        <n v="164640"/>
        <n v="204537"/>
        <n v="39712"/>
        <n v="275296"/>
        <n v="297605"/>
        <n v="134148"/>
        <n v="310760"/>
        <n v="139894"/>
        <n v="132680"/>
        <n v="259285"/>
        <n v="437952"/>
        <n v="20654"/>
        <n v="198738"/>
        <n v="191320"/>
        <n v="185904"/>
        <n v="119025"/>
        <n v="304695"/>
        <n v="36508"/>
        <n v="333610"/>
        <n v="389871"/>
        <n v="296504"/>
        <n v="89865"/>
        <n v="265435"/>
        <n v="250844"/>
        <n v="129124"/>
        <n v="107745"/>
        <n v="398556"/>
        <n v="228361"/>
        <n v="58182"/>
        <n v="20730"/>
        <n v="66490"/>
        <n v="343938"/>
        <n v="108939"/>
        <n v="141146"/>
        <n v="351570"/>
        <n v="139632"/>
        <n v="362785"/>
        <n v="267888"/>
        <n v="126867"/>
        <n v="67710"/>
        <n v="41517"/>
        <n v="221514"/>
        <n v="81066"/>
        <n v="59792"/>
        <n v="347466"/>
        <n v="21746"/>
        <n v="145844"/>
        <n v="624272"/>
        <n v="192546"/>
        <n v="228513"/>
        <n v="115998"/>
        <n v="115596"/>
        <n v="27690"/>
        <n v="22036"/>
        <n v="100080"/>
        <n v="183588"/>
        <n v="476199"/>
        <n v="396496"/>
        <n v="137889"/>
        <n v="239064"/>
        <n v="419377"/>
        <n v="25725"/>
        <n v="529459"/>
        <n v="36988"/>
        <n v="373620"/>
        <n v="68289"/>
        <n v="194188"/>
        <n v="23088"/>
        <n v="134082"/>
        <n v="49426"/>
        <n v="396392"/>
        <n v="48548"/>
        <n v="461064"/>
        <n v="86769"/>
        <n v="456570"/>
        <n v="16631"/>
        <n v="285712"/>
        <n v="35115"/>
        <n v="275904"/>
        <n v="278894"/>
        <n v="300945"/>
        <n v="101846"/>
        <n v="160320"/>
        <n v="16948"/>
        <n v="74340"/>
        <n v="130436"/>
        <n v="108218"/>
        <n v="21236"/>
        <n v="50765"/>
        <n v="352062"/>
        <n v="114280"/>
        <n v="124166"/>
        <n v="157354"/>
        <n v="166760"/>
        <n v="196224"/>
        <n v="136090"/>
        <n v="229656"/>
        <n v="217288"/>
        <n v="289560"/>
        <n v="94600"/>
        <n v="197496"/>
        <n v="50184"/>
        <n v="532251"/>
        <n v="36621"/>
        <n v="154044"/>
        <n v="289776"/>
        <n v="102363"/>
        <n v="87830"/>
        <n v="120136"/>
        <n v="160752"/>
        <n v="181180"/>
        <n v="113976"/>
        <n v="209526"/>
        <n v="361095"/>
        <n v="205770"/>
        <n v="100730"/>
        <n v="348993"/>
        <n v="214352"/>
        <n v="333669"/>
        <n v="104940"/>
        <n v="57616"/>
        <n v="68470"/>
        <n v="466572"/>
        <n v="114630"/>
        <n v="45242"/>
        <n v="48501"/>
        <n v="686205"/>
        <n v="120093"/>
        <n v="260022"/>
        <n v="12998"/>
        <n v="318556"/>
        <n v="324909"/>
        <n v="237976"/>
        <n v="460600"/>
        <n v="55056"/>
        <n v="175820"/>
        <n v="129930"/>
        <n v="419040"/>
        <n v="109029"/>
        <n v="35800"/>
        <n v="62223"/>
        <n v="70820"/>
        <n v="191808"/>
        <n v="224128"/>
        <n v="398735"/>
        <n v="249678"/>
        <n v="228424"/>
        <n v="68338"/>
        <n v="308988"/>
        <n v="47180"/>
        <n v="198783"/>
        <n v="546318"/>
        <n v="91284"/>
        <n v="632264"/>
        <n v="232078"/>
        <n v="348229"/>
        <n v="78698"/>
        <n v="148986"/>
        <n v="84716"/>
        <n v="114968"/>
        <n v="223348"/>
        <n v="87717"/>
        <n v="37650"/>
        <n v="345140"/>
        <n v="542129"/>
        <n v="335844"/>
        <n v="610136"/>
        <n v="200511"/>
        <n v="344561"/>
        <n v="99000"/>
        <n v="17045"/>
        <n v="395486"/>
        <n v="247794"/>
        <n v="46490"/>
        <n v="32339"/>
        <n v="301552"/>
        <n v="275276"/>
        <n v="198186"/>
        <n v="108130"/>
        <n v="254718"/>
        <n v="413528"/>
        <n v="316008"/>
        <n v="532329"/>
        <n v="676836"/>
        <n v="33261"/>
        <n v="697959"/>
        <n v="72628"/>
        <n v="670851"/>
        <n v="187410"/>
        <n v="262288"/>
        <n v="76732"/>
        <n v="169041"/>
        <n v="189185"/>
        <n v="118251"/>
        <n v="102095"/>
        <n v="25977"/>
        <n v="42536"/>
        <n v="17364"/>
        <n v="323608"/>
        <n v="450588"/>
        <n v="28956"/>
        <n v="376245"/>
        <n v="52065"/>
        <n v="26984"/>
        <n v="127435"/>
        <n v="42450"/>
        <n v="77100"/>
        <n v="141879"/>
        <n v="171060"/>
        <n v="59886"/>
        <n v="104265"/>
        <n v="276045"/>
        <n v="407712"/>
        <n v="653805"/>
        <n v="524008"/>
        <n v="215568"/>
        <n v="42185"/>
        <n v="222705"/>
        <n v="54884"/>
        <n v="610722"/>
        <n v="207978"/>
        <n v="354640"/>
        <n v="308490"/>
        <n v="198018"/>
        <n v="487143"/>
        <n v="83817"/>
        <n v="555324"/>
        <n v="33610"/>
        <n v="96728"/>
        <n v="133392"/>
        <n v="7812"/>
        <n v="29112"/>
        <n v="160472"/>
        <n v="370795"/>
        <n v="46120"/>
        <n v="54866"/>
        <n v="41468"/>
        <n v="49092"/>
        <n v="174915"/>
        <n v="119765"/>
        <n v="324664"/>
        <n v="600912"/>
        <n v="18924"/>
        <n v="52992"/>
        <n v="433554"/>
        <n v="255690"/>
        <n v="54408"/>
        <n v="70842"/>
        <n v="117220"/>
        <n v="290250"/>
        <n v="292596"/>
        <n v="349062"/>
        <n v="569704"/>
        <n v="311195"/>
        <n v="433899"/>
        <n v="56028"/>
        <n v="481523"/>
        <n v="636176"/>
        <n v="276336"/>
        <n v="187614"/>
        <n v="130590"/>
        <n v="19089"/>
        <n v="431604"/>
        <n v="37480"/>
        <n v="447486"/>
        <n v="609280"/>
        <n v="146337"/>
        <n v="127475"/>
        <n v="312214"/>
        <n v="56132"/>
        <n v="290515"/>
        <n v="25442"/>
        <n v="32988"/>
        <n v="387576"/>
        <n v="421708"/>
        <n v="121896"/>
        <n v="418704"/>
        <n v="52930"/>
        <n v="61228"/>
        <n v="103520"/>
        <n v="165242"/>
        <n v="488089"/>
        <n v="117846"/>
        <n v="502080"/>
        <n v="339980"/>
        <n v="15766"/>
        <n v="83188"/>
        <n v="299500"/>
        <n v="142982"/>
        <n v="85944"/>
        <n v="80937"/>
        <n v="34438"/>
        <n v="52248"/>
        <n v="135152"/>
        <n v="38970"/>
        <n v="370440"/>
        <n v="112833"/>
        <n v="364977"/>
        <n v="244827"/>
        <n v="177096"/>
        <n v="685116"/>
        <n v="127977"/>
        <n v="207129"/>
        <n v="42625"/>
        <n v="58662"/>
        <n v="672525"/>
        <n v="50791"/>
        <n v="292008"/>
        <n v="281032"/>
        <n v="201033"/>
        <n v="430116"/>
        <n v="200604"/>
        <n v="178640"/>
        <n v="247524"/>
        <n v="100638"/>
        <n v="94910"/>
        <n v="148902"/>
        <n v="73908"/>
        <n v="567783"/>
        <n v="95742"/>
        <n v="125118"/>
        <n v="135742"/>
        <n v="333685"/>
        <n v="229875"/>
        <n v="33129"/>
        <n v="128817"/>
        <n v="490413"/>
        <n v="119682"/>
        <n v="347110"/>
        <n v="45920"/>
        <n v="196167"/>
        <n v="660537"/>
        <n v="65443"/>
        <n v="503748"/>
        <n v="355928"/>
        <n v="51778"/>
        <n v="130708"/>
        <n v="91360"/>
        <n v="49431"/>
        <n v="38568"/>
        <n v="32446"/>
        <n v="310891"/>
        <n v="309110"/>
        <n v="122067"/>
        <n v="629616"/>
        <n v="61396"/>
        <n v="17637"/>
        <n v="309204"/>
        <n v="71414"/>
        <n v="316152"/>
        <n v="121596"/>
        <n v="53068"/>
        <n v="444204"/>
        <n v="80184"/>
        <n v="272430"/>
        <n v="386892"/>
        <n v="343074"/>
        <n v="286244"/>
        <n v="320825"/>
        <n v="30297"/>
        <n v="350922"/>
        <n v="316352"/>
        <n v="495027"/>
        <n v="503202"/>
        <n v="66956"/>
        <n v="104304"/>
        <n v="76188"/>
        <n v="41951"/>
        <n v="92600"/>
        <n v="487767"/>
        <n v="453492"/>
        <n v="280580"/>
        <n v="60753"/>
        <n v="223935"/>
        <n v="244038"/>
        <n v="26580"/>
        <n v="520984"/>
        <n v="43254"/>
        <n v="706266"/>
        <n v="127688"/>
        <n v="203712"/>
        <n v="557640"/>
        <n v="439470"/>
        <n v="32629"/>
        <n v="196744"/>
        <n v="257685"/>
        <n v="107496"/>
        <n v="28472"/>
        <n v="161550"/>
        <n v="130563"/>
        <n v="121392"/>
        <n v="77247"/>
        <n v="429611"/>
        <n v="463848"/>
        <n v="104895"/>
        <n v="40098"/>
        <n v="64081"/>
        <n v="149985"/>
        <n v="244576"/>
        <n v="412470"/>
        <n v="133730"/>
        <n v="29206"/>
        <n v="38280"/>
        <n v="70401"/>
        <n v="397104"/>
        <n v="63886"/>
        <n v="226107"/>
        <n v="41700"/>
        <n v="388256"/>
        <n v="71175"/>
        <n v="255672"/>
        <n v="49188"/>
        <n v="20211"/>
        <n v="92480"/>
        <n v="373488"/>
        <n v="46145"/>
        <n v="208032"/>
        <n v="396275"/>
        <n v="164108"/>
        <n v="206255"/>
        <n v="195224"/>
        <n v="271350"/>
        <n v="103880"/>
        <n v="332856"/>
        <n v="117606"/>
        <n v="27458"/>
        <n v="28938"/>
        <n v="315680"/>
        <n v="246096"/>
        <n v="101172"/>
        <n v="128265"/>
        <n v="92535"/>
        <n v="389570"/>
        <n v="429957"/>
        <n v="321640"/>
        <n v="132568"/>
        <n v="42320"/>
        <n v="53853"/>
        <n v="70380"/>
        <n v="332176"/>
        <n v="76801"/>
        <n v="197956"/>
        <n v="695493"/>
        <n v="13674"/>
        <n v="176289"/>
        <n v="371784"/>
        <n v="184194"/>
        <n v="232792"/>
        <n v="361287"/>
        <n v="489843"/>
        <n v="59295"/>
        <n v="353549"/>
        <n v="354204"/>
        <n v="540560"/>
        <n v="124978"/>
        <n v="304104"/>
        <n v="183270"/>
        <n v="140270"/>
        <n v="393640"/>
        <n v="65254"/>
        <n v="436320"/>
        <n v="251030"/>
        <n v="328152"/>
        <n v="170248"/>
        <n v="21726"/>
        <n v="343218"/>
        <n v="249234"/>
        <n v="141264"/>
        <n v="67438"/>
        <n v="147539"/>
        <n v="151365"/>
        <n v="180260"/>
        <n v="583640"/>
        <n v="92590"/>
        <n v="61980"/>
        <n v="45077"/>
        <n v="33962"/>
        <n v="366460"/>
        <n v="488894"/>
        <n v="30069"/>
        <n v="26219"/>
        <n v="44188"/>
        <n v="128559"/>
        <n v="95814"/>
        <n v="472360"/>
        <n v="207700"/>
        <n v="391416"/>
        <n v="152919"/>
        <n v="71934"/>
        <n v="244338"/>
        <n v="378644"/>
        <n v="448119"/>
        <n v="139524"/>
        <n v="41911"/>
        <n v="134514"/>
        <n v="96935"/>
        <n v="444846"/>
        <n v="109146"/>
        <n v="92810"/>
        <n v="56608"/>
        <n v="161660"/>
        <n v="184240"/>
        <n v="338758"/>
        <n v="74265"/>
        <n v="145820"/>
        <n v="644040"/>
        <n v="175368"/>
        <n v="111537"/>
        <n v="343410"/>
        <n v="333333"/>
        <n v="306200"/>
        <n v="291844"/>
        <n v="97104"/>
        <n v="56764"/>
        <n v="286495"/>
        <n v="279727"/>
        <n v="58932"/>
        <n v="124572"/>
        <n v="47860"/>
        <n v="177639"/>
        <n v="75191"/>
        <n v="166122"/>
        <n v="433314"/>
        <n v="377775"/>
        <n v="239500"/>
        <n v="354512"/>
        <n v="53978"/>
        <n v="570735"/>
        <n v="461295"/>
        <n v="109324"/>
        <n v="108992"/>
        <n v="422328"/>
        <n v="373410"/>
        <n v="132420"/>
        <n v="74152"/>
        <n v="248910"/>
        <n v="453056"/>
        <n v="163218"/>
        <n v="151926"/>
        <n v="130374"/>
        <n v="524760"/>
        <n v="222948"/>
        <n v="19681"/>
        <n v="119580"/>
        <n v="240208"/>
        <n v="40744"/>
        <n v="94833"/>
        <n v="84184"/>
        <n v="457137"/>
        <n v="151398"/>
        <n v="119820"/>
        <n v="148598"/>
        <n v="367668"/>
        <n v="333347"/>
        <n v="657009"/>
        <n v="374935"/>
        <n v="20060"/>
        <n v="56460"/>
        <n v="47928"/>
        <n v="151342"/>
        <n v="706356"/>
        <n v="527275"/>
        <n v="95214"/>
        <n v="61160"/>
        <n v="435715"/>
        <n v="476550"/>
        <n v="376855"/>
        <n v="300429"/>
        <n v="61025"/>
        <n v="176118"/>
        <n v="40733"/>
        <n v="161532"/>
        <n v="153210"/>
        <n v="31920"/>
        <n v="454216"/>
        <n v="537952"/>
        <n v="704133"/>
        <n v="441450"/>
        <n v="531783"/>
        <n v="147660"/>
        <n v="243210"/>
        <n v="61611"/>
        <n v="467001"/>
        <n v="415935"/>
        <n v="67383"/>
        <n v="198135"/>
        <n v="632280"/>
        <n v="230001"/>
        <n v="384240"/>
        <n v="331475"/>
        <n v="46600"/>
        <n v="18573"/>
        <n v="48094"/>
        <n v="616410"/>
        <n v="538191"/>
        <n v="133659"/>
        <n v="23626"/>
        <n v="125400"/>
        <n v="271936"/>
        <n v="233850"/>
        <n v="29992"/>
        <n v="389888"/>
        <n v="31185"/>
        <n v="59658"/>
        <n v="294585"/>
        <n v="131100"/>
        <n v="158394"/>
        <n v="134776"/>
        <n v="166250"/>
        <n v="76454"/>
        <n v="353520"/>
        <n v="30894"/>
        <n v="316180"/>
        <n v="27865"/>
        <n v="241800"/>
        <n v="147938"/>
        <n v="459024"/>
        <n v="42402"/>
        <n v="71808"/>
        <n v="66752"/>
        <n v="492163"/>
        <n v="107048"/>
        <n v="65824"/>
        <n v="322025"/>
        <n v="665514"/>
        <n v="32448"/>
        <n v="104994"/>
        <n v="56419"/>
        <n v="63087"/>
        <n v="96957"/>
        <n v="57986"/>
        <n v="192525"/>
        <n v="159430"/>
        <n v="42468"/>
        <n v="73237"/>
        <n v="8907"/>
        <n v="75364"/>
        <n v="219308"/>
        <n v="413553"/>
        <n v="531736"/>
        <n v="424728"/>
        <n v="476008"/>
        <n v="601695"/>
        <n v="24859"/>
        <n v="696168"/>
        <n v="437544"/>
        <n v="21548"/>
        <n v="268695"/>
        <n v="266796"/>
        <n v="42556"/>
        <n v="31974"/>
        <n v="453357"/>
        <n v="315672"/>
        <n v="119044"/>
        <n v="78505"/>
        <n v="180754"/>
        <n v="79880"/>
        <n v="326776"/>
        <n v="84309"/>
        <n v="124958"/>
        <n v="65787"/>
        <n v="131664"/>
        <n v="39948"/>
        <n v="415872"/>
        <n v="207572"/>
        <n v="281826"/>
        <n v="139408"/>
        <n v="39812"/>
        <n v="267584"/>
        <n v="282750"/>
        <n v="181134"/>
        <n v="119790"/>
        <n v="573633"/>
        <n v="658116"/>
        <n v="329050"/>
        <n v="615136"/>
        <n v="175483"/>
        <n v="59085"/>
        <n v="292305"/>
        <n v="232047"/>
        <n v="25612"/>
        <n v="99981"/>
        <n v="509747"/>
        <n v="110896"/>
        <n v="361320"/>
        <n v="131440"/>
        <n v="195085"/>
        <n v="347814"/>
        <n v="237454"/>
        <n v="82715"/>
        <n v="491841"/>
        <n v="152765"/>
        <n v="430880"/>
        <n v="261552"/>
        <n v="585828"/>
        <n v="468684"/>
        <n v="157578"/>
        <n v="51696"/>
        <n v="42276"/>
        <n v="156936"/>
        <n v="45482"/>
        <n v="138702"/>
        <n v="38258"/>
        <n v="256388"/>
        <n v="163114"/>
        <n v="275604"/>
        <n v="379568"/>
        <n v="306540"/>
        <n v="279684"/>
        <n v="434792"/>
        <n v="257890"/>
        <n v="88356"/>
        <n v="279325"/>
        <n v="78612"/>
        <n v="17754"/>
        <n v="166448"/>
        <n v="345267"/>
        <n v="315464"/>
        <n v="141554"/>
        <n v="142482"/>
        <n v="105540"/>
        <n v="494690"/>
        <n v="161576"/>
        <n v="65484"/>
        <n v="432756"/>
        <n v="216558"/>
        <n v="109611"/>
        <n v="117834"/>
        <n v="254065"/>
        <n v="696987"/>
        <n v="412968"/>
        <n v="149884"/>
        <n v="24748"/>
        <n v="132678"/>
        <n v="8411"/>
        <n v="217320"/>
        <n v="180540"/>
        <n v="381480"/>
        <n v="364931"/>
        <n v="67421"/>
        <n v="271620"/>
        <n v="44194"/>
        <n v="87625"/>
        <n v="319718"/>
        <n v="111376"/>
        <n v="135564"/>
        <n v="39846"/>
        <n v="288692"/>
        <n v="75664"/>
        <n v="215556"/>
        <n v="47941"/>
        <n v="65294"/>
        <n v="74052"/>
        <n v="109830"/>
        <n v="374874"/>
        <n v="316605"/>
        <n v="395055"/>
        <n v="361494"/>
        <n v="116528"/>
        <n v="8466"/>
        <n v="161412"/>
        <n v="583245"/>
        <n v="72541"/>
        <n v="515176"/>
        <n v="35670"/>
        <n v="280504"/>
        <n v="334746"/>
        <n v="139137"/>
        <n v="42723"/>
        <n v="184664"/>
        <n v="110241"/>
        <n v="35184"/>
        <n v="23918"/>
        <n v="94256"/>
        <n v="503874"/>
        <n v="214461"/>
        <n v="349038"/>
        <n v="72253"/>
        <n v="233576"/>
        <n v="49170"/>
        <n v="61627"/>
        <n v="107850"/>
        <n v="308520"/>
        <n v="339815"/>
        <n v="298158"/>
        <n v="49200"/>
        <n v="159268"/>
        <n v="408516"/>
        <n v="95060"/>
        <n v="35702"/>
        <n v="159528"/>
        <n v="76730"/>
        <n v="38856"/>
        <n v="10755"/>
        <n v="101547"/>
        <n v="270180"/>
        <n v="12674"/>
        <n v="259144"/>
        <n v="203904"/>
        <n v="180999"/>
        <n v="32640"/>
        <n v="173740"/>
        <n v="148498"/>
        <n v="232660"/>
        <n v="126124"/>
        <n v="314196"/>
        <n v="81624"/>
        <n v="511424"/>
        <n v="302216"/>
        <n v="137766"/>
        <n v="516582"/>
        <n v="334418"/>
        <n v="108270"/>
        <n v="292663"/>
        <n v="72425"/>
        <n v="29060"/>
        <n v="60364"/>
        <n v="205132"/>
        <n v="96156"/>
        <n v="434601"/>
        <n v="52308"/>
        <n v="80757"/>
        <n v="282096"/>
      </sharedItems>
    </cacheField>
    <cacheField name="Discount" numFmtId="0">
      <sharedItems containsSemiMixedTypes="0" containsString="0" containsNumber="1" containsInteger="1" minValue="0" maxValue="4999"/>
    </cacheField>
    <cacheField name="Net_Sales" numFmtId="0">
      <sharedItems containsSemiMixedTypes="0" containsString="0" containsNumber="1" containsInteger="1" minValue="932" maxValue="716301"/>
    </cacheField>
    <cacheField name="Profit" numFmtId="0">
      <sharedItems containsSemiMixedTypes="0" containsString="0" containsNumber="1" minValue="127.7052082" maxValue="172626.07879999999"/>
    </cacheField>
    <cacheField name="Year" numFmtId="0">
      <sharedItems containsSemiMixedTypes="0" containsString="0" containsNumber="1" containsInteger="1" minValue="2024" maxValue="2025" count="2">
        <n v="2024"/>
        <n v="2025"/>
      </sharedItems>
    </cacheField>
    <cacheField name="Month" numFmtId="0">
      <sharedItems count="12">
        <s v="April"/>
        <s v="March"/>
        <s v="September"/>
        <s v="December"/>
        <s v="January"/>
        <s v="May"/>
        <s v="August"/>
        <s v="November"/>
        <s v="October"/>
        <s v="February"/>
        <s v="July"/>
        <s v="Jun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000">
  <r>
    <n v="10001"/>
    <d v="2024-04-12T00:00:00"/>
    <x v="0"/>
    <x v="0"/>
    <x v="0"/>
    <x v="0"/>
    <n v="9"/>
    <n v="74245"/>
    <x v="0"/>
    <n v="991"/>
    <n v="667214"/>
    <n v="112547.4826"/>
    <x v="0"/>
    <x v="0"/>
  </r>
  <r>
    <n v="10002"/>
    <d v="2025-03-11T00:00:00"/>
    <x v="0"/>
    <x v="0"/>
    <x v="0"/>
    <x v="1"/>
    <n v="2"/>
    <n v="68906"/>
    <x v="1"/>
    <n v="4590"/>
    <n v="133222"/>
    <n v="18169.090629999999"/>
    <x v="1"/>
    <x v="1"/>
  </r>
  <r>
    <n v="10003"/>
    <d v="2024-09-27T00:00:00"/>
    <x v="1"/>
    <x v="0"/>
    <x v="1"/>
    <x v="2"/>
    <n v="5"/>
    <n v="74745"/>
    <x v="2"/>
    <n v="1193"/>
    <n v="372532"/>
    <n v="55680.570849999996"/>
    <x v="0"/>
    <x v="2"/>
  </r>
  <r>
    <n v="10004"/>
    <d v="2024-04-16T00:00:00"/>
    <x v="2"/>
    <x v="0"/>
    <x v="1"/>
    <x v="1"/>
    <n v="4"/>
    <n v="23003"/>
    <x v="3"/>
    <n v="3968"/>
    <n v="88044"/>
    <n v="18123.76686"/>
    <x v="0"/>
    <x v="0"/>
  </r>
  <r>
    <n v="10005"/>
    <d v="2024-03-12T00:00:00"/>
    <x v="3"/>
    <x v="1"/>
    <x v="2"/>
    <x v="0"/>
    <n v="3"/>
    <n v="14707"/>
    <x v="4"/>
    <n v="702"/>
    <n v="43419"/>
    <n v="4404.4072070000002"/>
    <x v="0"/>
    <x v="1"/>
  </r>
  <r>
    <n v="10006"/>
    <d v="2025-12-01T00:00:00"/>
    <x v="0"/>
    <x v="2"/>
    <x v="1"/>
    <x v="0"/>
    <n v="5"/>
    <n v="29379"/>
    <x v="5"/>
    <n v="1030"/>
    <n v="145865"/>
    <n v="21514.660220000002"/>
    <x v="1"/>
    <x v="3"/>
  </r>
  <r>
    <n v="10007"/>
    <d v="2024-01-21T00:00:00"/>
    <x v="1"/>
    <x v="3"/>
    <x v="1"/>
    <x v="0"/>
    <n v="6"/>
    <n v="55277"/>
    <x v="6"/>
    <n v="4921"/>
    <n v="326741"/>
    <n v="66016.250769999999"/>
    <x v="0"/>
    <x v="4"/>
  </r>
  <r>
    <n v="10008"/>
    <d v="2025-09-06T00:00:00"/>
    <x v="2"/>
    <x v="1"/>
    <x v="1"/>
    <x v="1"/>
    <n v="1"/>
    <n v="77442"/>
    <x v="7"/>
    <n v="2481"/>
    <n v="74961"/>
    <n v="9208.2901839999995"/>
    <x v="1"/>
    <x v="2"/>
  </r>
  <r>
    <n v="10009"/>
    <d v="2024-05-01T00:00:00"/>
    <x v="2"/>
    <x v="0"/>
    <x v="0"/>
    <x v="0"/>
    <n v="2"/>
    <n v="59756"/>
    <x v="8"/>
    <n v="562"/>
    <n v="118950"/>
    <n v="21893.68103"/>
    <x v="0"/>
    <x v="5"/>
  </r>
  <r>
    <n v="10010"/>
    <d v="2025-04-11T00:00:00"/>
    <x v="4"/>
    <x v="1"/>
    <x v="1"/>
    <x v="3"/>
    <n v="1"/>
    <n v="66579"/>
    <x v="9"/>
    <n v="366"/>
    <n v="66213"/>
    <n v="8299.1333990000003"/>
    <x v="1"/>
    <x v="0"/>
  </r>
  <r>
    <n v="10011"/>
    <d v="2024-08-02T00:00:00"/>
    <x v="4"/>
    <x v="4"/>
    <x v="0"/>
    <x v="2"/>
    <n v="3"/>
    <n v="77884"/>
    <x v="10"/>
    <n v="793"/>
    <n v="232859"/>
    <n v="28691.554380000001"/>
    <x v="0"/>
    <x v="6"/>
  </r>
  <r>
    <n v="10012"/>
    <d v="2024-11-26T00:00:00"/>
    <x v="0"/>
    <x v="0"/>
    <x v="2"/>
    <x v="0"/>
    <n v="8"/>
    <n v="71111"/>
    <x v="11"/>
    <n v="3103"/>
    <n v="565785"/>
    <n v="122120.1741"/>
    <x v="0"/>
    <x v="7"/>
  </r>
  <r>
    <n v="10013"/>
    <d v="2025-04-03T00:00:00"/>
    <x v="4"/>
    <x v="3"/>
    <x v="2"/>
    <x v="0"/>
    <n v="8"/>
    <n v="44939"/>
    <x v="12"/>
    <n v="4731"/>
    <n v="354781"/>
    <n v="49661.819710000003"/>
    <x v="1"/>
    <x v="0"/>
  </r>
  <r>
    <n v="10014"/>
    <d v="2024-03-28T00:00:00"/>
    <x v="0"/>
    <x v="0"/>
    <x v="0"/>
    <x v="2"/>
    <n v="4"/>
    <n v="20748"/>
    <x v="13"/>
    <n v="986"/>
    <n v="82006"/>
    <n v="12822.898359999999"/>
    <x v="0"/>
    <x v="1"/>
  </r>
  <r>
    <n v="10015"/>
    <d v="2025-01-07T00:00:00"/>
    <x v="3"/>
    <x v="3"/>
    <x v="0"/>
    <x v="2"/>
    <n v="6"/>
    <n v="73879"/>
    <x v="14"/>
    <n v="957"/>
    <n v="442317"/>
    <n v="92666.610109999994"/>
    <x v="1"/>
    <x v="4"/>
  </r>
  <r>
    <n v="10016"/>
    <d v="2024-04-09T00:00:00"/>
    <x v="0"/>
    <x v="3"/>
    <x v="0"/>
    <x v="2"/>
    <n v="9"/>
    <n v="47115"/>
    <x v="15"/>
    <n v="3595"/>
    <n v="420440"/>
    <n v="53365.583129999999"/>
    <x v="0"/>
    <x v="0"/>
  </r>
  <r>
    <n v="10017"/>
    <d v="2025-10-25T00:00:00"/>
    <x v="4"/>
    <x v="2"/>
    <x v="0"/>
    <x v="1"/>
    <n v="7"/>
    <n v="67023"/>
    <x v="16"/>
    <n v="854"/>
    <n v="468307"/>
    <n v="84183.125390000001"/>
    <x v="1"/>
    <x v="8"/>
  </r>
  <r>
    <n v="10018"/>
    <d v="2024-05-10T00:00:00"/>
    <x v="3"/>
    <x v="2"/>
    <x v="1"/>
    <x v="1"/>
    <n v="2"/>
    <n v="64984"/>
    <x v="17"/>
    <n v="1569"/>
    <n v="128399"/>
    <n v="30516.96905"/>
    <x v="0"/>
    <x v="5"/>
  </r>
  <r>
    <n v="10019"/>
    <d v="2025-10-23T00:00:00"/>
    <x v="4"/>
    <x v="1"/>
    <x v="0"/>
    <x v="0"/>
    <n v="2"/>
    <n v="47495"/>
    <x v="18"/>
    <n v="2256"/>
    <n v="92734"/>
    <n v="16977.186440000001"/>
    <x v="1"/>
    <x v="8"/>
  </r>
  <r>
    <n v="10020"/>
    <d v="2024-11-04T00:00:00"/>
    <x v="0"/>
    <x v="1"/>
    <x v="0"/>
    <x v="2"/>
    <n v="3"/>
    <n v="45747"/>
    <x v="19"/>
    <n v="3909"/>
    <n v="133332"/>
    <n v="14310.10556"/>
    <x v="0"/>
    <x v="7"/>
  </r>
  <r>
    <n v="10021"/>
    <d v="2024-12-09T00:00:00"/>
    <x v="1"/>
    <x v="3"/>
    <x v="0"/>
    <x v="0"/>
    <n v="8"/>
    <n v="79690"/>
    <x v="20"/>
    <n v="4103"/>
    <n v="633417"/>
    <n v="119370.34179999999"/>
    <x v="0"/>
    <x v="3"/>
  </r>
  <r>
    <n v="10022"/>
    <d v="2025-05-06T00:00:00"/>
    <x v="2"/>
    <x v="0"/>
    <x v="1"/>
    <x v="0"/>
    <n v="9"/>
    <n v="65378"/>
    <x v="21"/>
    <n v="4832"/>
    <n v="583570"/>
    <n v="66248.622900000002"/>
    <x v="1"/>
    <x v="5"/>
  </r>
  <r>
    <n v="10023"/>
    <d v="2025-02-17T00:00:00"/>
    <x v="4"/>
    <x v="4"/>
    <x v="1"/>
    <x v="0"/>
    <n v="3"/>
    <n v="26555"/>
    <x v="22"/>
    <n v="2222"/>
    <n v="77443"/>
    <n v="11021.58562"/>
    <x v="1"/>
    <x v="9"/>
  </r>
  <r>
    <n v="10024"/>
    <d v="2025-01-20T00:00:00"/>
    <x v="0"/>
    <x v="4"/>
    <x v="1"/>
    <x v="1"/>
    <n v="9"/>
    <n v="31623"/>
    <x v="23"/>
    <n v="4176"/>
    <n v="280431"/>
    <n v="63784.385920000001"/>
    <x v="1"/>
    <x v="4"/>
  </r>
  <r>
    <n v="10025"/>
    <d v="2024-07-10T00:00:00"/>
    <x v="3"/>
    <x v="0"/>
    <x v="2"/>
    <x v="2"/>
    <n v="8"/>
    <n v="42309"/>
    <x v="24"/>
    <n v="237"/>
    <n v="338235"/>
    <n v="34385.094980000002"/>
    <x v="0"/>
    <x v="10"/>
  </r>
  <r>
    <n v="10026"/>
    <d v="2024-10-03T00:00:00"/>
    <x v="4"/>
    <x v="0"/>
    <x v="1"/>
    <x v="0"/>
    <n v="5"/>
    <n v="55666"/>
    <x v="25"/>
    <n v="3288"/>
    <n v="275042"/>
    <n v="30681.48417"/>
    <x v="0"/>
    <x v="8"/>
  </r>
  <r>
    <n v="10027"/>
    <d v="2024-06-09T00:00:00"/>
    <x v="4"/>
    <x v="2"/>
    <x v="0"/>
    <x v="1"/>
    <n v="3"/>
    <n v="6067"/>
    <x v="26"/>
    <n v="4282"/>
    <n v="13919"/>
    <n v="2150.5497959999998"/>
    <x v="0"/>
    <x v="11"/>
  </r>
  <r>
    <n v="10028"/>
    <d v="2025-04-04T00:00:00"/>
    <x v="2"/>
    <x v="4"/>
    <x v="1"/>
    <x v="3"/>
    <n v="7"/>
    <n v="22265"/>
    <x v="27"/>
    <n v="4725"/>
    <n v="151130"/>
    <n v="37768.804900000003"/>
    <x v="1"/>
    <x v="0"/>
  </r>
  <r>
    <n v="10029"/>
    <d v="2024-11-09T00:00:00"/>
    <x v="0"/>
    <x v="3"/>
    <x v="1"/>
    <x v="3"/>
    <n v="9"/>
    <n v="77445"/>
    <x v="28"/>
    <n v="1732"/>
    <n v="695273"/>
    <n v="99966.064029999994"/>
    <x v="0"/>
    <x v="7"/>
  </r>
  <r>
    <n v="10030"/>
    <d v="2024-01-22T00:00:00"/>
    <x v="1"/>
    <x v="1"/>
    <x v="0"/>
    <x v="0"/>
    <n v="6"/>
    <n v="26416"/>
    <x v="29"/>
    <n v="3061"/>
    <n v="155435"/>
    <n v="19210.39705"/>
    <x v="0"/>
    <x v="4"/>
  </r>
  <r>
    <n v="10031"/>
    <d v="2024-09-09T00:00:00"/>
    <x v="3"/>
    <x v="2"/>
    <x v="1"/>
    <x v="0"/>
    <n v="3"/>
    <n v="57791"/>
    <x v="30"/>
    <n v="814"/>
    <n v="172559"/>
    <n v="31477.06007"/>
    <x v="0"/>
    <x v="2"/>
  </r>
  <r>
    <n v="10032"/>
    <d v="2025-07-14T00:00:00"/>
    <x v="0"/>
    <x v="4"/>
    <x v="2"/>
    <x v="2"/>
    <n v="5"/>
    <n v="31125"/>
    <x v="31"/>
    <n v="4709"/>
    <n v="150916"/>
    <n v="26846.18363"/>
    <x v="1"/>
    <x v="10"/>
  </r>
  <r>
    <n v="10033"/>
    <d v="2025-04-19T00:00:00"/>
    <x v="3"/>
    <x v="0"/>
    <x v="1"/>
    <x v="2"/>
    <n v="7"/>
    <n v="58709"/>
    <x v="32"/>
    <n v="1186"/>
    <n v="409777"/>
    <n v="68614.264909999998"/>
    <x v="1"/>
    <x v="0"/>
  </r>
  <r>
    <n v="10034"/>
    <d v="2024-02-28T00:00:00"/>
    <x v="4"/>
    <x v="4"/>
    <x v="2"/>
    <x v="0"/>
    <n v="8"/>
    <n v="46060"/>
    <x v="33"/>
    <n v="2225"/>
    <n v="366255"/>
    <n v="88633.000490000006"/>
    <x v="0"/>
    <x v="9"/>
  </r>
  <r>
    <n v="10035"/>
    <d v="2025-05-25T00:00:00"/>
    <x v="2"/>
    <x v="3"/>
    <x v="2"/>
    <x v="1"/>
    <n v="4"/>
    <n v="36411"/>
    <x v="34"/>
    <n v="984"/>
    <n v="144660"/>
    <n v="20544.961200000002"/>
    <x v="1"/>
    <x v="5"/>
  </r>
  <r>
    <n v="10036"/>
    <d v="2025-11-12T00:00:00"/>
    <x v="2"/>
    <x v="2"/>
    <x v="2"/>
    <x v="0"/>
    <n v="2"/>
    <n v="57684"/>
    <x v="35"/>
    <n v="797"/>
    <n v="114571"/>
    <n v="16498.06754"/>
    <x v="1"/>
    <x v="7"/>
  </r>
  <r>
    <n v="10037"/>
    <d v="2025-04-20T00:00:00"/>
    <x v="1"/>
    <x v="0"/>
    <x v="0"/>
    <x v="2"/>
    <n v="2"/>
    <n v="40584"/>
    <x v="36"/>
    <n v="4162"/>
    <n v="77006"/>
    <n v="9320.6942510000008"/>
    <x v="1"/>
    <x v="0"/>
  </r>
  <r>
    <n v="10038"/>
    <d v="2025-11-30T00:00:00"/>
    <x v="2"/>
    <x v="3"/>
    <x v="1"/>
    <x v="2"/>
    <n v="3"/>
    <n v="76947"/>
    <x v="37"/>
    <n v="543"/>
    <n v="230298"/>
    <n v="47117.40539"/>
    <x v="1"/>
    <x v="7"/>
  </r>
  <r>
    <n v="10039"/>
    <d v="2024-07-08T00:00:00"/>
    <x v="4"/>
    <x v="1"/>
    <x v="2"/>
    <x v="1"/>
    <n v="8"/>
    <n v="36602"/>
    <x v="38"/>
    <n v="519"/>
    <n v="292297"/>
    <n v="43319.999839999997"/>
    <x v="0"/>
    <x v="10"/>
  </r>
  <r>
    <n v="10040"/>
    <d v="2025-11-17T00:00:00"/>
    <x v="1"/>
    <x v="2"/>
    <x v="2"/>
    <x v="0"/>
    <n v="1"/>
    <n v="77740"/>
    <x v="39"/>
    <n v="2546"/>
    <n v="75194"/>
    <n v="16573.588039999999"/>
    <x v="1"/>
    <x v="7"/>
  </r>
  <r>
    <n v="10041"/>
    <d v="2025-07-16T00:00:00"/>
    <x v="0"/>
    <x v="3"/>
    <x v="1"/>
    <x v="2"/>
    <n v="7"/>
    <n v="23899"/>
    <x v="40"/>
    <n v="1454"/>
    <n v="165839"/>
    <n v="40757.20319"/>
    <x v="1"/>
    <x v="10"/>
  </r>
  <r>
    <n v="10042"/>
    <d v="2025-07-20T00:00:00"/>
    <x v="2"/>
    <x v="3"/>
    <x v="0"/>
    <x v="0"/>
    <n v="6"/>
    <n v="74588"/>
    <x v="41"/>
    <n v="1058"/>
    <n v="446470"/>
    <n v="47572.622499999998"/>
    <x v="1"/>
    <x v="10"/>
  </r>
  <r>
    <n v="10043"/>
    <d v="2024-08-31T00:00:00"/>
    <x v="1"/>
    <x v="0"/>
    <x v="0"/>
    <x v="2"/>
    <n v="2"/>
    <n v="54410"/>
    <x v="42"/>
    <n v="2236"/>
    <n v="106584"/>
    <n v="26536.035530000001"/>
    <x v="0"/>
    <x v="6"/>
  </r>
  <r>
    <n v="10044"/>
    <d v="2025-05-19T00:00:00"/>
    <x v="4"/>
    <x v="1"/>
    <x v="2"/>
    <x v="3"/>
    <n v="9"/>
    <n v="62852"/>
    <x v="43"/>
    <n v="1112"/>
    <n v="564556"/>
    <n v="77974.009839999999"/>
    <x v="1"/>
    <x v="5"/>
  </r>
  <r>
    <n v="10045"/>
    <d v="2024-05-10T00:00:00"/>
    <x v="3"/>
    <x v="3"/>
    <x v="0"/>
    <x v="3"/>
    <n v="5"/>
    <n v="43554"/>
    <x v="44"/>
    <n v="3406"/>
    <n v="214364"/>
    <n v="34944.880490000003"/>
    <x v="0"/>
    <x v="5"/>
  </r>
  <r>
    <n v="10046"/>
    <d v="2025-04-29T00:00:00"/>
    <x v="3"/>
    <x v="2"/>
    <x v="1"/>
    <x v="3"/>
    <n v="2"/>
    <n v="17013"/>
    <x v="45"/>
    <n v="946"/>
    <n v="33080"/>
    <n v="7167.1625249999997"/>
    <x v="1"/>
    <x v="0"/>
  </r>
  <r>
    <n v="10047"/>
    <d v="2025-10-08T00:00:00"/>
    <x v="4"/>
    <x v="3"/>
    <x v="0"/>
    <x v="2"/>
    <n v="3"/>
    <n v="50364"/>
    <x v="46"/>
    <n v="4030"/>
    <n v="147062"/>
    <n v="29382.939259999999"/>
    <x v="1"/>
    <x v="8"/>
  </r>
  <r>
    <n v="10048"/>
    <d v="2024-01-21T00:00:00"/>
    <x v="4"/>
    <x v="4"/>
    <x v="1"/>
    <x v="1"/>
    <n v="7"/>
    <n v="52213"/>
    <x v="47"/>
    <n v="135"/>
    <n v="365356"/>
    <n v="79196.589949999994"/>
    <x v="0"/>
    <x v="4"/>
  </r>
  <r>
    <n v="10049"/>
    <d v="2024-06-15T00:00:00"/>
    <x v="3"/>
    <x v="2"/>
    <x v="2"/>
    <x v="3"/>
    <n v="7"/>
    <n v="41494"/>
    <x v="48"/>
    <n v="2593"/>
    <n v="287865"/>
    <n v="48922.599860000002"/>
    <x v="0"/>
    <x v="11"/>
  </r>
  <r>
    <n v="10050"/>
    <d v="2024-09-30T00:00:00"/>
    <x v="1"/>
    <x v="2"/>
    <x v="1"/>
    <x v="2"/>
    <n v="1"/>
    <n v="5678"/>
    <x v="49"/>
    <n v="792"/>
    <n v="4886"/>
    <n v="1159.9855620000001"/>
    <x v="0"/>
    <x v="2"/>
  </r>
  <r>
    <n v="10051"/>
    <d v="2025-01-22T00:00:00"/>
    <x v="3"/>
    <x v="3"/>
    <x v="2"/>
    <x v="0"/>
    <n v="4"/>
    <n v="35352"/>
    <x v="50"/>
    <n v="1136"/>
    <n v="140272"/>
    <n v="30648.1865"/>
    <x v="1"/>
    <x v="4"/>
  </r>
  <r>
    <n v="10052"/>
    <d v="2025-08-23T00:00:00"/>
    <x v="4"/>
    <x v="0"/>
    <x v="1"/>
    <x v="3"/>
    <n v="6"/>
    <n v="50797"/>
    <x v="51"/>
    <n v="1362"/>
    <n v="303420"/>
    <n v="44415.892849999997"/>
    <x v="1"/>
    <x v="6"/>
  </r>
  <r>
    <n v="10053"/>
    <d v="2024-11-11T00:00:00"/>
    <x v="2"/>
    <x v="2"/>
    <x v="1"/>
    <x v="1"/>
    <n v="8"/>
    <n v="14098"/>
    <x v="52"/>
    <n v="554"/>
    <n v="112230"/>
    <n v="27190.190289999999"/>
    <x v="0"/>
    <x v="7"/>
  </r>
  <r>
    <n v="10054"/>
    <d v="2024-01-14T00:00:00"/>
    <x v="0"/>
    <x v="4"/>
    <x v="0"/>
    <x v="1"/>
    <n v="3"/>
    <n v="13459"/>
    <x v="53"/>
    <n v="2572"/>
    <n v="37805"/>
    <n v="9230.3980670000001"/>
    <x v="0"/>
    <x v="4"/>
  </r>
  <r>
    <n v="10055"/>
    <d v="2024-08-29T00:00:00"/>
    <x v="2"/>
    <x v="0"/>
    <x v="1"/>
    <x v="1"/>
    <n v="3"/>
    <n v="43894"/>
    <x v="54"/>
    <n v="3403"/>
    <n v="128279"/>
    <n v="20814.29826"/>
    <x v="0"/>
    <x v="6"/>
  </r>
  <r>
    <n v="10056"/>
    <d v="2024-12-11T00:00:00"/>
    <x v="2"/>
    <x v="0"/>
    <x v="2"/>
    <x v="0"/>
    <n v="8"/>
    <n v="75442"/>
    <x v="55"/>
    <n v="2254"/>
    <n v="601282"/>
    <n v="118930.0159"/>
    <x v="0"/>
    <x v="3"/>
  </r>
  <r>
    <n v="10057"/>
    <d v="2025-07-18T00:00:00"/>
    <x v="4"/>
    <x v="0"/>
    <x v="1"/>
    <x v="0"/>
    <n v="8"/>
    <n v="12898"/>
    <x v="56"/>
    <n v="1366"/>
    <n v="101818"/>
    <n v="22625.51541"/>
    <x v="1"/>
    <x v="10"/>
  </r>
  <r>
    <n v="10058"/>
    <d v="2024-12-05T00:00:00"/>
    <x v="3"/>
    <x v="2"/>
    <x v="2"/>
    <x v="1"/>
    <n v="8"/>
    <n v="55352"/>
    <x v="57"/>
    <n v="948"/>
    <n v="441868"/>
    <n v="98357.654970000003"/>
    <x v="0"/>
    <x v="3"/>
  </r>
  <r>
    <n v="10059"/>
    <d v="2024-04-01T00:00:00"/>
    <x v="1"/>
    <x v="0"/>
    <x v="2"/>
    <x v="1"/>
    <n v="1"/>
    <n v="52207"/>
    <x v="58"/>
    <n v="103"/>
    <n v="52104"/>
    <n v="5320.7839759999997"/>
    <x v="0"/>
    <x v="0"/>
  </r>
  <r>
    <n v="10060"/>
    <d v="2025-01-01T00:00:00"/>
    <x v="2"/>
    <x v="3"/>
    <x v="1"/>
    <x v="1"/>
    <n v="8"/>
    <n v="38884"/>
    <x v="59"/>
    <n v="1046"/>
    <n v="310026"/>
    <n v="60254.187089999999"/>
    <x v="1"/>
    <x v="4"/>
  </r>
  <r>
    <n v="10061"/>
    <d v="2025-03-30T00:00:00"/>
    <x v="3"/>
    <x v="0"/>
    <x v="0"/>
    <x v="0"/>
    <n v="8"/>
    <n v="76880"/>
    <x v="60"/>
    <n v="4026"/>
    <n v="611014"/>
    <n v="150342.98540000001"/>
    <x v="1"/>
    <x v="1"/>
  </r>
  <r>
    <n v="10062"/>
    <d v="2025-03-03T00:00:00"/>
    <x v="1"/>
    <x v="4"/>
    <x v="1"/>
    <x v="0"/>
    <n v="2"/>
    <n v="32366"/>
    <x v="61"/>
    <n v="2614"/>
    <n v="62118"/>
    <n v="8367.4233189999995"/>
    <x v="1"/>
    <x v="1"/>
  </r>
  <r>
    <n v="10063"/>
    <d v="2025-05-23T00:00:00"/>
    <x v="2"/>
    <x v="1"/>
    <x v="1"/>
    <x v="2"/>
    <n v="9"/>
    <n v="15836"/>
    <x v="62"/>
    <n v="3331"/>
    <n v="139193"/>
    <n v="30530.777590000002"/>
    <x v="1"/>
    <x v="5"/>
  </r>
  <r>
    <n v="10064"/>
    <d v="2024-02-04T00:00:00"/>
    <x v="1"/>
    <x v="4"/>
    <x v="0"/>
    <x v="3"/>
    <n v="7"/>
    <n v="22442"/>
    <x v="63"/>
    <n v="963"/>
    <n v="156131"/>
    <n v="28124.992300000002"/>
    <x v="0"/>
    <x v="9"/>
  </r>
  <r>
    <n v="10065"/>
    <d v="2024-07-24T00:00:00"/>
    <x v="3"/>
    <x v="2"/>
    <x v="2"/>
    <x v="0"/>
    <n v="8"/>
    <n v="61436"/>
    <x v="64"/>
    <n v="3271"/>
    <n v="488217"/>
    <n v="65040.528310000002"/>
    <x v="0"/>
    <x v="10"/>
  </r>
  <r>
    <n v="10066"/>
    <d v="2024-03-21T00:00:00"/>
    <x v="0"/>
    <x v="0"/>
    <x v="1"/>
    <x v="1"/>
    <n v="2"/>
    <n v="45920"/>
    <x v="65"/>
    <n v="837"/>
    <n v="91003"/>
    <n v="9796.9913130000004"/>
    <x v="0"/>
    <x v="1"/>
  </r>
  <r>
    <n v="10067"/>
    <d v="2025-07-15T00:00:00"/>
    <x v="3"/>
    <x v="0"/>
    <x v="0"/>
    <x v="3"/>
    <n v="4"/>
    <n v="17686"/>
    <x v="66"/>
    <n v="2458"/>
    <n v="68286"/>
    <n v="14612.40209"/>
    <x v="1"/>
    <x v="10"/>
  </r>
  <r>
    <n v="10068"/>
    <d v="2025-01-22T00:00:00"/>
    <x v="4"/>
    <x v="3"/>
    <x v="0"/>
    <x v="0"/>
    <n v="7"/>
    <n v="48604"/>
    <x v="67"/>
    <n v="881"/>
    <n v="339347"/>
    <n v="50043.689559999999"/>
    <x v="1"/>
    <x v="4"/>
  </r>
  <r>
    <n v="10069"/>
    <d v="2024-01-02T00:00:00"/>
    <x v="1"/>
    <x v="0"/>
    <x v="2"/>
    <x v="3"/>
    <n v="6"/>
    <n v="15356"/>
    <x v="68"/>
    <n v="3188"/>
    <n v="88948"/>
    <n v="13905.9439"/>
    <x v="0"/>
    <x v="4"/>
  </r>
  <r>
    <n v="10070"/>
    <d v="2025-01-24T00:00:00"/>
    <x v="0"/>
    <x v="4"/>
    <x v="0"/>
    <x v="2"/>
    <n v="7"/>
    <n v="46163"/>
    <x v="69"/>
    <n v="4519"/>
    <n v="318622"/>
    <n v="55052.993300000002"/>
    <x v="1"/>
    <x v="4"/>
  </r>
  <r>
    <n v="10071"/>
    <d v="2025-07-19T00:00:00"/>
    <x v="1"/>
    <x v="2"/>
    <x v="2"/>
    <x v="0"/>
    <n v="1"/>
    <n v="32793"/>
    <x v="70"/>
    <n v="2202"/>
    <n v="30591"/>
    <n v="5386.4398920000003"/>
    <x v="1"/>
    <x v="10"/>
  </r>
  <r>
    <n v="10072"/>
    <d v="2024-04-15T00:00:00"/>
    <x v="1"/>
    <x v="1"/>
    <x v="1"/>
    <x v="1"/>
    <n v="8"/>
    <n v="7491"/>
    <x v="71"/>
    <n v="3334"/>
    <n v="56594"/>
    <n v="7409.7299810000004"/>
    <x v="0"/>
    <x v="0"/>
  </r>
  <r>
    <n v="10073"/>
    <d v="2025-04-21T00:00:00"/>
    <x v="2"/>
    <x v="0"/>
    <x v="0"/>
    <x v="1"/>
    <n v="7"/>
    <n v="64382"/>
    <x v="72"/>
    <n v="2198"/>
    <n v="448476"/>
    <n v="89962.625580000007"/>
    <x v="1"/>
    <x v="0"/>
  </r>
  <r>
    <n v="10074"/>
    <d v="2025-12-03T00:00:00"/>
    <x v="4"/>
    <x v="1"/>
    <x v="1"/>
    <x v="2"/>
    <n v="4"/>
    <n v="44772"/>
    <x v="73"/>
    <n v="211"/>
    <n v="178877"/>
    <n v="36469.621099999997"/>
    <x v="1"/>
    <x v="3"/>
  </r>
  <r>
    <n v="10075"/>
    <d v="2025-02-05T00:00:00"/>
    <x v="1"/>
    <x v="0"/>
    <x v="0"/>
    <x v="2"/>
    <n v="1"/>
    <n v="12011"/>
    <x v="74"/>
    <n v="1215"/>
    <n v="10796"/>
    <n v="1310.042117"/>
    <x v="1"/>
    <x v="9"/>
  </r>
  <r>
    <n v="10076"/>
    <d v="2025-12-30T00:00:00"/>
    <x v="3"/>
    <x v="2"/>
    <x v="0"/>
    <x v="2"/>
    <n v="8"/>
    <n v="49518"/>
    <x v="75"/>
    <n v="880"/>
    <n v="395264"/>
    <n v="71122.393460000007"/>
    <x v="1"/>
    <x v="3"/>
  </r>
  <r>
    <n v="10077"/>
    <d v="2025-07-09T00:00:00"/>
    <x v="3"/>
    <x v="4"/>
    <x v="1"/>
    <x v="2"/>
    <n v="7"/>
    <n v="33633"/>
    <x v="76"/>
    <n v="754"/>
    <n v="234677"/>
    <n v="44914.573409999997"/>
    <x v="1"/>
    <x v="10"/>
  </r>
  <r>
    <n v="10078"/>
    <d v="2024-06-10T00:00:00"/>
    <x v="2"/>
    <x v="2"/>
    <x v="0"/>
    <x v="2"/>
    <n v="8"/>
    <n v="9862"/>
    <x v="77"/>
    <n v="700"/>
    <n v="78196"/>
    <n v="10004.218849999999"/>
    <x v="0"/>
    <x v="11"/>
  </r>
  <r>
    <n v="10079"/>
    <d v="2024-07-20T00:00:00"/>
    <x v="4"/>
    <x v="1"/>
    <x v="1"/>
    <x v="0"/>
    <n v="1"/>
    <n v="43118"/>
    <x v="78"/>
    <n v="2219"/>
    <n v="40899"/>
    <n v="9577.2909770000006"/>
    <x v="0"/>
    <x v="10"/>
  </r>
  <r>
    <n v="10080"/>
    <d v="2024-09-26T00:00:00"/>
    <x v="4"/>
    <x v="0"/>
    <x v="1"/>
    <x v="0"/>
    <n v="5"/>
    <n v="68849"/>
    <x v="79"/>
    <n v="370"/>
    <n v="343875"/>
    <n v="59292.261449999998"/>
    <x v="0"/>
    <x v="2"/>
  </r>
  <r>
    <n v="10081"/>
    <d v="2024-09-27T00:00:00"/>
    <x v="3"/>
    <x v="1"/>
    <x v="2"/>
    <x v="3"/>
    <n v="9"/>
    <n v="50303"/>
    <x v="80"/>
    <n v="1732"/>
    <n v="450995"/>
    <n v="52881.082119999999"/>
    <x v="0"/>
    <x v="2"/>
  </r>
  <r>
    <n v="10082"/>
    <d v="2025-03-31T00:00:00"/>
    <x v="0"/>
    <x v="4"/>
    <x v="1"/>
    <x v="2"/>
    <n v="5"/>
    <n v="16703"/>
    <x v="81"/>
    <n v="801"/>
    <n v="82714"/>
    <n v="12420.286819999999"/>
    <x v="1"/>
    <x v="1"/>
  </r>
  <r>
    <n v="10083"/>
    <d v="2025-04-06T00:00:00"/>
    <x v="2"/>
    <x v="2"/>
    <x v="2"/>
    <x v="1"/>
    <n v="3"/>
    <n v="20096"/>
    <x v="82"/>
    <n v="989"/>
    <n v="59299"/>
    <n v="10172.39164"/>
    <x v="1"/>
    <x v="0"/>
  </r>
  <r>
    <n v="10084"/>
    <d v="2025-12-27T00:00:00"/>
    <x v="2"/>
    <x v="1"/>
    <x v="1"/>
    <x v="1"/>
    <n v="9"/>
    <n v="65047"/>
    <x v="83"/>
    <n v="4771"/>
    <n v="580652"/>
    <n v="58948.733419999997"/>
    <x v="1"/>
    <x v="3"/>
  </r>
  <r>
    <n v="10085"/>
    <d v="2024-09-08T00:00:00"/>
    <x v="3"/>
    <x v="1"/>
    <x v="0"/>
    <x v="2"/>
    <n v="9"/>
    <n v="70891"/>
    <x v="84"/>
    <n v="415"/>
    <n v="637604"/>
    <n v="66812.27966"/>
    <x v="0"/>
    <x v="2"/>
  </r>
  <r>
    <n v="10086"/>
    <d v="2025-12-02T00:00:00"/>
    <x v="3"/>
    <x v="4"/>
    <x v="1"/>
    <x v="2"/>
    <n v="4"/>
    <n v="13432"/>
    <x v="85"/>
    <n v="2965"/>
    <n v="50763"/>
    <n v="5499.0587969999997"/>
    <x v="1"/>
    <x v="3"/>
  </r>
  <r>
    <n v="10087"/>
    <d v="2024-10-22T00:00:00"/>
    <x v="0"/>
    <x v="0"/>
    <x v="0"/>
    <x v="2"/>
    <n v="4"/>
    <n v="20700"/>
    <x v="86"/>
    <n v="3337"/>
    <n v="79463"/>
    <n v="14360.575919999999"/>
    <x v="0"/>
    <x v="8"/>
  </r>
  <r>
    <n v="10088"/>
    <d v="2025-12-25T00:00:00"/>
    <x v="0"/>
    <x v="1"/>
    <x v="2"/>
    <x v="2"/>
    <n v="8"/>
    <n v="61862"/>
    <x v="87"/>
    <n v="3612"/>
    <n v="491284"/>
    <n v="73895.613010000001"/>
    <x v="1"/>
    <x v="3"/>
  </r>
  <r>
    <n v="10089"/>
    <d v="2025-12-20T00:00:00"/>
    <x v="4"/>
    <x v="4"/>
    <x v="0"/>
    <x v="2"/>
    <n v="7"/>
    <n v="30196"/>
    <x v="88"/>
    <n v="1620"/>
    <n v="209752"/>
    <n v="49074.75404"/>
    <x v="1"/>
    <x v="3"/>
  </r>
  <r>
    <n v="10090"/>
    <d v="2024-12-03T00:00:00"/>
    <x v="2"/>
    <x v="0"/>
    <x v="1"/>
    <x v="1"/>
    <n v="5"/>
    <n v="51618"/>
    <x v="89"/>
    <n v="1535"/>
    <n v="256555"/>
    <n v="47176.636919999997"/>
    <x v="0"/>
    <x v="3"/>
  </r>
  <r>
    <n v="10091"/>
    <d v="2024-02-22T00:00:00"/>
    <x v="2"/>
    <x v="0"/>
    <x v="0"/>
    <x v="3"/>
    <n v="6"/>
    <n v="64658"/>
    <x v="90"/>
    <n v="4344"/>
    <n v="383604"/>
    <n v="82085.290699999998"/>
    <x v="0"/>
    <x v="9"/>
  </r>
  <r>
    <n v="10092"/>
    <d v="2024-08-04T00:00:00"/>
    <x v="3"/>
    <x v="2"/>
    <x v="2"/>
    <x v="2"/>
    <n v="3"/>
    <n v="11704"/>
    <x v="91"/>
    <n v="2792"/>
    <n v="32320"/>
    <n v="6563.2216410000001"/>
    <x v="0"/>
    <x v="6"/>
  </r>
  <r>
    <n v="10093"/>
    <d v="2024-07-06T00:00:00"/>
    <x v="4"/>
    <x v="4"/>
    <x v="0"/>
    <x v="2"/>
    <n v="6"/>
    <n v="20379"/>
    <x v="92"/>
    <n v="572"/>
    <n v="121702"/>
    <n v="21668.810969999999"/>
    <x v="0"/>
    <x v="10"/>
  </r>
  <r>
    <n v="10094"/>
    <d v="2025-01-14T00:00:00"/>
    <x v="2"/>
    <x v="0"/>
    <x v="0"/>
    <x v="2"/>
    <n v="8"/>
    <n v="59598"/>
    <x v="93"/>
    <n v="4893"/>
    <n v="471891"/>
    <n v="99903.130959999995"/>
    <x v="1"/>
    <x v="4"/>
  </r>
  <r>
    <n v="10095"/>
    <d v="2025-05-07T00:00:00"/>
    <x v="4"/>
    <x v="2"/>
    <x v="1"/>
    <x v="0"/>
    <n v="9"/>
    <n v="47020"/>
    <x v="94"/>
    <n v="4856"/>
    <n v="418324"/>
    <n v="76011.920270000002"/>
    <x v="1"/>
    <x v="5"/>
  </r>
  <r>
    <n v="10096"/>
    <d v="2024-02-10T00:00:00"/>
    <x v="4"/>
    <x v="3"/>
    <x v="1"/>
    <x v="1"/>
    <n v="3"/>
    <n v="13573"/>
    <x v="95"/>
    <n v="3655"/>
    <n v="37064"/>
    <n v="5849.3828739999999"/>
    <x v="0"/>
    <x v="9"/>
  </r>
  <r>
    <n v="10097"/>
    <d v="2024-06-05T00:00:00"/>
    <x v="3"/>
    <x v="4"/>
    <x v="0"/>
    <x v="1"/>
    <n v="8"/>
    <n v="27415"/>
    <x v="96"/>
    <n v="292"/>
    <n v="219028"/>
    <n v="36220.819130000003"/>
    <x v="0"/>
    <x v="11"/>
  </r>
  <r>
    <n v="10098"/>
    <d v="2024-01-15T00:00:00"/>
    <x v="4"/>
    <x v="3"/>
    <x v="2"/>
    <x v="3"/>
    <n v="3"/>
    <n v="71668"/>
    <x v="97"/>
    <n v="4293"/>
    <n v="210711"/>
    <n v="47573.318359999997"/>
    <x v="0"/>
    <x v="4"/>
  </r>
  <r>
    <n v="10099"/>
    <d v="2024-03-05T00:00:00"/>
    <x v="0"/>
    <x v="0"/>
    <x v="0"/>
    <x v="0"/>
    <n v="2"/>
    <n v="56628"/>
    <x v="98"/>
    <n v="79"/>
    <n v="113177"/>
    <n v="20880.14172"/>
    <x v="0"/>
    <x v="1"/>
  </r>
  <r>
    <n v="10100"/>
    <d v="2025-06-04T00:00:00"/>
    <x v="0"/>
    <x v="4"/>
    <x v="2"/>
    <x v="0"/>
    <n v="5"/>
    <n v="57287"/>
    <x v="99"/>
    <n v="4232"/>
    <n v="282203"/>
    <n v="44191.415730000001"/>
    <x v="1"/>
    <x v="11"/>
  </r>
  <r>
    <n v="10101"/>
    <d v="2024-12-09T00:00:00"/>
    <x v="1"/>
    <x v="2"/>
    <x v="2"/>
    <x v="0"/>
    <n v="4"/>
    <n v="5944"/>
    <x v="100"/>
    <n v="4308"/>
    <n v="19468"/>
    <n v="2471.6859509999999"/>
    <x v="0"/>
    <x v="3"/>
  </r>
  <r>
    <n v="10102"/>
    <d v="2024-05-08T00:00:00"/>
    <x v="3"/>
    <x v="0"/>
    <x v="2"/>
    <x v="3"/>
    <n v="5"/>
    <n v="10840"/>
    <x v="101"/>
    <n v="1862"/>
    <n v="52338"/>
    <n v="9122.7058120000002"/>
    <x v="0"/>
    <x v="5"/>
  </r>
  <r>
    <n v="10103"/>
    <d v="2025-10-09T00:00:00"/>
    <x v="1"/>
    <x v="4"/>
    <x v="0"/>
    <x v="3"/>
    <n v="6"/>
    <n v="58114"/>
    <x v="102"/>
    <n v="618"/>
    <n v="348066"/>
    <n v="47984.59332"/>
    <x v="1"/>
    <x v="8"/>
  </r>
  <r>
    <n v="10104"/>
    <d v="2025-04-16T00:00:00"/>
    <x v="0"/>
    <x v="4"/>
    <x v="2"/>
    <x v="3"/>
    <n v="3"/>
    <n v="44442"/>
    <x v="103"/>
    <n v="959"/>
    <n v="132367"/>
    <n v="32209.786260000001"/>
    <x v="1"/>
    <x v="0"/>
  </r>
  <r>
    <n v="10105"/>
    <d v="2024-03-03T00:00:00"/>
    <x v="1"/>
    <x v="3"/>
    <x v="0"/>
    <x v="0"/>
    <n v="1"/>
    <n v="48489"/>
    <x v="104"/>
    <n v="3278"/>
    <n v="45211"/>
    <n v="7850.7686540000004"/>
    <x v="0"/>
    <x v="1"/>
  </r>
  <r>
    <n v="10106"/>
    <d v="2024-05-18T00:00:00"/>
    <x v="3"/>
    <x v="0"/>
    <x v="2"/>
    <x v="1"/>
    <n v="4"/>
    <n v="50261"/>
    <x v="105"/>
    <n v="3735"/>
    <n v="197309"/>
    <n v="19995.736250000002"/>
    <x v="0"/>
    <x v="5"/>
  </r>
  <r>
    <n v="10107"/>
    <d v="2025-05-13T00:00:00"/>
    <x v="3"/>
    <x v="2"/>
    <x v="2"/>
    <x v="0"/>
    <n v="6"/>
    <n v="49278"/>
    <x v="106"/>
    <n v="2213"/>
    <n v="293455"/>
    <n v="33433.79135"/>
    <x v="1"/>
    <x v="5"/>
  </r>
  <r>
    <n v="10108"/>
    <d v="2025-08-15T00:00:00"/>
    <x v="4"/>
    <x v="2"/>
    <x v="0"/>
    <x v="3"/>
    <n v="2"/>
    <n v="38602"/>
    <x v="107"/>
    <n v="3574"/>
    <n v="73630"/>
    <n v="10503.22185"/>
    <x v="1"/>
    <x v="6"/>
  </r>
  <r>
    <n v="10109"/>
    <d v="2025-01-26T00:00:00"/>
    <x v="2"/>
    <x v="0"/>
    <x v="1"/>
    <x v="0"/>
    <n v="2"/>
    <n v="25134"/>
    <x v="108"/>
    <n v="3996"/>
    <n v="46272"/>
    <n v="5266.8838519999999"/>
    <x v="1"/>
    <x v="4"/>
  </r>
  <r>
    <n v="10110"/>
    <d v="2025-11-05T00:00:00"/>
    <x v="4"/>
    <x v="0"/>
    <x v="1"/>
    <x v="2"/>
    <n v="1"/>
    <n v="74720"/>
    <x v="109"/>
    <n v="2477"/>
    <n v="72243"/>
    <n v="16911.676960000001"/>
    <x v="1"/>
    <x v="7"/>
  </r>
  <r>
    <n v="10111"/>
    <d v="2025-02-22T00:00:00"/>
    <x v="3"/>
    <x v="1"/>
    <x v="0"/>
    <x v="0"/>
    <n v="9"/>
    <n v="77714"/>
    <x v="110"/>
    <n v="3251"/>
    <n v="696175"/>
    <n v="158834.2303"/>
    <x v="1"/>
    <x v="9"/>
  </r>
  <r>
    <n v="10112"/>
    <d v="2024-10-15T00:00:00"/>
    <x v="0"/>
    <x v="3"/>
    <x v="0"/>
    <x v="0"/>
    <n v="3"/>
    <n v="75704"/>
    <x v="111"/>
    <n v="2168"/>
    <n v="224944"/>
    <n v="55252.82069"/>
    <x v="0"/>
    <x v="8"/>
  </r>
  <r>
    <n v="10113"/>
    <d v="2025-01-13T00:00:00"/>
    <x v="0"/>
    <x v="0"/>
    <x v="1"/>
    <x v="1"/>
    <n v="2"/>
    <n v="37654"/>
    <x v="112"/>
    <n v="3245"/>
    <n v="72063"/>
    <n v="14842.80473"/>
    <x v="1"/>
    <x v="4"/>
  </r>
  <r>
    <n v="10114"/>
    <d v="2025-05-04T00:00:00"/>
    <x v="4"/>
    <x v="0"/>
    <x v="1"/>
    <x v="1"/>
    <n v="4"/>
    <n v="75527"/>
    <x v="113"/>
    <n v="2378"/>
    <n v="299730"/>
    <n v="58992.763270000003"/>
    <x v="1"/>
    <x v="5"/>
  </r>
  <r>
    <n v="10115"/>
    <d v="2024-08-18T00:00:00"/>
    <x v="3"/>
    <x v="1"/>
    <x v="1"/>
    <x v="1"/>
    <n v="6"/>
    <n v="13146"/>
    <x v="114"/>
    <n v="1722"/>
    <n v="77154"/>
    <n v="18403.11894"/>
    <x v="0"/>
    <x v="6"/>
  </r>
  <r>
    <n v="10116"/>
    <d v="2024-02-10T00:00:00"/>
    <x v="0"/>
    <x v="1"/>
    <x v="0"/>
    <x v="2"/>
    <n v="1"/>
    <n v="75826"/>
    <x v="115"/>
    <n v="1161"/>
    <n v="74665"/>
    <n v="18065.866620000001"/>
    <x v="0"/>
    <x v="9"/>
  </r>
  <r>
    <n v="10117"/>
    <d v="2024-01-28T00:00:00"/>
    <x v="3"/>
    <x v="4"/>
    <x v="2"/>
    <x v="1"/>
    <n v="9"/>
    <n v="62550"/>
    <x v="116"/>
    <n v="1889"/>
    <n v="561061"/>
    <n v="129954.731"/>
    <x v="0"/>
    <x v="4"/>
  </r>
  <r>
    <n v="10118"/>
    <d v="2024-05-14T00:00:00"/>
    <x v="0"/>
    <x v="2"/>
    <x v="0"/>
    <x v="2"/>
    <n v="9"/>
    <n v="70564"/>
    <x v="117"/>
    <n v="2040"/>
    <n v="633036"/>
    <n v="145105.09849999999"/>
    <x v="0"/>
    <x v="5"/>
  </r>
  <r>
    <n v="10119"/>
    <d v="2024-07-19T00:00:00"/>
    <x v="3"/>
    <x v="3"/>
    <x v="1"/>
    <x v="3"/>
    <n v="8"/>
    <n v="62531"/>
    <x v="118"/>
    <n v="3971"/>
    <n v="496277"/>
    <n v="99630.331479999993"/>
    <x v="0"/>
    <x v="10"/>
  </r>
  <r>
    <n v="10120"/>
    <d v="2024-02-02T00:00:00"/>
    <x v="1"/>
    <x v="4"/>
    <x v="2"/>
    <x v="1"/>
    <n v="6"/>
    <n v="12934"/>
    <x v="119"/>
    <n v="3401"/>
    <n v="74203"/>
    <n v="7438.1749149999996"/>
    <x v="0"/>
    <x v="9"/>
  </r>
  <r>
    <n v="10121"/>
    <d v="2024-02-17T00:00:00"/>
    <x v="3"/>
    <x v="0"/>
    <x v="0"/>
    <x v="0"/>
    <n v="4"/>
    <n v="53049"/>
    <x v="120"/>
    <n v="3309"/>
    <n v="208887"/>
    <n v="34346.779210000001"/>
    <x v="0"/>
    <x v="9"/>
  </r>
  <r>
    <n v="10122"/>
    <d v="2025-05-17T00:00:00"/>
    <x v="3"/>
    <x v="1"/>
    <x v="1"/>
    <x v="0"/>
    <n v="2"/>
    <n v="60280"/>
    <x v="121"/>
    <n v="1099"/>
    <n v="119461"/>
    <n v="23336.636549999999"/>
    <x v="1"/>
    <x v="5"/>
  </r>
  <r>
    <n v="10123"/>
    <d v="2025-02-10T00:00:00"/>
    <x v="4"/>
    <x v="2"/>
    <x v="0"/>
    <x v="2"/>
    <n v="8"/>
    <n v="58404"/>
    <x v="122"/>
    <n v="4018"/>
    <n v="463214"/>
    <n v="84336.959359999993"/>
    <x v="1"/>
    <x v="9"/>
  </r>
  <r>
    <n v="10124"/>
    <d v="2025-07-27T00:00:00"/>
    <x v="1"/>
    <x v="4"/>
    <x v="2"/>
    <x v="1"/>
    <n v="7"/>
    <n v="7127"/>
    <x v="123"/>
    <n v="1688"/>
    <n v="48201"/>
    <n v="10756.968699999999"/>
    <x v="1"/>
    <x v="10"/>
  </r>
  <r>
    <n v="10125"/>
    <d v="2025-12-28T00:00:00"/>
    <x v="2"/>
    <x v="2"/>
    <x v="1"/>
    <x v="0"/>
    <n v="4"/>
    <n v="67736"/>
    <x v="124"/>
    <n v="4132"/>
    <n v="266812"/>
    <n v="59455.143129999997"/>
    <x v="1"/>
    <x v="3"/>
  </r>
  <r>
    <n v="10126"/>
    <d v="2024-04-08T00:00:00"/>
    <x v="4"/>
    <x v="1"/>
    <x v="0"/>
    <x v="3"/>
    <n v="3"/>
    <n v="24091"/>
    <x v="125"/>
    <n v="844"/>
    <n v="71429"/>
    <n v="13557.38859"/>
    <x v="0"/>
    <x v="0"/>
  </r>
  <r>
    <n v="10127"/>
    <d v="2025-11-14T00:00:00"/>
    <x v="2"/>
    <x v="4"/>
    <x v="2"/>
    <x v="1"/>
    <n v="6"/>
    <n v="14933"/>
    <x v="126"/>
    <n v="1643"/>
    <n v="87955"/>
    <n v="9085.6730430000007"/>
    <x v="1"/>
    <x v="7"/>
  </r>
  <r>
    <n v="10128"/>
    <d v="2025-12-26T00:00:00"/>
    <x v="0"/>
    <x v="4"/>
    <x v="2"/>
    <x v="3"/>
    <n v="1"/>
    <n v="20877"/>
    <x v="127"/>
    <n v="2333"/>
    <n v="18544"/>
    <n v="2881.7281950000001"/>
    <x v="1"/>
    <x v="3"/>
  </r>
  <r>
    <n v="10129"/>
    <d v="2025-06-30T00:00:00"/>
    <x v="2"/>
    <x v="2"/>
    <x v="0"/>
    <x v="0"/>
    <n v="2"/>
    <n v="39581"/>
    <x v="128"/>
    <n v="1263"/>
    <n v="77899"/>
    <n v="10463.58748"/>
    <x v="1"/>
    <x v="11"/>
  </r>
  <r>
    <n v="10130"/>
    <d v="2025-09-04T00:00:00"/>
    <x v="3"/>
    <x v="1"/>
    <x v="2"/>
    <x v="1"/>
    <n v="7"/>
    <n v="17519"/>
    <x v="129"/>
    <n v="2934"/>
    <n v="119699"/>
    <n v="18052.789669999998"/>
    <x v="1"/>
    <x v="2"/>
  </r>
  <r>
    <n v="10131"/>
    <d v="2025-04-06T00:00:00"/>
    <x v="2"/>
    <x v="0"/>
    <x v="1"/>
    <x v="2"/>
    <n v="3"/>
    <n v="78352"/>
    <x v="130"/>
    <n v="3685"/>
    <n v="231371"/>
    <n v="44560.642820000001"/>
    <x v="1"/>
    <x v="0"/>
  </r>
  <r>
    <n v="10132"/>
    <d v="2025-10-04T00:00:00"/>
    <x v="4"/>
    <x v="4"/>
    <x v="2"/>
    <x v="0"/>
    <n v="1"/>
    <n v="13351"/>
    <x v="131"/>
    <n v="215"/>
    <n v="13136"/>
    <n v="1444.5565329999999"/>
    <x v="1"/>
    <x v="8"/>
  </r>
  <r>
    <n v="10133"/>
    <d v="2024-01-05T00:00:00"/>
    <x v="4"/>
    <x v="0"/>
    <x v="0"/>
    <x v="3"/>
    <n v="2"/>
    <n v="20648"/>
    <x v="132"/>
    <n v="4776"/>
    <n v="36520"/>
    <n v="3773.8419450000001"/>
    <x v="0"/>
    <x v="4"/>
  </r>
  <r>
    <n v="10134"/>
    <d v="2024-08-05T00:00:00"/>
    <x v="2"/>
    <x v="1"/>
    <x v="1"/>
    <x v="1"/>
    <n v="9"/>
    <n v="62548"/>
    <x v="133"/>
    <n v="3657"/>
    <n v="559275"/>
    <n v="92577.315010000006"/>
    <x v="0"/>
    <x v="6"/>
  </r>
  <r>
    <n v="10135"/>
    <d v="2025-05-17T00:00:00"/>
    <x v="4"/>
    <x v="4"/>
    <x v="2"/>
    <x v="3"/>
    <n v="7"/>
    <n v="67823"/>
    <x v="134"/>
    <n v="2340"/>
    <n v="472421"/>
    <n v="103477.2415"/>
    <x v="1"/>
    <x v="5"/>
  </r>
  <r>
    <n v="10136"/>
    <d v="2025-02-01T00:00:00"/>
    <x v="4"/>
    <x v="4"/>
    <x v="2"/>
    <x v="3"/>
    <n v="7"/>
    <n v="49480"/>
    <x v="135"/>
    <n v="1507"/>
    <n v="344853"/>
    <n v="36073.27433"/>
    <x v="1"/>
    <x v="9"/>
  </r>
  <r>
    <n v="10137"/>
    <d v="2025-01-27T00:00:00"/>
    <x v="2"/>
    <x v="0"/>
    <x v="1"/>
    <x v="2"/>
    <n v="8"/>
    <n v="44017"/>
    <x v="136"/>
    <n v="2090"/>
    <n v="350046"/>
    <n v="79585.509149999998"/>
    <x v="1"/>
    <x v="4"/>
  </r>
  <r>
    <n v="10138"/>
    <d v="2024-07-25T00:00:00"/>
    <x v="1"/>
    <x v="3"/>
    <x v="1"/>
    <x v="2"/>
    <n v="8"/>
    <n v="44253"/>
    <x v="137"/>
    <n v="3378"/>
    <n v="350646"/>
    <n v="55255.478660000001"/>
    <x v="0"/>
    <x v="10"/>
  </r>
  <r>
    <n v="10139"/>
    <d v="2024-01-15T00:00:00"/>
    <x v="1"/>
    <x v="0"/>
    <x v="2"/>
    <x v="0"/>
    <n v="9"/>
    <n v="79713"/>
    <x v="138"/>
    <n v="1116"/>
    <n v="716301"/>
    <n v="84333.9234"/>
    <x v="0"/>
    <x v="4"/>
  </r>
  <r>
    <n v="10140"/>
    <d v="2025-07-07T00:00:00"/>
    <x v="0"/>
    <x v="0"/>
    <x v="1"/>
    <x v="2"/>
    <n v="2"/>
    <n v="26924"/>
    <x v="139"/>
    <n v="2740"/>
    <n v="51108"/>
    <n v="9461.3510889999998"/>
    <x v="1"/>
    <x v="10"/>
  </r>
  <r>
    <n v="10141"/>
    <d v="2025-04-05T00:00:00"/>
    <x v="4"/>
    <x v="3"/>
    <x v="0"/>
    <x v="2"/>
    <n v="8"/>
    <n v="39864"/>
    <x v="140"/>
    <n v="2161"/>
    <n v="316751"/>
    <n v="76924.27403"/>
    <x v="1"/>
    <x v="0"/>
  </r>
  <r>
    <n v="10142"/>
    <d v="2025-11-21T00:00:00"/>
    <x v="2"/>
    <x v="1"/>
    <x v="2"/>
    <x v="0"/>
    <n v="8"/>
    <n v="17493"/>
    <x v="141"/>
    <n v="3256"/>
    <n v="136688"/>
    <n v="24792.050469999998"/>
    <x v="1"/>
    <x v="7"/>
  </r>
  <r>
    <n v="10143"/>
    <d v="2025-07-28T00:00:00"/>
    <x v="4"/>
    <x v="1"/>
    <x v="0"/>
    <x v="0"/>
    <n v="5"/>
    <n v="10337"/>
    <x v="142"/>
    <n v="2968"/>
    <n v="48717"/>
    <n v="9889.3178100000005"/>
    <x v="1"/>
    <x v="10"/>
  </r>
  <r>
    <n v="10144"/>
    <d v="2024-08-28T00:00:00"/>
    <x v="3"/>
    <x v="4"/>
    <x v="2"/>
    <x v="0"/>
    <n v="5"/>
    <n v="68281"/>
    <x v="143"/>
    <n v="1148"/>
    <n v="340257"/>
    <n v="75694.658670000004"/>
    <x v="0"/>
    <x v="6"/>
  </r>
  <r>
    <n v="10145"/>
    <d v="2025-07-17T00:00:00"/>
    <x v="4"/>
    <x v="2"/>
    <x v="0"/>
    <x v="0"/>
    <n v="4"/>
    <n v="21035"/>
    <x v="144"/>
    <n v="3176"/>
    <n v="80964"/>
    <n v="17804.066050000001"/>
    <x v="1"/>
    <x v="10"/>
  </r>
  <r>
    <n v="10146"/>
    <d v="2024-04-05T00:00:00"/>
    <x v="4"/>
    <x v="2"/>
    <x v="0"/>
    <x v="3"/>
    <n v="5"/>
    <n v="74318"/>
    <x v="145"/>
    <n v="4253"/>
    <n v="367337"/>
    <n v="40762.582159999998"/>
    <x v="0"/>
    <x v="0"/>
  </r>
  <r>
    <n v="10147"/>
    <d v="2025-04-29T00:00:00"/>
    <x v="1"/>
    <x v="4"/>
    <x v="1"/>
    <x v="3"/>
    <n v="2"/>
    <n v="24884"/>
    <x v="146"/>
    <n v="3345"/>
    <n v="46423"/>
    <n v="9802.1845099999991"/>
    <x v="1"/>
    <x v="0"/>
  </r>
  <r>
    <n v="10148"/>
    <d v="2025-02-10T00:00:00"/>
    <x v="2"/>
    <x v="2"/>
    <x v="2"/>
    <x v="0"/>
    <n v="2"/>
    <n v="14074"/>
    <x v="147"/>
    <n v="3961"/>
    <n v="24187"/>
    <n v="5863.3504970000004"/>
    <x v="1"/>
    <x v="9"/>
  </r>
  <r>
    <n v="10149"/>
    <d v="2024-08-18T00:00:00"/>
    <x v="4"/>
    <x v="0"/>
    <x v="1"/>
    <x v="0"/>
    <n v="5"/>
    <n v="31907"/>
    <x v="148"/>
    <n v="1140"/>
    <n v="158395"/>
    <n v="32486.471590000001"/>
    <x v="0"/>
    <x v="6"/>
  </r>
  <r>
    <n v="10150"/>
    <d v="2025-10-16T00:00:00"/>
    <x v="1"/>
    <x v="0"/>
    <x v="1"/>
    <x v="1"/>
    <n v="3"/>
    <n v="13624"/>
    <x v="149"/>
    <n v="2933"/>
    <n v="37939"/>
    <n v="8553.9710419999992"/>
    <x v="1"/>
    <x v="8"/>
  </r>
  <r>
    <n v="10151"/>
    <d v="2024-06-19T00:00:00"/>
    <x v="0"/>
    <x v="3"/>
    <x v="2"/>
    <x v="1"/>
    <n v="1"/>
    <n v="78425"/>
    <x v="150"/>
    <n v="2107"/>
    <n v="76318"/>
    <n v="13190.22731"/>
    <x v="0"/>
    <x v="11"/>
  </r>
  <r>
    <n v="10152"/>
    <d v="2025-06-24T00:00:00"/>
    <x v="1"/>
    <x v="3"/>
    <x v="0"/>
    <x v="1"/>
    <n v="9"/>
    <n v="32256"/>
    <x v="151"/>
    <n v="2448"/>
    <n v="287856"/>
    <n v="42562.502999999997"/>
    <x v="1"/>
    <x v="11"/>
  </r>
  <r>
    <n v="10153"/>
    <d v="2024-02-05T00:00:00"/>
    <x v="1"/>
    <x v="4"/>
    <x v="2"/>
    <x v="2"/>
    <n v="2"/>
    <n v="15455"/>
    <x v="152"/>
    <n v="827"/>
    <n v="30083"/>
    <n v="6059.7956819999999"/>
    <x v="0"/>
    <x v="9"/>
  </r>
  <r>
    <n v="10154"/>
    <d v="2025-06-08T00:00:00"/>
    <x v="1"/>
    <x v="4"/>
    <x v="2"/>
    <x v="3"/>
    <n v="2"/>
    <n v="16194"/>
    <x v="153"/>
    <n v="1203"/>
    <n v="31185"/>
    <n v="5420.8884479999997"/>
    <x v="1"/>
    <x v="11"/>
  </r>
  <r>
    <n v="10155"/>
    <d v="2024-06-08T00:00:00"/>
    <x v="4"/>
    <x v="4"/>
    <x v="2"/>
    <x v="3"/>
    <n v="4"/>
    <n v="26622"/>
    <x v="154"/>
    <n v="3303"/>
    <n v="103185"/>
    <n v="24175.557100000002"/>
    <x v="0"/>
    <x v="11"/>
  </r>
  <r>
    <n v="10156"/>
    <d v="2025-11-29T00:00:00"/>
    <x v="4"/>
    <x v="0"/>
    <x v="1"/>
    <x v="1"/>
    <n v="2"/>
    <n v="55969"/>
    <x v="155"/>
    <n v="844"/>
    <n v="111094"/>
    <n v="27346.598559999999"/>
    <x v="1"/>
    <x v="7"/>
  </r>
  <r>
    <n v="10157"/>
    <d v="2024-08-30T00:00:00"/>
    <x v="0"/>
    <x v="2"/>
    <x v="2"/>
    <x v="1"/>
    <n v="7"/>
    <n v="78106"/>
    <x v="156"/>
    <n v="2971"/>
    <n v="543771"/>
    <n v="121244.7885"/>
    <x v="0"/>
    <x v="6"/>
  </r>
  <r>
    <n v="10158"/>
    <d v="2024-03-26T00:00:00"/>
    <x v="3"/>
    <x v="4"/>
    <x v="2"/>
    <x v="3"/>
    <n v="1"/>
    <n v="26487"/>
    <x v="157"/>
    <n v="1268"/>
    <n v="25219"/>
    <n v="6277.0580909999999"/>
    <x v="0"/>
    <x v="1"/>
  </r>
  <r>
    <n v="10159"/>
    <d v="2025-07-31T00:00:00"/>
    <x v="3"/>
    <x v="4"/>
    <x v="2"/>
    <x v="2"/>
    <n v="2"/>
    <n v="5617"/>
    <x v="158"/>
    <n v="4733"/>
    <n v="6501"/>
    <n v="989.81358899999998"/>
    <x v="1"/>
    <x v="10"/>
  </r>
  <r>
    <n v="10160"/>
    <d v="2025-11-12T00:00:00"/>
    <x v="3"/>
    <x v="0"/>
    <x v="0"/>
    <x v="1"/>
    <n v="5"/>
    <n v="11285"/>
    <x v="159"/>
    <n v="4744"/>
    <n v="51681"/>
    <n v="12112.13006"/>
    <x v="1"/>
    <x v="7"/>
  </r>
  <r>
    <n v="10161"/>
    <d v="2025-07-10T00:00:00"/>
    <x v="0"/>
    <x v="0"/>
    <x v="0"/>
    <x v="0"/>
    <n v="2"/>
    <n v="38224"/>
    <x v="160"/>
    <n v="1629"/>
    <n v="74819"/>
    <n v="11184.69563"/>
    <x v="1"/>
    <x v="10"/>
  </r>
  <r>
    <n v="10162"/>
    <d v="2025-07-27T00:00:00"/>
    <x v="3"/>
    <x v="0"/>
    <x v="0"/>
    <x v="1"/>
    <n v="9"/>
    <n v="71036"/>
    <x v="161"/>
    <n v="3530"/>
    <n v="635794"/>
    <n v="74836.585009999995"/>
    <x v="1"/>
    <x v="10"/>
  </r>
  <r>
    <n v="10163"/>
    <d v="2025-10-07T00:00:00"/>
    <x v="3"/>
    <x v="2"/>
    <x v="0"/>
    <x v="3"/>
    <n v="4"/>
    <n v="62226"/>
    <x v="162"/>
    <n v="803"/>
    <n v="248101"/>
    <n v="47934.615279999998"/>
    <x v="1"/>
    <x v="8"/>
  </r>
  <r>
    <n v="10164"/>
    <d v="2024-01-28T00:00:00"/>
    <x v="1"/>
    <x v="4"/>
    <x v="1"/>
    <x v="3"/>
    <n v="9"/>
    <n v="33994"/>
    <x v="163"/>
    <n v="127"/>
    <n v="305819"/>
    <n v="51453.525370000003"/>
    <x v="0"/>
    <x v="4"/>
  </r>
  <r>
    <n v="10165"/>
    <d v="2025-09-11T00:00:00"/>
    <x v="4"/>
    <x v="1"/>
    <x v="1"/>
    <x v="1"/>
    <n v="1"/>
    <n v="67439"/>
    <x v="164"/>
    <n v="951"/>
    <n v="66488"/>
    <n v="15841.09079"/>
    <x v="1"/>
    <x v="2"/>
  </r>
  <r>
    <n v="10166"/>
    <d v="2025-07-09T00:00:00"/>
    <x v="4"/>
    <x v="1"/>
    <x v="2"/>
    <x v="1"/>
    <n v="1"/>
    <n v="56467"/>
    <x v="165"/>
    <n v="2264"/>
    <n v="54203"/>
    <n v="9422.0577929999999"/>
    <x v="1"/>
    <x v="10"/>
  </r>
  <r>
    <n v="10167"/>
    <d v="2024-12-05T00:00:00"/>
    <x v="1"/>
    <x v="4"/>
    <x v="1"/>
    <x v="0"/>
    <n v="1"/>
    <n v="28014"/>
    <x v="166"/>
    <n v="19"/>
    <n v="27995"/>
    <n v="6694.8611090000004"/>
    <x v="0"/>
    <x v="3"/>
  </r>
  <r>
    <n v="10168"/>
    <d v="2024-11-26T00:00:00"/>
    <x v="1"/>
    <x v="4"/>
    <x v="0"/>
    <x v="0"/>
    <n v="4"/>
    <n v="75509"/>
    <x v="167"/>
    <n v="3638"/>
    <n v="298398"/>
    <n v="33359.428310000003"/>
    <x v="0"/>
    <x v="7"/>
  </r>
  <r>
    <n v="10169"/>
    <d v="2025-10-01T00:00:00"/>
    <x v="1"/>
    <x v="4"/>
    <x v="2"/>
    <x v="2"/>
    <n v="9"/>
    <n v="75310"/>
    <x v="168"/>
    <n v="1781"/>
    <n v="676009"/>
    <n v="151815.92129999999"/>
    <x v="1"/>
    <x v="8"/>
  </r>
  <r>
    <n v="10170"/>
    <d v="2025-05-20T00:00:00"/>
    <x v="4"/>
    <x v="4"/>
    <x v="2"/>
    <x v="2"/>
    <n v="8"/>
    <n v="70254"/>
    <x v="169"/>
    <n v="3834"/>
    <n v="558198"/>
    <n v="119380.21"/>
    <x v="1"/>
    <x v="5"/>
  </r>
  <r>
    <n v="10171"/>
    <d v="2024-12-13T00:00:00"/>
    <x v="3"/>
    <x v="2"/>
    <x v="0"/>
    <x v="0"/>
    <n v="7"/>
    <n v="52117"/>
    <x v="170"/>
    <n v="3131"/>
    <n v="361688"/>
    <n v="75229.925270000007"/>
    <x v="0"/>
    <x v="3"/>
  </r>
  <r>
    <n v="10172"/>
    <d v="2025-04-17T00:00:00"/>
    <x v="1"/>
    <x v="1"/>
    <x v="0"/>
    <x v="2"/>
    <n v="1"/>
    <n v="66594"/>
    <x v="171"/>
    <n v="4770"/>
    <n v="61824"/>
    <n v="9475.7878660000006"/>
    <x v="1"/>
    <x v="0"/>
  </r>
  <r>
    <n v="10173"/>
    <d v="2024-08-18T00:00:00"/>
    <x v="0"/>
    <x v="3"/>
    <x v="0"/>
    <x v="2"/>
    <n v="3"/>
    <n v="55218"/>
    <x v="172"/>
    <n v="4834"/>
    <n v="160820"/>
    <n v="34988.633699999998"/>
    <x v="0"/>
    <x v="6"/>
  </r>
  <r>
    <n v="10174"/>
    <d v="2024-07-08T00:00:00"/>
    <x v="1"/>
    <x v="1"/>
    <x v="1"/>
    <x v="1"/>
    <n v="9"/>
    <n v="51390"/>
    <x v="173"/>
    <n v="556"/>
    <n v="461954"/>
    <n v="79684.518200000006"/>
    <x v="0"/>
    <x v="10"/>
  </r>
  <r>
    <n v="10175"/>
    <d v="2024-08-12T00:00:00"/>
    <x v="2"/>
    <x v="1"/>
    <x v="2"/>
    <x v="0"/>
    <n v="9"/>
    <n v="42484"/>
    <x v="174"/>
    <n v="2244"/>
    <n v="380112"/>
    <n v="78789.815539999996"/>
    <x v="0"/>
    <x v="6"/>
  </r>
  <r>
    <n v="10176"/>
    <d v="2025-01-19T00:00:00"/>
    <x v="1"/>
    <x v="0"/>
    <x v="0"/>
    <x v="1"/>
    <n v="5"/>
    <n v="47588"/>
    <x v="175"/>
    <n v="2983"/>
    <n v="234957"/>
    <n v="42958.145060000003"/>
    <x v="1"/>
    <x v="4"/>
  </r>
  <r>
    <n v="10177"/>
    <d v="2025-01-11T00:00:00"/>
    <x v="4"/>
    <x v="4"/>
    <x v="2"/>
    <x v="1"/>
    <n v="6"/>
    <n v="18302"/>
    <x v="176"/>
    <n v="3563"/>
    <n v="106249"/>
    <n v="13134.071679999999"/>
    <x v="1"/>
    <x v="4"/>
  </r>
  <r>
    <n v="10178"/>
    <d v="2024-10-09T00:00:00"/>
    <x v="1"/>
    <x v="4"/>
    <x v="2"/>
    <x v="2"/>
    <n v="6"/>
    <n v="60760"/>
    <x v="177"/>
    <n v="2725"/>
    <n v="361835"/>
    <n v="39687.433620000003"/>
    <x v="0"/>
    <x v="8"/>
  </r>
  <r>
    <n v="10179"/>
    <d v="2025-09-24T00:00:00"/>
    <x v="2"/>
    <x v="4"/>
    <x v="1"/>
    <x v="1"/>
    <n v="4"/>
    <n v="8234"/>
    <x v="178"/>
    <n v="4599"/>
    <n v="28337"/>
    <n v="4390.1946699999999"/>
    <x v="1"/>
    <x v="2"/>
  </r>
  <r>
    <n v="10180"/>
    <d v="2025-09-19T00:00:00"/>
    <x v="0"/>
    <x v="0"/>
    <x v="2"/>
    <x v="3"/>
    <n v="1"/>
    <n v="11494"/>
    <x v="179"/>
    <n v="4833"/>
    <n v="6661"/>
    <n v="1598.0959519999999"/>
    <x v="1"/>
    <x v="2"/>
  </r>
  <r>
    <n v="10181"/>
    <d v="2024-09-15T00:00:00"/>
    <x v="3"/>
    <x v="2"/>
    <x v="0"/>
    <x v="2"/>
    <n v="5"/>
    <n v="64625"/>
    <x v="180"/>
    <n v="4887"/>
    <n v="318238"/>
    <n v="57111.072030000003"/>
    <x v="0"/>
    <x v="2"/>
  </r>
  <r>
    <n v="10182"/>
    <d v="2024-12-24T00:00:00"/>
    <x v="1"/>
    <x v="2"/>
    <x v="0"/>
    <x v="3"/>
    <n v="1"/>
    <n v="19239"/>
    <x v="181"/>
    <n v="3331"/>
    <n v="15908"/>
    <n v="3504.9907119999998"/>
    <x v="0"/>
    <x v="3"/>
  </r>
  <r>
    <n v="10183"/>
    <d v="2025-12-10T00:00:00"/>
    <x v="2"/>
    <x v="3"/>
    <x v="2"/>
    <x v="2"/>
    <n v="1"/>
    <n v="75034"/>
    <x v="182"/>
    <n v="196"/>
    <n v="74838"/>
    <n v="13949.276390000001"/>
    <x v="1"/>
    <x v="3"/>
  </r>
  <r>
    <n v="10184"/>
    <d v="2025-03-31T00:00:00"/>
    <x v="2"/>
    <x v="2"/>
    <x v="2"/>
    <x v="1"/>
    <n v="5"/>
    <n v="75803"/>
    <x v="183"/>
    <n v="2828"/>
    <n v="376187"/>
    <n v="91671.427389999997"/>
    <x v="1"/>
    <x v="1"/>
  </r>
  <r>
    <n v="10185"/>
    <d v="2025-02-14T00:00:00"/>
    <x v="0"/>
    <x v="2"/>
    <x v="1"/>
    <x v="2"/>
    <n v="5"/>
    <n v="60323"/>
    <x v="184"/>
    <n v="4839"/>
    <n v="296776"/>
    <n v="46124.43159"/>
    <x v="1"/>
    <x v="9"/>
  </r>
  <r>
    <n v="10186"/>
    <d v="2025-10-10T00:00:00"/>
    <x v="4"/>
    <x v="4"/>
    <x v="0"/>
    <x v="3"/>
    <n v="7"/>
    <n v="17546"/>
    <x v="185"/>
    <n v="3988"/>
    <n v="118834"/>
    <n v="12900.33007"/>
    <x v="1"/>
    <x v="8"/>
  </r>
  <r>
    <n v="10187"/>
    <d v="2024-11-13T00:00:00"/>
    <x v="1"/>
    <x v="1"/>
    <x v="0"/>
    <x v="2"/>
    <n v="2"/>
    <n v="29479"/>
    <x v="186"/>
    <n v="2469"/>
    <n v="56489"/>
    <n v="12263.776449999999"/>
    <x v="0"/>
    <x v="7"/>
  </r>
  <r>
    <n v="10188"/>
    <d v="2025-11-07T00:00:00"/>
    <x v="2"/>
    <x v="2"/>
    <x v="2"/>
    <x v="3"/>
    <n v="6"/>
    <n v="41437"/>
    <x v="187"/>
    <n v="1630"/>
    <n v="246992"/>
    <n v="50835.517090000001"/>
    <x v="1"/>
    <x v="7"/>
  </r>
  <r>
    <n v="10189"/>
    <d v="2024-08-12T00:00:00"/>
    <x v="0"/>
    <x v="2"/>
    <x v="2"/>
    <x v="0"/>
    <n v="2"/>
    <n v="58867"/>
    <x v="188"/>
    <n v="3278"/>
    <n v="114456"/>
    <n v="20502.521290000001"/>
    <x v="0"/>
    <x v="6"/>
  </r>
  <r>
    <n v="10190"/>
    <d v="2024-08-21T00:00:00"/>
    <x v="3"/>
    <x v="0"/>
    <x v="2"/>
    <x v="1"/>
    <n v="5"/>
    <n v="14657"/>
    <x v="189"/>
    <n v="2038"/>
    <n v="71247"/>
    <n v="10612.859539999999"/>
    <x v="0"/>
    <x v="6"/>
  </r>
  <r>
    <n v="10191"/>
    <d v="2025-11-14T00:00:00"/>
    <x v="2"/>
    <x v="3"/>
    <x v="0"/>
    <x v="3"/>
    <n v="4"/>
    <n v="22259"/>
    <x v="190"/>
    <n v="2479"/>
    <n v="86557"/>
    <n v="11100.04996"/>
    <x v="1"/>
    <x v="7"/>
  </r>
  <r>
    <n v="10192"/>
    <d v="2025-10-25T00:00:00"/>
    <x v="0"/>
    <x v="0"/>
    <x v="2"/>
    <x v="0"/>
    <n v="5"/>
    <n v="33645"/>
    <x v="191"/>
    <n v="4330"/>
    <n v="163895"/>
    <n v="28245.894840000001"/>
    <x v="1"/>
    <x v="8"/>
  </r>
  <r>
    <n v="10193"/>
    <d v="2025-01-08T00:00:00"/>
    <x v="4"/>
    <x v="4"/>
    <x v="1"/>
    <x v="1"/>
    <n v="2"/>
    <n v="67674"/>
    <x v="192"/>
    <n v="4574"/>
    <n v="130774"/>
    <n v="26145.673460000002"/>
    <x v="1"/>
    <x v="4"/>
  </r>
  <r>
    <n v="10194"/>
    <d v="2025-11-02T00:00:00"/>
    <x v="4"/>
    <x v="1"/>
    <x v="1"/>
    <x v="0"/>
    <n v="8"/>
    <n v="79270"/>
    <x v="193"/>
    <n v="2475"/>
    <n v="631685"/>
    <n v="118019.5811"/>
    <x v="1"/>
    <x v="7"/>
  </r>
  <r>
    <n v="10195"/>
    <d v="2025-08-30T00:00:00"/>
    <x v="2"/>
    <x v="3"/>
    <x v="2"/>
    <x v="3"/>
    <n v="8"/>
    <n v="74052"/>
    <x v="194"/>
    <n v="4761"/>
    <n v="587655"/>
    <n v="97329.522880000004"/>
    <x v="1"/>
    <x v="6"/>
  </r>
  <r>
    <n v="10196"/>
    <d v="2025-04-16T00:00:00"/>
    <x v="2"/>
    <x v="0"/>
    <x v="1"/>
    <x v="1"/>
    <n v="6"/>
    <n v="20032"/>
    <x v="195"/>
    <n v="3309"/>
    <n v="116883"/>
    <n v="21150.46586"/>
    <x v="1"/>
    <x v="0"/>
  </r>
  <r>
    <n v="10197"/>
    <d v="2024-08-20T00:00:00"/>
    <x v="1"/>
    <x v="2"/>
    <x v="1"/>
    <x v="0"/>
    <n v="3"/>
    <n v="45001"/>
    <x v="196"/>
    <n v="3178"/>
    <n v="131825"/>
    <n v="15317.1738"/>
    <x v="0"/>
    <x v="6"/>
  </r>
  <r>
    <n v="10198"/>
    <d v="2025-11-22T00:00:00"/>
    <x v="0"/>
    <x v="2"/>
    <x v="1"/>
    <x v="3"/>
    <n v="4"/>
    <n v="31004"/>
    <x v="197"/>
    <n v="1387"/>
    <n v="122629"/>
    <n v="25062.42641"/>
    <x v="1"/>
    <x v="7"/>
  </r>
  <r>
    <n v="10199"/>
    <d v="2024-04-22T00:00:00"/>
    <x v="2"/>
    <x v="3"/>
    <x v="1"/>
    <x v="0"/>
    <n v="1"/>
    <n v="18170"/>
    <x v="198"/>
    <n v="641"/>
    <n v="17529"/>
    <n v="3683.5161290000001"/>
    <x v="0"/>
    <x v="0"/>
  </r>
  <r>
    <n v="10200"/>
    <d v="2025-05-11T00:00:00"/>
    <x v="1"/>
    <x v="2"/>
    <x v="1"/>
    <x v="1"/>
    <n v="9"/>
    <n v="22842"/>
    <x v="199"/>
    <n v="574"/>
    <n v="205004"/>
    <n v="20852.57445"/>
    <x v="1"/>
    <x v="5"/>
  </r>
  <r>
    <n v="10201"/>
    <d v="2025-03-17T00:00:00"/>
    <x v="1"/>
    <x v="0"/>
    <x v="0"/>
    <x v="1"/>
    <n v="5"/>
    <n v="31067"/>
    <x v="200"/>
    <n v="3144"/>
    <n v="152191"/>
    <n v="21394.696260000001"/>
    <x v="1"/>
    <x v="1"/>
  </r>
  <r>
    <n v="10202"/>
    <d v="2025-07-17T00:00:00"/>
    <x v="2"/>
    <x v="0"/>
    <x v="2"/>
    <x v="1"/>
    <n v="8"/>
    <n v="73708"/>
    <x v="201"/>
    <n v="1721"/>
    <n v="587943"/>
    <n v="66918.219469999996"/>
    <x v="1"/>
    <x v="10"/>
  </r>
  <r>
    <n v="10203"/>
    <d v="2024-09-24T00:00:00"/>
    <x v="4"/>
    <x v="2"/>
    <x v="1"/>
    <x v="3"/>
    <n v="3"/>
    <n v="56622"/>
    <x v="202"/>
    <n v="1018"/>
    <n v="168848"/>
    <n v="42167.224849999999"/>
    <x v="0"/>
    <x v="2"/>
  </r>
  <r>
    <n v="10204"/>
    <d v="2025-05-24T00:00:00"/>
    <x v="0"/>
    <x v="2"/>
    <x v="2"/>
    <x v="0"/>
    <n v="4"/>
    <n v="41195"/>
    <x v="203"/>
    <n v="4058"/>
    <n v="160722"/>
    <n v="30376.687040000001"/>
    <x v="1"/>
    <x v="5"/>
  </r>
  <r>
    <n v="10205"/>
    <d v="2025-01-20T00:00:00"/>
    <x v="0"/>
    <x v="4"/>
    <x v="1"/>
    <x v="0"/>
    <n v="4"/>
    <n v="45566"/>
    <x v="204"/>
    <n v="3420"/>
    <n v="178844"/>
    <n v="30378.56956"/>
    <x v="1"/>
    <x v="4"/>
  </r>
  <r>
    <n v="10206"/>
    <d v="2025-01-21T00:00:00"/>
    <x v="4"/>
    <x v="1"/>
    <x v="0"/>
    <x v="3"/>
    <n v="8"/>
    <n v="12736"/>
    <x v="205"/>
    <n v="399"/>
    <n v="101489"/>
    <n v="17197.326560000001"/>
    <x v="1"/>
    <x v="4"/>
  </r>
  <r>
    <n v="10207"/>
    <d v="2024-04-22T00:00:00"/>
    <x v="2"/>
    <x v="3"/>
    <x v="0"/>
    <x v="1"/>
    <n v="9"/>
    <n v="53258"/>
    <x v="206"/>
    <n v="4690"/>
    <n v="474632"/>
    <n v="116150.08620000001"/>
    <x v="0"/>
    <x v="0"/>
  </r>
  <r>
    <n v="10208"/>
    <d v="2025-09-04T00:00:00"/>
    <x v="0"/>
    <x v="0"/>
    <x v="1"/>
    <x v="2"/>
    <n v="3"/>
    <n v="48475"/>
    <x v="207"/>
    <n v="1456"/>
    <n v="143969"/>
    <n v="28646.713459999999"/>
    <x v="1"/>
    <x v="2"/>
  </r>
  <r>
    <n v="10209"/>
    <d v="2025-09-16T00:00:00"/>
    <x v="2"/>
    <x v="3"/>
    <x v="1"/>
    <x v="1"/>
    <n v="7"/>
    <n v="49511"/>
    <x v="208"/>
    <n v="1595"/>
    <n v="344982"/>
    <n v="43225.876759999999"/>
    <x v="1"/>
    <x v="2"/>
  </r>
  <r>
    <n v="10210"/>
    <d v="2024-03-21T00:00:00"/>
    <x v="2"/>
    <x v="4"/>
    <x v="1"/>
    <x v="2"/>
    <n v="9"/>
    <n v="9206"/>
    <x v="209"/>
    <n v="116"/>
    <n v="82738"/>
    <n v="13835.76477"/>
    <x v="0"/>
    <x v="1"/>
  </r>
  <r>
    <n v="10211"/>
    <d v="2025-11-29T00:00:00"/>
    <x v="1"/>
    <x v="0"/>
    <x v="0"/>
    <x v="1"/>
    <n v="2"/>
    <n v="24348"/>
    <x v="210"/>
    <n v="382"/>
    <n v="48314"/>
    <n v="10442.08193"/>
    <x v="1"/>
    <x v="7"/>
  </r>
  <r>
    <n v="10212"/>
    <d v="2024-04-22T00:00:00"/>
    <x v="4"/>
    <x v="4"/>
    <x v="0"/>
    <x v="3"/>
    <n v="4"/>
    <n v="61057"/>
    <x v="211"/>
    <n v="4954"/>
    <n v="239274"/>
    <n v="39121.899579999998"/>
    <x v="0"/>
    <x v="0"/>
  </r>
  <r>
    <n v="10213"/>
    <d v="2024-01-02T00:00:00"/>
    <x v="2"/>
    <x v="4"/>
    <x v="2"/>
    <x v="2"/>
    <n v="3"/>
    <n v="41081"/>
    <x v="212"/>
    <n v="2129"/>
    <n v="121114"/>
    <n v="17734.724699999999"/>
    <x v="0"/>
    <x v="4"/>
  </r>
  <r>
    <n v="10214"/>
    <d v="2025-10-03T00:00:00"/>
    <x v="3"/>
    <x v="2"/>
    <x v="0"/>
    <x v="3"/>
    <n v="8"/>
    <n v="67208"/>
    <x v="213"/>
    <n v="1850"/>
    <n v="535814"/>
    <n v="133247.51759999999"/>
    <x v="1"/>
    <x v="8"/>
  </r>
  <r>
    <n v="10215"/>
    <d v="2024-08-07T00:00:00"/>
    <x v="4"/>
    <x v="3"/>
    <x v="1"/>
    <x v="2"/>
    <n v="4"/>
    <n v="29854"/>
    <x v="214"/>
    <n v="831"/>
    <n v="118585"/>
    <n v="28501.379440000001"/>
    <x v="0"/>
    <x v="6"/>
  </r>
  <r>
    <n v="10216"/>
    <d v="2025-07-19T00:00:00"/>
    <x v="0"/>
    <x v="3"/>
    <x v="2"/>
    <x v="0"/>
    <n v="9"/>
    <n v="23032"/>
    <x v="215"/>
    <n v="4968"/>
    <n v="202320"/>
    <n v="48806.474090000003"/>
    <x v="1"/>
    <x v="10"/>
  </r>
  <r>
    <n v="10217"/>
    <d v="2024-08-12T00:00:00"/>
    <x v="1"/>
    <x v="2"/>
    <x v="0"/>
    <x v="2"/>
    <n v="1"/>
    <n v="59679"/>
    <x v="216"/>
    <n v="2700"/>
    <n v="56979"/>
    <n v="6823.2853599999999"/>
    <x v="0"/>
    <x v="6"/>
  </r>
  <r>
    <n v="10218"/>
    <d v="2025-01-19T00:00:00"/>
    <x v="0"/>
    <x v="3"/>
    <x v="0"/>
    <x v="2"/>
    <n v="1"/>
    <n v="34272"/>
    <x v="217"/>
    <n v="2781"/>
    <n v="31491"/>
    <n v="4255.6398440000003"/>
    <x v="1"/>
    <x v="4"/>
  </r>
  <r>
    <n v="10219"/>
    <d v="2025-02-06T00:00:00"/>
    <x v="0"/>
    <x v="2"/>
    <x v="1"/>
    <x v="2"/>
    <n v="4"/>
    <n v="40109"/>
    <x v="218"/>
    <n v="3481"/>
    <n v="156955"/>
    <n v="26103.192910000002"/>
    <x v="1"/>
    <x v="9"/>
  </r>
  <r>
    <n v="10220"/>
    <d v="2025-09-29T00:00:00"/>
    <x v="4"/>
    <x v="0"/>
    <x v="2"/>
    <x v="0"/>
    <n v="3"/>
    <n v="55670"/>
    <x v="219"/>
    <n v="2117"/>
    <n v="164893"/>
    <n v="37071.143470000003"/>
    <x v="1"/>
    <x v="2"/>
  </r>
  <r>
    <n v="10221"/>
    <d v="2024-05-09T00:00:00"/>
    <x v="0"/>
    <x v="4"/>
    <x v="0"/>
    <x v="3"/>
    <n v="3"/>
    <n v="55022"/>
    <x v="220"/>
    <n v="4482"/>
    <n v="160584"/>
    <n v="33806.807059999999"/>
    <x v="0"/>
    <x v="5"/>
  </r>
  <r>
    <n v="10222"/>
    <d v="2024-02-22T00:00:00"/>
    <x v="2"/>
    <x v="4"/>
    <x v="0"/>
    <x v="0"/>
    <n v="2"/>
    <n v="10538"/>
    <x v="221"/>
    <n v="2006"/>
    <n v="19070"/>
    <n v="4337.4735840000003"/>
    <x v="0"/>
    <x v="9"/>
  </r>
  <r>
    <n v="10223"/>
    <d v="2025-11-14T00:00:00"/>
    <x v="0"/>
    <x v="3"/>
    <x v="1"/>
    <x v="2"/>
    <n v="2"/>
    <n v="49237"/>
    <x v="222"/>
    <n v="2571"/>
    <n v="95903"/>
    <n v="22835.89429"/>
    <x v="1"/>
    <x v="7"/>
  </r>
  <r>
    <n v="10224"/>
    <d v="2025-12-30T00:00:00"/>
    <x v="1"/>
    <x v="1"/>
    <x v="2"/>
    <x v="1"/>
    <n v="8"/>
    <n v="14533"/>
    <x v="223"/>
    <n v="296"/>
    <n v="115968"/>
    <n v="25178.395390000001"/>
    <x v="1"/>
    <x v="3"/>
  </r>
  <r>
    <n v="10225"/>
    <d v="2025-11-02T00:00:00"/>
    <x v="1"/>
    <x v="4"/>
    <x v="2"/>
    <x v="0"/>
    <n v="1"/>
    <n v="64650"/>
    <x v="224"/>
    <n v="718"/>
    <n v="63932"/>
    <n v="8903.5220430000008"/>
    <x v="1"/>
    <x v="7"/>
  </r>
  <r>
    <n v="10226"/>
    <d v="2025-12-10T00:00:00"/>
    <x v="3"/>
    <x v="2"/>
    <x v="2"/>
    <x v="1"/>
    <n v="8"/>
    <n v="76013"/>
    <x v="225"/>
    <n v="3136"/>
    <n v="604968"/>
    <n v="86399.625539999994"/>
    <x v="1"/>
    <x v="3"/>
  </r>
  <r>
    <n v="10227"/>
    <d v="2025-02-19T00:00:00"/>
    <x v="1"/>
    <x v="1"/>
    <x v="2"/>
    <x v="0"/>
    <n v="3"/>
    <n v="14363"/>
    <x v="226"/>
    <n v="3079"/>
    <n v="40010"/>
    <n v="6116.4548210000003"/>
    <x v="1"/>
    <x v="9"/>
  </r>
  <r>
    <n v="10228"/>
    <d v="2024-09-03T00:00:00"/>
    <x v="0"/>
    <x v="1"/>
    <x v="1"/>
    <x v="0"/>
    <n v="2"/>
    <n v="51304"/>
    <x v="227"/>
    <n v="10"/>
    <n v="102598"/>
    <n v="14924.03897"/>
    <x v="0"/>
    <x v="2"/>
  </r>
  <r>
    <n v="10229"/>
    <d v="2025-03-14T00:00:00"/>
    <x v="1"/>
    <x v="4"/>
    <x v="0"/>
    <x v="2"/>
    <n v="9"/>
    <n v="16819"/>
    <x v="228"/>
    <n v="4880"/>
    <n v="146491"/>
    <n v="20122.71314"/>
    <x v="1"/>
    <x v="1"/>
  </r>
  <r>
    <n v="10230"/>
    <d v="2024-07-21T00:00:00"/>
    <x v="4"/>
    <x v="4"/>
    <x v="0"/>
    <x v="3"/>
    <n v="5"/>
    <n v="17191"/>
    <x v="229"/>
    <n v="410"/>
    <n v="85545"/>
    <n v="18210.213"/>
    <x v="0"/>
    <x v="10"/>
  </r>
  <r>
    <n v="10231"/>
    <d v="2024-07-02T00:00:00"/>
    <x v="1"/>
    <x v="4"/>
    <x v="2"/>
    <x v="3"/>
    <n v="5"/>
    <n v="11499"/>
    <x v="230"/>
    <n v="2939"/>
    <n v="54556"/>
    <n v="5733.7623659999999"/>
    <x v="0"/>
    <x v="10"/>
  </r>
  <r>
    <n v="10232"/>
    <d v="2024-05-02T00:00:00"/>
    <x v="2"/>
    <x v="2"/>
    <x v="2"/>
    <x v="2"/>
    <n v="6"/>
    <n v="68001"/>
    <x v="231"/>
    <n v="2654"/>
    <n v="405352"/>
    <n v="84823.578779999996"/>
    <x v="0"/>
    <x v="5"/>
  </r>
  <r>
    <n v="10233"/>
    <d v="2025-02-04T00:00:00"/>
    <x v="4"/>
    <x v="1"/>
    <x v="2"/>
    <x v="0"/>
    <n v="4"/>
    <n v="22668"/>
    <x v="232"/>
    <n v="3186"/>
    <n v="87486"/>
    <n v="19556.14502"/>
    <x v="1"/>
    <x v="9"/>
  </r>
  <r>
    <n v="10234"/>
    <d v="2024-10-20T00:00:00"/>
    <x v="3"/>
    <x v="3"/>
    <x v="0"/>
    <x v="3"/>
    <n v="7"/>
    <n v="13762"/>
    <x v="233"/>
    <n v="3450"/>
    <n v="92884"/>
    <n v="10208.56524"/>
    <x v="0"/>
    <x v="8"/>
  </r>
  <r>
    <n v="10235"/>
    <d v="2024-10-06T00:00:00"/>
    <x v="2"/>
    <x v="2"/>
    <x v="0"/>
    <x v="3"/>
    <n v="7"/>
    <n v="24248"/>
    <x v="234"/>
    <n v="598"/>
    <n v="169138"/>
    <n v="18482.904399999999"/>
    <x v="0"/>
    <x v="8"/>
  </r>
  <r>
    <n v="10236"/>
    <d v="2025-09-01T00:00:00"/>
    <x v="0"/>
    <x v="0"/>
    <x v="2"/>
    <x v="3"/>
    <n v="9"/>
    <n v="49944"/>
    <x v="235"/>
    <n v="823"/>
    <n v="448673"/>
    <n v="64079.285129999997"/>
    <x v="1"/>
    <x v="2"/>
  </r>
  <r>
    <n v="10237"/>
    <d v="2024-07-16T00:00:00"/>
    <x v="0"/>
    <x v="4"/>
    <x v="1"/>
    <x v="2"/>
    <n v="6"/>
    <n v="18070"/>
    <x v="236"/>
    <n v="2397"/>
    <n v="106023"/>
    <n v="13915.097030000001"/>
    <x v="0"/>
    <x v="10"/>
  </r>
  <r>
    <n v="10238"/>
    <d v="2025-05-25T00:00:00"/>
    <x v="0"/>
    <x v="1"/>
    <x v="0"/>
    <x v="1"/>
    <n v="1"/>
    <n v="42807"/>
    <x v="237"/>
    <n v="4114"/>
    <n v="38693"/>
    <n v="7242.1707850000003"/>
    <x v="1"/>
    <x v="5"/>
  </r>
  <r>
    <n v="10239"/>
    <d v="2024-05-23T00:00:00"/>
    <x v="2"/>
    <x v="2"/>
    <x v="0"/>
    <x v="1"/>
    <n v="9"/>
    <n v="53033"/>
    <x v="238"/>
    <n v="312"/>
    <n v="476985"/>
    <n v="96025.53817"/>
    <x v="0"/>
    <x v="5"/>
  </r>
  <r>
    <n v="10240"/>
    <d v="2025-08-31T00:00:00"/>
    <x v="2"/>
    <x v="0"/>
    <x v="2"/>
    <x v="1"/>
    <n v="9"/>
    <n v="30212"/>
    <x v="239"/>
    <n v="2974"/>
    <n v="268934"/>
    <n v="52474.751539999997"/>
    <x v="1"/>
    <x v="6"/>
  </r>
  <r>
    <n v="10241"/>
    <d v="2024-07-19T00:00:00"/>
    <x v="2"/>
    <x v="2"/>
    <x v="1"/>
    <x v="1"/>
    <n v="5"/>
    <n v="9626"/>
    <x v="240"/>
    <n v="3738"/>
    <n v="44392"/>
    <n v="6818.7046689999997"/>
    <x v="0"/>
    <x v="10"/>
  </r>
  <r>
    <n v="10242"/>
    <d v="2024-05-03T00:00:00"/>
    <x v="4"/>
    <x v="2"/>
    <x v="2"/>
    <x v="1"/>
    <n v="7"/>
    <n v="54270"/>
    <x v="241"/>
    <n v="2492"/>
    <n v="377398"/>
    <n v="65953.9519"/>
    <x v="0"/>
    <x v="5"/>
  </r>
  <r>
    <n v="10243"/>
    <d v="2024-07-05T00:00:00"/>
    <x v="4"/>
    <x v="3"/>
    <x v="2"/>
    <x v="3"/>
    <n v="1"/>
    <n v="45767"/>
    <x v="242"/>
    <n v="1945"/>
    <n v="43822"/>
    <n v="8589.0517199999995"/>
    <x v="0"/>
    <x v="10"/>
  </r>
  <r>
    <n v="10244"/>
    <d v="2024-11-21T00:00:00"/>
    <x v="0"/>
    <x v="3"/>
    <x v="1"/>
    <x v="3"/>
    <n v="4"/>
    <n v="66505"/>
    <x v="243"/>
    <n v="230"/>
    <n v="265790"/>
    <n v="31340.3462"/>
    <x v="0"/>
    <x v="7"/>
  </r>
  <r>
    <n v="10245"/>
    <d v="2025-04-08T00:00:00"/>
    <x v="1"/>
    <x v="2"/>
    <x v="1"/>
    <x v="0"/>
    <n v="4"/>
    <n v="7292"/>
    <x v="244"/>
    <n v="3740"/>
    <n v="25428"/>
    <n v="3418.2043440000002"/>
    <x v="1"/>
    <x v="0"/>
  </r>
  <r>
    <n v="10246"/>
    <d v="2024-12-14T00:00:00"/>
    <x v="0"/>
    <x v="0"/>
    <x v="1"/>
    <x v="3"/>
    <n v="5"/>
    <n v="19859"/>
    <x v="245"/>
    <n v="2672"/>
    <n v="96623"/>
    <n v="22568.661479999999"/>
    <x v="0"/>
    <x v="3"/>
  </r>
  <r>
    <n v="10247"/>
    <d v="2025-10-21T00:00:00"/>
    <x v="3"/>
    <x v="1"/>
    <x v="0"/>
    <x v="2"/>
    <n v="6"/>
    <n v="35585"/>
    <x v="246"/>
    <n v="3454"/>
    <n v="210056"/>
    <n v="31791.756399999998"/>
    <x v="1"/>
    <x v="8"/>
  </r>
  <r>
    <n v="10248"/>
    <d v="2025-02-06T00:00:00"/>
    <x v="4"/>
    <x v="1"/>
    <x v="2"/>
    <x v="0"/>
    <n v="4"/>
    <n v="8819"/>
    <x v="247"/>
    <n v="3583"/>
    <n v="31693"/>
    <n v="6977.9573819999996"/>
    <x v="1"/>
    <x v="9"/>
  </r>
  <r>
    <n v="10249"/>
    <d v="2024-12-11T00:00:00"/>
    <x v="2"/>
    <x v="4"/>
    <x v="0"/>
    <x v="3"/>
    <n v="6"/>
    <n v="6280"/>
    <x v="248"/>
    <n v="43"/>
    <n v="37637"/>
    <n v="5180.6751960000001"/>
    <x v="0"/>
    <x v="3"/>
  </r>
  <r>
    <n v="10250"/>
    <d v="2025-05-25T00:00:00"/>
    <x v="4"/>
    <x v="4"/>
    <x v="1"/>
    <x v="0"/>
    <n v="7"/>
    <n v="68480"/>
    <x v="249"/>
    <n v="2924"/>
    <n v="476436"/>
    <n v="50619.444380000001"/>
    <x v="1"/>
    <x v="5"/>
  </r>
  <r>
    <n v="10251"/>
    <d v="2024-05-26T00:00:00"/>
    <x v="2"/>
    <x v="1"/>
    <x v="0"/>
    <x v="0"/>
    <n v="3"/>
    <n v="19147"/>
    <x v="250"/>
    <n v="3693"/>
    <n v="53748"/>
    <n v="9409.1296569999995"/>
    <x v="0"/>
    <x v="5"/>
  </r>
  <r>
    <n v="10252"/>
    <d v="2024-05-27T00:00:00"/>
    <x v="3"/>
    <x v="2"/>
    <x v="1"/>
    <x v="1"/>
    <n v="9"/>
    <n v="72165"/>
    <x v="251"/>
    <n v="2270"/>
    <n v="647215"/>
    <n v="151365.6649"/>
    <x v="0"/>
    <x v="5"/>
  </r>
  <r>
    <n v="10253"/>
    <d v="2025-12-11T00:00:00"/>
    <x v="3"/>
    <x v="2"/>
    <x v="1"/>
    <x v="0"/>
    <n v="8"/>
    <n v="13634"/>
    <x v="252"/>
    <n v="3457"/>
    <n v="105615"/>
    <n v="23540.810649999999"/>
    <x v="1"/>
    <x v="3"/>
  </r>
  <r>
    <n v="10254"/>
    <d v="2025-05-03T00:00:00"/>
    <x v="4"/>
    <x v="3"/>
    <x v="2"/>
    <x v="3"/>
    <n v="1"/>
    <n v="73550"/>
    <x v="253"/>
    <n v="2949"/>
    <n v="70601"/>
    <n v="9738.7637400000003"/>
    <x v="1"/>
    <x v="5"/>
  </r>
  <r>
    <n v="10255"/>
    <d v="2025-10-01T00:00:00"/>
    <x v="2"/>
    <x v="3"/>
    <x v="2"/>
    <x v="1"/>
    <n v="2"/>
    <n v="15773"/>
    <x v="254"/>
    <n v="2318"/>
    <n v="29228"/>
    <n v="6912.1404220000004"/>
    <x v="1"/>
    <x v="8"/>
  </r>
  <r>
    <n v="10256"/>
    <d v="2025-07-04T00:00:00"/>
    <x v="3"/>
    <x v="4"/>
    <x v="2"/>
    <x v="3"/>
    <n v="2"/>
    <n v="22881"/>
    <x v="255"/>
    <n v="3385"/>
    <n v="42377"/>
    <n v="7287.0380720000003"/>
    <x v="1"/>
    <x v="10"/>
  </r>
  <r>
    <n v="10257"/>
    <d v="2024-12-03T00:00:00"/>
    <x v="0"/>
    <x v="1"/>
    <x v="0"/>
    <x v="1"/>
    <n v="9"/>
    <n v="66596"/>
    <x v="256"/>
    <n v="2294"/>
    <n v="597070"/>
    <n v="64095.37528"/>
    <x v="0"/>
    <x v="3"/>
  </r>
  <r>
    <n v="10258"/>
    <d v="2025-10-02T00:00:00"/>
    <x v="0"/>
    <x v="2"/>
    <x v="2"/>
    <x v="3"/>
    <n v="9"/>
    <n v="13280"/>
    <x v="257"/>
    <n v="2995"/>
    <n v="116525"/>
    <n v="12140.587450000001"/>
    <x v="1"/>
    <x v="8"/>
  </r>
  <r>
    <n v="10259"/>
    <d v="2025-04-17T00:00:00"/>
    <x v="2"/>
    <x v="1"/>
    <x v="1"/>
    <x v="1"/>
    <n v="9"/>
    <n v="64593"/>
    <x v="258"/>
    <n v="3638"/>
    <n v="577699"/>
    <n v="99807.35785"/>
    <x v="1"/>
    <x v="0"/>
  </r>
  <r>
    <n v="10260"/>
    <d v="2024-05-30T00:00:00"/>
    <x v="4"/>
    <x v="0"/>
    <x v="2"/>
    <x v="1"/>
    <n v="1"/>
    <n v="30555"/>
    <x v="259"/>
    <n v="4916"/>
    <n v="25639"/>
    <n v="4664.9757550000004"/>
    <x v="0"/>
    <x v="5"/>
  </r>
  <r>
    <n v="10261"/>
    <d v="2025-02-18T00:00:00"/>
    <x v="3"/>
    <x v="1"/>
    <x v="0"/>
    <x v="2"/>
    <n v="7"/>
    <n v="46421"/>
    <x v="260"/>
    <n v="3367"/>
    <n v="321580"/>
    <n v="36012.759550000002"/>
    <x v="1"/>
    <x v="9"/>
  </r>
  <r>
    <n v="10262"/>
    <d v="2024-10-24T00:00:00"/>
    <x v="4"/>
    <x v="0"/>
    <x v="2"/>
    <x v="3"/>
    <n v="3"/>
    <n v="32332"/>
    <x v="261"/>
    <n v="3284"/>
    <n v="93712"/>
    <n v="22334.952420000001"/>
    <x v="0"/>
    <x v="8"/>
  </r>
  <r>
    <n v="10263"/>
    <d v="2025-09-02T00:00:00"/>
    <x v="0"/>
    <x v="3"/>
    <x v="2"/>
    <x v="0"/>
    <n v="9"/>
    <n v="49588"/>
    <x v="262"/>
    <n v="2342"/>
    <n v="443950"/>
    <n v="92222.854149999999"/>
    <x v="1"/>
    <x v="2"/>
  </r>
  <r>
    <n v="10264"/>
    <d v="2024-09-19T00:00:00"/>
    <x v="3"/>
    <x v="3"/>
    <x v="2"/>
    <x v="1"/>
    <n v="8"/>
    <n v="12637"/>
    <x v="263"/>
    <n v="170"/>
    <n v="100926"/>
    <n v="22223.1335"/>
    <x v="0"/>
    <x v="2"/>
  </r>
  <r>
    <n v="10265"/>
    <d v="2024-05-23T00:00:00"/>
    <x v="4"/>
    <x v="4"/>
    <x v="0"/>
    <x v="3"/>
    <n v="3"/>
    <n v="51158"/>
    <x v="264"/>
    <n v="4341"/>
    <n v="149133"/>
    <n v="27977.870930000001"/>
    <x v="0"/>
    <x v="5"/>
  </r>
  <r>
    <n v="10266"/>
    <d v="2024-12-11T00:00:00"/>
    <x v="1"/>
    <x v="1"/>
    <x v="1"/>
    <x v="1"/>
    <n v="1"/>
    <n v="58798"/>
    <x v="265"/>
    <n v="1639"/>
    <n v="57159"/>
    <n v="11405.02738"/>
    <x v="0"/>
    <x v="3"/>
  </r>
  <r>
    <n v="10267"/>
    <d v="2025-09-15T00:00:00"/>
    <x v="2"/>
    <x v="1"/>
    <x v="1"/>
    <x v="2"/>
    <n v="9"/>
    <n v="57135"/>
    <x v="266"/>
    <n v="616"/>
    <n v="513599"/>
    <n v="81240.593930000003"/>
    <x v="1"/>
    <x v="2"/>
  </r>
  <r>
    <n v="10268"/>
    <d v="2025-07-25T00:00:00"/>
    <x v="2"/>
    <x v="0"/>
    <x v="1"/>
    <x v="2"/>
    <n v="1"/>
    <n v="21155"/>
    <x v="267"/>
    <n v="239"/>
    <n v="20916"/>
    <n v="4222.8266739999999"/>
    <x v="1"/>
    <x v="10"/>
  </r>
  <r>
    <n v="10269"/>
    <d v="2024-01-02T00:00:00"/>
    <x v="1"/>
    <x v="3"/>
    <x v="2"/>
    <x v="2"/>
    <n v="3"/>
    <n v="73596"/>
    <x v="268"/>
    <n v="4493"/>
    <n v="216295"/>
    <n v="53365.91027"/>
    <x v="0"/>
    <x v="4"/>
  </r>
  <r>
    <n v="10270"/>
    <d v="2024-10-30T00:00:00"/>
    <x v="0"/>
    <x v="0"/>
    <x v="2"/>
    <x v="2"/>
    <n v="6"/>
    <n v="51465"/>
    <x v="269"/>
    <n v="1856"/>
    <n v="306934"/>
    <n v="60514.3053"/>
    <x v="0"/>
    <x v="8"/>
  </r>
  <r>
    <n v="10271"/>
    <d v="2024-09-10T00:00:00"/>
    <x v="3"/>
    <x v="3"/>
    <x v="0"/>
    <x v="0"/>
    <n v="6"/>
    <n v="53081"/>
    <x v="270"/>
    <n v="922"/>
    <n v="317564"/>
    <n v="48029.985739999996"/>
    <x v="0"/>
    <x v="2"/>
  </r>
  <r>
    <n v="10272"/>
    <d v="2025-10-13T00:00:00"/>
    <x v="2"/>
    <x v="0"/>
    <x v="1"/>
    <x v="0"/>
    <n v="4"/>
    <n v="61986"/>
    <x v="271"/>
    <n v="4887"/>
    <n v="243057"/>
    <n v="34705.104809999997"/>
    <x v="1"/>
    <x v="8"/>
  </r>
  <r>
    <n v="10273"/>
    <d v="2025-03-28T00:00:00"/>
    <x v="1"/>
    <x v="3"/>
    <x v="2"/>
    <x v="1"/>
    <n v="2"/>
    <n v="60956"/>
    <x v="272"/>
    <n v="1904"/>
    <n v="120008"/>
    <n v="29342.182949999999"/>
    <x v="1"/>
    <x v="1"/>
  </r>
  <r>
    <n v="10274"/>
    <d v="2024-02-06T00:00:00"/>
    <x v="1"/>
    <x v="0"/>
    <x v="2"/>
    <x v="3"/>
    <n v="6"/>
    <n v="45278"/>
    <x v="273"/>
    <n v="3149"/>
    <n v="268519"/>
    <n v="34303.394769999999"/>
    <x v="0"/>
    <x v="9"/>
  </r>
  <r>
    <n v="10275"/>
    <d v="2024-06-08T00:00:00"/>
    <x v="0"/>
    <x v="3"/>
    <x v="2"/>
    <x v="2"/>
    <n v="5"/>
    <n v="73486"/>
    <x v="274"/>
    <n v="812"/>
    <n v="366618"/>
    <n v="80996.728409999996"/>
    <x v="0"/>
    <x v="11"/>
  </r>
  <r>
    <n v="10276"/>
    <d v="2024-01-09T00:00:00"/>
    <x v="0"/>
    <x v="0"/>
    <x v="0"/>
    <x v="2"/>
    <n v="6"/>
    <n v="58692"/>
    <x v="275"/>
    <n v="4999"/>
    <n v="347153"/>
    <n v="58942.880069999999"/>
    <x v="0"/>
    <x v="4"/>
  </r>
  <r>
    <n v="10277"/>
    <d v="2024-08-20T00:00:00"/>
    <x v="4"/>
    <x v="1"/>
    <x v="1"/>
    <x v="0"/>
    <n v="7"/>
    <n v="52155"/>
    <x v="276"/>
    <n v="1730"/>
    <n v="363355"/>
    <n v="60521.848830000003"/>
    <x v="0"/>
    <x v="6"/>
  </r>
  <r>
    <n v="10278"/>
    <d v="2024-04-08T00:00:00"/>
    <x v="2"/>
    <x v="4"/>
    <x v="0"/>
    <x v="0"/>
    <n v="9"/>
    <n v="11063"/>
    <x v="277"/>
    <n v="831"/>
    <n v="98736"/>
    <n v="20944.933659999999"/>
    <x v="0"/>
    <x v="0"/>
  </r>
  <r>
    <n v="10279"/>
    <d v="2025-10-20T00:00:00"/>
    <x v="4"/>
    <x v="0"/>
    <x v="1"/>
    <x v="2"/>
    <n v="7"/>
    <n v="49690"/>
    <x v="278"/>
    <n v="3424"/>
    <n v="344406"/>
    <n v="42088.398529999999"/>
    <x v="1"/>
    <x v="8"/>
  </r>
  <r>
    <n v="10280"/>
    <d v="2024-07-26T00:00:00"/>
    <x v="1"/>
    <x v="4"/>
    <x v="1"/>
    <x v="3"/>
    <n v="4"/>
    <n v="31507"/>
    <x v="279"/>
    <n v="2207"/>
    <n v="123821"/>
    <n v="21042.68418"/>
    <x v="0"/>
    <x v="10"/>
  </r>
  <r>
    <n v="10281"/>
    <d v="2024-05-10T00:00:00"/>
    <x v="3"/>
    <x v="1"/>
    <x v="2"/>
    <x v="1"/>
    <n v="5"/>
    <n v="12661"/>
    <x v="280"/>
    <n v="4839"/>
    <n v="58466"/>
    <n v="6160.8578580000003"/>
    <x v="0"/>
    <x v="5"/>
  </r>
  <r>
    <n v="10282"/>
    <d v="2025-02-07T00:00:00"/>
    <x v="3"/>
    <x v="1"/>
    <x v="2"/>
    <x v="1"/>
    <n v="6"/>
    <n v="41189"/>
    <x v="281"/>
    <n v="3432"/>
    <n v="243702"/>
    <n v="48877.122479999998"/>
    <x v="1"/>
    <x v="9"/>
  </r>
  <r>
    <n v="10283"/>
    <d v="2024-05-31T00:00:00"/>
    <x v="0"/>
    <x v="3"/>
    <x v="2"/>
    <x v="1"/>
    <n v="9"/>
    <n v="18057"/>
    <x v="282"/>
    <n v="4908"/>
    <n v="157605"/>
    <n v="17140.582780000001"/>
    <x v="0"/>
    <x v="5"/>
  </r>
  <r>
    <n v="10284"/>
    <d v="2024-02-23T00:00:00"/>
    <x v="3"/>
    <x v="4"/>
    <x v="2"/>
    <x v="1"/>
    <n v="5"/>
    <n v="40313"/>
    <x v="283"/>
    <n v="3368"/>
    <n v="198197"/>
    <n v="22414.756669999999"/>
    <x v="0"/>
    <x v="9"/>
  </r>
  <r>
    <n v="10285"/>
    <d v="2024-04-29T00:00:00"/>
    <x v="3"/>
    <x v="2"/>
    <x v="2"/>
    <x v="3"/>
    <n v="5"/>
    <n v="41988"/>
    <x v="284"/>
    <n v="2227"/>
    <n v="207713"/>
    <n v="47093.513319999998"/>
    <x v="0"/>
    <x v="0"/>
  </r>
  <r>
    <n v="10286"/>
    <d v="2025-11-03T00:00:00"/>
    <x v="3"/>
    <x v="3"/>
    <x v="1"/>
    <x v="3"/>
    <n v="7"/>
    <n v="17491"/>
    <x v="285"/>
    <n v="2260"/>
    <n v="120177"/>
    <n v="20002.653829999999"/>
    <x v="1"/>
    <x v="7"/>
  </r>
  <r>
    <n v="10287"/>
    <d v="2025-09-19T00:00:00"/>
    <x v="1"/>
    <x v="4"/>
    <x v="2"/>
    <x v="3"/>
    <n v="2"/>
    <n v="65159"/>
    <x v="286"/>
    <n v="4625"/>
    <n v="125693"/>
    <n v="16358.48558"/>
    <x v="1"/>
    <x v="2"/>
  </r>
  <r>
    <n v="10288"/>
    <d v="2025-08-09T00:00:00"/>
    <x v="3"/>
    <x v="0"/>
    <x v="2"/>
    <x v="0"/>
    <n v="3"/>
    <n v="38410"/>
    <x v="287"/>
    <n v="2917"/>
    <n v="112313"/>
    <n v="21214.542720000001"/>
    <x v="1"/>
    <x v="6"/>
  </r>
  <r>
    <n v="10289"/>
    <d v="2025-09-16T00:00:00"/>
    <x v="3"/>
    <x v="0"/>
    <x v="0"/>
    <x v="2"/>
    <n v="2"/>
    <n v="67029"/>
    <x v="288"/>
    <n v="3520"/>
    <n v="130538"/>
    <n v="23221.72982"/>
    <x v="1"/>
    <x v="2"/>
  </r>
  <r>
    <n v="10290"/>
    <d v="2025-02-23T00:00:00"/>
    <x v="3"/>
    <x v="1"/>
    <x v="0"/>
    <x v="3"/>
    <n v="2"/>
    <n v="39354"/>
    <x v="289"/>
    <n v="4380"/>
    <n v="74328"/>
    <n v="12014.099120000001"/>
    <x v="1"/>
    <x v="9"/>
  </r>
  <r>
    <n v="10291"/>
    <d v="2025-02-25T00:00:00"/>
    <x v="4"/>
    <x v="2"/>
    <x v="1"/>
    <x v="1"/>
    <n v="3"/>
    <n v="11504"/>
    <x v="290"/>
    <n v="2708"/>
    <n v="31804"/>
    <n v="7499.7826590000004"/>
    <x v="1"/>
    <x v="9"/>
  </r>
  <r>
    <n v="10292"/>
    <d v="2024-04-13T00:00:00"/>
    <x v="1"/>
    <x v="0"/>
    <x v="1"/>
    <x v="3"/>
    <n v="6"/>
    <n v="34811"/>
    <x v="291"/>
    <n v="1820"/>
    <n v="207046"/>
    <n v="43980.4421"/>
    <x v="0"/>
    <x v="0"/>
  </r>
  <r>
    <n v="10293"/>
    <d v="2024-09-10T00:00:00"/>
    <x v="0"/>
    <x v="4"/>
    <x v="0"/>
    <x v="2"/>
    <n v="5"/>
    <n v="54206"/>
    <x v="292"/>
    <n v="648"/>
    <n v="270382"/>
    <n v="33186.397559999998"/>
    <x v="0"/>
    <x v="2"/>
  </r>
  <r>
    <n v="10294"/>
    <d v="2024-08-14T00:00:00"/>
    <x v="4"/>
    <x v="4"/>
    <x v="0"/>
    <x v="0"/>
    <n v="5"/>
    <n v="22225"/>
    <x v="293"/>
    <n v="188"/>
    <n v="110937"/>
    <n v="20591.704099999999"/>
    <x v="0"/>
    <x v="6"/>
  </r>
  <r>
    <n v="10295"/>
    <d v="2024-04-21T00:00:00"/>
    <x v="2"/>
    <x v="0"/>
    <x v="2"/>
    <x v="1"/>
    <n v="2"/>
    <n v="24290"/>
    <x v="294"/>
    <n v="1222"/>
    <n v="47358"/>
    <n v="5366.2100469999996"/>
    <x v="0"/>
    <x v="0"/>
  </r>
  <r>
    <n v="10296"/>
    <d v="2025-05-24T00:00:00"/>
    <x v="1"/>
    <x v="4"/>
    <x v="2"/>
    <x v="0"/>
    <n v="2"/>
    <n v="7272"/>
    <x v="295"/>
    <n v="478"/>
    <n v="14066"/>
    <n v="1922.7954119999999"/>
    <x v="1"/>
    <x v="5"/>
  </r>
  <r>
    <n v="10297"/>
    <d v="2025-04-17T00:00:00"/>
    <x v="1"/>
    <x v="4"/>
    <x v="1"/>
    <x v="3"/>
    <n v="1"/>
    <n v="11141"/>
    <x v="296"/>
    <n v="3062"/>
    <n v="8079"/>
    <n v="1910.514261"/>
    <x v="1"/>
    <x v="0"/>
  </r>
  <r>
    <n v="10298"/>
    <d v="2024-04-08T00:00:00"/>
    <x v="2"/>
    <x v="1"/>
    <x v="0"/>
    <x v="1"/>
    <n v="3"/>
    <n v="69980"/>
    <x v="284"/>
    <n v="2025"/>
    <n v="207915"/>
    <n v="35202.502159999996"/>
    <x v="0"/>
    <x v="0"/>
  </r>
  <r>
    <n v="10299"/>
    <d v="2024-06-01T00:00:00"/>
    <x v="2"/>
    <x v="2"/>
    <x v="1"/>
    <x v="1"/>
    <n v="7"/>
    <n v="62167"/>
    <x v="297"/>
    <n v="4612"/>
    <n v="430557"/>
    <n v="100671.079"/>
    <x v="0"/>
    <x v="11"/>
  </r>
  <r>
    <n v="10300"/>
    <d v="2024-12-03T00:00:00"/>
    <x v="2"/>
    <x v="1"/>
    <x v="2"/>
    <x v="3"/>
    <n v="5"/>
    <n v="29678"/>
    <x v="298"/>
    <n v="1888"/>
    <n v="146502"/>
    <n v="18298.077069999999"/>
    <x v="0"/>
    <x v="3"/>
  </r>
  <r>
    <n v="10301"/>
    <d v="2025-12-06T00:00:00"/>
    <x v="0"/>
    <x v="2"/>
    <x v="1"/>
    <x v="3"/>
    <n v="7"/>
    <n v="79697"/>
    <x v="299"/>
    <n v="1550"/>
    <n v="556329"/>
    <n v="72768.535359999994"/>
    <x v="1"/>
    <x v="3"/>
  </r>
  <r>
    <n v="10302"/>
    <d v="2024-06-11T00:00:00"/>
    <x v="3"/>
    <x v="4"/>
    <x v="1"/>
    <x v="2"/>
    <n v="9"/>
    <n v="6071"/>
    <x v="300"/>
    <n v="2916"/>
    <n v="51723"/>
    <n v="7909.6729729999997"/>
    <x v="0"/>
    <x v="11"/>
  </r>
  <r>
    <n v="10303"/>
    <d v="2025-12-20T00:00:00"/>
    <x v="1"/>
    <x v="2"/>
    <x v="1"/>
    <x v="3"/>
    <n v="6"/>
    <n v="22120"/>
    <x v="301"/>
    <n v="3255"/>
    <n v="129465"/>
    <n v="20060.452389999999"/>
    <x v="1"/>
    <x v="3"/>
  </r>
  <r>
    <n v="10304"/>
    <d v="2025-11-11T00:00:00"/>
    <x v="3"/>
    <x v="4"/>
    <x v="2"/>
    <x v="3"/>
    <n v="2"/>
    <n v="29133"/>
    <x v="302"/>
    <n v="2806"/>
    <n v="55460"/>
    <n v="11745.96161"/>
    <x v="1"/>
    <x v="7"/>
  </r>
  <r>
    <n v="10305"/>
    <d v="2024-06-09T00:00:00"/>
    <x v="3"/>
    <x v="4"/>
    <x v="1"/>
    <x v="3"/>
    <n v="1"/>
    <n v="8630"/>
    <x v="303"/>
    <n v="33"/>
    <n v="8597"/>
    <n v="1632.6698899999999"/>
    <x v="0"/>
    <x v="11"/>
  </r>
  <r>
    <n v="10306"/>
    <d v="2025-08-02T00:00:00"/>
    <x v="2"/>
    <x v="1"/>
    <x v="2"/>
    <x v="1"/>
    <n v="1"/>
    <n v="70763"/>
    <x v="304"/>
    <n v="295"/>
    <n v="70468"/>
    <n v="12894.757079999999"/>
    <x v="1"/>
    <x v="6"/>
  </r>
  <r>
    <n v="10307"/>
    <d v="2025-02-01T00:00:00"/>
    <x v="0"/>
    <x v="1"/>
    <x v="0"/>
    <x v="2"/>
    <n v="9"/>
    <n v="59863"/>
    <x v="305"/>
    <n v="2500"/>
    <n v="536267"/>
    <n v="102081.8159"/>
    <x v="1"/>
    <x v="9"/>
  </r>
  <r>
    <n v="10308"/>
    <d v="2024-10-03T00:00:00"/>
    <x v="4"/>
    <x v="3"/>
    <x v="1"/>
    <x v="1"/>
    <n v="6"/>
    <n v="60308"/>
    <x v="306"/>
    <n v="3779"/>
    <n v="358069"/>
    <n v="75133.154890000005"/>
    <x v="0"/>
    <x v="8"/>
  </r>
  <r>
    <n v="10309"/>
    <d v="2025-05-18T00:00:00"/>
    <x v="0"/>
    <x v="0"/>
    <x v="1"/>
    <x v="3"/>
    <n v="6"/>
    <n v="24954"/>
    <x v="307"/>
    <n v="3576"/>
    <n v="146148"/>
    <n v="34187.304909999999"/>
    <x v="1"/>
    <x v="5"/>
  </r>
  <r>
    <n v="10310"/>
    <d v="2025-01-26T00:00:00"/>
    <x v="3"/>
    <x v="3"/>
    <x v="2"/>
    <x v="2"/>
    <n v="4"/>
    <n v="67787"/>
    <x v="308"/>
    <n v="1429"/>
    <n v="269719"/>
    <n v="43751.38695"/>
    <x v="1"/>
    <x v="4"/>
  </r>
  <r>
    <n v="10311"/>
    <d v="2024-05-14T00:00:00"/>
    <x v="0"/>
    <x v="3"/>
    <x v="1"/>
    <x v="3"/>
    <n v="2"/>
    <n v="6619"/>
    <x v="309"/>
    <n v="2189"/>
    <n v="11049"/>
    <n v="2435.629312"/>
    <x v="0"/>
    <x v="5"/>
  </r>
  <r>
    <n v="10312"/>
    <d v="2024-07-13T00:00:00"/>
    <x v="2"/>
    <x v="2"/>
    <x v="2"/>
    <x v="1"/>
    <n v="3"/>
    <n v="72740"/>
    <x v="310"/>
    <n v="1987"/>
    <n v="216233"/>
    <n v="37681.74265"/>
    <x v="0"/>
    <x v="10"/>
  </r>
  <r>
    <n v="10313"/>
    <d v="2025-02-04T00:00:00"/>
    <x v="4"/>
    <x v="4"/>
    <x v="1"/>
    <x v="1"/>
    <n v="3"/>
    <n v="45342"/>
    <x v="311"/>
    <n v="4743"/>
    <n v="131283"/>
    <n v="27347.789690000001"/>
    <x v="1"/>
    <x v="9"/>
  </r>
  <r>
    <n v="10314"/>
    <d v="2025-10-01T00:00:00"/>
    <x v="2"/>
    <x v="4"/>
    <x v="0"/>
    <x v="3"/>
    <n v="8"/>
    <n v="14373"/>
    <x v="312"/>
    <n v="2882"/>
    <n v="112102"/>
    <n v="25920.62444"/>
    <x v="1"/>
    <x v="8"/>
  </r>
  <r>
    <n v="10315"/>
    <d v="2024-02-02T00:00:00"/>
    <x v="4"/>
    <x v="4"/>
    <x v="0"/>
    <x v="2"/>
    <n v="6"/>
    <n v="16448"/>
    <x v="313"/>
    <n v="1709"/>
    <n v="96979"/>
    <n v="10166.52419"/>
    <x v="0"/>
    <x v="9"/>
  </r>
  <r>
    <n v="10316"/>
    <d v="2025-11-18T00:00:00"/>
    <x v="3"/>
    <x v="0"/>
    <x v="0"/>
    <x v="1"/>
    <n v="7"/>
    <n v="54949"/>
    <x v="314"/>
    <n v="2777"/>
    <n v="381866"/>
    <n v="69497.497719999999"/>
    <x v="1"/>
    <x v="7"/>
  </r>
  <r>
    <n v="10317"/>
    <d v="2025-04-04T00:00:00"/>
    <x v="4"/>
    <x v="2"/>
    <x v="1"/>
    <x v="3"/>
    <n v="9"/>
    <n v="36210"/>
    <x v="315"/>
    <n v="3697"/>
    <n v="322193"/>
    <n v="80035.026830000003"/>
    <x v="1"/>
    <x v="0"/>
  </r>
  <r>
    <n v="10318"/>
    <d v="2025-04-14T00:00:00"/>
    <x v="4"/>
    <x v="2"/>
    <x v="1"/>
    <x v="0"/>
    <n v="1"/>
    <n v="30410"/>
    <x v="316"/>
    <n v="1547"/>
    <n v="28863"/>
    <n v="5034.6787910000003"/>
    <x v="1"/>
    <x v="0"/>
  </r>
  <r>
    <n v="10319"/>
    <d v="2025-01-09T00:00:00"/>
    <x v="4"/>
    <x v="4"/>
    <x v="0"/>
    <x v="3"/>
    <n v="2"/>
    <n v="70047"/>
    <x v="317"/>
    <n v="462"/>
    <n v="139632"/>
    <n v="32065.867770000001"/>
    <x v="1"/>
    <x v="4"/>
  </r>
  <r>
    <n v="10320"/>
    <d v="2024-01-22T00:00:00"/>
    <x v="0"/>
    <x v="3"/>
    <x v="0"/>
    <x v="3"/>
    <n v="9"/>
    <n v="34028"/>
    <x v="318"/>
    <n v="3315"/>
    <n v="302937"/>
    <n v="38741.091540000001"/>
    <x v="0"/>
    <x v="4"/>
  </r>
  <r>
    <n v="10321"/>
    <d v="2025-10-31T00:00:00"/>
    <x v="0"/>
    <x v="0"/>
    <x v="2"/>
    <x v="2"/>
    <n v="5"/>
    <n v="73300"/>
    <x v="319"/>
    <n v="3304"/>
    <n v="363196"/>
    <n v="69240.7981"/>
    <x v="1"/>
    <x v="8"/>
  </r>
  <r>
    <n v="10322"/>
    <d v="2024-02-07T00:00:00"/>
    <x v="3"/>
    <x v="3"/>
    <x v="2"/>
    <x v="3"/>
    <n v="4"/>
    <n v="48369"/>
    <x v="320"/>
    <n v="513"/>
    <n v="192963"/>
    <n v="44486.827440000001"/>
    <x v="0"/>
    <x v="9"/>
  </r>
  <r>
    <n v="10323"/>
    <d v="2024-08-17T00:00:00"/>
    <x v="4"/>
    <x v="1"/>
    <x v="0"/>
    <x v="0"/>
    <n v="1"/>
    <n v="69735"/>
    <x v="321"/>
    <n v="4096"/>
    <n v="65639"/>
    <n v="10812.71048"/>
    <x v="0"/>
    <x v="6"/>
  </r>
  <r>
    <n v="10324"/>
    <d v="2024-12-30T00:00:00"/>
    <x v="1"/>
    <x v="2"/>
    <x v="0"/>
    <x v="3"/>
    <n v="9"/>
    <n v="16467"/>
    <x v="322"/>
    <n v="3566"/>
    <n v="144637"/>
    <n v="25023.402770000001"/>
    <x v="0"/>
    <x v="3"/>
  </r>
  <r>
    <n v="10325"/>
    <d v="2025-07-16T00:00:00"/>
    <x v="3"/>
    <x v="2"/>
    <x v="1"/>
    <x v="0"/>
    <n v="9"/>
    <n v="13199"/>
    <x v="323"/>
    <n v="3803"/>
    <n v="114988"/>
    <n v="12913.461219999999"/>
    <x v="1"/>
    <x v="10"/>
  </r>
  <r>
    <n v="10326"/>
    <d v="2025-03-13T00:00:00"/>
    <x v="4"/>
    <x v="3"/>
    <x v="0"/>
    <x v="1"/>
    <n v="4"/>
    <n v="32095"/>
    <x v="324"/>
    <n v="3687"/>
    <n v="124693"/>
    <n v="13258.084699999999"/>
    <x v="1"/>
    <x v="1"/>
  </r>
  <r>
    <n v="10327"/>
    <d v="2024-10-09T00:00:00"/>
    <x v="4"/>
    <x v="0"/>
    <x v="2"/>
    <x v="3"/>
    <n v="9"/>
    <n v="44007"/>
    <x v="325"/>
    <n v="3938"/>
    <n v="392125"/>
    <n v="66781.336299999995"/>
    <x v="0"/>
    <x v="8"/>
  </r>
  <r>
    <n v="10328"/>
    <d v="2024-01-27T00:00:00"/>
    <x v="0"/>
    <x v="2"/>
    <x v="2"/>
    <x v="2"/>
    <n v="1"/>
    <n v="52711"/>
    <x v="326"/>
    <n v="3489"/>
    <n v="49222"/>
    <n v="11149.83142"/>
    <x v="0"/>
    <x v="4"/>
  </r>
  <r>
    <n v="10329"/>
    <d v="2024-08-13T00:00:00"/>
    <x v="3"/>
    <x v="3"/>
    <x v="2"/>
    <x v="3"/>
    <n v="5"/>
    <n v="18617"/>
    <x v="327"/>
    <n v="1471"/>
    <n v="91614"/>
    <n v="21959.75128"/>
    <x v="0"/>
    <x v="6"/>
  </r>
  <r>
    <n v="10330"/>
    <d v="2024-10-03T00:00:00"/>
    <x v="4"/>
    <x v="0"/>
    <x v="2"/>
    <x v="0"/>
    <n v="1"/>
    <n v="33304"/>
    <x v="328"/>
    <n v="337"/>
    <n v="32967"/>
    <n v="6553.772035"/>
    <x v="0"/>
    <x v="8"/>
  </r>
  <r>
    <n v="10331"/>
    <d v="2025-08-31T00:00:00"/>
    <x v="4"/>
    <x v="3"/>
    <x v="2"/>
    <x v="0"/>
    <n v="4"/>
    <n v="73865"/>
    <x v="329"/>
    <n v="3081"/>
    <n v="292379"/>
    <n v="65481.139410000003"/>
    <x v="1"/>
    <x v="6"/>
  </r>
  <r>
    <n v="10332"/>
    <d v="2024-10-10T00:00:00"/>
    <x v="3"/>
    <x v="0"/>
    <x v="2"/>
    <x v="2"/>
    <n v="5"/>
    <n v="60221"/>
    <x v="330"/>
    <n v="3412"/>
    <n v="297693"/>
    <n v="62583.441039999998"/>
    <x v="0"/>
    <x v="8"/>
  </r>
  <r>
    <n v="10333"/>
    <d v="2025-04-25T00:00:00"/>
    <x v="1"/>
    <x v="4"/>
    <x v="0"/>
    <x v="0"/>
    <n v="3"/>
    <n v="76120"/>
    <x v="331"/>
    <n v="2392"/>
    <n v="225968"/>
    <n v="46373.8024"/>
    <x v="1"/>
    <x v="0"/>
  </r>
  <r>
    <n v="10334"/>
    <d v="2025-03-28T00:00:00"/>
    <x v="3"/>
    <x v="0"/>
    <x v="2"/>
    <x v="3"/>
    <n v="2"/>
    <n v="79341"/>
    <x v="332"/>
    <n v="976"/>
    <n v="157706"/>
    <n v="33962.770080000002"/>
    <x v="1"/>
    <x v="1"/>
  </r>
  <r>
    <n v="10335"/>
    <d v="2025-10-20T00:00:00"/>
    <x v="3"/>
    <x v="1"/>
    <x v="2"/>
    <x v="0"/>
    <n v="6"/>
    <n v="79625"/>
    <x v="333"/>
    <n v="4978"/>
    <n v="472772"/>
    <n v="83111.163109999994"/>
    <x v="1"/>
    <x v="8"/>
  </r>
  <r>
    <n v="10336"/>
    <d v="2025-05-30T00:00:00"/>
    <x v="1"/>
    <x v="4"/>
    <x v="2"/>
    <x v="3"/>
    <n v="3"/>
    <n v="18639"/>
    <x v="334"/>
    <n v="2245"/>
    <n v="53672"/>
    <n v="9053.9680840000001"/>
    <x v="1"/>
    <x v="5"/>
  </r>
  <r>
    <n v="10337"/>
    <d v="2025-06-30T00:00:00"/>
    <x v="3"/>
    <x v="3"/>
    <x v="2"/>
    <x v="3"/>
    <n v="1"/>
    <n v="29685"/>
    <x v="335"/>
    <n v="4068"/>
    <n v="25617"/>
    <n v="3173.2169410000001"/>
    <x v="1"/>
    <x v="11"/>
  </r>
  <r>
    <n v="10338"/>
    <d v="2024-07-10T00:00:00"/>
    <x v="4"/>
    <x v="4"/>
    <x v="0"/>
    <x v="0"/>
    <n v="5"/>
    <n v="70416"/>
    <x v="336"/>
    <n v="1703"/>
    <n v="350377"/>
    <n v="79385.721879999997"/>
    <x v="0"/>
    <x v="10"/>
  </r>
  <r>
    <n v="10339"/>
    <d v="2024-02-18T00:00:00"/>
    <x v="3"/>
    <x v="4"/>
    <x v="1"/>
    <x v="2"/>
    <n v="2"/>
    <n v="65356"/>
    <x v="337"/>
    <n v="871"/>
    <n v="129841"/>
    <n v="13853.00662"/>
    <x v="0"/>
    <x v="9"/>
  </r>
  <r>
    <n v="10340"/>
    <d v="2025-05-26T00:00:00"/>
    <x v="1"/>
    <x v="3"/>
    <x v="1"/>
    <x v="1"/>
    <n v="2"/>
    <n v="16110"/>
    <x v="338"/>
    <n v="3409"/>
    <n v="28811"/>
    <n v="4036.899887"/>
    <x v="1"/>
    <x v="5"/>
  </r>
  <r>
    <n v="10341"/>
    <d v="2024-01-17T00:00:00"/>
    <x v="2"/>
    <x v="3"/>
    <x v="1"/>
    <x v="2"/>
    <n v="4"/>
    <n v="57762"/>
    <x v="339"/>
    <n v="2589"/>
    <n v="228459"/>
    <n v="40662.828459999997"/>
    <x v="0"/>
    <x v="4"/>
  </r>
  <r>
    <n v="10342"/>
    <d v="2024-06-20T00:00:00"/>
    <x v="3"/>
    <x v="1"/>
    <x v="1"/>
    <x v="1"/>
    <n v="4"/>
    <n v="26128"/>
    <x v="340"/>
    <n v="4552"/>
    <n v="99960"/>
    <n v="24564.142100000001"/>
    <x v="0"/>
    <x v="11"/>
  </r>
  <r>
    <n v="10343"/>
    <d v="2024-08-07T00:00:00"/>
    <x v="0"/>
    <x v="3"/>
    <x v="2"/>
    <x v="2"/>
    <n v="4"/>
    <n v="19684"/>
    <x v="341"/>
    <n v="1549"/>
    <n v="77187"/>
    <n v="16818.73402"/>
    <x v="0"/>
    <x v="6"/>
  </r>
  <r>
    <n v="10344"/>
    <d v="2024-06-06T00:00:00"/>
    <x v="4"/>
    <x v="2"/>
    <x v="1"/>
    <x v="3"/>
    <n v="7"/>
    <n v="56155"/>
    <x v="342"/>
    <n v="3507"/>
    <n v="389578"/>
    <n v="60501.729749999999"/>
    <x v="0"/>
    <x v="11"/>
  </r>
  <r>
    <n v="10345"/>
    <d v="2025-04-21T00:00:00"/>
    <x v="4"/>
    <x v="2"/>
    <x v="1"/>
    <x v="3"/>
    <n v="1"/>
    <n v="29419"/>
    <x v="343"/>
    <n v="4461"/>
    <n v="24958"/>
    <n v="5168.6085899999998"/>
    <x v="1"/>
    <x v="0"/>
  </r>
  <r>
    <n v="10346"/>
    <d v="2024-02-15T00:00:00"/>
    <x v="0"/>
    <x v="1"/>
    <x v="0"/>
    <x v="0"/>
    <n v="8"/>
    <n v="6527"/>
    <x v="344"/>
    <n v="2621"/>
    <n v="49595"/>
    <n v="11888.18972"/>
    <x v="0"/>
    <x v="9"/>
  </r>
  <r>
    <n v="10347"/>
    <d v="2025-01-07T00:00:00"/>
    <x v="0"/>
    <x v="0"/>
    <x v="0"/>
    <x v="1"/>
    <n v="9"/>
    <n v="20220"/>
    <x v="345"/>
    <n v="2529"/>
    <n v="179451"/>
    <n v="32450.576140000001"/>
    <x v="1"/>
    <x v="4"/>
  </r>
  <r>
    <n v="10348"/>
    <d v="2025-06-01T00:00:00"/>
    <x v="3"/>
    <x v="0"/>
    <x v="0"/>
    <x v="1"/>
    <n v="6"/>
    <n v="28702"/>
    <x v="346"/>
    <n v="2157"/>
    <n v="170055"/>
    <n v="28788.78599"/>
    <x v="1"/>
    <x v="11"/>
  </r>
  <r>
    <n v="10349"/>
    <d v="2024-04-08T00:00:00"/>
    <x v="0"/>
    <x v="2"/>
    <x v="2"/>
    <x v="0"/>
    <n v="4"/>
    <n v="32757"/>
    <x v="347"/>
    <n v="2356"/>
    <n v="128672"/>
    <n v="23540.412550000001"/>
    <x v="0"/>
    <x v="0"/>
  </r>
  <r>
    <n v="10350"/>
    <d v="2024-02-06T00:00:00"/>
    <x v="2"/>
    <x v="3"/>
    <x v="2"/>
    <x v="2"/>
    <n v="6"/>
    <n v="51664"/>
    <x v="348"/>
    <n v="159"/>
    <n v="309825"/>
    <n v="45460.469250000002"/>
    <x v="0"/>
    <x v="9"/>
  </r>
  <r>
    <n v="10351"/>
    <d v="2024-10-06T00:00:00"/>
    <x v="1"/>
    <x v="1"/>
    <x v="2"/>
    <x v="0"/>
    <n v="7"/>
    <n v="20205"/>
    <x v="349"/>
    <n v="4939"/>
    <n v="136496"/>
    <n v="32227.022489999999"/>
    <x v="0"/>
    <x v="8"/>
  </r>
  <r>
    <n v="10352"/>
    <d v="2024-12-14T00:00:00"/>
    <x v="0"/>
    <x v="0"/>
    <x v="0"/>
    <x v="2"/>
    <n v="6"/>
    <n v="65207"/>
    <x v="350"/>
    <n v="2102"/>
    <n v="389140"/>
    <n v="85452.136679999996"/>
    <x v="0"/>
    <x v="3"/>
  </r>
  <r>
    <n v="10353"/>
    <d v="2025-05-11T00:00:00"/>
    <x v="0"/>
    <x v="0"/>
    <x v="1"/>
    <x v="0"/>
    <n v="1"/>
    <n v="25994"/>
    <x v="351"/>
    <n v="2808"/>
    <n v="23186"/>
    <n v="4772.2031939999997"/>
    <x v="1"/>
    <x v="5"/>
  </r>
  <r>
    <n v="10354"/>
    <d v="2024-10-28T00:00:00"/>
    <x v="2"/>
    <x v="4"/>
    <x v="0"/>
    <x v="1"/>
    <n v="5"/>
    <n v="35569"/>
    <x v="352"/>
    <n v="1999"/>
    <n v="175846"/>
    <n v="33123.022900000004"/>
    <x v="0"/>
    <x v="8"/>
  </r>
  <r>
    <n v="10355"/>
    <d v="2024-06-29T00:00:00"/>
    <x v="4"/>
    <x v="2"/>
    <x v="2"/>
    <x v="1"/>
    <n v="8"/>
    <n v="11626"/>
    <x v="353"/>
    <n v="2581"/>
    <n v="90427"/>
    <n v="22192.704369999999"/>
    <x v="0"/>
    <x v="11"/>
  </r>
  <r>
    <n v="10356"/>
    <d v="2025-08-29T00:00:00"/>
    <x v="4"/>
    <x v="3"/>
    <x v="0"/>
    <x v="2"/>
    <n v="8"/>
    <n v="8964"/>
    <x v="354"/>
    <n v="2993"/>
    <n v="68719"/>
    <n v="9940.6060039999993"/>
    <x v="1"/>
    <x v="6"/>
  </r>
  <r>
    <n v="10357"/>
    <d v="2024-04-08T00:00:00"/>
    <x v="3"/>
    <x v="1"/>
    <x v="1"/>
    <x v="1"/>
    <n v="9"/>
    <n v="52377"/>
    <x v="355"/>
    <n v="2934"/>
    <n v="468459"/>
    <n v="66741.482430000004"/>
    <x v="0"/>
    <x v="0"/>
  </r>
  <r>
    <n v="10358"/>
    <d v="2025-11-30T00:00:00"/>
    <x v="2"/>
    <x v="0"/>
    <x v="2"/>
    <x v="1"/>
    <n v="4"/>
    <n v="23058"/>
    <x v="356"/>
    <n v="2311"/>
    <n v="89921"/>
    <n v="12258.09815"/>
    <x v="1"/>
    <x v="7"/>
  </r>
  <r>
    <n v="10359"/>
    <d v="2024-04-25T00:00:00"/>
    <x v="1"/>
    <x v="4"/>
    <x v="1"/>
    <x v="1"/>
    <n v="6"/>
    <n v="40160"/>
    <x v="357"/>
    <n v="2795"/>
    <n v="238165"/>
    <n v="50316.261749999998"/>
    <x v="0"/>
    <x v="0"/>
  </r>
  <r>
    <n v="10360"/>
    <d v="2024-07-09T00:00:00"/>
    <x v="1"/>
    <x v="2"/>
    <x v="1"/>
    <x v="1"/>
    <n v="7"/>
    <n v="21262"/>
    <x v="358"/>
    <n v="4328"/>
    <n v="144506"/>
    <n v="31732.483800000002"/>
    <x v="0"/>
    <x v="10"/>
  </r>
  <r>
    <n v="10361"/>
    <d v="2024-09-09T00:00:00"/>
    <x v="2"/>
    <x v="2"/>
    <x v="2"/>
    <x v="3"/>
    <n v="5"/>
    <n v="15884"/>
    <x v="359"/>
    <n v="4328"/>
    <n v="75092"/>
    <n v="14234.97466"/>
    <x v="0"/>
    <x v="2"/>
  </r>
  <r>
    <n v="10362"/>
    <d v="2024-06-09T00:00:00"/>
    <x v="1"/>
    <x v="1"/>
    <x v="1"/>
    <x v="0"/>
    <n v="8"/>
    <n v="9433"/>
    <x v="360"/>
    <n v="3588"/>
    <n v="71876"/>
    <n v="14216.89717"/>
    <x v="0"/>
    <x v="11"/>
  </r>
  <r>
    <n v="10363"/>
    <d v="2024-09-12T00:00:00"/>
    <x v="4"/>
    <x v="0"/>
    <x v="0"/>
    <x v="0"/>
    <n v="3"/>
    <n v="36063"/>
    <x v="361"/>
    <n v="3116"/>
    <n v="105073"/>
    <n v="16007.25316"/>
    <x v="0"/>
    <x v="2"/>
  </r>
  <r>
    <n v="10364"/>
    <d v="2024-11-18T00:00:00"/>
    <x v="1"/>
    <x v="1"/>
    <x v="1"/>
    <x v="3"/>
    <n v="8"/>
    <n v="38484"/>
    <x v="362"/>
    <n v="4653"/>
    <n v="303219"/>
    <n v="32130.18634"/>
    <x v="0"/>
    <x v="7"/>
  </r>
  <r>
    <n v="10365"/>
    <d v="2024-05-07T00:00:00"/>
    <x v="1"/>
    <x v="1"/>
    <x v="1"/>
    <x v="1"/>
    <n v="5"/>
    <n v="41536"/>
    <x v="363"/>
    <n v="3747"/>
    <n v="203933"/>
    <n v="28152.00778"/>
    <x v="0"/>
    <x v="5"/>
  </r>
  <r>
    <n v="10366"/>
    <d v="2024-01-18T00:00:00"/>
    <x v="2"/>
    <x v="4"/>
    <x v="1"/>
    <x v="0"/>
    <n v="1"/>
    <n v="35084"/>
    <x v="364"/>
    <n v="1949"/>
    <n v="33135"/>
    <n v="6217.6331149999996"/>
    <x v="0"/>
    <x v="4"/>
  </r>
  <r>
    <n v="10367"/>
    <d v="2025-07-19T00:00:00"/>
    <x v="2"/>
    <x v="2"/>
    <x v="0"/>
    <x v="0"/>
    <n v="6"/>
    <n v="29802"/>
    <x v="365"/>
    <n v="1459"/>
    <n v="177353"/>
    <n v="39361.707499999997"/>
    <x v="1"/>
    <x v="10"/>
  </r>
  <r>
    <n v="10368"/>
    <d v="2025-07-23T00:00:00"/>
    <x v="1"/>
    <x v="3"/>
    <x v="1"/>
    <x v="0"/>
    <n v="2"/>
    <n v="62012"/>
    <x v="366"/>
    <n v="4430"/>
    <n v="119594"/>
    <n v="25901.578440000001"/>
    <x v="1"/>
    <x v="10"/>
  </r>
  <r>
    <n v="10369"/>
    <d v="2024-11-18T00:00:00"/>
    <x v="0"/>
    <x v="2"/>
    <x v="1"/>
    <x v="2"/>
    <n v="7"/>
    <n v="25614"/>
    <x v="367"/>
    <n v="2451"/>
    <n v="176847"/>
    <n v="22445.970280000001"/>
    <x v="0"/>
    <x v="7"/>
  </r>
  <r>
    <n v="10370"/>
    <d v="2025-11-16T00:00:00"/>
    <x v="2"/>
    <x v="2"/>
    <x v="0"/>
    <x v="3"/>
    <n v="9"/>
    <n v="75569"/>
    <x v="368"/>
    <n v="4351"/>
    <n v="675770"/>
    <n v="72791.870809999993"/>
    <x v="1"/>
    <x v="7"/>
  </r>
  <r>
    <n v="10371"/>
    <d v="2025-09-17T00:00:00"/>
    <x v="3"/>
    <x v="4"/>
    <x v="2"/>
    <x v="2"/>
    <n v="3"/>
    <n v="74922"/>
    <x v="369"/>
    <n v="3067"/>
    <n v="221699"/>
    <n v="50455.146549999998"/>
    <x v="1"/>
    <x v="2"/>
  </r>
  <r>
    <n v="10372"/>
    <d v="2024-10-14T00:00:00"/>
    <x v="3"/>
    <x v="3"/>
    <x v="2"/>
    <x v="2"/>
    <n v="4"/>
    <n v="13157"/>
    <x v="370"/>
    <n v="4090"/>
    <n v="48538"/>
    <n v="5404.142527"/>
    <x v="0"/>
    <x v="8"/>
  </r>
  <r>
    <n v="10373"/>
    <d v="2025-10-24T00:00:00"/>
    <x v="4"/>
    <x v="0"/>
    <x v="2"/>
    <x v="3"/>
    <n v="4"/>
    <n v="53742"/>
    <x v="371"/>
    <n v="2988"/>
    <n v="211980"/>
    <n v="33704.118219999997"/>
    <x v="1"/>
    <x v="8"/>
  </r>
  <r>
    <n v="10374"/>
    <d v="2025-09-30T00:00:00"/>
    <x v="1"/>
    <x v="3"/>
    <x v="1"/>
    <x v="0"/>
    <n v="4"/>
    <n v="12675"/>
    <x v="372"/>
    <n v="771"/>
    <n v="49929"/>
    <n v="5698.5889230000002"/>
    <x v="1"/>
    <x v="2"/>
  </r>
  <r>
    <n v="10375"/>
    <d v="2024-06-03T00:00:00"/>
    <x v="0"/>
    <x v="0"/>
    <x v="2"/>
    <x v="2"/>
    <n v="3"/>
    <n v="31228"/>
    <x v="373"/>
    <n v="1111"/>
    <n v="92573"/>
    <n v="17089.652190000001"/>
    <x v="0"/>
    <x v="11"/>
  </r>
  <r>
    <n v="10376"/>
    <d v="2025-05-04T00:00:00"/>
    <x v="4"/>
    <x v="3"/>
    <x v="0"/>
    <x v="0"/>
    <n v="5"/>
    <n v="23251"/>
    <x v="374"/>
    <n v="3311"/>
    <n v="112944"/>
    <n v="17449.90048"/>
    <x v="1"/>
    <x v="5"/>
  </r>
  <r>
    <n v="10377"/>
    <d v="2025-01-20T00:00:00"/>
    <x v="1"/>
    <x v="1"/>
    <x v="1"/>
    <x v="2"/>
    <n v="9"/>
    <n v="28349"/>
    <x v="375"/>
    <n v="4406"/>
    <n v="250735"/>
    <n v="32689.335589999999"/>
    <x v="1"/>
    <x v="4"/>
  </r>
  <r>
    <n v="10378"/>
    <d v="2024-04-13T00:00:00"/>
    <x v="2"/>
    <x v="3"/>
    <x v="1"/>
    <x v="0"/>
    <n v="8"/>
    <n v="54178"/>
    <x v="376"/>
    <n v="1594"/>
    <n v="431830"/>
    <n v="81734.688120000006"/>
    <x v="0"/>
    <x v="0"/>
  </r>
  <r>
    <n v="10379"/>
    <d v="2025-01-27T00:00:00"/>
    <x v="3"/>
    <x v="4"/>
    <x v="1"/>
    <x v="1"/>
    <n v="2"/>
    <n v="79660"/>
    <x v="377"/>
    <n v="2729"/>
    <n v="156591"/>
    <n v="24194.682570000001"/>
    <x v="1"/>
    <x v="4"/>
  </r>
  <r>
    <n v="10380"/>
    <d v="2024-09-02T00:00:00"/>
    <x v="0"/>
    <x v="0"/>
    <x v="2"/>
    <x v="1"/>
    <n v="9"/>
    <n v="11588"/>
    <x v="378"/>
    <n v="1281"/>
    <n v="103011"/>
    <n v="12878.25369"/>
    <x v="0"/>
    <x v="2"/>
  </r>
  <r>
    <n v="10381"/>
    <d v="2024-06-24T00:00:00"/>
    <x v="3"/>
    <x v="2"/>
    <x v="2"/>
    <x v="1"/>
    <n v="2"/>
    <n v="68196"/>
    <x v="379"/>
    <n v="3585"/>
    <n v="132807"/>
    <n v="27227.156429999999"/>
    <x v="0"/>
    <x v="11"/>
  </r>
  <r>
    <n v="10382"/>
    <d v="2024-02-08T00:00:00"/>
    <x v="2"/>
    <x v="4"/>
    <x v="2"/>
    <x v="3"/>
    <n v="7"/>
    <n v="37400"/>
    <x v="380"/>
    <n v="2828"/>
    <n v="258972"/>
    <n v="58403.688240000003"/>
    <x v="0"/>
    <x v="9"/>
  </r>
  <r>
    <n v="10383"/>
    <d v="2025-04-21T00:00:00"/>
    <x v="1"/>
    <x v="0"/>
    <x v="1"/>
    <x v="1"/>
    <n v="5"/>
    <n v="18536"/>
    <x v="381"/>
    <n v="2373"/>
    <n v="90307"/>
    <n v="12738.83056"/>
    <x v="1"/>
    <x v="0"/>
  </r>
  <r>
    <n v="10384"/>
    <d v="2025-11-12T00:00:00"/>
    <x v="2"/>
    <x v="0"/>
    <x v="0"/>
    <x v="2"/>
    <n v="7"/>
    <n v="7700"/>
    <x v="382"/>
    <n v="4885"/>
    <n v="49015"/>
    <n v="6272.1435430000001"/>
    <x v="1"/>
    <x v="7"/>
  </r>
  <r>
    <n v="10385"/>
    <d v="2025-06-21T00:00:00"/>
    <x v="2"/>
    <x v="2"/>
    <x v="1"/>
    <x v="0"/>
    <n v="5"/>
    <n v="79345"/>
    <x v="383"/>
    <n v="341"/>
    <n v="396384"/>
    <n v="44112.695110000001"/>
    <x v="1"/>
    <x v="11"/>
  </r>
  <r>
    <n v="10386"/>
    <d v="2025-02-11T00:00:00"/>
    <x v="3"/>
    <x v="1"/>
    <x v="0"/>
    <x v="0"/>
    <n v="6"/>
    <n v="20115"/>
    <x v="384"/>
    <n v="4933"/>
    <n v="115757"/>
    <n v="20741.95494"/>
    <x v="1"/>
    <x v="9"/>
  </r>
  <r>
    <n v="10387"/>
    <d v="2025-06-08T00:00:00"/>
    <x v="0"/>
    <x v="4"/>
    <x v="1"/>
    <x v="0"/>
    <n v="8"/>
    <n v="57929"/>
    <x v="385"/>
    <n v="4723"/>
    <n v="458709"/>
    <n v="103069.1853"/>
    <x v="1"/>
    <x v="11"/>
  </r>
  <r>
    <n v="10388"/>
    <d v="2025-05-20T00:00:00"/>
    <x v="2"/>
    <x v="2"/>
    <x v="0"/>
    <x v="0"/>
    <n v="1"/>
    <n v="50513"/>
    <x v="386"/>
    <n v="2818"/>
    <n v="47695"/>
    <n v="6563.7136060000003"/>
    <x v="1"/>
    <x v="5"/>
  </r>
  <r>
    <n v="10389"/>
    <d v="2024-02-05T00:00:00"/>
    <x v="3"/>
    <x v="2"/>
    <x v="1"/>
    <x v="2"/>
    <n v="1"/>
    <n v="43100"/>
    <x v="387"/>
    <n v="2925"/>
    <n v="40175"/>
    <n v="6793.4183709999998"/>
    <x v="0"/>
    <x v="9"/>
  </r>
  <r>
    <n v="10390"/>
    <d v="2025-11-15T00:00:00"/>
    <x v="0"/>
    <x v="1"/>
    <x v="1"/>
    <x v="0"/>
    <n v="5"/>
    <n v="26440"/>
    <x v="388"/>
    <n v="1272"/>
    <n v="130928"/>
    <n v="16250.85118"/>
    <x v="1"/>
    <x v="7"/>
  </r>
  <r>
    <n v="10391"/>
    <d v="2024-01-20T00:00:00"/>
    <x v="1"/>
    <x v="4"/>
    <x v="0"/>
    <x v="2"/>
    <n v="1"/>
    <n v="37947"/>
    <x v="389"/>
    <n v="709"/>
    <n v="37238"/>
    <n v="5981.544543"/>
    <x v="0"/>
    <x v="4"/>
  </r>
  <r>
    <n v="10392"/>
    <d v="2024-11-16T00:00:00"/>
    <x v="1"/>
    <x v="2"/>
    <x v="0"/>
    <x v="2"/>
    <n v="3"/>
    <n v="78532"/>
    <x v="390"/>
    <n v="738"/>
    <n v="234858"/>
    <n v="24029.911059999999"/>
    <x v="0"/>
    <x v="7"/>
  </r>
  <r>
    <n v="10393"/>
    <d v="2025-05-26T00:00:00"/>
    <x v="4"/>
    <x v="1"/>
    <x v="0"/>
    <x v="0"/>
    <n v="9"/>
    <n v="64413"/>
    <x v="391"/>
    <n v="1778"/>
    <n v="577939"/>
    <n v="136745.777"/>
    <x v="1"/>
    <x v="5"/>
  </r>
  <r>
    <n v="10394"/>
    <d v="2025-02-03T00:00:00"/>
    <x v="3"/>
    <x v="4"/>
    <x v="0"/>
    <x v="0"/>
    <n v="7"/>
    <n v="28104"/>
    <x v="392"/>
    <n v="4590"/>
    <n v="192138"/>
    <n v="38713.07561"/>
    <x v="1"/>
    <x v="9"/>
  </r>
  <r>
    <n v="10395"/>
    <d v="2025-10-15T00:00:00"/>
    <x v="0"/>
    <x v="3"/>
    <x v="0"/>
    <x v="0"/>
    <n v="6"/>
    <n v="40860"/>
    <x v="393"/>
    <n v="4130"/>
    <n v="241030"/>
    <n v="36135.71355"/>
    <x v="1"/>
    <x v="8"/>
  </r>
  <r>
    <n v="10396"/>
    <d v="2025-04-15T00:00:00"/>
    <x v="2"/>
    <x v="0"/>
    <x v="0"/>
    <x v="2"/>
    <n v="8"/>
    <n v="67184"/>
    <x v="394"/>
    <n v="3718"/>
    <n v="533754"/>
    <n v="123926.86440000001"/>
    <x v="1"/>
    <x v="0"/>
  </r>
  <r>
    <n v="10397"/>
    <d v="2024-05-22T00:00:00"/>
    <x v="1"/>
    <x v="1"/>
    <x v="0"/>
    <x v="3"/>
    <n v="8"/>
    <n v="76063"/>
    <x v="395"/>
    <n v="4913"/>
    <n v="603591"/>
    <n v="76921.301689999993"/>
    <x v="0"/>
    <x v="5"/>
  </r>
  <r>
    <n v="10398"/>
    <d v="2024-04-01T00:00:00"/>
    <x v="0"/>
    <x v="0"/>
    <x v="0"/>
    <x v="2"/>
    <n v="6"/>
    <n v="18727"/>
    <x v="396"/>
    <n v="9"/>
    <n v="112353"/>
    <n v="12562.19565"/>
    <x v="0"/>
    <x v="0"/>
  </r>
  <r>
    <n v="10399"/>
    <d v="2024-12-19T00:00:00"/>
    <x v="3"/>
    <x v="3"/>
    <x v="1"/>
    <x v="3"/>
    <n v="4"/>
    <n v="7719"/>
    <x v="397"/>
    <n v="1737"/>
    <n v="29139"/>
    <n v="7033.9575379999997"/>
    <x v="0"/>
    <x v="3"/>
  </r>
  <r>
    <n v="10400"/>
    <d v="2025-12-27T00:00:00"/>
    <x v="4"/>
    <x v="2"/>
    <x v="0"/>
    <x v="0"/>
    <n v="4"/>
    <n v="17924"/>
    <x v="398"/>
    <n v="2578"/>
    <n v="69118"/>
    <n v="10115.595149999999"/>
    <x v="1"/>
    <x v="3"/>
  </r>
  <r>
    <n v="10401"/>
    <d v="2024-02-20T00:00:00"/>
    <x v="1"/>
    <x v="2"/>
    <x v="0"/>
    <x v="2"/>
    <n v="4"/>
    <n v="14215"/>
    <x v="399"/>
    <n v="1558"/>
    <n v="55302"/>
    <n v="13294.3801"/>
    <x v="0"/>
    <x v="9"/>
  </r>
  <r>
    <n v="10402"/>
    <d v="2025-10-26T00:00:00"/>
    <x v="0"/>
    <x v="4"/>
    <x v="1"/>
    <x v="0"/>
    <n v="6"/>
    <n v="65494"/>
    <x v="400"/>
    <n v="2142"/>
    <n v="390822"/>
    <n v="76461.173450000002"/>
    <x v="1"/>
    <x v="8"/>
  </r>
  <r>
    <n v="10403"/>
    <d v="2025-11-28T00:00:00"/>
    <x v="0"/>
    <x v="1"/>
    <x v="1"/>
    <x v="3"/>
    <n v="1"/>
    <n v="53009"/>
    <x v="401"/>
    <n v="2623"/>
    <n v="50386"/>
    <n v="12445.66648"/>
    <x v="1"/>
    <x v="7"/>
  </r>
  <r>
    <n v="10404"/>
    <d v="2025-07-28T00:00:00"/>
    <x v="0"/>
    <x v="1"/>
    <x v="2"/>
    <x v="3"/>
    <n v="2"/>
    <n v="36912"/>
    <x v="402"/>
    <n v="4000"/>
    <n v="69824"/>
    <n v="14873.5162"/>
    <x v="1"/>
    <x v="10"/>
  </r>
  <r>
    <n v="10405"/>
    <d v="2024-07-08T00:00:00"/>
    <x v="3"/>
    <x v="4"/>
    <x v="2"/>
    <x v="2"/>
    <n v="6"/>
    <n v="6144"/>
    <x v="403"/>
    <n v="4545"/>
    <n v="32319"/>
    <n v="3743.2699640000001"/>
    <x v="0"/>
    <x v="10"/>
  </r>
  <r>
    <n v="10406"/>
    <d v="2024-05-04T00:00:00"/>
    <x v="3"/>
    <x v="0"/>
    <x v="0"/>
    <x v="2"/>
    <n v="1"/>
    <n v="42302"/>
    <x v="404"/>
    <n v="2143"/>
    <n v="40159"/>
    <n v="9149.5976559999999"/>
    <x v="0"/>
    <x v="5"/>
  </r>
  <r>
    <n v="10407"/>
    <d v="2024-05-29T00:00:00"/>
    <x v="3"/>
    <x v="2"/>
    <x v="0"/>
    <x v="2"/>
    <n v="9"/>
    <n v="58720"/>
    <x v="405"/>
    <n v="864"/>
    <n v="527616"/>
    <n v="64465.061179999997"/>
    <x v="0"/>
    <x v="5"/>
  </r>
  <r>
    <n v="10408"/>
    <d v="2024-11-09T00:00:00"/>
    <x v="2"/>
    <x v="2"/>
    <x v="2"/>
    <x v="2"/>
    <n v="6"/>
    <n v="71542"/>
    <x v="406"/>
    <n v="1800"/>
    <n v="427452"/>
    <n v="87127.387650000004"/>
    <x v="0"/>
    <x v="7"/>
  </r>
  <r>
    <n v="10409"/>
    <d v="2025-07-23T00:00:00"/>
    <x v="0"/>
    <x v="1"/>
    <x v="2"/>
    <x v="1"/>
    <n v="7"/>
    <n v="32044"/>
    <x v="407"/>
    <n v="3452"/>
    <n v="220856"/>
    <n v="38663.298150000002"/>
    <x v="1"/>
    <x v="10"/>
  </r>
  <r>
    <n v="10410"/>
    <d v="2024-12-07T00:00:00"/>
    <x v="1"/>
    <x v="1"/>
    <x v="0"/>
    <x v="1"/>
    <n v="1"/>
    <n v="77635"/>
    <x v="408"/>
    <n v="2716"/>
    <n v="74919"/>
    <n v="15445.207479999999"/>
    <x v="0"/>
    <x v="3"/>
  </r>
  <r>
    <n v="10411"/>
    <d v="2024-10-31T00:00:00"/>
    <x v="3"/>
    <x v="4"/>
    <x v="2"/>
    <x v="0"/>
    <n v="8"/>
    <n v="5537"/>
    <x v="409"/>
    <n v="4302"/>
    <n v="39994"/>
    <n v="8588.6487049999996"/>
    <x v="0"/>
    <x v="8"/>
  </r>
  <r>
    <n v="10412"/>
    <d v="2025-11-22T00:00:00"/>
    <x v="3"/>
    <x v="3"/>
    <x v="0"/>
    <x v="3"/>
    <n v="5"/>
    <n v="40453"/>
    <x v="410"/>
    <n v="1809"/>
    <n v="200456"/>
    <n v="44210.527040000001"/>
    <x v="1"/>
    <x v="7"/>
  </r>
  <r>
    <n v="10413"/>
    <d v="2025-11-12T00:00:00"/>
    <x v="0"/>
    <x v="0"/>
    <x v="1"/>
    <x v="3"/>
    <n v="5"/>
    <n v="6980"/>
    <x v="411"/>
    <n v="4945"/>
    <n v="29955"/>
    <n v="6747.2744810000004"/>
    <x v="1"/>
    <x v="7"/>
  </r>
  <r>
    <n v="10414"/>
    <d v="2024-02-23T00:00:00"/>
    <x v="3"/>
    <x v="3"/>
    <x v="1"/>
    <x v="0"/>
    <n v="6"/>
    <n v="76442"/>
    <x v="412"/>
    <n v="4341"/>
    <n v="454311"/>
    <n v="103166.61289999999"/>
    <x v="0"/>
    <x v="9"/>
  </r>
  <r>
    <n v="10415"/>
    <d v="2025-03-19T00:00:00"/>
    <x v="2"/>
    <x v="3"/>
    <x v="2"/>
    <x v="0"/>
    <n v="7"/>
    <n v="38307"/>
    <x v="413"/>
    <n v="1997"/>
    <n v="266152"/>
    <n v="43086.32632"/>
    <x v="1"/>
    <x v="1"/>
  </r>
  <r>
    <n v="10416"/>
    <d v="2025-09-04T00:00:00"/>
    <x v="2"/>
    <x v="1"/>
    <x v="1"/>
    <x v="0"/>
    <n v="7"/>
    <n v="49844"/>
    <x v="414"/>
    <n v="2931"/>
    <n v="345977"/>
    <n v="80745.569109999997"/>
    <x v="1"/>
    <x v="2"/>
  </r>
  <r>
    <n v="10417"/>
    <d v="2024-09-20T00:00:00"/>
    <x v="3"/>
    <x v="1"/>
    <x v="1"/>
    <x v="1"/>
    <n v="5"/>
    <n v="33629"/>
    <x v="415"/>
    <n v="2130"/>
    <n v="166015"/>
    <n v="34520.667370000003"/>
    <x v="0"/>
    <x v="2"/>
  </r>
  <r>
    <n v="10418"/>
    <d v="2024-02-22T00:00:00"/>
    <x v="0"/>
    <x v="1"/>
    <x v="1"/>
    <x v="0"/>
    <n v="1"/>
    <n v="32775"/>
    <x v="416"/>
    <n v="4412"/>
    <n v="28363"/>
    <n v="6405.6598789999998"/>
    <x v="0"/>
    <x v="9"/>
  </r>
  <r>
    <n v="10419"/>
    <d v="2025-07-25T00:00:00"/>
    <x v="0"/>
    <x v="3"/>
    <x v="1"/>
    <x v="3"/>
    <n v="9"/>
    <n v="45029"/>
    <x v="417"/>
    <n v="2692"/>
    <n v="402569"/>
    <n v="99989.566059999997"/>
    <x v="1"/>
    <x v="10"/>
  </r>
  <r>
    <n v="10420"/>
    <d v="2025-09-11T00:00:00"/>
    <x v="0"/>
    <x v="0"/>
    <x v="0"/>
    <x v="0"/>
    <n v="6"/>
    <n v="66860"/>
    <x v="418"/>
    <n v="3176"/>
    <n v="397984"/>
    <n v="46748.080710000002"/>
    <x v="1"/>
    <x v="2"/>
  </r>
  <r>
    <n v="10421"/>
    <d v="2024-01-05T00:00:00"/>
    <x v="4"/>
    <x v="1"/>
    <x v="0"/>
    <x v="2"/>
    <n v="9"/>
    <n v="69783"/>
    <x v="419"/>
    <n v="2796"/>
    <n v="625251"/>
    <n v="97280.898979999998"/>
    <x v="0"/>
    <x v="4"/>
  </r>
  <r>
    <n v="10422"/>
    <d v="2024-04-12T00:00:00"/>
    <x v="3"/>
    <x v="2"/>
    <x v="2"/>
    <x v="3"/>
    <n v="4"/>
    <n v="46988"/>
    <x v="420"/>
    <n v="4695"/>
    <n v="183257"/>
    <n v="40496.508110000002"/>
    <x v="0"/>
    <x v="0"/>
  </r>
  <r>
    <n v="10423"/>
    <d v="2024-07-14T00:00:00"/>
    <x v="0"/>
    <x v="0"/>
    <x v="1"/>
    <x v="3"/>
    <n v="2"/>
    <n v="60452"/>
    <x v="421"/>
    <n v="1555"/>
    <n v="119349"/>
    <n v="13479.934950000001"/>
    <x v="0"/>
    <x v="10"/>
  </r>
  <r>
    <n v="10424"/>
    <d v="2024-12-15T00:00:00"/>
    <x v="2"/>
    <x v="2"/>
    <x v="1"/>
    <x v="3"/>
    <n v="3"/>
    <n v="5051"/>
    <x v="422"/>
    <n v="3690"/>
    <n v="11463"/>
    <n v="2076.1460029999998"/>
    <x v="0"/>
    <x v="3"/>
  </r>
  <r>
    <n v="10425"/>
    <d v="2024-02-16T00:00:00"/>
    <x v="1"/>
    <x v="0"/>
    <x v="1"/>
    <x v="1"/>
    <n v="4"/>
    <n v="29818"/>
    <x v="423"/>
    <n v="4936"/>
    <n v="114336"/>
    <n v="26155.468349999999"/>
    <x v="0"/>
    <x v="9"/>
  </r>
  <r>
    <n v="10426"/>
    <d v="2025-10-17T00:00:00"/>
    <x v="1"/>
    <x v="1"/>
    <x v="2"/>
    <x v="1"/>
    <n v="8"/>
    <n v="6686"/>
    <x v="424"/>
    <n v="3572"/>
    <n v="49916"/>
    <n v="5133.7951839999996"/>
    <x v="1"/>
    <x v="8"/>
  </r>
  <r>
    <n v="10427"/>
    <d v="2024-09-25T00:00:00"/>
    <x v="0"/>
    <x v="4"/>
    <x v="0"/>
    <x v="3"/>
    <n v="3"/>
    <n v="24205"/>
    <x v="425"/>
    <n v="4443"/>
    <n v="68172"/>
    <n v="16424.532350000001"/>
    <x v="0"/>
    <x v="2"/>
  </r>
  <r>
    <n v="10428"/>
    <d v="2025-01-04T00:00:00"/>
    <x v="1"/>
    <x v="1"/>
    <x v="1"/>
    <x v="2"/>
    <n v="8"/>
    <n v="13096"/>
    <x v="426"/>
    <n v="330"/>
    <n v="104438"/>
    <n v="25767.123370000001"/>
    <x v="1"/>
    <x v="4"/>
  </r>
  <r>
    <n v="10429"/>
    <d v="2025-09-27T00:00:00"/>
    <x v="1"/>
    <x v="3"/>
    <x v="0"/>
    <x v="3"/>
    <n v="6"/>
    <n v="79152"/>
    <x v="427"/>
    <n v="4705"/>
    <n v="470207"/>
    <n v="69751.512369999997"/>
    <x v="1"/>
    <x v="2"/>
  </r>
  <r>
    <n v="10430"/>
    <d v="2024-04-15T00:00:00"/>
    <x v="4"/>
    <x v="3"/>
    <x v="2"/>
    <x v="1"/>
    <n v="4"/>
    <n v="48087"/>
    <x v="428"/>
    <n v="1944"/>
    <n v="190404"/>
    <n v="40940.416499999999"/>
    <x v="0"/>
    <x v="0"/>
  </r>
  <r>
    <n v="10431"/>
    <d v="2025-10-31T00:00:00"/>
    <x v="2"/>
    <x v="0"/>
    <x v="0"/>
    <x v="2"/>
    <n v="7"/>
    <n v="13545"/>
    <x v="429"/>
    <n v="4839"/>
    <n v="89976"/>
    <n v="10714.019550000001"/>
    <x v="1"/>
    <x v="8"/>
  </r>
  <r>
    <n v="10432"/>
    <d v="2025-10-20T00:00:00"/>
    <x v="2"/>
    <x v="3"/>
    <x v="1"/>
    <x v="3"/>
    <n v="5"/>
    <n v="13484"/>
    <x v="430"/>
    <n v="3958"/>
    <n v="63462"/>
    <n v="13703.326849999999"/>
    <x v="1"/>
    <x v="8"/>
  </r>
  <r>
    <n v="10433"/>
    <d v="2025-10-18T00:00:00"/>
    <x v="4"/>
    <x v="1"/>
    <x v="0"/>
    <x v="1"/>
    <n v="5"/>
    <n v="71252"/>
    <x v="431"/>
    <n v="4664"/>
    <n v="351596"/>
    <n v="60554.76453"/>
    <x v="1"/>
    <x v="8"/>
  </r>
  <r>
    <n v="10434"/>
    <d v="2024-04-29T00:00:00"/>
    <x v="4"/>
    <x v="2"/>
    <x v="0"/>
    <x v="2"/>
    <n v="9"/>
    <n v="28667"/>
    <x v="432"/>
    <n v="1684"/>
    <n v="256319"/>
    <n v="58707.550280000003"/>
    <x v="0"/>
    <x v="0"/>
  </r>
  <r>
    <n v="10435"/>
    <d v="2025-08-26T00:00:00"/>
    <x v="1"/>
    <x v="1"/>
    <x v="2"/>
    <x v="0"/>
    <n v="3"/>
    <n v="75111"/>
    <x v="433"/>
    <n v="2436"/>
    <n v="222897"/>
    <n v="29398.10022"/>
    <x v="1"/>
    <x v="6"/>
  </r>
  <r>
    <n v="10436"/>
    <d v="2024-02-27T00:00:00"/>
    <x v="3"/>
    <x v="0"/>
    <x v="2"/>
    <x v="0"/>
    <n v="4"/>
    <n v="20637"/>
    <x v="434"/>
    <n v="970"/>
    <n v="81578"/>
    <n v="16388.91358"/>
    <x v="0"/>
    <x v="9"/>
  </r>
  <r>
    <n v="10437"/>
    <d v="2024-12-11T00:00:00"/>
    <x v="1"/>
    <x v="3"/>
    <x v="2"/>
    <x v="3"/>
    <n v="5"/>
    <n v="45747"/>
    <x v="435"/>
    <n v="746"/>
    <n v="227989"/>
    <n v="49682.878669999998"/>
    <x v="0"/>
    <x v="3"/>
  </r>
  <r>
    <n v="10438"/>
    <d v="2025-04-18T00:00:00"/>
    <x v="4"/>
    <x v="2"/>
    <x v="2"/>
    <x v="0"/>
    <n v="1"/>
    <n v="64749"/>
    <x v="436"/>
    <n v="2184"/>
    <n v="62565"/>
    <n v="8156.8392860000004"/>
    <x v="1"/>
    <x v="0"/>
  </r>
  <r>
    <n v="10439"/>
    <d v="2024-04-26T00:00:00"/>
    <x v="2"/>
    <x v="4"/>
    <x v="0"/>
    <x v="1"/>
    <n v="7"/>
    <n v="14491"/>
    <x v="437"/>
    <n v="1384"/>
    <n v="100053"/>
    <n v="22286.114549999998"/>
    <x v="0"/>
    <x v="0"/>
  </r>
  <r>
    <n v="10440"/>
    <d v="2024-05-06T00:00:00"/>
    <x v="1"/>
    <x v="2"/>
    <x v="0"/>
    <x v="2"/>
    <n v="8"/>
    <n v="58100"/>
    <x v="438"/>
    <n v="4030"/>
    <n v="460770"/>
    <n v="112288.64690000001"/>
    <x v="0"/>
    <x v="5"/>
  </r>
  <r>
    <n v="10441"/>
    <d v="2025-01-27T00:00:00"/>
    <x v="3"/>
    <x v="2"/>
    <x v="2"/>
    <x v="3"/>
    <n v="6"/>
    <n v="17631"/>
    <x v="439"/>
    <n v="1018"/>
    <n v="104768"/>
    <n v="20158.598409999999"/>
    <x v="1"/>
    <x v="4"/>
  </r>
  <r>
    <n v="10442"/>
    <d v="2025-10-02T00:00:00"/>
    <x v="1"/>
    <x v="1"/>
    <x v="2"/>
    <x v="2"/>
    <n v="9"/>
    <n v="32182"/>
    <x v="440"/>
    <n v="2578"/>
    <n v="287060"/>
    <n v="62500.874100000001"/>
    <x v="1"/>
    <x v="8"/>
  </r>
  <r>
    <n v="10443"/>
    <d v="2024-02-27T00:00:00"/>
    <x v="0"/>
    <x v="4"/>
    <x v="1"/>
    <x v="2"/>
    <n v="3"/>
    <n v="13903"/>
    <x v="441"/>
    <n v="4111"/>
    <n v="37598"/>
    <n v="6763.413192"/>
    <x v="0"/>
    <x v="9"/>
  </r>
  <r>
    <n v="10444"/>
    <d v="2025-09-25T00:00:00"/>
    <x v="1"/>
    <x v="0"/>
    <x v="1"/>
    <x v="2"/>
    <n v="2"/>
    <n v="62782"/>
    <x v="442"/>
    <n v="4663"/>
    <n v="120901"/>
    <n v="22936.794170000001"/>
    <x v="1"/>
    <x v="2"/>
  </r>
  <r>
    <n v="10445"/>
    <d v="2025-05-27T00:00:00"/>
    <x v="4"/>
    <x v="0"/>
    <x v="2"/>
    <x v="1"/>
    <n v="5"/>
    <n v="41109"/>
    <x v="443"/>
    <n v="3940"/>
    <n v="201605"/>
    <n v="20564.287629999999"/>
    <x v="1"/>
    <x v="5"/>
  </r>
  <r>
    <n v="10446"/>
    <d v="2024-04-05T00:00:00"/>
    <x v="2"/>
    <x v="2"/>
    <x v="0"/>
    <x v="3"/>
    <n v="9"/>
    <n v="76086"/>
    <x v="444"/>
    <n v="2024"/>
    <n v="682750"/>
    <n v="121968.56969999999"/>
    <x v="0"/>
    <x v="0"/>
  </r>
  <r>
    <n v="10447"/>
    <d v="2025-09-29T00:00:00"/>
    <x v="2"/>
    <x v="2"/>
    <x v="2"/>
    <x v="0"/>
    <n v="1"/>
    <n v="65436"/>
    <x v="445"/>
    <n v="1542"/>
    <n v="63894"/>
    <n v="11905.660529999999"/>
    <x v="1"/>
    <x v="2"/>
  </r>
  <r>
    <n v="10448"/>
    <d v="2024-04-27T00:00:00"/>
    <x v="4"/>
    <x v="3"/>
    <x v="0"/>
    <x v="2"/>
    <n v="1"/>
    <n v="23167"/>
    <x v="446"/>
    <n v="2711"/>
    <n v="20456"/>
    <n v="4101.5738890000002"/>
    <x v="0"/>
    <x v="0"/>
  </r>
  <r>
    <n v="10449"/>
    <d v="2025-07-13T00:00:00"/>
    <x v="0"/>
    <x v="4"/>
    <x v="0"/>
    <x v="2"/>
    <n v="3"/>
    <n v="30443"/>
    <x v="447"/>
    <n v="3046"/>
    <n v="88283"/>
    <n v="11071.446669999999"/>
    <x v="1"/>
    <x v="10"/>
  </r>
  <r>
    <n v="10450"/>
    <d v="2025-08-23T00:00:00"/>
    <x v="4"/>
    <x v="2"/>
    <x v="1"/>
    <x v="2"/>
    <n v="3"/>
    <n v="55640"/>
    <x v="448"/>
    <n v="1454"/>
    <n v="165466"/>
    <n v="22537.485049999999"/>
    <x v="1"/>
    <x v="6"/>
  </r>
  <r>
    <n v="10451"/>
    <d v="2025-05-02T00:00:00"/>
    <x v="1"/>
    <x v="3"/>
    <x v="2"/>
    <x v="1"/>
    <n v="5"/>
    <n v="34548"/>
    <x v="449"/>
    <n v="3003"/>
    <n v="169737"/>
    <n v="36221.993730000002"/>
    <x v="1"/>
    <x v="5"/>
  </r>
  <r>
    <n v="10452"/>
    <d v="2024-08-24T00:00:00"/>
    <x v="4"/>
    <x v="4"/>
    <x v="2"/>
    <x v="0"/>
    <n v="4"/>
    <n v="67358"/>
    <x v="450"/>
    <n v="1702"/>
    <n v="267730"/>
    <n v="33505.291190000004"/>
    <x v="0"/>
    <x v="6"/>
  </r>
  <r>
    <n v="10453"/>
    <d v="2024-09-28T00:00:00"/>
    <x v="4"/>
    <x v="0"/>
    <x v="0"/>
    <x v="2"/>
    <n v="6"/>
    <n v="23160"/>
    <x v="451"/>
    <n v="4420"/>
    <n v="134540"/>
    <n v="21849.822169999999"/>
    <x v="0"/>
    <x v="2"/>
  </r>
  <r>
    <n v="10454"/>
    <d v="2024-07-07T00:00:00"/>
    <x v="0"/>
    <x v="3"/>
    <x v="2"/>
    <x v="1"/>
    <n v="8"/>
    <n v="51205"/>
    <x v="452"/>
    <n v="3873"/>
    <n v="405767"/>
    <n v="55822.799700000003"/>
    <x v="0"/>
    <x v="10"/>
  </r>
  <r>
    <n v="10455"/>
    <d v="2025-12-04T00:00:00"/>
    <x v="1"/>
    <x v="4"/>
    <x v="1"/>
    <x v="1"/>
    <n v="8"/>
    <n v="67280"/>
    <x v="453"/>
    <n v="121"/>
    <n v="538119"/>
    <n v="97817.988700000002"/>
    <x v="1"/>
    <x v="3"/>
  </r>
  <r>
    <n v="10456"/>
    <d v="2025-03-22T00:00:00"/>
    <x v="3"/>
    <x v="3"/>
    <x v="1"/>
    <x v="2"/>
    <n v="4"/>
    <n v="41852"/>
    <x v="454"/>
    <n v="1476"/>
    <n v="165932"/>
    <n v="41156.218860000001"/>
    <x v="1"/>
    <x v="1"/>
  </r>
  <r>
    <n v="10457"/>
    <d v="2025-08-03T00:00:00"/>
    <x v="3"/>
    <x v="2"/>
    <x v="2"/>
    <x v="2"/>
    <n v="1"/>
    <n v="50021"/>
    <x v="455"/>
    <n v="265"/>
    <n v="49756"/>
    <n v="11334.69965"/>
    <x v="1"/>
    <x v="6"/>
  </r>
  <r>
    <n v="10458"/>
    <d v="2024-09-03T00:00:00"/>
    <x v="2"/>
    <x v="1"/>
    <x v="2"/>
    <x v="1"/>
    <n v="7"/>
    <n v="11195"/>
    <x v="456"/>
    <n v="27"/>
    <n v="78338"/>
    <n v="11000.31213"/>
    <x v="0"/>
    <x v="2"/>
  </r>
  <r>
    <n v="10459"/>
    <d v="2024-03-16T00:00:00"/>
    <x v="4"/>
    <x v="0"/>
    <x v="1"/>
    <x v="1"/>
    <n v="6"/>
    <n v="71547"/>
    <x v="457"/>
    <n v="2124"/>
    <n v="427158"/>
    <n v="66334.122570000007"/>
    <x v="0"/>
    <x v="1"/>
  </r>
  <r>
    <n v="10460"/>
    <d v="2024-06-02T00:00:00"/>
    <x v="2"/>
    <x v="2"/>
    <x v="2"/>
    <x v="2"/>
    <n v="5"/>
    <n v="29286"/>
    <x v="458"/>
    <n v="431"/>
    <n v="145999"/>
    <n v="34717.837659999997"/>
    <x v="0"/>
    <x v="11"/>
  </r>
  <r>
    <n v="10461"/>
    <d v="2025-10-17T00:00:00"/>
    <x v="0"/>
    <x v="2"/>
    <x v="0"/>
    <x v="1"/>
    <n v="4"/>
    <n v="38581"/>
    <x v="459"/>
    <n v="4974"/>
    <n v="149350"/>
    <n v="35059.053119999997"/>
    <x v="1"/>
    <x v="8"/>
  </r>
  <r>
    <n v="10462"/>
    <d v="2025-03-10T00:00:00"/>
    <x v="3"/>
    <x v="4"/>
    <x v="2"/>
    <x v="1"/>
    <n v="6"/>
    <n v="31719"/>
    <x v="460"/>
    <n v="3777"/>
    <n v="186537"/>
    <n v="23145.362809999999"/>
    <x v="1"/>
    <x v="1"/>
  </r>
  <r>
    <n v="10463"/>
    <d v="2024-03-26T00:00:00"/>
    <x v="4"/>
    <x v="3"/>
    <x v="0"/>
    <x v="2"/>
    <n v="8"/>
    <n v="53450"/>
    <x v="461"/>
    <n v="4531"/>
    <n v="423069"/>
    <n v="94932.736269999994"/>
    <x v="0"/>
    <x v="1"/>
  </r>
  <r>
    <n v="10464"/>
    <d v="2025-11-27T00:00:00"/>
    <x v="0"/>
    <x v="0"/>
    <x v="2"/>
    <x v="2"/>
    <n v="6"/>
    <n v="25028"/>
    <x v="462"/>
    <n v="1085"/>
    <n v="149083"/>
    <n v="21563.54189"/>
    <x v="1"/>
    <x v="7"/>
  </r>
  <r>
    <n v="10465"/>
    <d v="2024-10-11T00:00:00"/>
    <x v="0"/>
    <x v="2"/>
    <x v="2"/>
    <x v="3"/>
    <n v="3"/>
    <n v="21192"/>
    <x v="463"/>
    <n v="2094"/>
    <n v="61482"/>
    <n v="11163.31588"/>
    <x v="0"/>
    <x v="8"/>
  </r>
  <r>
    <n v="10466"/>
    <d v="2024-08-07T00:00:00"/>
    <x v="4"/>
    <x v="4"/>
    <x v="1"/>
    <x v="0"/>
    <n v="9"/>
    <n v="76812"/>
    <x v="464"/>
    <n v="2485"/>
    <n v="688823"/>
    <n v="69409.083169999998"/>
    <x v="0"/>
    <x v="6"/>
  </r>
  <r>
    <n v="10467"/>
    <d v="2024-03-09T00:00:00"/>
    <x v="0"/>
    <x v="0"/>
    <x v="0"/>
    <x v="2"/>
    <n v="3"/>
    <n v="32551"/>
    <x v="465"/>
    <n v="100"/>
    <n v="97553"/>
    <n v="24367.620330000002"/>
    <x v="0"/>
    <x v="1"/>
  </r>
  <r>
    <n v="10468"/>
    <d v="2024-02-16T00:00:00"/>
    <x v="4"/>
    <x v="3"/>
    <x v="1"/>
    <x v="2"/>
    <n v="4"/>
    <n v="77364"/>
    <x v="466"/>
    <n v="2154"/>
    <n v="307302"/>
    <n v="65813.170100000003"/>
    <x v="0"/>
    <x v="9"/>
  </r>
  <r>
    <n v="10469"/>
    <d v="2024-04-03T00:00:00"/>
    <x v="4"/>
    <x v="2"/>
    <x v="2"/>
    <x v="2"/>
    <n v="5"/>
    <n v="69311"/>
    <x v="467"/>
    <n v="3048"/>
    <n v="343507"/>
    <n v="46806.249730000003"/>
    <x v="0"/>
    <x v="0"/>
  </r>
  <r>
    <n v="10470"/>
    <d v="2025-03-28T00:00:00"/>
    <x v="1"/>
    <x v="2"/>
    <x v="1"/>
    <x v="0"/>
    <n v="2"/>
    <n v="66444"/>
    <x v="468"/>
    <n v="4982"/>
    <n v="127906"/>
    <n v="25909.820459999999"/>
    <x v="1"/>
    <x v="1"/>
  </r>
  <r>
    <n v="10471"/>
    <d v="2024-07-22T00:00:00"/>
    <x v="2"/>
    <x v="2"/>
    <x v="2"/>
    <x v="3"/>
    <n v="2"/>
    <n v="38124"/>
    <x v="469"/>
    <n v="799"/>
    <n v="75449"/>
    <n v="10864.362080000001"/>
    <x v="0"/>
    <x v="10"/>
  </r>
  <r>
    <n v="10472"/>
    <d v="2024-08-05T00:00:00"/>
    <x v="0"/>
    <x v="0"/>
    <x v="2"/>
    <x v="1"/>
    <n v="6"/>
    <n v="18654"/>
    <x v="470"/>
    <n v="3822"/>
    <n v="108102"/>
    <n v="12260.752860000001"/>
    <x v="0"/>
    <x v="6"/>
  </r>
  <r>
    <n v="10473"/>
    <d v="2025-04-18T00:00:00"/>
    <x v="0"/>
    <x v="0"/>
    <x v="2"/>
    <x v="0"/>
    <n v="2"/>
    <n v="5203"/>
    <x v="471"/>
    <n v="1295"/>
    <n v="9111"/>
    <n v="1492.3498520000001"/>
    <x v="1"/>
    <x v="0"/>
  </r>
  <r>
    <n v="10474"/>
    <d v="2025-03-07T00:00:00"/>
    <x v="1"/>
    <x v="0"/>
    <x v="0"/>
    <x v="2"/>
    <n v="1"/>
    <n v="25129"/>
    <x v="472"/>
    <n v="434"/>
    <n v="24695"/>
    <n v="4742.8680960000002"/>
    <x v="1"/>
    <x v="1"/>
  </r>
  <r>
    <n v="10475"/>
    <d v="2024-12-06T00:00:00"/>
    <x v="1"/>
    <x v="0"/>
    <x v="0"/>
    <x v="2"/>
    <n v="8"/>
    <n v="77150"/>
    <x v="473"/>
    <n v="3804"/>
    <n v="613396"/>
    <n v="69599.970060000007"/>
    <x v="0"/>
    <x v="3"/>
  </r>
  <r>
    <n v="10476"/>
    <d v="2025-07-04T00:00:00"/>
    <x v="1"/>
    <x v="4"/>
    <x v="0"/>
    <x v="3"/>
    <n v="1"/>
    <n v="38264"/>
    <x v="474"/>
    <n v="2613"/>
    <n v="35651"/>
    <n v="6337.355442"/>
    <x v="1"/>
    <x v="10"/>
  </r>
  <r>
    <n v="10477"/>
    <d v="2025-09-03T00:00:00"/>
    <x v="3"/>
    <x v="1"/>
    <x v="1"/>
    <x v="3"/>
    <n v="6"/>
    <n v="17989"/>
    <x v="475"/>
    <n v="915"/>
    <n v="107019"/>
    <n v="18966.938289999998"/>
    <x v="1"/>
    <x v="2"/>
  </r>
  <r>
    <n v="10478"/>
    <d v="2024-10-15T00:00:00"/>
    <x v="3"/>
    <x v="4"/>
    <x v="2"/>
    <x v="3"/>
    <n v="1"/>
    <n v="54214"/>
    <x v="476"/>
    <n v="2275"/>
    <n v="51939"/>
    <n v="10091.58077"/>
    <x v="0"/>
    <x v="8"/>
  </r>
  <r>
    <n v="10479"/>
    <d v="2024-09-10T00:00:00"/>
    <x v="3"/>
    <x v="2"/>
    <x v="1"/>
    <x v="1"/>
    <n v="8"/>
    <n v="72115"/>
    <x v="477"/>
    <n v="4640"/>
    <n v="572280"/>
    <n v="78228.870899999994"/>
    <x v="0"/>
    <x v="2"/>
  </r>
  <r>
    <n v="10480"/>
    <d v="2024-12-22T00:00:00"/>
    <x v="4"/>
    <x v="4"/>
    <x v="1"/>
    <x v="0"/>
    <n v="5"/>
    <n v="66678"/>
    <x v="478"/>
    <n v="647"/>
    <n v="332743"/>
    <n v="34304.54636"/>
    <x v="0"/>
    <x v="3"/>
  </r>
  <r>
    <n v="10481"/>
    <d v="2024-01-23T00:00:00"/>
    <x v="0"/>
    <x v="3"/>
    <x v="2"/>
    <x v="0"/>
    <n v="3"/>
    <n v="62883"/>
    <x v="479"/>
    <n v="2295"/>
    <n v="186354"/>
    <n v="27716.174370000001"/>
    <x v="0"/>
    <x v="4"/>
  </r>
  <r>
    <n v="10482"/>
    <d v="2025-06-05T00:00:00"/>
    <x v="2"/>
    <x v="0"/>
    <x v="1"/>
    <x v="3"/>
    <n v="5"/>
    <n v="58445"/>
    <x v="480"/>
    <n v="4078"/>
    <n v="288147"/>
    <n v="46042.196230000001"/>
    <x v="1"/>
    <x v="11"/>
  </r>
  <r>
    <n v="10483"/>
    <d v="2024-04-09T00:00:00"/>
    <x v="4"/>
    <x v="3"/>
    <x v="2"/>
    <x v="1"/>
    <n v="1"/>
    <n v="75412"/>
    <x v="481"/>
    <n v="1431"/>
    <n v="73981"/>
    <n v="14453.01384"/>
    <x v="0"/>
    <x v="0"/>
  </r>
  <r>
    <n v="10484"/>
    <d v="2024-06-28T00:00:00"/>
    <x v="0"/>
    <x v="3"/>
    <x v="2"/>
    <x v="0"/>
    <n v="1"/>
    <n v="74661"/>
    <x v="482"/>
    <n v="2361"/>
    <n v="72300"/>
    <n v="17317.71385"/>
    <x v="0"/>
    <x v="11"/>
  </r>
  <r>
    <n v="10485"/>
    <d v="2024-08-10T00:00:00"/>
    <x v="0"/>
    <x v="2"/>
    <x v="2"/>
    <x v="2"/>
    <n v="4"/>
    <n v="10328"/>
    <x v="483"/>
    <n v="4132"/>
    <n v="37180"/>
    <n v="4852.2810609999997"/>
    <x v="0"/>
    <x v="6"/>
  </r>
  <r>
    <n v="10486"/>
    <d v="2025-10-20T00:00:00"/>
    <x v="1"/>
    <x v="0"/>
    <x v="2"/>
    <x v="2"/>
    <n v="9"/>
    <n v="53968"/>
    <x v="484"/>
    <n v="723"/>
    <n v="484989"/>
    <n v="98501.287389999998"/>
    <x v="1"/>
    <x v="8"/>
  </r>
  <r>
    <n v="10487"/>
    <d v="2025-03-17T00:00:00"/>
    <x v="1"/>
    <x v="3"/>
    <x v="1"/>
    <x v="2"/>
    <n v="9"/>
    <n v="47040"/>
    <x v="485"/>
    <n v="1547"/>
    <n v="421813"/>
    <n v="48344.045469999997"/>
    <x v="1"/>
    <x v="1"/>
  </r>
  <r>
    <n v="10488"/>
    <d v="2025-08-30T00:00:00"/>
    <x v="4"/>
    <x v="2"/>
    <x v="1"/>
    <x v="0"/>
    <n v="1"/>
    <n v="64199"/>
    <x v="486"/>
    <n v="979"/>
    <n v="63220"/>
    <n v="8129.6661080000003"/>
    <x v="1"/>
    <x v="6"/>
  </r>
  <r>
    <n v="10489"/>
    <d v="2024-11-20T00:00:00"/>
    <x v="1"/>
    <x v="0"/>
    <x v="1"/>
    <x v="3"/>
    <n v="3"/>
    <n v="62039"/>
    <x v="487"/>
    <n v="83"/>
    <n v="186034"/>
    <n v="32810.849459999998"/>
    <x v="0"/>
    <x v="7"/>
  </r>
  <r>
    <n v="10490"/>
    <d v="2025-05-30T00:00:00"/>
    <x v="0"/>
    <x v="1"/>
    <x v="0"/>
    <x v="2"/>
    <n v="4"/>
    <n v="55750"/>
    <x v="488"/>
    <n v="3486"/>
    <n v="219514"/>
    <n v="45276.219389999998"/>
    <x v="1"/>
    <x v="5"/>
  </r>
  <r>
    <n v="10491"/>
    <d v="2024-01-16T00:00:00"/>
    <x v="1"/>
    <x v="2"/>
    <x v="1"/>
    <x v="3"/>
    <n v="2"/>
    <n v="21119"/>
    <x v="489"/>
    <n v="1365"/>
    <n v="40873"/>
    <n v="9351.1407650000001"/>
    <x v="0"/>
    <x v="4"/>
  </r>
  <r>
    <n v="10492"/>
    <d v="2024-12-01T00:00:00"/>
    <x v="3"/>
    <x v="4"/>
    <x v="1"/>
    <x v="1"/>
    <n v="7"/>
    <n v="29017"/>
    <x v="490"/>
    <n v="4814"/>
    <n v="198305"/>
    <n v="41958.465510000002"/>
    <x v="0"/>
    <x v="3"/>
  </r>
  <r>
    <n v="10493"/>
    <d v="2024-09-14T00:00:00"/>
    <x v="1"/>
    <x v="0"/>
    <x v="0"/>
    <x v="2"/>
    <n v="3"/>
    <n v="53780"/>
    <x v="491"/>
    <n v="549"/>
    <n v="160791"/>
    <n v="16449.388490000001"/>
    <x v="0"/>
    <x v="2"/>
  </r>
  <r>
    <n v="10494"/>
    <d v="2025-05-11T00:00:00"/>
    <x v="0"/>
    <x v="3"/>
    <x v="2"/>
    <x v="1"/>
    <n v="1"/>
    <n v="31204"/>
    <x v="492"/>
    <n v="3492"/>
    <n v="27712"/>
    <n v="5614.1657359999999"/>
    <x v="1"/>
    <x v="5"/>
  </r>
  <r>
    <n v="10495"/>
    <d v="2024-06-08T00:00:00"/>
    <x v="4"/>
    <x v="3"/>
    <x v="2"/>
    <x v="3"/>
    <n v="1"/>
    <n v="24562"/>
    <x v="493"/>
    <n v="2762"/>
    <n v="21800"/>
    <n v="4876.6306910000003"/>
    <x v="0"/>
    <x v="11"/>
  </r>
  <r>
    <n v="10496"/>
    <d v="2025-04-19T00:00:00"/>
    <x v="2"/>
    <x v="4"/>
    <x v="2"/>
    <x v="0"/>
    <n v="3"/>
    <n v="29428"/>
    <x v="494"/>
    <n v="3853"/>
    <n v="84431"/>
    <n v="15098.797549999999"/>
    <x v="1"/>
    <x v="0"/>
  </r>
  <r>
    <n v="10497"/>
    <d v="2025-10-25T00:00:00"/>
    <x v="1"/>
    <x v="4"/>
    <x v="0"/>
    <x v="3"/>
    <n v="6"/>
    <n v="26497"/>
    <x v="495"/>
    <n v="4682"/>
    <n v="154300"/>
    <n v="37778.7817"/>
    <x v="1"/>
    <x v="8"/>
  </r>
  <r>
    <n v="10498"/>
    <d v="2025-11-20T00:00:00"/>
    <x v="0"/>
    <x v="3"/>
    <x v="1"/>
    <x v="2"/>
    <n v="4"/>
    <n v="8372"/>
    <x v="496"/>
    <n v="3199"/>
    <n v="30289"/>
    <n v="3048.4928450000002"/>
    <x v="1"/>
    <x v="7"/>
  </r>
  <r>
    <n v="10499"/>
    <d v="2025-11-05T00:00:00"/>
    <x v="2"/>
    <x v="0"/>
    <x v="1"/>
    <x v="2"/>
    <n v="1"/>
    <n v="22453"/>
    <x v="497"/>
    <n v="151"/>
    <n v="22302"/>
    <n v="4968.8564420000002"/>
    <x v="1"/>
    <x v="7"/>
  </r>
  <r>
    <n v="10500"/>
    <d v="2025-01-14T00:00:00"/>
    <x v="2"/>
    <x v="2"/>
    <x v="1"/>
    <x v="3"/>
    <n v="7"/>
    <n v="56928"/>
    <x v="498"/>
    <n v="3498"/>
    <n v="394998"/>
    <n v="59337.768669999998"/>
    <x v="1"/>
    <x v="4"/>
  </r>
  <r>
    <n v="10501"/>
    <d v="2025-06-28T00:00:00"/>
    <x v="3"/>
    <x v="4"/>
    <x v="1"/>
    <x v="2"/>
    <n v="2"/>
    <n v="38960"/>
    <x v="499"/>
    <n v="2212"/>
    <n v="75708"/>
    <n v="14957.437809999999"/>
    <x v="1"/>
    <x v="11"/>
  </r>
  <r>
    <n v="10502"/>
    <d v="2025-11-21T00:00:00"/>
    <x v="2"/>
    <x v="4"/>
    <x v="0"/>
    <x v="2"/>
    <n v="5"/>
    <n v="22197"/>
    <x v="500"/>
    <n v="2985"/>
    <n v="108000"/>
    <n v="22034.40669"/>
    <x v="1"/>
    <x v="7"/>
  </r>
  <r>
    <n v="10503"/>
    <d v="2025-03-02T00:00:00"/>
    <x v="0"/>
    <x v="4"/>
    <x v="1"/>
    <x v="1"/>
    <n v="8"/>
    <n v="59984"/>
    <x v="501"/>
    <n v="4094"/>
    <n v="475778"/>
    <n v="69433.78168"/>
    <x v="1"/>
    <x v="1"/>
  </r>
  <r>
    <n v="10504"/>
    <d v="2025-09-04T00:00:00"/>
    <x v="0"/>
    <x v="1"/>
    <x v="2"/>
    <x v="0"/>
    <n v="7"/>
    <n v="6883"/>
    <x v="502"/>
    <n v="1567"/>
    <n v="46614"/>
    <n v="11621.50765"/>
    <x v="1"/>
    <x v="2"/>
  </r>
  <r>
    <n v="10505"/>
    <d v="2024-09-24T00:00:00"/>
    <x v="1"/>
    <x v="0"/>
    <x v="0"/>
    <x v="3"/>
    <n v="8"/>
    <n v="21651"/>
    <x v="503"/>
    <n v="211"/>
    <n v="172997"/>
    <n v="19978.991770000001"/>
    <x v="0"/>
    <x v="2"/>
  </r>
  <r>
    <n v="10506"/>
    <d v="2025-07-30T00:00:00"/>
    <x v="1"/>
    <x v="0"/>
    <x v="0"/>
    <x v="1"/>
    <n v="6"/>
    <n v="7812"/>
    <x v="504"/>
    <n v="4837"/>
    <n v="42035"/>
    <n v="5193.6076389999998"/>
    <x v="1"/>
    <x v="10"/>
  </r>
  <r>
    <n v="10507"/>
    <d v="2025-02-20T00:00:00"/>
    <x v="1"/>
    <x v="0"/>
    <x v="2"/>
    <x v="2"/>
    <n v="7"/>
    <n v="11562"/>
    <x v="505"/>
    <n v="2179"/>
    <n v="78755"/>
    <n v="18415.183659999999"/>
    <x v="1"/>
    <x v="9"/>
  </r>
  <r>
    <n v="10508"/>
    <d v="2024-06-16T00:00:00"/>
    <x v="2"/>
    <x v="0"/>
    <x v="2"/>
    <x v="1"/>
    <n v="9"/>
    <n v="77549"/>
    <x v="506"/>
    <n v="3223"/>
    <n v="694718"/>
    <n v="81891.260810000007"/>
    <x v="0"/>
    <x v="11"/>
  </r>
  <r>
    <n v="10509"/>
    <d v="2024-02-12T00:00:00"/>
    <x v="2"/>
    <x v="0"/>
    <x v="1"/>
    <x v="0"/>
    <n v="6"/>
    <n v="75713"/>
    <x v="507"/>
    <n v="4191"/>
    <n v="450087"/>
    <n v="70750.498659999997"/>
    <x v="0"/>
    <x v="9"/>
  </r>
  <r>
    <n v="10510"/>
    <d v="2025-07-09T00:00:00"/>
    <x v="3"/>
    <x v="3"/>
    <x v="2"/>
    <x v="3"/>
    <n v="9"/>
    <n v="25469"/>
    <x v="508"/>
    <n v="1526"/>
    <n v="227695"/>
    <n v="47809.42239"/>
    <x v="1"/>
    <x v="10"/>
  </r>
  <r>
    <n v="10511"/>
    <d v="2024-10-11T00:00:00"/>
    <x v="1"/>
    <x v="4"/>
    <x v="0"/>
    <x v="0"/>
    <n v="2"/>
    <n v="54535"/>
    <x v="509"/>
    <n v="521"/>
    <n v="108549"/>
    <n v="23742.247500000001"/>
    <x v="0"/>
    <x v="8"/>
  </r>
  <r>
    <n v="10512"/>
    <d v="2025-01-31T00:00:00"/>
    <x v="4"/>
    <x v="3"/>
    <x v="0"/>
    <x v="0"/>
    <n v="2"/>
    <n v="66300"/>
    <x v="510"/>
    <n v="3946"/>
    <n v="128654"/>
    <n v="31288.701239999999"/>
    <x v="1"/>
    <x v="4"/>
  </r>
  <r>
    <n v="10513"/>
    <d v="2024-01-12T00:00:00"/>
    <x v="3"/>
    <x v="1"/>
    <x v="0"/>
    <x v="1"/>
    <n v="2"/>
    <n v="23217"/>
    <x v="511"/>
    <n v="1702"/>
    <n v="44732"/>
    <n v="9771.0825160000004"/>
    <x v="0"/>
    <x v="4"/>
  </r>
  <r>
    <n v="10514"/>
    <d v="2025-08-29T00:00:00"/>
    <x v="4"/>
    <x v="2"/>
    <x v="1"/>
    <x v="1"/>
    <n v="6"/>
    <n v="13989"/>
    <x v="512"/>
    <n v="17"/>
    <n v="83917"/>
    <n v="19022.293610000001"/>
    <x v="1"/>
    <x v="6"/>
  </r>
  <r>
    <n v="10515"/>
    <d v="2024-10-28T00:00:00"/>
    <x v="2"/>
    <x v="4"/>
    <x v="1"/>
    <x v="0"/>
    <n v="2"/>
    <n v="42235"/>
    <x v="513"/>
    <n v="3480"/>
    <n v="80990"/>
    <n v="19632.494409999999"/>
    <x v="0"/>
    <x v="8"/>
  </r>
  <r>
    <n v="10516"/>
    <d v="2024-09-09T00:00:00"/>
    <x v="3"/>
    <x v="1"/>
    <x v="2"/>
    <x v="2"/>
    <n v="3"/>
    <n v="75691"/>
    <x v="514"/>
    <n v="1719"/>
    <n v="225354"/>
    <n v="41251.760430000002"/>
    <x v="0"/>
    <x v="2"/>
  </r>
  <r>
    <n v="10517"/>
    <d v="2025-05-13T00:00:00"/>
    <x v="3"/>
    <x v="3"/>
    <x v="1"/>
    <x v="3"/>
    <n v="8"/>
    <n v="61850"/>
    <x v="515"/>
    <n v="3316"/>
    <n v="491484"/>
    <n v="74467.207609999998"/>
    <x v="1"/>
    <x v="5"/>
  </r>
  <r>
    <n v="10518"/>
    <d v="2024-02-04T00:00:00"/>
    <x v="0"/>
    <x v="2"/>
    <x v="1"/>
    <x v="2"/>
    <n v="8"/>
    <n v="55442"/>
    <x v="516"/>
    <n v="4014"/>
    <n v="439522"/>
    <n v="94164.059890000004"/>
    <x v="0"/>
    <x v="9"/>
  </r>
  <r>
    <n v="10519"/>
    <d v="2025-12-27T00:00:00"/>
    <x v="2"/>
    <x v="1"/>
    <x v="0"/>
    <x v="2"/>
    <n v="4"/>
    <n v="78497"/>
    <x v="517"/>
    <n v="878"/>
    <n v="313110"/>
    <n v="38991.975919999997"/>
    <x v="1"/>
    <x v="3"/>
  </r>
  <r>
    <n v="10520"/>
    <d v="2024-03-30T00:00:00"/>
    <x v="2"/>
    <x v="2"/>
    <x v="0"/>
    <x v="3"/>
    <n v="9"/>
    <n v="28983"/>
    <x v="518"/>
    <n v="593"/>
    <n v="260254"/>
    <n v="28689.034759999999"/>
    <x v="0"/>
    <x v="1"/>
  </r>
  <r>
    <n v="10521"/>
    <d v="2025-08-27T00:00:00"/>
    <x v="3"/>
    <x v="1"/>
    <x v="2"/>
    <x v="1"/>
    <n v="8"/>
    <n v="12186"/>
    <x v="519"/>
    <n v="4738"/>
    <n v="92750"/>
    <n v="20200.915659999999"/>
    <x v="1"/>
    <x v="6"/>
  </r>
  <r>
    <n v="10522"/>
    <d v="2025-08-24T00:00:00"/>
    <x v="2"/>
    <x v="3"/>
    <x v="0"/>
    <x v="2"/>
    <n v="1"/>
    <n v="12506"/>
    <x v="520"/>
    <n v="4896"/>
    <n v="7610"/>
    <n v="1846.1913549999999"/>
    <x v="1"/>
    <x v="6"/>
  </r>
  <r>
    <n v="10523"/>
    <d v="2025-02-21T00:00:00"/>
    <x v="3"/>
    <x v="2"/>
    <x v="1"/>
    <x v="1"/>
    <n v="8"/>
    <n v="46026"/>
    <x v="521"/>
    <n v="4550"/>
    <n v="363658"/>
    <n v="60500.705670000003"/>
    <x v="1"/>
    <x v="9"/>
  </r>
  <r>
    <n v="10524"/>
    <d v="2024-04-24T00:00:00"/>
    <x v="0"/>
    <x v="1"/>
    <x v="2"/>
    <x v="3"/>
    <n v="1"/>
    <n v="51070"/>
    <x v="522"/>
    <n v="1609"/>
    <n v="49461"/>
    <n v="6141.5732609999995"/>
    <x v="0"/>
    <x v="0"/>
  </r>
  <r>
    <n v="10525"/>
    <d v="2025-09-08T00:00:00"/>
    <x v="3"/>
    <x v="3"/>
    <x v="2"/>
    <x v="2"/>
    <n v="4"/>
    <n v="53951"/>
    <x v="523"/>
    <n v="875"/>
    <n v="214929"/>
    <n v="37516.533210000001"/>
    <x v="1"/>
    <x v="2"/>
  </r>
  <r>
    <n v="10526"/>
    <d v="2024-07-14T00:00:00"/>
    <x v="2"/>
    <x v="4"/>
    <x v="0"/>
    <x v="1"/>
    <n v="6"/>
    <n v="12791"/>
    <x v="524"/>
    <n v="3231"/>
    <n v="73515"/>
    <n v="11688.71428"/>
    <x v="0"/>
    <x v="10"/>
  </r>
  <r>
    <n v="10527"/>
    <d v="2025-05-15T00:00:00"/>
    <x v="2"/>
    <x v="3"/>
    <x v="0"/>
    <x v="1"/>
    <n v="7"/>
    <n v="66335"/>
    <x v="525"/>
    <n v="2448"/>
    <n v="461897"/>
    <n v="71996.389299999995"/>
    <x v="1"/>
    <x v="5"/>
  </r>
  <r>
    <n v="10528"/>
    <d v="2025-09-17T00:00:00"/>
    <x v="3"/>
    <x v="3"/>
    <x v="0"/>
    <x v="2"/>
    <n v="4"/>
    <n v="77306"/>
    <x v="526"/>
    <n v="4557"/>
    <n v="304667"/>
    <n v="59170.02579"/>
    <x v="1"/>
    <x v="2"/>
  </r>
  <r>
    <n v="10529"/>
    <d v="2025-05-07T00:00:00"/>
    <x v="3"/>
    <x v="4"/>
    <x v="2"/>
    <x v="3"/>
    <n v="8"/>
    <n v="14893"/>
    <x v="527"/>
    <n v="2136"/>
    <n v="117008"/>
    <n v="14767.62148"/>
    <x v="1"/>
    <x v="5"/>
  </r>
  <r>
    <n v="10530"/>
    <d v="2024-03-15T00:00:00"/>
    <x v="3"/>
    <x v="3"/>
    <x v="0"/>
    <x v="0"/>
    <n v="8"/>
    <n v="30154"/>
    <x v="528"/>
    <n v="2053"/>
    <n v="239179"/>
    <n v="37568.37945"/>
    <x v="0"/>
    <x v="1"/>
  </r>
  <r>
    <n v="10531"/>
    <d v="2025-02-16T00:00:00"/>
    <x v="1"/>
    <x v="4"/>
    <x v="1"/>
    <x v="1"/>
    <n v="9"/>
    <n v="55757"/>
    <x v="529"/>
    <n v="83"/>
    <n v="501730"/>
    <n v="115549.18459999999"/>
    <x v="1"/>
    <x v="9"/>
  </r>
  <r>
    <n v="10532"/>
    <d v="2025-01-10T00:00:00"/>
    <x v="2"/>
    <x v="4"/>
    <x v="2"/>
    <x v="3"/>
    <n v="6"/>
    <n v="66387"/>
    <x v="530"/>
    <n v="1439"/>
    <n v="396883"/>
    <n v="83127.050940000001"/>
    <x v="1"/>
    <x v="4"/>
  </r>
  <r>
    <n v="10533"/>
    <d v="2025-02-23T00:00:00"/>
    <x v="2"/>
    <x v="4"/>
    <x v="0"/>
    <x v="2"/>
    <n v="4"/>
    <n v="45755"/>
    <x v="531"/>
    <n v="2668"/>
    <n v="180352"/>
    <n v="19539.023669999999"/>
    <x v="1"/>
    <x v="9"/>
  </r>
  <r>
    <n v="10534"/>
    <d v="2025-12-29T00:00:00"/>
    <x v="1"/>
    <x v="1"/>
    <x v="1"/>
    <x v="1"/>
    <n v="2"/>
    <n v="18514"/>
    <x v="532"/>
    <n v="2219"/>
    <n v="34809"/>
    <n v="6164.1715850000001"/>
    <x v="1"/>
    <x v="3"/>
  </r>
  <r>
    <n v="10535"/>
    <d v="2024-10-03T00:00:00"/>
    <x v="3"/>
    <x v="2"/>
    <x v="1"/>
    <x v="1"/>
    <n v="7"/>
    <n v="36358"/>
    <x v="533"/>
    <n v="698"/>
    <n v="253808"/>
    <n v="28856.52231"/>
    <x v="0"/>
    <x v="8"/>
  </r>
  <r>
    <n v="10536"/>
    <d v="2025-11-06T00:00:00"/>
    <x v="0"/>
    <x v="1"/>
    <x v="0"/>
    <x v="1"/>
    <n v="3"/>
    <n v="28631"/>
    <x v="534"/>
    <n v="1820"/>
    <n v="84073"/>
    <n v="20482.239590000001"/>
    <x v="1"/>
    <x v="7"/>
  </r>
  <r>
    <n v="10537"/>
    <d v="2025-01-28T00:00:00"/>
    <x v="3"/>
    <x v="4"/>
    <x v="1"/>
    <x v="3"/>
    <n v="3"/>
    <n v="10807"/>
    <x v="535"/>
    <n v="4625"/>
    <n v="27796"/>
    <n v="3799.6046879999999"/>
    <x v="1"/>
    <x v="4"/>
  </r>
  <r>
    <n v="10538"/>
    <d v="2025-04-01T00:00:00"/>
    <x v="3"/>
    <x v="2"/>
    <x v="2"/>
    <x v="1"/>
    <n v="3"/>
    <n v="76792"/>
    <x v="536"/>
    <n v="4414"/>
    <n v="225962"/>
    <n v="54206.736830000002"/>
    <x v="1"/>
    <x v="0"/>
  </r>
  <r>
    <n v="10539"/>
    <d v="2024-07-10T00:00:00"/>
    <x v="1"/>
    <x v="2"/>
    <x v="2"/>
    <x v="1"/>
    <n v="4"/>
    <n v="16908"/>
    <x v="537"/>
    <n v="1098"/>
    <n v="66534"/>
    <n v="14976.88732"/>
    <x v="0"/>
    <x v="10"/>
  </r>
  <r>
    <n v="10540"/>
    <d v="2025-11-19T00:00:00"/>
    <x v="2"/>
    <x v="4"/>
    <x v="1"/>
    <x v="2"/>
    <n v="2"/>
    <n v="29435"/>
    <x v="538"/>
    <n v="2894"/>
    <n v="55976"/>
    <n v="10227.07634"/>
    <x v="1"/>
    <x v="7"/>
  </r>
  <r>
    <n v="10541"/>
    <d v="2024-04-08T00:00:00"/>
    <x v="3"/>
    <x v="2"/>
    <x v="2"/>
    <x v="1"/>
    <n v="5"/>
    <n v="74820"/>
    <x v="539"/>
    <n v="3417"/>
    <n v="370683"/>
    <n v="55767.658199999998"/>
    <x v="0"/>
    <x v="0"/>
  </r>
  <r>
    <n v="10542"/>
    <d v="2025-07-01T00:00:00"/>
    <x v="2"/>
    <x v="2"/>
    <x v="0"/>
    <x v="3"/>
    <n v="3"/>
    <n v="66716"/>
    <x v="540"/>
    <n v="248"/>
    <n v="199900"/>
    <n v="45715.531219999997"/>
    <x v="1"/>
    <x v="10"/>
  </r>
  <r>
    <n v="10543"/>
    <d v="2024-04-05T00:00:00"/>
    <x v="4"/>
    <x v="1"/>
    <x v="1"/>
    <x v="2"/>
    <n v="5"/>
    <n v="35432"/>
    <x v="541"/>
    <n v="4482"/>
    <n v="172678"/>
    <n v="21225.157589999999"/>
    <x v="0"/>
    <x v="0"/>
  </r>
  <r>
    <n v="10544"/>
    <d v="2025-10-25T00:00:00"/>
    <x v="2"/>
    <x v="2"/>
    <x v="2"/>
    <x v="0"/>
    <n v="7"/>
    <n v="45510"/>
    <x v="542"/>
    <n v="1957"/>
    <n v="316613"/>
    <n v="40208.621619999998"/>
    <x v="1"/>
    <x v="8"/>
  </r>
  <r>
    <n v="10545"/>
    <d v="2025-10-24T00:00:00"/>
    <x v="0"/>
    <x v="4"/>
    <x v="0"/>
    <x v="2"/>
    <n v="9"/>
    <n v="19227"/>
    <x v="543"/>
    <n v="1890"/>
    <n v="171153"/>
    <n v="22884.594059999999"/>
    <x v="1"/>
    <x v="8"/>
  </r>
  <r>
    <n v="10546"/>
    <d v="2024-07-08T00:00:00"/>
    <x v="0"/>
    <x v="0"/>
    <x v="0"/>
    <x v="1"/>
    <n v="2"/>
    <n v="23604"/>
    <x v="544"/>
    <n v="4458"/>
    <n v="42750"/>
    <n v="8107.7313569999997"/>
    <x v="0"/>
    <x v="10"/>
  </r>
  <r>
    <n v="10547"/>
    <d v="2024-02-06T00:00:00"/>
    <x v="3"/>
    <x v="0"/>
    <x v="2"/>
    <x v="0"/>
    <n v="9"/>
    <n v="30790"/>
    <x v="545"/>
    <n v="3367"/>
    <n v="273743"/>
    <n v="40280.949489999999"/>
    <x v="0"/>
    <x v="9"/>
  </r>
  <r>
    <n v="10548"/>
    <d v="2025-01-03T00:00:00"/>
    <x v="2"/>
    <x v="0"/>
    <x v="1"/>
    <x v="2"/>
    <n v="6"/>
    <n v="35944"/>
    <x v="546"/>
    <n v="2115"/>
    <n v="213549"/>
    <n v="53040.706080000004"/>
    <x v="1"/>
    <x v="4"/>
  </r>
  <r>
    <n v="10549"/>
    <d v="2025-11-25T00:00:00"/>
    <x v="3"/>
    <x v="4"/>
    <x v="0"/>
    <x v="1"/>
    <n v="6"/>
    <n v="27187"/>
    <x v="547"/>
    <n v="3063"/>
    <n v="160059"/>
    <n v="20690.339599999999"/>
    <x v="1"/>
    <x v="7"/>
  </r>
  <r>
    <n v="10550"/>
    <d v="2025-06-08T00:00:00"/>
    <x v="1"/>
    <x v="0"/>
    <x v="0"/>
    <x v="2"/>
    <n v="3"/>
    <n v="57546"/>
    <x v="548"/>
    <n v="1806"/>
    <n v="170832"/>
    <n v="37726.797630000001"/>
    <x v="1"/>
    <x v="11"/>
  </r>
  <r>
    <n v="10551"/>
    <d v="2024-10-05T00:00:00"/>
    <x v="0"/>
    <x v="1"/>
    <x v="0"/>
    <x v="3"/>
    <n v="9"/>
    <n v="9025"/>
    <x v="549"/>
    <n v="295"/>
    <n v="80930"/>
    <n v="9256.4037750000007"/>
    <x v="0"/>
    <x v="8"/>
  </r>
  <r>
    <n v="10552"/>
    <d v="2024-08-04T00:00:00"/>
    <x v="3"/>
    <x v="4"/>
    <x v="0"/>
    <x v="1"/>
    <n v="4"/>
    <n v="29512"/>
    <x v="550"/>
    <n v="2694"/>
    <n v="115354"/>
    <n v="17651.121210000001"/>
    <x v="0"/>
    <x v="6"/>
  </r>
  <r>
    <n v="10553"/>
    <d v="2024-09-29T00:00:00"/>
    <x v="1"/>
    <x v="4"/>
    <x v="1"/>
    <x v="3"/>
    <n v="5"/>
    <n v="20907"/>
    <x v="551"/>
    <n v="1991"/>
    <n v="102544"/>
    <n v="14003.85727"/>
    <x v="0"/>
    <x v="2"/>
  </r>
  <r>
    <n v="10554"/>
    <d v="2024-03-02T00:00:00"/>
    <x v="3"/>
    <x v="4"/>
    <x v="2"/>
    <x v="1"/>
    <n v="3"/>
    <n v="42924"/>
    <x v="552"/>
    <n v="3939"/>
    <n v="124833"/>
    <n v="30774.504300000001"/>
    <x v="0"/>
    <x v="1"/>
  </r>
  <r>
    <n v="10555"/>
    <d v="2025-08-18T00:00:00"/>
    <x v="2"/>
    <x v="2"/>
    <x v="2"/>
    <x v="3"/>
    <n v="5"/>
    <n v="52196"/>
    <x v="553"/>
    <n v="31"/>
    <n v="260949"/>
    <n v="27102.055359999998"/>
    <x v="1"/>
    <x v="6"/>
  </r>
  <r>
    <n v="10556"/>
    <d v="2025-12-29T00:00:00"/>
    <x v="2"/>
    <x v="2"/>
    <x v="2"/>
    <x v="0"/>
    <n v="8"/>
    <n v="19410"/>
    <x v="554"/>
    <n v="4650"/>
    <n v="150630"/>
    <n v="31368.7621"/>
    <x v="1"/>
    <x v="3"/>
  </r>
  <r>
    <n v="10557"/>
    <d v="2024-12-07T00:00:00"/>
    <x v="2"/>
    <x v="2"/>
    <x v="0"/>
    <x v="3"/>
    <n v="8"/>
    <n v="48763"/>
    <x v="555"/>
    <n v="3875"/>
    <n v="386229"/>
    <n v="52974.520320000003"/>
    <x v="0"/>
    <x v="3"/>
  </r>
  <r>
    <n v="10558"/>
    <d v="2025-01-31T00:00:00"/>
    <x v="2"/>
    <x v="3"/>
    <x v="1"/>
    <x v="2"/>
    <n v="8"/>
    <n v="64574"/>
    <x v="556"/>
    <n v="4400"/>
    <n v="512192"/>
    <n v="113546.46120000001"/>
    <x v="1"/>
    <x v="4"/>
  </r>
  <r>
    <n v="10559"/>
    <d v="2025-11-29T00:00:00"/>
    <x v="4"/>
    <x v="1"/>
    <x v="2"/>
    <x v="1"/>
    <n v="6"/>
    <n v="13650"/>
    <x v="557"/>
    <n v="792"/>
    <n v="81108"/>
    <n v="11897.218290000001"/>
    <x v="1"/>
    <x v="7"/>
  </r>
  <r>
    <n v="10560"/>
    <d v="2024-01-19T00:00:00"/>
    <x v="1"/>
    <x v="4"/>
    <x v="1"/>
    <x v="2"/>
    <n v="1"/>
    <n v="53826"/>
    <x v="558"/>
    <n v="4191"/>
    <n v="49635"/>
    <n v="6357.878025"/>
    <x v="0"/>
    <x v="4"/>
  </r>
  <r>
    <n v="10561"/>
    <d v="2024-06-25T00:00:00"/>
    <x v="1"/>
    <x v="4"/>
    <x v="2"/>
    <x v="3"/>
    <n v="6"/>
    <n v="31277"/>
    <x v="559"/>
    <n v="1089"/>
    <n v="186573"/>
    <n v="38052.678630000002"/>
    <x v="0"/>
    <x v="11"/>
  </r>
  <r>
    <n v="10562"/>
    <d v="2025-09-03T00:00:00"/>
    <x v="2"/>
    <x v="2"/>
    <x v="0"/>
    <x v="1"/>
    <n v="7"/>
    <n v="62970"/>
    <x v="560"/>
    <n v="229"/>
    <n v="440561"/>
    <n v="61077.826419999998"/>
    <x v="1"/>
    <x v="2"/>
  </r>
  <r>
    <n v="10563"/>
    <d v="2025-01-30T00:00:00"/>
    <x v="4"/>
    <x v="4"/>
    <x v="2"/>
    <x v="3"/>
    <n v="9"/>
    <n v="7456"/>
    <x v="561"/>
    <n v="2780"/>
    <n v="64324"/>
    <n v="11117.247530000001"/>
    <x v="1"/>
    <x v="4"/>
  </r>
  <r>
    <n v="10564"/>
    <d v="2025-03-20T00:00:00"/>
    <x v="2"/>
    <x v="4"/>
    <x v="0"/>
    <x v="0"/>
    <n v="8"/>
    <n v="21590"/>
    <x v="562"/>
    <n v="4453"/>
    <n v="168267"/>
    <n v="20146.61016"/>
    <x v="1"/>
    <x v="1"/>
  </r>
  <r>
    <n v="10565"/>
    <d v="2024-08-20T00:00:00"/>
    <x v="4"/>
    <x v="0"/>
    <x v="0"/>
    <x v="0"/>
    <n v="8"/>
    <n v="32892"/>
    <x v="563"/>
    <n v="4497"/>
    <n v="258639"/>
    <n v="53975.295749999997"/>
    <x v="0"/>
    <x v="6"/>
  </r>
  <r>
    <n v="10566"/>
    <d v="2024-03-16T00:00:00"/>
    <x v="2"/>
    <x v="4"/>
    <x v="2"/>
    <x v="0"/>
    <n v="7"/>
    <n v="22740"/>
    <x v="564"/>
    <n v="789"/>
    <n v="158391"/>
    <n v="25504.978999999999"/>
    <x v="0"/>
    <x v="1"/>
  </r>
  <r>
    <n v="10567"/>
    <d v="2024-09-21T00:00:00"/>
    <x v="0"/>
    <x v="3"/>
    <x v="1"/>
    <x v="3"/>
    <n v="2"/>
    <n v="50728"/>
    <x v="565"/>
    <n v="4194"/>
    <n v="97262"/>
    <n v="11777.16028"/>
    <x v="0"/>
    <x v="2"/>
  </r>
  <r>
    <n v="10568"/>
    <d v="2025-03-30T00:00:00"/>
    <x v="0"/>
    <x v="2"/>
    <x v="0"/>
    <x v="3"/>
    <n v="1"/>
    <n v="16788"/>
    <x v="566"/>
    <n v="4366"/>
    <n v="12422"/>
    <n v="2624.0140510000001"/>
    <x v="1"/>
    <x v="1"/>
  </r>
  <r>
    <n v="10569"/>
    <d v="2025-12-18T00:00:00"/>
    <x v="3"/>
    <x v="1"/>
    <x v="1"/>
    <x v="0"/>
    <n v="2"/>
    <n v="77692"/>
    <x v="567"/>
    <n v="1798"/>
    <n v="153586"/>
    <n v="17739.847839999999"/>
    <x v="1"/>
    <x v="3"/>
  </r>
  <r>
    <n v="10570"/>
    <d v="2025-01-18T00:00:00"/>
    <x v="2"/>
    <x v="1"/>
    <x v="2"/>
    <x v="3"/>
    <n v="6"/>
    <n v="13151"/>
    <x v="568"/>
    <n v="3980"/>
    <n v="74926"/>
    <n v="13952.94925"/>
    <x v="1"/>
    <x v="4"/>
  </r>
  <r>
    <n v="10571"/>
    <d v="2025-07-17T00:00:00"/>
    <x v="1"/>
    <x v="0"/>
    <x v="0"/>
    <x v="2"/>
    <n v="2"/>
    <n v="31515"/>
    <x v="569"/>
    <n v="4457"/>
    <n v="58573"/>
    <n v="11194.634330000001"/>
    <x v="1"/>
    <x v="10"/>
  </r>
  <r>
    <n v="10572"/>
    <d v="2025-05-20T00:00:00"/>
    <x v="3"/>
    <x v="1"/>
    <x v="1"/>
    <x v="3"/>
    <n v="4"/>
    <n v="15987"/>
    <x v="570"/>
    <n v="3240"/>
    <n v="60708"/>
    <n v="14542.757729999999"/>
    <x v="1"/>
    <x v="5"/>
  </r>
  <r>
    <n v="10573"/>
    <d v="2025-01-01T00:00:00"/>
    <x v="0"/>
    <x v="1"/>
    <x v="0"/>
    <x v="2"/>
    <n v="3"/>
    <n v="60674"/>
    <x v="571"/>
    <n v="4635"/>
    <n v="177387"/>
    <n v="21755.996650000001"/>
    <x v="1"/>
    <x v="4"/>
  </r>
  <r>
    <n v="10574"/>
    <d v="2024-05-23T00:00:00"/>
    <x v="2"/>
    <x v="2"/>
    <x v="2"/>
    <x v="0"/>
    <n v="6"/>
    <n v="73209"/>
    <x v="572"/>
    <n v="3856"/>
    <n v="435398"/>
    <n v="86209.654750000002"/>
    <x v="0"/>
    <x v="5"/>
  </r>
  <r>
    <n v="10575"/>
    <d v="2024-03-09T00:00:00"/>
    <x v="3"/>
    <x v="2"/>
    <x v="0"/>
    <x v="3"/>
    <n v="8"/>
    <n v="52767"/>
    <x v="573"/>
    <n v="4928"/>
    <n v="417208"/>
    <n v="65549.754749999993"/>
    <x v="0"/>
    <x v="1"/>
  </r>
  <r>
    <n v="10576"/>
    <d v="2024-04-08T00:00:00"/>
    <x v="2"/>
    <x v="3"/>
    <x v="2"/>
    <x v="0"/>
    <n v="6"/>
    <n v="77359"/>
    <x v="574"/>
    <n v="313"/>
    <n v="463841"/>
    <n v="74271.219129999998"/>
    <x v="0"/>
    <x v="0"/>
  </r>
  <r>
    <n v="10577"/>
    <d v="2025-01-30T00:00:00"/>
    <x v="0"/>
    <x v="0"/>
    <x v="1"/>
    <x v="1"/>
    <n v="2"/>
    <n v="44644"/>
    <x v="575"/>
    <n v="232"/>
    <n v="89056"/>
    <n v="15609.18151"/>
    <x v="1"/>
    <x v="4"/>
  </r>
  <r>
    <n v="10578"/>
    <d v="2024-01-25T00:00:00"/>
    <x v="3"/>
    <x v="1"/>
    <x v="0"/>
    <x v="3"/>
    <n v="5"/>
    <n v="43741"/>
    <x v="576"/>
    <n v="3507"/>
    <n v="215198"/>
    <n v="29066.297139999999"/>
    <x v="0"/>
    <x v="4"/>
  </r>
  <r>
    <n v="10579"/>
    <d v="2025-04-13T00:00:00"/>
    <x v="0"/>
    <x v="3"/>
    <x v="1"/>
    <x v="3"/>
    <n v="6"/>
    <n v="70121"/>
    <x v="577"/>
    <n v="1029"/>
    <n v="419697"/>
    <n v="71003.283280000003"/>
    <x v="1"/>
    <x v="0"/>
  </r>
  <r>
    <n v="10580"/>
    <d v="2025-04-28T00:00:00"/>
    <x v="4"/>
    <x v="0"/>
    <x v="2"/>
    <x v="0"/>
    <n v="9"/>
    <n v="78818"/>
    <x v="578"/>
    <n v="3606"/>
    <n v="705756"/>
    <n v="143287.47070000001"/>
    <x v="1"/>
    <x v="0"/>
  </r>
  <r>
    <n v="10581"/>
    <d v="2025-07-18T00:00:00"/>
    <x v="0"/>
    <x v="1"/>
    <x v="2"/>
    <x v="0"/>
    <n v="6"/>
    <n v="46435"/>
    <x v="579"/>
    <n v="2711"/>
    <n v="275899"/>
    <n v="46507.454570000002"/>
    <x v="1"/>
    <x v="10"/>
  </r>
  <r>
    <n v="10582"/>
    <d v="2024-05-30T00:00:00"/>
    <x v="2"/>
    <x v="1"/>
    <x v="1"/>
    <x v="0"/>
    <n v="5"/>
    <n v="13056"/>
    <x v="580"/>
    <n v="4339"/>
    <n v="60941"/>
    <n v="6482.6759099999999"/>
    <x v="0"/>
    <x v="5"/>
  </r>
  <r>
    <n v="10583"/>
    <d v="2024-05-23T00:00:00"/>
    <x v="1"/>
    <x v="2"/>
    <x v="1"/>
    <x v="1"/>
    <n v="1"/>
    <n v="57418"/>
    <x v="581"/>
    <n v="2288"/>
    <n v="55130"/>
    <n v="7645.0941540000003"/>
    <x v="0"/>
    <x v="5"/>
  </r>
  <r>
    <n v="10584"/>
    <d v="2025-07-22T00:00:00"/>
    <x v="0"/>
    <x v="4"/>
    <x v="2"/>
    <x v="1"/>
    <n v="5"/>
    <n v="40513"/>
    <x v="582"/>
    <n v="3999"/>
    <n v="198566"/>
    <n v="30324.807290000001"/>
    <x v="1"/>
    <x v="10"/>
  </r>
  <r>
    <n v="10585"/>
    <d v="2024-02-08T00:00:00"/>
    <x v="1"/>
    <x v="0"/>
    <x v="1"/>
    <x v="0"/>
    <n v="5"/>
    <n v="29660"/>
    <x v="583"/>
    <n v="2605"/>
    <n v="145695"/>
    <n v="22321.664410000001"/>
    <x v="0"/>
    <x v="9"/>
  </r>
  <r>
    <n v="10586"/>
    <d v="2024-04-18T00:00:00"/>
    <x v="4"/>
    <x v="1"/>
    <x v="2"/>
    <x v="3"/>
    <n v="6"/>
    <n v="7639"/>
    <x v="584"/>
    <n v="3344"/>
    <n v="42490"/>
    <n v="4765.2974290000002"/>
    <x v="0"/>
    <x v="0"/>
  </r>
  <r>
    <n v="10587"/>
    <d v="2025-11-23T00:00:00"/>
    <x v="3"/>
    <x v="0"/>
    <x v="1"/>
    <x v="3"/>
    <n v="7"/>
    <n v="70612"/>
    <x v="585"/>
    <n v="2122"/>
    <n v="492162"/>
    <n v="82405.431270000001"/>
    <x v="1"/>
    <x v="7"/>
  </r>
  <r>
    <n v="10588"/>
    <d v="2024-02-11T00:00:00"/>
    <x v="3"/>
    <x v="3"/>
    <x v="2"/>
    <x v="0"/>
    <n v="4"/>
    <n v="77009"/>
    <x v="586"/>
    <n v="2330"/>
    <n v="305706"/>
    <n v="62300.545019999998"/>
    <x v="0"/>
    <x v="9"/>
  </r>
  <r>
    <n v="10589"/>
    <d v="2024-07-04T00:00:00"/>
    <x v="1"/>
    <x v="3"/>
    <x v="2"/>
    <x v="2"/>
    <n v="7"/>
    <n v="15622"/>
    <x v="587"/>
    <n v="3779"/>
    <n v="105575"/>
    <n v="11328.28225"/>
    <x v="0"/>
    <x v="10"/>
  </r>
  <r>
    <n v="10590"/>
    <d v="2025-02-01T00:00:00"/>
    <x v="3"/>
    <x v="4"/>
    <x v="0"/>
    <x v="1"/>
    <n v="5"/>
    <n v="23808"/>
    <x v="588"/>
    <n v="4182"/>
    <n v="114858"/>
    <n v="24423.247289999999"/>
    <x v="1"/>
    <x v="9"/>
  </r>
  <r>
    <n v="10591"/>
    <d v="2024-08-10T00:00:00"/>
    <x v="0"/>
    <x v="1"/>
    <x v="2"/>
    <x v="1"/>
    <n v="6"/>
    <n v="60636"/>
    <x v="589"/>
    <n v="880"/>
    <n v="362936"/>
    <n v="88289.909289999996"/>
    <x v="0"/>
    <x v="6"/>
  </r>
  <r>
    <n v="10592"/>
    <d v="2025-09-25T00:00:00"/>
    <x v="1"/>
    <x v="2"/>
    <x v="2"/>
    <x v="2"/>
    <n v="4"/>
    <n v="75832"/>
    <x v="590"/>
    <n v="2977"/>
    <n v="300351"/>
    <n v="30455.808690000002"/>
    <x v="1"/>
    <x v="2"/>
  </r>
  <r>
    <n v="10593"/>
    <d v="2024-05-12T00:00:00"/>
    <x v="2"/>
    <x v="1"/>
    <x v="0"/>
    <x v="0"/>
    <n v="8"/>
    <n v="27951"/>
    <x v="591"/>
    <n v="1172"/>
    <n v="222436"/>
    <n v="28706.221600000001"/>
    <x v="0"/>
    <x v="5"/>
  </r>
  <r>
    <n v="10594"/>
    <d v="2024-06-11T00:00:00"/>
    <x v="0"/>
    <x v="0"/>
    <x v="0"/>
    <x v="3"/>
    <n v="9"/>
    <n v="70941"/>
    <x v="592"/>
    <n v="159"/>
    <n v="638310"/>
    <n v="115868.053"/>
    <x v="0"/>
    <x v="11"/>
  </r>
  <r>
    <n v="10595"/>
    <d v="2024-08-02T00:00:00"/>
    <x v="0"/>
    <x v="3"/>
    <x v="1"/>
    <x v="3"/>
    <n v="2"/>
    <n v="50076"/>
    <x v="593"/>
    <n v="2493"/>
    <n v="97659"/>
    <n v="12960.07422"/>
    <x v="0"/>
    <x v="6"/>
  </r>
  <r>
    <n v="10596"/>
    <d v="2024-08-22T00:00:00"/>
    <x v="0"/>
    <x v="0"/>
    <x v="1"/>
    <x v="1"/>
    <n v="4"/>
    <n v="20345"/>
    <x v="594"/>
    <n v="2129"/>
    <n v="79251"/>
    <n v="17014.70665"/>
    <x v="0"/>
    <x v="6"/>
  </r>
  <r>
    <n v="10597"/>
    <d v="2025-10-19T00:00:00"/>
    <x v="2"/>
    <x v="4"/>
    <x v="2"/>
    <x v="2"/>
    <n v="8"/>
    <n v="5397"/>
    <x v="595"/>
    <n v="3078"/>
    <n v="40098"/>
    <n v="5887.1942639999997"/>
    <x v="1"/>
    <x v="8"/>
  </r>
  <r>
    <n v="10598"/>
    <d v="2025-08-10T00:00:00"/>
    <x v="4"/>
    <x v="3"/>
    <x v="1"/>
    <x v="3"/>
    <n v="8"/>
    <n v="19665"/>
    <x v="596"/>
    <n v="2229"/>
    <n v="155091"/>
    <n v="22339.895799999998"/>
    <x v="1"/>
    <x v="6"/>
  </r>
  <r>
    <n v="10599"/>
    <d v="2024-01-09T00:00:00"/>
    <x v="3"/>
    <x v="2"/>
    <x v="1"/>
    <x v="1"/>
    <n v="9"/>
    <n v="19560"/>
    <x v="597"/>
    <n v="2917"/>
    <n v="173123"/>
    <n v="17336.29162"/>
    <x v="0"/>
    <x v="4"/>
  </r>
  <r>
    <n v="10600"/>
    <d v="2024-03-14T00:00:00"/>
    <x v="1"/>
    <x v="3"/>
    <x v="2"/>
    <x v="3"/>
    <n v="3"/>
    <n v="31376"/>
    <x v="598"/>
    <n v="3013"/>
    <n v="91115"/>
    <n v="12803.382149999999"/>
    <x v="0"/>
    <x v="1"/>
  </r>
  <r>
    <n v="10601"/>
    <d v="2025-05-06T00:00:00"/>
    <x v="4"/>
    <x v="1"/>
    <x v="0"/>
    <x v="3"/>
    <n v="1"/>
    <n v="24857"/>
    <x v="599"/>
    <n v="1549"/>
    <n v="23308"/>
    <n v="3091.8196790000002"/>
    <x v="1"/>
    <x v="5"/>
  </r>
  <r>
    <n v="10602"/>
    <d v="2024-09-09T00:00:00"/>
    <x v="1"/>
    <x v="1"/>
    <x v="0"/>
    <x v="3"/>
    <n v="9"/>
    <n v="69268"/>
    <x v="600"/>
    <n v="4573"/>
    <n v="618839"/>
    <n v="93745.534530000004"/>
    <x v="0"/>
    <x v="2"/>
  </r>
  <r>
    <n v="10603"/>
    <d v="2024-08-17T00:00:00"/>
    <x v="3"/>
    <x v="3"/>
    <x v="2"/>
    <x v="1"/>
    <n v="1"/>
    <n v="25310"/>
    <x v="601"/>
    <n v="3385"/>
    <n v="21925"/>
    <n v="2678.105818"/>
    <x v="0"/>
    <x v="6"/>
  </r>
  <r>
    <n v="10604"/>
    <d v="2025-06-02T00:00:00"/>
    <x v="2"/>
    <x v="4"/>
    <x v="2"/>
    <x v="2"/>
    <n v="3"/>
    <n v="23328"/>
    <x v="602"/>
    <n v="1579"/>
    <n v="68405"/>
    <n v="12942.041300000001"/>
    <x v="1"/>
    <x v="11"/>
  </r>
  <r>
    <n v="10605"/>
    <d v="2024-06-22T00:00:00"/>
    <x v="0"/>
    <x v="1"/>
    <x v="2"/>
    <x v="0"/>
    <n v="3"/>
    <n v="46397"/>
    <x v="603"/>
    <n v="3371"/>
    <n v="135820"/>
    <n v="18445.88147"/>
    <x v="0"/>
    <x v="11"/>
  </r>
  <r>
    <n v="10606"/>
    <d v="2025-10-14T00:00:00"/>
    <x v="0"/>
    <x v="1"/>
    <x v="2"/>
    <x v="2"/>
    <n v="9"/>
    <n v="43159"/>
    <x v="604"/>
    <n v="1960"/>
    <n v="386471"/>
    <n v="86864.238270000002"/>
    <x v="1"/>
    <x v="8"/>
  </r>
  <r>
    <n v="10607"/>
    <d v="2024-06-16T00:00:00"/>
    <x v="2"/>
    <x v="2"/>
    <x v="2"/>
    <x v="3"/>
    <n v="1"/>
    <n v="55762"/>
    <x v="605"/>
    <n v="3844"/>
    <n v="51918"/>
    <n v="7407.8519219999998"/>
    <x v="0"/>
    <x v="11"/>
  </r>
  <r>
    <n v="10608"/>
    <d v="2024-06-18T00:00:00"/>
    <x v="4"/>
    <x v="3"/>
    <x v="2"/>
    <x v="2"/>
    <n v="7"/>
    <n v="78366"/>
    <x v="606"/>
    <n v="4697"/>
    <n v="543865"/>
    <n v="71589.189209999997"/>
    <x v="0"/>
    <x v="11"/>
  </r>
  <r>
    <n v="10609"/>
    <d v="2025-01-27T00:00:00"/>
    <x v="4"/>
    <x v="1"/>
    <x v="1"/>
    <x v="3"/>
    <n v="2"/>
    <n v="64304"/>
    <x v="607"/>
    <n v="2390"/>
    <n v="126218"/>
    <n v="13696.256509999999"/>
    <x v="1"/>
    <x v="4"/>
  </r>
  <r>
    <n v="10610"/>
    <d v="2025-09-25T00:00:00"/>
    <x v="1"/>
    <x v="4"/>
    <x v="1"/>
    <x v="1"/>
    <n v="7"/>
    <n v="53998"/>
    <x v="608"/>
    <n v="1419"/>
    <n v="376567"/>
    <n v="79450.366380000007"/>
    <x v="1"/>
    <x v="2"/>
  </r>
  <r>
    <n v="10611"/>
    <d v="2024-07-12T00:00:00"/>
    <x v="2"/>
    <x v="0"/>
    <x v="1"/>
    <x v="1"/>
    <n v="1"/>
    <n v="69853"/>
    <x v="609"/>
    <n v="3917"/>
    <n v="65936"/>
    <n v="11619.98213"/>
    <x v="0"/>
    <x v="10"/>
  </r>
  <r>
    <n v="10612"/>
    <d v="2025-05-31T00:00:00"/>
    <x v="4"/>
    <x v="3"/>
    <x v="0"/>
    <x v="1"/>
    <n v="8"/>
    <n v="24048"/>
    <x v="610"/>
    <n v="3835"/>
    <n v="188549"/>
    <n v="22072.950560000001"/>
    <x v="1"/>
    <x v="5"/>
  </r>
  <r>
    <n v="10613"/>
    <d v="2024-01-29T00:00:00"/>
    <x v="2"/>
    <x v="2"/>
    <x v="2"/>
    <x v="3"/>
    <n v="2"/>
    <n v="55217"/>
    <x v="611"/>
    <n v="4428"/>
    <n v="106006"/>
    <n v="14120.02224"/>
    <x v="0"/>
    <x v="4"/>
  </r>
  <r>
    <n v="10614"/>
    <d v="2024-06-13T00:00:00"/>
    <x v="3"/>
    <x v="1"/>
    <x v="2"/>
    <x v="2"/>
    <n v="3"/>
    <n v="51255"/>
    <x v="612"/>
    <n v="4450"/>
    <n v="149315"/>
    <n v="37300.060740000001"/>
    <x v="0"/>
    <x v="11"/>
  </r>
  <r>
    <n v="10615"/>
    <d v="2025-02-25T00:00:00"/>
    <x v="0"/>
    <x v="4"/>
    <x v="1"/>
    <x v="0"/>
    <n v="8"/>
    <n v="63620"/>
    <x v="613"/>
    <n v="3630"/>
    <n v="505330"/>
    <n v="111629.5745"/>
    <x v="1"/>
    <x v="9"/>
  </r>
  <r>
    <n v="10616"/>
    <d v="2024-12-04T00:00:00"/>
    <x v="0"/>
    <x v="3"/>
    <x v="0"/>
    <x v="0"/>
    <n v="3"/>
    <n v="75929"/>
    <x v="614"/>
    <n v="4942"/>
    <n v="222845"/>
    <n v="33979.499830000001"/>
    <x v="0"/>
    <x v="3"/>
  </r>
  <r>
    <n v="10617"/>
    <d v="2025-10-09T00:00:00"/>
    <x v="0"/>
    <x v="4"/>
    <x v="1"/>
    <x v="1"/>
    <n v="1"/>
    <n v="28885"/>
    <x v="615"/>
    <n v="162"/>
    <n v="28723"/>
    <n v="5209.8703599999999"/>
    <x v="1"/>
    <x v="8"/>
  </r>
  <r>
    <n v="10618"/>
    <d v="2025-05-10T00:00:00"/>
    <x v="2"/>
    <x v="4"/>
    <x v="2"/>
    <x v="0"/>
    <n v="9"/>
    <n v="71139"/>
    <x v="616"/>
    <n v="115"/>
    <n v="640136"/>
    <n v="103959.734"/>
    <x v="1"/>
    <x v="5"/>
  </r>
  <r>
    <n v="10619"/>
    <d v="2024-12-30T00:00:00"/>
    <x v="2"/>
    <x v="2"/>
    <x v="2"/>
    <x v="3"/>
    <n v="8"/>
    <n v="76831"/>
    <x v="617"/>
    <n v="1470"/>
    <n v="613178"/>
    <n v="64664.792139999998"/>
    <x v="0"/>
    <x v="3"/>
  </r>
  <r>
    <n v="10620"/>
    <d v="2024-12-07T00:00:00"/>
    <x v="1"/>
    <x v="3"/>
    <x v="1"/>
    <x v="2"/>
    <n v="4"/>
    <n v="46148"/>
    <x v="618"/>
    <n v="3079"/>
    <n v="181513"/>
    <n v="39352.300000000003"/>
    <x v="0"/>
    <x v="3"/>
  </r>
  <r>
    <n v="10621"/>
    <d v="2025-05-14T00:00:00"/>
    <x v="0"/>
    <x v="1"/>
    <x v="1"/>
    <x v="0"/>
    <n v="8"/>
    <n v="12103"/>
    <x v="619"/>
    <n v="3852"/>
    <n v="92972"/>
    <n v="19296.144939999998"/>
    <x v="1"/>
    <x v="5"/>
  </r>
  <r>
    <n v="10622"/>
    <d v="2025-10-18T00:00:00"/>
    <x v="1"/>
    <x v="2"/>
    <x v="2"/>
    <x v="0"/>
    <n v="5"/>
    <n v="30251"/>
    <x v="620"/>
    <n v="2838"/>
    <n v="148417"/>
    <n v="23942.681970000001"/>
    <x v="1"/>
    <x v="8"/>
  </r>
  <r>
    <n v="10623"/>
    <d v="2025-05-25T00:00:00"/>
    <x v="0"/>
    <x v="1"/>
    <x v="1"/>
    <x v="2"/>
    <n v="3"/>
    <n v="19546"/>
    <x v="621"/>
    <n v="542"/>
    <n v="58096"/>
    <n v="13181.086010000001"/>
    <x v="1"/>
    <x v="5"/>
  </r>
  <r>
    <n v="10624"/>
    <d v="2024-11-22T00:00:00"/>
    <x v="1"/>
    <x v="0"/>
    <x v="2"/>
    <x v="0"/>
    <n v="1"/>
    <n v="20456"/>
    <x v="622"/>
    <n v="413"/>
    <n v="20043"/>
    <n v="3611.9663519999999"/>
    <x v="0"/>
    <x v="7"/>
  </r>
  <r>
    <n v="10625"/>
    <d v="2024-08-04T00:00:00"/>
    <x v="1"/>
    <x v="4"/>
    <x v="1"/>
    <x v="2"/>
    <n v="5"/>
    <n v="23228"/>
    <x v="623"/>
    <n v="681"/>
    <n v="115459"/>
    <n v="12675.23518"/>
    <x v="0"/>
    <x v="6"/>
  </r>
  <r>
    <n v="10626"/>
    <d v="2024-10-27T00:00:00"/>
    <x v="3"/>
    <x v="0"/>
    <x v="0"/>
    <x v="3"/>
    <n v="6"/>
    <n v="5046"/>
    <x v="624"/>
    <n v="641"/>
    <n v="29635"/>
    <n v="4116.6258120000002"/>
    <x v="0"/>
    <x v="8"/>
  </r>
  <r>
    <n v="10627"/>
    <d v="2024-05-11T00:00:00"/>
    <x v="1"/>
    <x v="4"/>
    <x v="2"/>
    <x v="3"/>
    <n v="4"/>
    <n v="71355"/>
    <x v="625"/>
    <n v="3978"/>
    <n v="281442"/>
    <n v="47638.540580000001"/>
    <x v="0"/>
    <x v="5"/>
  </r>
  <r>
    <n v="10628"/>
    <d v="2024-03-10T00:00:00"/>
    <x v="2"/>
    <x v="2"/>
    <x v="0"/>
    <x v="3"/>
    <n v="7"/>
    <n v="41575"/>
    <x v="626"/>
    <n v="1432"/>
    <n v="289593"/>
    <n v="33453.026310000001"/>
    <x v="0"/>
    <x v="1"/>
  </r>
  <r>
    <n v="10629"/>
    <d v="2024-09-08T00:00:00"/>
    <x v="1"/>
    <x v="1"/>
    <x v="1"/>
    <x v="1"/>
    <n v="3"/>
    <n v="6080"/>
    <x v="627"/>
    <n v="668"/>
    <n v="17572"/>
    <n v="3262.4558080000002"/>
    <x v="0"/>
    <x v="2"/>
  </r>
  <r>
    <n v="10630"/>
    <d v="2025-02-18T00:00:00"/>
    <x v="0"/>
    <x v="1"/>
    <x v="0"/>
    <x v="3"/>
    <n v="7"/>
    <n v="73682"/>
    <x v="628"/>
    <n v="2069"/>
    <n v="513705"/>
    <n v="60660.970119999998"/>
    <x v="1"/>
    <x v="9"/>
  </r>
  <r>
    <n v="10631"/>
    <d v="2025-03-20T00:00:00"/>
    <x v="1"/>
    <x v="2"/>
    <x v="1"/>
    <x v="0"/>
    <n v="1"/>
    <n v="20930"/>
    <x v="629"/>
    <n v="968"/>
    <n v="19962"/>
    <n v="2596.5816599999998"/>
    <x v="1"/>
    <x v="1"/>
  </r>
  <r>
    <n v="10632"/>
    <d v="2024-06-30T00:00:00"/>
    <x v="4"/>
    <x v="3"/>
    <x v="0"/>
    <x v="1"/>
    <n v="7"/>
    <n v="44509"/>
    <x v="630"/>
    <n v="1180"/>
    <n v="310383"/>
    <n v="72659.899609999993"/>
    <x v="0"/>
    <x v="11"/>
  </r>
  <r>
    <n v="10633"/>
    <d v="2024-06-15T00:00:00"/>
    <x v="0"/>
    <x v="0"/>
    <x v="0"/>
    <x v="1"/>
    <n v="1"/>
    <n v="73422"/>
    <x v="631"/>
    <n v="4819"/>
    <n v="68603"/>
    <n v="17148.819390000001"/>
    <x v="0"/>
    <x v="11"/>
  </r>
  <r>
    <n v="10634"/>
    <d v="2024-03-31T00:00:00"/>
    <x v="4"/>
    <x v="0"/>
    <x v="0"/>
    <x v="1"/>
    <n v="1"/>
    <n v="46755"/>
    <x v="632"/>
    <n v="3235"/>
    <n v="43520"/>
    <n v="7944.0538299999998"/>
    <x v="0"/>
    <x v="1"/>
  </r>
  <r>
    <n v="10635"/>
    <d v="2025-12-14T00:00:00"/>
    <x v="0"/>
    <x v="1"/>
    <x v="2"/>
    <x v="3"/>
    <n v="2"/>
    <n v="57480"/>
    <x v="633"/>
    <n v="251"/>
    <n v="114709"/>
    <n v="22132.790860000001"/>
    <x v="1"/>
    <x v="3"/>
  </r>
  <r>
    <n v="10636"/>
    <d v="2025-06-14T00:00:00"/>
    <x v="2"/>
    <x v="1"/>
    <x v="0"/>
    <x v="1"/>
    <n v="2"/>
    <n v="12293"/>
    <x v="634"/>
    <n v="4300"/>
    <n v="20286"/>
    <n v="4455.1032370000003"/>
    <x v="1"/>
    <x v="11"/>
  </r>
  <r>
    <n v="10637"/>
    <d v="2024-02-08T00:00:00"/>
    <x v="2"/>
    <x v="1"/>
    <x v="1"/>
    <x v="3"/>
    <n v="4"/>
    <n v="73542"/>
    <x v="635"/>
    <n v="2879"/>
    <n v="291289"/>
    <n v="59545.566659999997"/>
    <x v="0"/>
    <x v="9"/>
  </r>
  <r>
    <n v="10638"/>
    <d v="2024-05-05T00:00:00"/>
    <x v="2"/>
    <x v="2"/>
    <x v="1"/>
    <x v="3"/>
    <n v="1"/>
    <n v="65528"/>
    <x v="636"/>
    <n v="3998"/>
    <n v="61530"/>
    <n v="7837.0749740000001"/>
    <x v="0"/>
    <x v="5"/>
  </r>
  <r>
    <n v="10639"/>
    <d v="2025-03-26T00:00:00"/>
    <x v="4"/>
    <x v="3"/>
    <x v="2"/>
    <x v="1"/>
    <n v="4"/>
    <n v="29356"/>
    <x v="637"/>
    <n v="790"/>
    <n v="116634"/>
    <n v="18865.63449"/>
    <x v="1"/>
    <x v="1"/>
  </r>
  <r>
    <n v="10640"/>
    <d v="2024-06-21T00:00:00"/>
    <x v="3"/>
    <x v="0"/>
    <x v="2"/>
    <x v="1"/>
    <n v="2"/>
    <n v="41911"/>
    <x v="638"/>
    <n v="4560"/>
    <n v="79262"/>
    <n v="14288.36083"/>
    <x v="0"/>
    <x v="11"/>
  </r>
  <r>
    <n v="10641"/>
    <d v="2025-10-14T00:00:00"/>
    <x v="0"/>
    <x v="4"/>
    <x v="1"/>
    <x v="0"/>
    <n v="4"/>
    <n v="19699"/>
    <x v="639"/>
    <n v="1495"/>
    <n v="77301"/>
    <n v="11901.014510000001"/>
    <x v="1"/>
    <x v="8"/>
  </r>
  <r>
    <n v="10642"/>
    <d v="2024-08-07T00:00:00"/>
    <x v="2"/>
    <x v="2"/>
    <x v="0"/>
    <x v="1"/>
    <n v="4"/>
    <n v="33434"/>
    <x v="640"/>
    <n v="4489"/>
    <n v="129247"/>
    <n v="16338.87912"/>
    <x v="0"/>
    <x v="6"/>
  </r>
  <r>
    <n v="10643"/>
    <d v="2025-09-29T00:00:00"/>
    <x v="0"/>
    <x v="0"/>
    <x v="1"/>
    <x v="3"/>
    <n v="9"/>
    <n v="59669"/>
    <x v="641"/>
    <n v="3068"/>
    <n v="533953"/>
    <n v="112352.7893"/>
    <x v="1"/>
    <x v="2"/>
  </r>
  <r>
    <n v="10644"/>
    <d v="2024-02-27T00:00:00"/>
    <x v="4"/>
    <x v="3"/>
    <x v="2"/>
    <x v="0"/>
    <n v="9"/>
    <n v="22602"/>
    <x v="642"/>
    <n v="2707"/>
    <n v="200711"/>
    <n v="26057.699120000001"/>
    <x v="0"/>
    <x v="9"/>
  </r>
  <r>
    <n v="10645"/>
    <d v="2025-10-21T00:00:00"/>
    <x v="3"/>
    <x v="2"/>
    <x v="2"/>
    <x v="0"/>
    <n v="1"/>
    <n v="45786"/>
    <x v="643"/>
    <n v="2577"/>
    <n v="43209"/>
    <n v="6009.2004740000002"/>
    <x v="1"/>
    <x v="8"/>
  </r>
  <r>
    <n v="10646"/>
    <d v="2025-04-20T00:00:00"/>
    <x v="4"/>
    <x v="0"/>
    <x v="1"/>
    <x v="3"/>
    <n v="5"/>
    <n v="14952"/>
    <x v="644"/>
    <n v="1235"/>
    <n v="73525"/>
    <n v="10512.45321"/>
    <x v="1"/>
    <x v="0"/>
  </r>
  <r>
    <n v="10647"/>
    <d v="2025-03-31T00:00:00"/>
    <x v="0"/>
    <x v="2"/>
    <x v="0"/>
    <x v="1"/>
    <n v="7"/>
    <n v="46684"/>
    <x v="645"/>
    <n v="1058"/>
    <n v="325730"/>
    <n v="40477.452310000001"/>
    <x v="1"/>
    <x v="1"/>
  </r>
  <r>
    <n v="10648"/>
    <d v="2024-12-26T00:00:00"/>
    <x v="3"/>
    <x v="0"/>
    <x v="0"/>
    <x v="1"/>
    <n v="4"/>
    <n v="35489"/>
    <x v="646"/>
    <n v="1170"/>
    <n v="140786"/>
    <n v="32019.346219999999"/>
    <x v="0"/>
    <x v="3"/>
  </r>
  <r>
    <n v="10649"/>
    <d v="2024-01-01T00:00:00"/>
    <x v="3"/>
    <x v="0"/>
    <x v="2"/>
    <x v="2"/>
    <n v="5"/>
    <n v="37905"/>
    <x v="647"/>
    <n v="3618"/>
    <n v="185907"/>
    <n v="35618.377200000003"/>
    <x v="0"/>
    <x v="4"/>
  </r>
  <r>
    <n v="10650"/>
    <d v="2025-01-21T00:00:00"/>
    <x v="4"/>
    <x v="3"/>
    <x v="1"/>
    <x v="1"/>
    <n v="2"/>
    <n v="58602"/>
    <x v="648"/>
    <n v="3659"/>
    <n v="113545"/>
    <n v="25571.721460000001"/>
    <x v="1"/>
    <x v="4"/>
  </r>
  <r>
    <n v="10651"/>
    <d v="2024-12-13T00:00:00"/>
    <x v="2"/>
    <x v="4"/>
    <x v="1"/>
    <x v="2"/>
    <n v="3"/>
    <n v="51924"/>
    <x v="649"/>
    <n v="3655"/>
    <n v="152117"/>
    <n v="26477.3933"/>
    <x v="0"/>
    <x v="3"/>
  </r>
  <r>
    <n v="10652"/>
    <d v="2024-07-08T00:00:00"/>
    <x v="0"/>
    <x v="3"/>
    <x v="2"/>
    <x v="0"/>
    <n v="7"/>
    <n v="18381"/>
    <x v="650"/>
    <n v="56"/>
    <n v="128611"/>
    <n v="22884.328320000001"/>
    <x v="0"/>
    <x v="10"/>
  </r>
  <r>
    <n v="10653"/>
    <d v="2025-05-19T00:00:00"/>
    <x v="1"/>
    <x v="0"/>
    <x v="1"/>
    <x v="0"/>
    <n v="7"/>
    <n v="33130"/>
    <x v="651"/>
    <n v="1892"/>
    <n v="230018"/>
    <n v="44260.453329999997"/>
    <x v="1"/>
    <x v="5"/>
  </r>
  <r>
    <n v="10654"/>
    <d v="2024-07-09T00:00:00"/>
    <x v="1"/>
    <x v="2"/>
    <x v="2"/>
    <x v="0"/>
    <n v="4"/>
    <n v="35415"/>
    <x v="652"/>
    <n v="2569"/>
    <n v="139091"/>
    <n v="21647.83554"/>
    <x v="0"/>
    <x v="10"/>
  </r>
  <r>
    <n v="10655"/>
    <d v="2025-05-22T00:00:00"/>
    <x v="4"/>
    <x v="3"/>
    <x v="0"/>
    <x v="2"/>
    <n v="1"/>
    <n v="54128"/>
    <x v="653"/>
    <n v="4080"/>
    <n v="50048"/>
    <n v="8732.7561170000008"/>
    <x v="1"/>
    <x v="5"/>
  </r>
  <r>
    <n v="10656"/>
    <d v="2025-01-03T00:00:00"/>
    <x v="0"/>
    <x v="4"/>
    <x v="0"/>
    <x v="3"/>
    <n v="1"/>
    <n v="5388"/>
    <x v="654"/>
    <n v="4456"/>
    <n v="932"/>
    <n v="169.65873500000001"/>
    <x v="1"/>
    <x v="4"/>
  </r>
  <r>
    <n v="10657"/>
    <d v="2025-02-12T00:00:00"/>
    <x v="0"/>
    <x v="0"/>
    <x v="1"/>
    <x v="3"/>
    <n v="4"/>
    <n v="24806"/>
    <x v="655"/>
    <n v="1948"/>
    <n v="97276"/>
    <n v="23641.1191"/>
    <x v="1"/>
    <x v="9"/>
  </r>
  <r>
    <n v="10658"/>
    <d v="2024-04-26T00:00:00"/>
    <x v="4"/>
    <x v="3"/>
    <x v="0"/>
    <x v="0"/>
    <n v="4"/>
    <n v="69333"/>
    <x v="656"/>
    <n v="222"/>
    <n v="277110"/>
    <n v="64410.400860000002"/>
    <x v="0"/>
    <x v="0"/>
  </r>
  <r>
    <n v="10659"/>
    <d v="2024-05-13T00:00:00"/>
    <x v="0"/>
    <x v="3"/>
    <x v="0"/>
    <x v="2"/>
    <n v="6"/>
    <n v="9852"/>
    <x v="657"/>
    <n v="1639"/>
    <n v="57473"/>
    <n v="6861.5219889999998"/>
    <x v="0"/>
    <x v="5"/>
  </r>
  <r>
    <n v="10660"/>
    <d v="2024-02-27T00:00:00"/>
    <x v="2"/>
    <x v="3"/>
    <x v="2"/>
    <x v="2"/>
    <n v="7"/>
    <n v="13627"/>
    <x v="658"/>
    <n v="4422"/>
    <n v="90967"/>
    <n v="9660.0013240000007"/>
    <x v="0"/>
    <x v="9"/>
  </r>
  <r>
    <n v="10661"/>
    <d v="2025-07-09T00:00:00"/>
    <x v="4"/>
    <x v="3"/>
    <x v="2"/>
    <x v="0"/>
    <n v="9"/>
    <n v="63817"/>
    <x v="659"/>
    <n v="1757"/>
    <n v="572596"/>
    <n v="115693.07490000001"/>
    <x v="1"/>
    <x v="10"/>
  </r>
  <r>
    <n v="10662"/>
    <d v="2025-11-15T00:00:00"/>
    <x v="2"/>
    <x v="2"/>
    <x v="1"/>
    <x v="1"/>
    <n v="9"/>
    <n v="34048"/>
    <x v="660"/>
    <n v="835"/>
    <n v="305597"/>
    <n v="32814.944739999999"/>
    <x v="1"/>
    <x v="7"/>
  </r>
  <r>
    <n v="10663"/>
    <d v="2025-11-02T00:00:00"/>
    <x v="0"/>
    <x v="4"/>
    <x v="2"/>
    <x v="0"/>
    <n v="5"/>
    <n v="63117"/>
    <x v="661"/>
    <n v="2536"/>
    <n v="313049"/>
    <n v="34138.826079999999"/>
    <x v="1"/>
    <x v="7"/>
  </r>
  <r>
    <n v="10664"/>
    <d v="2024-06-21T00:00:00"/>
    <x v="4"/>
    <x v="4"/>
    <x v="1"/>
    <x v="2"/>
    <n v="3"/>
    <n v="13209"/>
    <x v="662"/>
    <n v="2525"/>
    <n v="37102"/>
    <n v="4596.5485820000004"/>
    <x v="0"/>
    <x v="11"/>
  </r>
  <r>
    <n v="10665"/>
    <d v="2024-05-28T00:00:00"/>
    <x v="0"/>
    <x v="0"/>
    <x v="1"/>
    <x v="1"/>
    <n v="3"/>
    <n v="58482"/>
    <x v="663"/>
    <n v="984"/>
    <n v="174462"/>
    <n v="26650.128369999999"/>
    <x v="0"/>
    <x v="5"/>
  </r>
  <r>
    <n v="10666"/>
    <d v="2024-03-20T00:00:00"/>
    <x v="4"/>
    <x v="1"/>
    <x v="2"/>
    <x v="3"/>
    <n v="6"/>
    <n v="43197"/>
    <x v="664"/>
    <n v="1357"/>
    <n v="257825"/>
    <n v="42605.43088"/>
    <x v="0"/>
    <x v="1"/>
  </r>
  <r>
    <n v="10667"/>
    <d v="2024-07-31T00:00:00"/>
    <x v="0"/>
    <x v="2"/>
    <x v="0"/>
    <x v="1"/>
    <n v="1"/>
    <n v="23076"/>
    <x v="665"/>
    <n v="4887"/>
    <n v="18189"/>
    <n v="3235.9450609999999"/>
    <x v="0"/>
    <x v="10"/>
  </r>
  <r>
    <n v="10668"/>
    <d v="2024-07-21T00:00:00"/>
    <x v="2"/>
    <x v="0"/>
    <x v="0"/>
    <x v="3"/>
    <n v="7"/>
    <n v="74912"/>
    <x v="666"/>
    <n v="3060"/>
    <n v="521324"/>
    <n v="129727.94749999999"/>
    <x v="0"/>
    <x v="10"/>
  </r>
  <r>
    <n v="10669"/>
    <d v="2024-08-16T00:00:00"/>
    <x v="2"/>
    <x v="0"/>
    <x v="0"/>
    <x v="2"/>
    <n v="3"/>
    <n v="63482"/>
    <x v="667"/>
    <n v="4477"/>
    <n v="185969"/>
    <n v="29343.10252"/>
    <x v="0"/>
    <x v="6"/>
  </r>
  <r>
    <n v="10670"/>
    <d v="2025-11-06T00:00:00"/>
    <x v="0"/>
    <x v="3"/>
    <x v="0"/>
    <x v="0"/>
    <n v="5"/>
    <n v="23079"/>
    <x v="668"/>
    <n v="1446"/>
    <n v="113949"/>
    <n v="15544.12089"/>
    <x v="1"/>
    <x v="7"/>
  </r>
  <r>
    <n v="10671"/>
    <d v="2024-08-14T00:00:00"/>
    <x v="4"/>
    <x v="1"/>
    <x v="1"/>
    <x v="0"/>
    <n v="7"/>
    <n v="18978"/>
    <x v="669"/>
    <n v="1371"/>
    <n v="131475"/>
    <n v="24492.19656"/>
    <x v="0"/>
    <x v="6"/>
  </r>
  <r>
    <n v="10672"/>
    <d v="2025-10-20T00:00:00"/>
    <x v="1"/>
    <x v="1"/>
    <x v="0"/>
    <x v="0"/>
    <n v="7"/>
    <n v="55738"/>
    <x v="670"/>
    <n v="3224"/>
    <n v="386942"/>
    <n v="51181.840989999997"/>
    <x v="1"/>
    <x v="8"/>
  </r>
  <r>
    <n v="10673"/>
    <d v="2025-06-15T00:00:00"/>
    <x v="2"/>
    <x v="2"/>
    <x v="1"/>
    <x v="0"/>
    <n v="9"/>
    <n v="17705"/>
    <x v="671"/>
    <n v="1874"/>
    <n v="157471"/>
    <n v="37963.34721"/>
    <x v="1"/>
    <x v="11"/>
  </r>
  <r>
    <n v="10674"/>
    <d v="2025-03-16T00:00:00"/>
    <x v="2"/>
    <x v="1"/>
    <x v="2"/>
    <x v="0"/>
    <n v="1"/>
    <n v="31907"/>
    <x v="672"/>
    <n v="2499"/>
    <n v="29408"/>
    <n v="4084.4225769999998"/>
    <x v="1"/>
    <x v="1"/>
  </r>
  <r>
    <n v="10675"/>
    <d v="2025-02-05T00:00:00"/>
    <x v="1"/>
    <x v="0"/>
    <x v="2"/>
    <x v="2"/>
    <n v="3"/>
    <n v="58832"/>
    <x v="673"/>
    <n v="3361"/>
    <n v="173135"/>
    <n v="43022.336990000003"/>
    <x v="1"/>
    <x v="9"/>
  </r>
  <r>
    <n v="10676"/>
    <d v="2024-02-16T00:00:00"/>
    <x v="0"/>
    <x v="1"/>
    <x v="1"/>
    <x v="2"/>
    <n v="9"/>
    <n v="59612"/>
    <x v="674"/>
    <n v="1142"/>
    <n v="535366"/>
    <n v="87157.707160000005"/>
    <x v="0"/>
    <x v="9"/>
  </r>
  <r>
    <n v="10677"/>
    <d v="2024-08-20T00:00:00"/>
    <x v="4"/>
    <x v="1"/>
    <x v="0"/>
    <x v="0"/>
    <n v="8"/>
    <n v="78501"/>
    <x v="675"/>
    <n v="4309"/>
    <n v="623699"/>
    <n v="138400.61749999999"/>
    <x v="0"/>
    <x v="6"/>
  </r>
  <r>
    <n v="10678"/>
    <d v="2024-10-31T00:00:00"/>
    <x v="0"/>
    <x v="4"/>
    <x v="1"/>
    <x v="1"/>
    <n v="2"/>
    <n v="15248"/>
    <x v="676"/>
    <n v="564"/>
    <n v="29932"/>
    <n v="5903.8490030000003"/>
    <x v="0"/>
    <x v="8"/>
  </r>
  <r>
    <n v="10679"/>
    <d v="2025-06-09T00:00:00"/>
    <x v="3"/>
    <x v="0"/>
    <x v="0"/>
    <x v="0"/>
    <n v="8"/>
    <n v="51988"/>
    <x v="677"/>
    <n v="4827"/>
    <n v="411077"/>
    <n v="98668.397710000005"/>
    <x v="1"/>
    <x v="11"/>
  </r>
  <r>
    <n v="10680"/>
    <d v="2024-05-22T00:00:00"/>
    <x v="2"/>
    <x v="1"/>
    <x v="0"/>
    <x v="3"/>
    <n v="8"/>
    <n v="12461"/>
    <x v="678"/>
    <n v="4534"/>
    <n v="95154"/>
    <n v="18442.18144"/>
    <x v="0"/>
    <x v="5"/>
  </r>
  <r>
    <n v="10681"/>
    <d v="2025-02-18T00:00:00"/>
    <x v="3"/>
    <x v="1"/>
    <x v="1"/>
    <x v="3"/>
    <n v="2"/>
    <n v="31998"/>
    <x v="679"/>
    <n v="1588"/>
    <n v="62408"/>
    <n v="11681.697749999999"/>
    <x v="1"/>
    <x v="9"/>
  </r>
  <r>
    <n v="10682"/>
    <d v="2025-05-27T00:00:00"/>
    <x v="2"/>
    <x v="3"/>
    <x v="1"/>
    <x v="3"/>
    <n v="8"/>
    <n v="17821"/>
    <x v="680"/>
    <n v="3985"/>
    <n v="138583"/>
    <n v="27429.437549999999"/>
    <x v="1"/>
    <x v="5"/>
  </r>
  <r>
    <n v="10683"/>
    <d v="2025-01-07T00:00:00"/>
    <x v="2"/>
    <x v="1"/>
    <x v="0"/>
    <x v="3"/>
    <n v="3"/>
    <n v="24870"/>
    <x v="681"/>
    <n v="4724"/>
    <n v="69886"/>
    <n v="15233.03953"/>
    <x v="1"/>
    <x v="4"/>
  </r>
  <r>
    <n v="10684"/>
    <d v="2025-07-19T00:00:00"/>
    <x v="3"/>
    <x v="1"/>
    <x v="1"/>
    <x v="0"/>
    <n v="7"/>
    <n v="18410"/>
    <x v="682"/>
    <n v="4998"/>
    <n v="123872"/>
    <n v="29088.3966"/>
    <x v="1"/>
    <x v="10"/>
  </r>
  <r>
    <n v="10685"/>
    <d v="2024-09-15T00:00:00"/>
    <x v="3"/>
    <x v="4"/>
    <x v="0"/>
    <x v="3"/>
    <n v="9"/>
    <n v="24133"/>
    <x v="683"/>
    <n v="1470"/>
    <n v="215727"/>
    <n v="30206.576690000002"/>
    <x v="0"/>
    <x v="2"/>
  </r>
  <r>
    <n v="10686"/>
    <d v="2025-10-17T00:00:00"/>
    <x v="0"/>
    <x v="0"/>
    <x v="1"/>
    <x v="1"/>
    <n v="4"/>
    <n v="28359"/>
    <x v="684"/>
    <n v="3914"/>
    <n v="109522"/>
    <n v="14252.43341"/>
    <x v="1"/>
    <x v="8"/>
  </r>
  <r>
    <n v="10687"/>
    <d v="2025-04-15T00:00:00"/>
    <x v="3"/>
    <x v="2"/>
    <x v="2"/>
    <x v="0"/>
    <n v="6"/>
    <n v="66385"/>
    <x v="685"/>
    <n v="3113"/>
    <n v="395197"/>
    <n v="41555.934500000003"/>
    <x v="1"/>
    <x v="0"/>
  </r>
  <r>
    <n v="10688"/>
    <d v="2024-01-12T00:00:00"/>
    <x v="0"/>
    <x v="0"/>
    <x v="0"/>
    <x v="3"/>
    <n v="9"/>
    <n v="32400"/>
    <x v="686"/>
    <n v="4490"/>
    <n v="287110"/>
    <n v="44649.016000000003"/>
    <x v="0"/>
    <x v="4"/>
  </r>
  <r>
    <n v="10689"/>
    <d v="2024-11-25T00:00:00"/>
    <x v="0"/>
    <x v="3"/>
    <x v="2"/>
    <x v="0"/>
    <n v="5"/>
    <n v="39173"/>
    <x v="687"/>
    <n v="4342"/>
    <n v="191523"/>
    <n v="43461.884120000002"/>
    <x v="0"/>
    <x v="7"/>
  </r>
  <r>
    <n v="10690"/>
    <d v="2024-12-23T00:00:00"/>
    <x v="0"/>
    <x v="0"/>
    <x v="1"/>
    <x v="0"/>
    <n v="1"/>
    <n v="16179"/>
    <x v="688"/>
    <n v="3362"/>
    <n v="12817"/>
    <n v="1416.0043989999999"/>
    <x v="0"/>
    <x v="3"/>
  </r>
  <r>
    <n v="10691"/>
    <d v="2025-02-11T00:00:00"/>
    <x v="2"/>
    <x v="1"/>
    <x v="2"/>
    <x v="0"/>
    <n v="3"/>
    <n v="66886"/>
    <x v="689"/>
    <n v="1636"/>
    <n v="199022"/>
    <n v="35978.801399999997"/>
    <x v="1"/>
    <x v="9"/>
  </r>
  <r>
    <n v="10692"/>
    <d v="2025-10-29T00:00:00"/>
    <x v="2"/>
    <x v="3"/>
    <x v="1"/>
    <x v="2"/>
    <n v="9"/>
    <n v="40495"/>
    <x v="690"/>
    <n v="2912"/>
    <n v="361543"/>
    <n v="73833.695189999999"/>
    <x v="1"/>
    <x v="8"/>
  </r>
  <r>
    <n v="10693"/>
    <d v="2025-01-07T00:00:00"/>
    <x v="3"/>
    <x v="0"/>
    <x v="0"/>
    <x v="3"/>
    <n v="3"/>
    <n v="11487"/>
    <x v="691"/>
    <n v="1472"/>
    <n v="32989"/>
    <n v="7439.9417059999996"/>
    <x v="1"/>
    <x v="4"/>
  </r>
  <r>
    <n v="10694"/>
    <d v="2024-01-08T00:00:00"/>
    <x v="2"/>
    <x v="3"/>
    <x v="1"/>
    <x v="2"/>
    <n v="2"/>
    <n v="19760"/>
    <x v="692"/>
    <n v="1244"/>
    <n v="38276"/>
    <n v="7177.3068510000003"/>
    <x v="0"/>
    <x v="4"/>
  </r>
  <r>
    <n v="10695"/>
    <d v="2024-05-01T00:00:00"/>
    <x v="3"/>
    <x v="2"/>
    <x v="1"/>
    <x v="1"/>
    <n v="4"/>
    <n v="76827"/>
    <x v="693"/>
    <n v="3737"/>
    <n v="303571"/>
    <n v="38841.302770000002"/>
    <x v="0"/>
    <x v="5"/>
  </r>
  <r>
    <n v="10696"/>
    <d v="2024-12-13T00:00:00"/>
    <x v="2"/>
    <x v="0"/>
    <x v="0"/>
    <x v="1"/>
    <n v="5"/>
    <n v="34403"/>
    <x v="694"/>
    <n v="2098"/>
    <n v="169917"/>
    <n v="41575.366110000003"/>
    <x v="0"/>
    <x v="3"/>
  </r>
  <r>
    <n v="10697"/>
    <d v="2025-11-06T00:00:00"/>
    <x v="4"/>
    <x v="1"/>
    <x v="1"/>
    <x v="2"/>
    <n v="7"/>
    <n v="73037"/>
    <x v="695"/>
    <n v="2597"/>
    <n v="508662"/>
    <n v="58088.043989999998"/>
    <x v="1"/>
    <x v="7"/>
  </r>
  <r>
    <n v="10698"/>
    <d v="2024-03-30T00:00:00"/>
    <x v="4"/>
    <x v="3"/>
    <x v="0"/>
    <x v="3"/>
    <n v="7"/>
    <n v="6755"/>
    <x v="696"/>
    <n v="2512"/>
    <n v="44773"/>
    <n v="9641.8629430000001"/>
    <x v="0"/>
    <x v="1"/>
  </r>
  <r>
    <n v="10699"/>
    <d v="2025-10-09T00:00:00"/>
    <x v="3"/>
    <x v="4"/>
    <x v="1"/>
    <x v="0"/>
    <n v="9"/>
    <n v="41158"/>
    <x v="697"/>
    <n v="4514"/>
    <n v="365908"/>
    <n v="41341.706870000002"/>
    <x v="1"/>
    <x v="8"/>
  </r>
  <r>
    <n v="10700"/>
    <d v="2025-11-28T00:00:00"/>
    <x v="2"/>
    <x v="3"/>
    <x v="0"/>
    <x v="1"/>
    <n v="8"/>
    <n v="76352"/>
    <x v="698"/>
    <n v="258"/>
    <n v="610558"/>
    <n v="74190.652530000007"/>
    <x v="1"/>
    <x v="7"/>
  </r>
  <r>
    <n v="10701"/>
    <d v="2024-11-11T00:00:00"/>
    <x v="2"/>
    <x v="4"/>
    <x v="2"/>
    <x v="1"/>
    <n v="2"/>
    <n v="37616"/>
    <x v="699"/>
    <n v="2358"/>
    <n v="72874"/>
    <n v="17105.884480000001"/>
    <x v="0"/>
    <x v="7"/>
  </r>
  <r>
    <n v="10702"/>
    <d v="2024-06-26T00:00:00"/>
    <x v="0"/>
    <x v="1"/>
    <x v="1"/>
    <x v="1"/>
    <n v="8"/>
    <n v="72426"/>
    <x v="700"/>
    <n v="3393"/>
    <n v="576015"/>
    <n v="122668.8449"/>
    <x v="0"/>
    <x v="11"/>
  </r>
  <r>
    <n v="10703"/>
    <d v="2025-06-23T00:00:00"/>
    <x v="1"/>
    <x v="2"/>
    <x v="1"/>
    <x v="3"/>
    <n v="8"/>
    <n v="29966"/>
    <x v="701"/>
    <n v="3778"/>
    <n v="235950"/>
    <n v="36531.251490000002"/>
    <x v="1"/>
    <x v="11"/>
  </r>
  <r>
    <n v="10704"/>
    <d v="2024-02-10T00:00:00"/>
    <x v="3"/>
    <x v="4"/>
    <x v="1"/>
    <x v="2"/>
    <n v="5"/>
    <n v="12688"/>
    <x v="702"/>
    <n v="3411"/>
    <n v="60029"/>
    <n v="11754.19766"/>
    <x v="0"/>
    <x v="9"/>
  </r>
  <r>
    <n v="10705"/>
    <d v="2025-12-04T00:00:00"/>
    <x v="1"/>
    <x v="2"/>
    <x v="0"/>
    <x v="2"/>
    <n v="3"/>
    <n v="44484"/>
    <x v="703"/>
    <n v="1268"/>
    <n v="132184"/>
    <n v="22284.515009999999"/>
    <x v="1"/>
    <x v="3"/>
  </r>
  <r>
    <n v="10706"/>
    <d v="2025-05-16T00:00:00"/>
    <x v="1"/>
    <x v="3"/>
    <x v="1"/>
    <x v="3"/>
    <n v="9"/>
    <n v="64855"/>
    <x v="704"/>
    <n v="939"/>
    <n v="582756"/>
    <n v="64091.891909999998"/>
    <x v="1"/>
    <x v="5"/>
  </r>
  <r>
    <n v="10707"/>
    <d v="2024-05-24T00:00:00"/>
    <x v="3"/>
    <x v="1"/>
    <x v="0"/>
    <x v="1"/>
    <n v="7"/>
    <n v="32553"/>
    <x v="705"/>
    <n v="2376"/>
    <n v="225495"/>
    <n v="46941.100780000001"/>
    <x v="0"/>
    <x v="5"/>
  </r>
  <r>
    <n v="10708"/>
    <d v="2024-07-19T00:00:00"/>
    <x v="2"/>
    <x v="4"/>
    <x v="1"/>
    <x v="3"/>
    <n v="1"/>
    <n v="74282"/>
    <x v="706"/>
    <n v="3951"/>
    <n v="70331"/>
    <n v="15085.18075"/>
    <x v="0"/>
    <x v="10"/>
  </r>
  <r>
    <n v="10709"/>
    <d v="2025-12-24T00:00:00"/>
    <x v="3"/>
    <x v="3"/>
    <x v="2"/>
    <x v="3"/>
    <n v="8"/>
    <n v="62442"/>
    <x v="707"/>
    <n v="195"/>
    <n v="499341"/>
    <n v="116022.48450000001"/>
    <x v="1"/>
    <x v="3"/>
  </r>
  <r>
    <n v="10710"/>
    <d v="2025-04-05T00:00:00"/>
    <x v="1"/>
    <x v="0"/>
    <x v="1"/>
    <x v="2"/>
    <n v="5"/>
    <n v="23579"/>
    <x v="708"/>
    <n v="4157"/>
    <n v="113738"/>
    <n v="20597.451580000001"/>
    <x v="1"/>
    <x v="0"/>
  </r>
  <r>
    <n v="10711"/>
    <d v="2025-07-11T00:00:00"/>
    <x v="2"/>
    <x v="3"/>
    <x v="2"/>
    <x v="3"/>
    <n v="6"/>
    <n v="18014"/>
    <x v="709"/>
    <n v="3096"/>
    <n v="104988"/>
    <n v="21099.51108"/>
    <x v="1"/>
    <x v="10"/>
  </r>
  <r>
    <n v="10712"/>
    <d v="2025-06-30T00:00:00"/>
    <x v="4"/>
    <x v="2"/>
    <x v="0"/>
    <x v="3"/>
    <n v="9"/>
    <n v="53443"/>
    <x v="710"/>
    <n v="3635"/>
    <n v="477352"/>
    <n v="79100.836500000005"/>
    <x v="1"/>
    <x v="11"/>
  </r>
  <r>
    <n v="10713"/>
    <d v="2024-09-09T00:00:00"/>
    <x v="3"/>
    <x v="1"/>
    <x v="2"/>
    <x v="1"/>
    <n v="8"/>
    <n v="46961"/>
    <x v="711"/>
    <n v="561"/>
    <n v="375127"/>
    <n v="55457.421049999997"/>
    <x v="0"/>
    <x v="2"/>
  </r>
  <r>
    <n v="10714"/>
    <d v="2025-01-24T00:00:00"/>
    <x v="3"/>
    <x v="1"/>
    <x v="1"/>
    <x v="0"/>
    <n v="3"/>
    <n v="61501"/>
    <x v="712"/>
    <n v="3449"/>
    <n v="181054"/>
    <n v="29286.389640000001"/>
    <x v="1"/>
    <x v="4"/>
  </r>
  <r>
    <n v="10715"/>
    <d v="2025-08-16T00:00:00"/>
    <x v="2"/>
    <x v="3"/>
    <x v="1"/>
    <x v="1"/>
    <n v="5"/>
    <n v="63914"/>
    <x v="713"/>
    <n v="3366"/>
    <n v="316204"/>
    <n v="74865.36133"/>
    <x v="1"/>
    <x v="6"/>
  </r>
  <r>
    <n v="10716"/>
    <d v="2024-09-12T00:00:00"/>
    <x v="4"/>
    <x v="0"/>
    <x v="0"/>
    <x v="2"/>
    <n v="4"/>
    <n v="41397"/>
    <x v="714"/>
    <n v="3123"/>
    <n v="162465"/>
    <n v="20247.313170000001"/>
    <x v="0"/>
    <x v="2"/>
  </r>
  <r>
    <n v="10717"/>
    <d v="2025-12-09T00:00:00"/>
    <x v="4"/>
    <x v="2"/>
    <x v="1"/>
    <x v="0"/>
    <n v="1"/>
    <n v="78302"/>
    <x v="715"/>
    <n v="2891"/>
    <n v="75411"/>
    <n v="10352.042960000001"/>
    <x v="1"/>
    <x v="3"/>
  </r>
  <r>
    <n v="10718"/>
    <d v="2025-03-25T00:00:00"/>
    <x v="2"/>
    <x v="3"/>
    <x v="1"/>
    <x v="1"/>
    <n v="5"/>
    <n v="76683"/>
    <x v="716"/>
    <n v="39"/>
    <n v="383376"/>
    <n v="73197.450129999997"/>
    <x v="1"/>
    <x v="1"/>
  </r>
  <r>
    <n v="10719"/>
    <d v="2024-01-10T00:00:00"/>
    <x v="0"/>
    <x v="3"/>
    <x v="0"/>
    <x v="3"/>
    <n v="7"/>
    <n v="52178"/>
    <x v="717"/>
    <n v="1767"/>
    <n v="363479"/>
    <n v="42687.772770000003"/>
    <x v="0"/>
    <x v="4"/>
  </r>
  <r>
    <n v="10720"/>
    <d v="2024-08-29T00:00:00"/>
    <x v="3"/>
    <x v="1"/>
    <x v="0"/>
    <x v="3"/>
    <n v="1"/>
    <n v="6063"/>
    <x v="718"/>
    <n v="2504"/>
    <n v="3559"/>
    <n v="832.02186949999998"/>
    <x v="0"/>
    <x v="6"/>
  </r>
  <r>
    <n v="10721"/>
    <d v="2024-09-07T00:00:00"/>
    <x v="3"/>
    <x v="2"/>
    <x v="2"/>
    <x v="0"/>
    <n v="4"/>
    <n v="79366"/>
    <x v="719"/>
    <n v="787"/>
    <n v="316677"/>
    <n v="33911.50088"/>
    <x v="0"/>
    <x v="2"/>
  </r>
  <r>
    <n v="10722"/>
    <d v="2024-01-05T00:00:00"/>
    <x v="1"/>
    <x v="0"/>
    <x v="0"/>
    <x v="0"/>
    <n v="6"/>
    <n v="14334"/>
    <x v="720"/>
    <n v="1876"/>
    <n v="84128"/>
    <n v="17944.23689"/>
    <x v="0"/>
    <x v="4"/>
  </r>
  <r>
    <n v="10723"/>
    <d v="2024-04-28T00:00:00"/>
    <x v="2"/>
    <x v="1"/>
    <x v="1"/>
    <x v="3"/>
    <n v="9"/>
    <n v="30127"/>
    <x v="721"/>
    <n v="4097"/>
    <n v="267046"/>
    <n v="41674.987009999997"/>
    <x v="0"/>
    <x v="0"/>
  </r>
  <r>
    <n v="10724"/>
    <d v="2025-01-08T00:00:00"/>
    <x v="1"/>
    <x v="3"/>
    <x v="0"/>
    <x v="2"/>
    <n v="8"/>
    <n v="41043"/>
    <x v="722"/>
    <n v="1492"/>
    <n v="326852"/>
    <n v="35193.735509999999"/>
    <x v="1"/>
    <x v="4"/>
  </r>
  <r>
    <n v="10725"/>
    <d v="2024-03-05T00:00:00"/>
    <x v="1"/>
    <x v="1"/>
    <x v="1"/>
    <x v="1"/>
    <n v="2"/>
    <n v="71512"/>
    <x v="723"/>
    <n v="1129"/>
    <n v="141895"/>
    <n v="32130.588019999999"/>
    <x v="0"/>
    <x v="1"/>
  </r>
  <r>
    <n v="10726"/>
    <d v="2024-05-25T00:00:00"/>
    <x v="4"/>
    <x v="1"/>
    <x v="2"/>
    <x v="3"/>
    <n v="3"/>
    <n v="9069"/>
    <x v="724"/>
    <n v="2263"/>
    <n v="24944"/>
    <n v="4890.7460140000003"/>
    <x v="0"/>
    <x v="5"/>
  </r>
  <r>
    <n v="10727"/>
    <d v="2024-08-11T00:00:00"/>
    <x v="3"/>
    <x v="4"/>
    <x v="0"/>
    <x v="1"/>
    <n v="5"/>
    <n v="20604"/>
    <x v="725"/>
    <n v="4872"/>
    <n v="98148"/>
    <n v="9945.2196879999992"/>
    <x v="0"/>
    <x v="6"/>
  </r>
  <r>
    <n v="10728"/>
    <d v="2024-08-26T00:00:00"/>
    <x v="1"/>
    <x v="1"/>
    <x v="1"/>
    <x v="1"/>
    <n v="7"/>
    <n v="19612"/>
    <x v="726"/>
    <n v="4509"/>
    <n v="132775"/>
    <n v="18605.751090000002"/>
    <x v="0"/>
    <x v="6"/>
  </r>
  <r>
    <n v="10729"/>
    <d v="2024-06-25T00:00:00"/>
    <x v="4"/>
    <x v="1"/>
    <x v="0"/>
    <x v="1"/>
    <n v="3"/>
    <n v="54102"/>
    <x v="727"/>
    <n v="4021"/>
    <n v="158285"/>
    <n v="24187.030849999999"/>
    <x v="0"/>
    <x v="11"/>
  </r>
  <r>
    <n v="10730"/>
    <d v="2024-10-08T00:00:00"/>
    <x v="2"/>
    <x v="2"/>
    <x v="0"/>
    <x v="1"/>
    <n v="7"/>
    <n v="44170"/>
    <x v="728"/>
    <n v="4305"/>
    <n v="304885"/>
    <n v="45240.885840000003"/>
    <x v="0"/>
    <x v="8"/>
  </r>
  <r>
    <n v="10731"/>
    <d v="2024-03-03T00:00:00"/>
    <x v="1"/>
    <x v="1"/>
    <x v="0"/>
    <x v="2"/>
    <n v="5"/>
    <n v="50101"/>
    <x v="729"/>
    <n v="2185"/>
    <n v="248320"/>
    <n v="43394.243900000001"/>
    <x v="0"/>
    <x v="1"/>
  </r>
  <r>
    <n v="10732"/>
    <d v="2024-08-04T00:00:00"/>
    <x v="3"/>
    <x v="0"/>
    <x v="0"/>
    <x v="2"/>
    <n v="6"/>
    <n v="70881"/>
    <x v="730"/>
    <n v="1644"/>
    <n v="423642"/>
    <n v="75840.578800000003"/>
    <x v="0"/>
    <x v="6"/>
  </r>
  <r>
    <n v="10733"/>
    <d v="2025-11-19T00:00:00"/>
    <x v="1"/>
    <x v="3"/>
    <x v="2"/>
    <x v="2"/>
    <n v="6"/>
    <n v="42710"/>
    <x v="731"/>
    <n v="3560"/>
    <n v="252700"/>
    <n v="40308.961040000002"/>
    <x v="1"/>
    <x v="7"/>
  </r>
  <r>
    <n v="10734"/>
    <d v="2025-04-05T00:00:00"/>
    <x v="2"/>
    <x v="2"/>
    <x v="1"/>
    <x v="3"/>
    <n v="4"/>
    <n v="14363"/>
    <x v="732"/>
    <n v="2685"/>
    <n v="54767"/>
    <n v="8202.209922"/>
    <x v="1"/>
    <x v="0"/>
  </r>
  <r>
    <n v="10735"/>
    <d v="2025-09-01T00:00:00"/>
    <x v="1"/>
    <x v="1"/>
    <x v="0"/>
    <x v="3"/>
    <n v="8"/>
    <n v="8770"/>
    <x v="733"/>
    <n v="4821"/>
    <n v="65339"/>
    <n v="11477.54017"/>
    <x v="1"/>
    <x v="2"/>
  </r>
  <r>
    <n v="10736"/>
    <d v="2024-04-14T00:00:00"/>
    <x v="3"/>
    <x v="0"/>
    <x v="1"/>
    <x v="3"/>
    <n v="9"/>
    <n v="49121"/>
    <x v="734"/>
    <n v="1412"/>
    <n v="440677"/>
    <n v="46289.730349999998"/>
    <x v="0"/>
    <x v="0"/>
  </r>
  <r>
    <n v="10737"/>
    <d v="2024-04-08T00:00:00"/>
    <x v="4"/>
    <x v="3"/>
    <x v="2"/>
    <x v="2"/>
    <n v="2"/>
    <n v="78960"/>
    <x v="735"/>
    <n v="1221"/>
    <n v="156699"/>
    <n v="30835.27059"/>
    <x v="0"/>
    <x v="0"/>
  </r>
  <r>
    <n v="10738"/>
    <d v="2025-05-25T00:00:00"/>
    <x v="3"/>
    <x v="2"/>
    <x v="1"/>
    <x v="1"/>
    <n v="9"/>
    <n v="16990"/>
    <x v="736"/>
    <n v="2249"/>
    <n v="150661"/>
    <n v="28760.789799999999"/>
    <x v="1"/>
    <x v="5"/>
  </r>
  <r>
    <n v="10739"/>
    <d v="2025-01-19T00:00:00"/>
    <x v="4"/>
    <x v="0"/>
    <x v="1"/>
    <x v="2"/>
    <n v="4"/>
    <n v="78584"/>
    <x v="737"/>
    <n v="2239"/>
    <n v="312097"/>
    <n v="44281.249280000004"/>
    <x v="1"/>
    <x v="4"/>
  </r>
  <r>
    <n v="10740"/>
    <d v="2025-02-08T00:00:00"/>
    <x v="0"/>
    <x v="1"/>
    <x v="2"/>
    <x v="3"/>
    <n v="6"/>
    <n v="49659"/>
    <x v="738"/>
    <n v="4202"/>
    <n v="293752"/>
    <n v="37285.15324"/>
    <x v="1"/>
    <x v="9"/>
  </r>
  <r>
    <n v="10741"/>
    <d v="2025-06-01T00:00:00"/>
    <x v="3"/>
    <x v="4"/>
    <x v="0"/>
    <x v="0"/>
    <n v="7"/>
    <n v="37137"/>
    <x v="739"/>
    <n v="4422"/>
    <n v="255537"/>
    <n v="28351.254140000001"/>
    <x v="1"/>
    <x v="11"/>
  </r>
  <r>
    <n v="10742"/>
    <d v="2025-04-20T00:00:00"/>
    <x v="3"/>
    <x v="4"/>
    <x v="1"/>
    <x v="3"/>
    <n v="4"/>
    <n v="20573"/>
    <x v="740"/>
    <n v="643"/>
    <n v="81649"/>
    <n v="15358.30449"/>
    <x v="1"/>
    <x v="0"/>
  </r>
  <r>
    <n v="10743"/>
    <d v="2025-12-09T00:00:00"/>
    <x v="2"/>
    <x v="2"/>
    <x v="1"/>
    <x v="1"/>
    <n v="8"/>
    <n v="21834"/>
    <x v="741"/>
    <n v="4452"/>
    <n v="170220"/>
    <n v="31547.730660000001"/>
    <x v="1"/>
    <x v="3"/>
  </r>
  <r>
    <n v="10744"/>
    <d v="2025-10-06T00:00:00"/>
    <x v="1"/>
    <x v="0"/>
    <x v="0"/>
    <x v="2"/>
    <n v="8"/>
    <n v="14554"/>
    <x v="742"/>
    <n v="2548"/>
    <n v="113884"/>
    <n v="20498.85961"/>
    <x v="1"/>
    <x v="8"/>
  </r>
  <r>
    <n v="10745"/>
    <d v="2025-03-12T00:00:00"/>
    <x v="4"/>
    <x v="3"/>
    <x v="0"/>
    <x v="0"/>
    <n v="1"/>
    <n v="58797"/>
    <x v="743"/>
    <n v="4603"/>
    <n v="54194"/>
    <n v="13431.589459999999"/>
    <x v="1"/>
    <x v="1"/>
  </r>
  <r>
    <n v="10746"/>
    <d v="2024-01-23T00:00:00"/>
    <x v="4"/>
    <x v="0"/>
    <x v="1"/>
    <x v="0"/>
    <n v="8"/>
    <n v="18015"/>
    <x v="744"/>
    <n v="3805"/>
    <n v="140315"/>
    <n v="25219.041789999999"/>
    <x v="0"/>
    <x v="4"/>
  </r>
  <r>
    <n v="10747"/>
    <d v="2025-07-18T00:00:00"/>
    <x v="2"/>
    <x v="4"/>
    <x v="2"/>
    <x v="1"/>
    <n v="3"/>
    <n v="9734"/>
    <x v="745"/>
    <n v="4290"/>
    <n v="24912"/>
    <n v="5188.3876"/>
    <x v="1"/>
    <x v="10"/>
  </r>
  <r>
    <n v="10748"/>
    <d v="2025-11-07T00:00:00"/>
    <x v="2"/>
    <x v="2"/>
    <x v="0"/>
    <x v="2"/>
    <n v="5"/>
    <n v="64617"/>
    <x v="746"/>
    <n v="4142"/>
    <n v="318943"/>
    <n v="37296.473859999998"/>
    <x v="1"/>
    <x v="7"/>
  </r>
  <r>
    <n v="10749"/>
    <d v="2025-12-14T00:00:00"/>
    <x v="1"/>
    <x v="1"/>
    <x v="0"/>
    <x v="0"/>
    <n v="8"/>
    <n v="54592"/>
    <x v="747"/>
    <n v="1385"/>
    <n v="435351"/>
    <n v="63058.684809999999"/>
    <x v="1"/>
    <x v="3"/>
  </r>
  <r>
    <n v="10750"/>
    <d v="2025-04-02T00:00:00"/>
    <x v="1"/>
    <x v="0"/>
    <x v="2"/>
    <x v="3"/>
    <n v="6"/>
    <n v="38581"/>
    <x v="748"/>
    <n v="2584"/>
    <n v="228902"/>
    <n v="32347.742160000002"/>
    <x v="1"/>
    <x v="0"/>
  </r>
  <r>
    <n v="10751"/>
    <d v="2024-03-23T00:00:00"/>
    <x v="3"/>
    <x v="4"/>
    <x v="1"/>
    <x v="1"/>
    <n v="4"/>
    <n v="33917"/>
    <x v="749"/>
    <n v="1601"/>
    <n v="134067"/>
    <n v="24989.596219999999"/>
    <x v="0"/>
    <x v="1"/>
  </r>
  <r>
    <n v="10752"/>
    <d v="2024-05-24T00:00:00"/>
    <x v="0"/>
    <x v="3"/>
    <x v="0"/>
    <x v="0"/>
    <n v="4"/>
    <n v="11643"/>
    <x v="750"/>
    <n v="4942"/>
    <n v="41630"/>
    <n v="6228.7632039999999"/>
    <x v="0"/>
    <x v="5"/>
  </r>
  <r>
    <n v="10753"/>
    <d v="2024-03-25T00:00:00"/>
    <x v="1"/>
    <x v="2"/>
    <x v="1"/>
    <x v="1"/>
    <n v="4"/>
    <n v="18269"/>
    <x v="751"/>
    <n v="4804"/>
    <n v="68272"/>
    <n v="13392.23306"/>
    <x v="0"/>
    <x v="1"/>
  </r>
  <r>
    <n v="10754"/>
    <d v="2024-03-18T00:00:00"/>
    <x v="2"/>
    <x v="1"/>
    <x v="1"/>
    <x v="2"/>
    <n v="6"/>
    <n v="23358"/>
    <x v="752"/>
    <n v="3317"/>
    <n v="136831"/>
    <n v="27846.950369999999"/>
    <x v="0"/>
    <x v="1"/>
  </r>
  <r>
    <n v="10755"/>
    <d v="2025-04-01T00:00:00"/>
    <x v="1"/>
    <x v="0"/>
    <x v="1"/>
    <x v="2"/>
    <n v="7"/>
    <n v="5203"/>
    <x v="753"/>
    <n v="807"/>
    <n v="35614"/>
    <n v="3741.3744790000001"/>
    <x v="1"/>
    <x v="0"/>
  </r>
  <r>
    <n v="10756"/>
    <d v="2024-01-01T00:00:00"/>
    <x v="4"/>
    <x v="3"/>
    <x v="2"/>
    <x v="2"/>
    <n v="5"/>
    <n v="66758"/>
    <x v="754"/>
    <n v="2659"/>
    <n v="331131"/>
    <n v="64889.641660000001"/>
    <x v="0"/>
    <x v="4"/>
  </r>
  <r>
    <n v="10757"/>
    <d v="2024-02-20T00:00:00"/>
    <x v="0"/>
    <x v="1"/>
    <x v="1"/>
    <x v="3"/>
    <n v="8"/>
    <n v="61235"/>
    <x v="755"/>
    <n v="114"/>
    <n v="489766"/>
    <n v="57556.371890000002"/>
    <x v="0"/>
    <x v="9"/>
  </r>
  <r>
    <n v="10758"/>
    <d v="2025-11-15T00:00:00"/>
    <x v="3"/>
    <x v="4"/>
    <x v="1"/>
    <x v="0"/>
    <n v="7"/>
    <n v="40304"/>
    <x v="756"/>
    <n v="2727"/>
    <n v="279401"/>
    <n v="47433.990270000002"/>
    <x v="1"/>
    <x v="7"/>
  </r>
  <r>
    <n v="10759"/>
    <d v="2025-12-17T00:00:00"/>
    <x v="4"/>
    <x v="4"/>
    <x v="0"/>
    <x v="2"/>
    <n v="8"/>
    <n v="27172"/>
    <x v="757"/>
    <n v="4726"/>
    <n v="212650"/>
    <n v="44440.976170000002"/>
    <x v="1"/>
    <x v="3"/>
  </r>
  <r>
    <n v="10760"/>
    <d v="2025-03-21T00:00:00"/>
    <x v="4"/>
    <x v="3"/>
    <x v="0"/>
    <x v="3"/>
    <n v="4"/>
    <n v="78834"/>
    <x v="758"/>
    <n v="2266"/>
    <n v="313070"/>
    <n v="64336.432679999998"/>
    <x v="1"/>
    <x v="1"/>
  </r>
  <r>
    <n v="10761"/>
    <d v="2025-03-24T00:00:00"/>
    <x v="0"/>
    <x v="4"/>
    <x v="2"/>
    <x v="2"/>
    <n v="8"/>
    <n v="49857"/>
    <x v="759"/>
    <n v="4292"/>
    <n v="394564"/>
    <n v="57201.277399999999"/>
    <x v="1"/>
    <x v="1"/>
  </r>
  <r>
    <n v="10762"/>
    <d v="2025-05-02T00:00:00"/>
    <x v="3"/>
    <x v="2"/>
    <x v="2"/>
    <x v="2"/>
    <n v="6"/>
    <n v="15411"/>
    <x v="760"/>
    <n v="4496"/>
    <n v="87970"/>
    <n v="12391.003580000001"/>
    <x v="1"/>
    <x v="5"/>
  </r>
  <r>
    <n v="10763"/>
    <d v="2024-02-03T00:00:00"/>
    <x v="2"/>
    <x v="3"/>
    <x v="0"/>
    <x v="0"/>
    <n v="3"/>
    <n v="12825"/>
    <x v="761"/>
    <n v="3901"/>
    <n v="34574"/>
    <n v="5740.4586920000002"/>
    <x v="0"/>
    <x v="9"/>
  </r>
  <r>
    <n v="10764"/>
    <d v="2024-12-13T00:00:00"/>
    <x v="3"/>
    <x v="4"/>
    <x v="0"/>
    <x v="3"/>
    <n v="8"/>
    <n v="43742"/>
    <x v="762"/>
    <n v="2728"/>
    <n v="347208"/>
    <n v="44546.808080000003"/>
    <x v="0"/>
    <x v="3"/>
  </r>
  <r>
    <n v="10765"/>
    <d v="2024-04-04T00:00:00"/>
    <x v="1"/>
    <x v="0"/>
    <x v="2"/>
    <x v="2"/>
    <n v="7"/>
    <n v="74626"/>
    <x v="763"/>
    <n v="4171"/>
    <n v="518211"/>
    <n v="127586.0625"/>
    <x v="0"/>
    <x v="0"/>
  </r>
  <r>
    <n v="10766"/>
    <d v="2024-03-12T00:00:00"/>
    <x v="4"/>
    <x v="4"/>
    <x v="1"/>
    <x v="3"/>
    <n v="5"/>
    <n v="63301"/>
    <x v="764"/>
    <n v="1449"/>
    <n v="315056"/>
    <n v="47805.82892"/>
    <x v="0"/>
    <x v="1"/>
  </r>
  <r>
    <n v="10767"/>
    <d v="2025-07-04T00:00:00"/>
    <x v="1"/>
    <x v="2"/>
    <x v="2"/>
    <x v="3"/>
    <n v="4"/>
    <n v="28340"/>
    <x v="765"/>
    <n v="4382"/>
    <n v="108978"/>
    <n v="25985.694149999999"/>
    <x v="1"/>
    <x v="10"/>
  </r>
  <r>
    <n v="10768"/>
    <d v="2024-06-02T00:00:00"/>
    <x v="2"/>
    <x v="1"/>
    <x v="1"/>
    <x v="2"/>
    <n v="1"/>
    <n v="32151"/>
    <x v="766"/>
    <n v="1568"/>
    <n v="30583"/>
    <n v="7224.9201039999998"/>
    <x v="0"/>
    <x v="11"/>
  </r>
  <r>
    <n v="10769"/>
    <d v="2024-09-06T00:00:00"/>
    <x v="1"/>
    <x v="1"/>
    <x v="0"/>
    <x v="2"/>
    <n v="3"/>
    <n v="48327"/>
    <x v="767"/>
    <n v="1322"/>
    <n v="143659"/>
    <n v="22227.97611"/>
    <x v="0"/>
    <x v="2"/>
  </r>
  <r>
    <n v="10770"/>
    <d v="2025-11-04T00:00:00"/>
    <x v="3"/>
    <x v="4"/>
    <x v="0"/>
    <x v="1"/>
    <n v="2"/>
    <n v="14252"/>
    <x v="768"/>
    <n v="860"/>
    <n v="27644"/>
    <n v="3817.9873360000001"/>
    <x v="1"/>
    <x v="7"/>
  </r>
  <r>
    <n v="10771"/>
    <d v="2025-03-13T00:00:00"/>
    <x v="1"/>
    <x v="1"/>
    <x v="0"/>
    <x v="0"/>
    <n v="8"/>
    <n v="40314"/>
    <x v="769"/>
    <n v="741"/>
    <n v="321771"/>
    <n v="69381.982940000002"/>
    <x v="1"/>
    <x v="1"/>
  </r>
  <r>
    <n v="10772"/>
    <d v="2024-04-27T00:00:00"/>
    <x v="2"/>
    <x v="4"/>
    <x v="1"/>
    <x v="2"/>
    <n v="8"/>
    <n v="74272"/>
    <x v="770"/>
    <n v="1730"/>
    <n v="592446"/>
    <n v="79628.698239999998"/>
    <x v="0"/>
    <x v="0"/>
  </r>
  <r>
    <n v="10773"/>
    <d v="2024-11-01T00:00:00"/>
    <x v="2"/>
    <x v="2"/>
    <x v="2"/>
    <x v="1"/>
    <n v="5"/>
    <n v="52368"/>
    <x v="771"/>
    <n v="4904"/>
    <n v="256936"/>
    <n v="45782.644370000002"/>
    <x v="0"/>
    <x v="7"/>
  </r>
  <r>
    <n v="10774"/>
    <d v="2024-09-24T00:00:00"/>
    <x v="2"/>
    <x v="1"/>
    <x v="1"/>
    <x v="0"/>
    <n v="5"/>
    <n v="66110"/>
    <x v="772"/>
    <n v="2933"/>
    <n v="327617"/>
    <n v="38201.258119999999"/>
    <x v="0"/>
    <x v="2"/>
  </r>
  <r>
    <n v="10775"/>
    <d v="2024-02-23T00:00:00"/>
    <x v="3"/>
    <x v="0"/>
    <x v="2"/>
    <x v="2"/>
    <n v="4"/>
    <n v="6672"/>
    <x v="773"/>
    <n v="3518"/>
    <n v="23170"/>
    <n v="3658.3072029999998"/>
    <x v="0"/>
    <x v="9"/>
  </r>
  <r>
    <n v="10776"/>
    <d v="2024-08-23T00:00:00"/>
    <x v="2"/>
    <x v="4"/>
    <x v="2"/>
    <x v="3"/>
    <n v="1"/>
    <n v="70937"/>
    <x v="774"/>
    <n v="4509"/>
    <n v="66428"/>
    <n v="7421.5512900000003"/>
    <x v="0"/>
    <x v="6"/>
  </r>
  <r>
    <n v="10777"/>
    <d v="2025-01-23T00:00:00"/>
    <x v="4"/>
    <x v="1"/>
    <x v="2"/>
    <x v="0"/>
    <n v="1"/>
    <n v="20322"/>
    <x v="775"/>
    <n v="4526"/>
    <n v="15796"/>
    <n v="2251.181771"/>
    <x v="1"/>
    <x v="4"/>
  </r>
  <r>
    <n v="10778"/>
    <d v="2025-02-04T00:00:00"/>
    <x v="2"/>
    <x v="2"/>
    <x v="0"/>
    <x v="3"/>
    <n v="6"/>
    <n v="16191"/>
    <x v="776"/>
    <n v="3167"/>
    <n v="93979"/>
    <n v="18776.446029999999"/>
    <x v="1"/>
    <x v="9"/>
  </r>
  <r>
    <n v="10779"/>
    <d v="2025-09-15T00:00:00"/>
    <x v="1"/>
    <x v="2"/>
    <x v="2"/>
    <x v="1"/>
    <n v="4"/>
    <n v="42081"/>
    <x v="777"/>
    <n v="1918"/>
    <n v="166406"/>
    <n v="41384.518799999998"/>
    <x v="1"/>
    <x v="2"/>
  </r>
  <r>
    <n v="10780"/>
    <d v="2024-10-29T00:00:00"/>
    <x v="1"/>
    <x v="0"/>
    <x v="0"/>
    <x v="2"/>
    <n v="4"/>
    <n v="19665"/>
    <x v="778"/>
    <n v="2218"/>
    <n v="76442"/>
    <n v="10565.90034"/>
    <x v="0"/>
    <x v="8"/>
  </r>
  <r>
    <n v="10781"/>
    <d v="2024-07-25T00:00:00"/>
    <x v="1"/>
    <x v="2"/>
    <x v="2"/>
    <x v="1"/>
    <n v="3"/>
    <n v="66625"/>
    <x v="779"/>
    <n v="1340"/>
    <n v="198535"/>
    <n v="33949.126360000002"/>
    <x v="0"/>
    <x v="10"/>
  </r>
  <r>
    <n v="10782"/>
    <d v="2024-08-16T00:00:00"/>
    <x v="3"/>
    <x v="2"/>
    <x v="2"/>
    <x v="2"/>
    <n v="9"/>
    <n v="60504"/>
    <x v="780"/>
    <n v="4639"/>
    <n v="539897"/>
    <n v="90274.51298"/>
    <x v="0"/>
    <x v="6"/>
  </r>
  <r>
    <n v="10783"/>
    <d v="2025-07-31T00:00:00"/>
    <x v="1"/>
    <x v="1"/>
    <x v="0"/>
    <x v="2"/>
    <n v="3"/>
    <n v="49594"/>
    <x v="781"/>
    <n v="1514"/>
    <n v="147268"/>
    <n v="18794.79061"/>
    <x v="1"/>
    <x v="10"/>
  </r>
  <r>
    <n v="10784"/>
    <d v="2024-03-15T00:00:00"/>
    <x v="3"/>
    <x v="4"/>
    <x v="0"/>
    <x v="3"/>
    <n v="8"/>
    <n v="62631"/>
    <x v="782"/>
    <n v="1411"/>
    <n v="499637"/>
    <n v="95685.659459999995"/>
    <x v="0"/>
    <x v="1"/>
  </r>
  <r>
    <n v="10785"/>
    <d v="2025-03-10T00:00:00"/>
    <x v="3"/>
    <x v="3"/>
    <x v="1"/>
    <x v="1"/>
    <n v="2"/>
    <n v="54239"/>
    <x v="783"/>
    <n v="3036"/>
    <n v="105442"/>
    <n v="22006.350849999999"/>
    <x v="1"/>
    <x v="1"/>
  </r>
  <r>
    <n v="10786"/>
    <d v="2024-04-12T00:00:00"/>
    <x v="2"/>
    <x v="2"/>
    <x v="2"/>
    <x v="3"/>
    <n v="4"/>
    <n v="61298"/>
    <x v="784"/>
    <n v="4167"/>
    <n v="241025"/>
    <n v="29425.036400000001"/>
    <x v="0"/>
    <x v="0"/>
  </r>
  <r>
    <n v="10787"/>
    <d v="2025-02-25T00:00:00"/>
    <x v="4"/>
    <x v="2"/>
    <x v="0"/>
    <x v="3"/>
    <n v="1"/>
    <n v="7967"/>
    <x v="785"/>
    <n v="1022"/>
    <n v="6945"/>
    <n v="1483.2345230000001"/>
    <x v="1"/>
    <x v="9"/>
  </r>
  <r>
    <n v="10788"/>
    <d v="2025-12-04T00:00:00"/>
    <x v="2"/>
    <x v="3"/>
    <x v="1"/>
    <x v="3"/>
    <n v="5"/>
    <n v="42018"/>
    <x v="786"/>
    <n v="4627"/>
    <n v="205463"/>
    <n v="42124.896529999998"/>
    <x v="1"/>
    <x v="3"/>
  </r>
  <r>
    <n v="10789"/>
    <d v="2024-11-01T00:00:00"/>
    <x v="2"/>
    <x v="2"/>
    <x v="1"/>
    <x v="1"/>
    <n v="2"/>
    <n v="57686"/>
    <x v="787"/>
    <n v="2286"/>
    <n v="113086"/>
    <n v="14656.107550000001"/>
    <x v="0"/>
    <x v="7"/>
  </r>
  <r>
    <n v="10790"/>
    <d v="2024-04-07T00:00:00"/>
    <x v="3"/>
    <x v="1"/>
    <x v="0"/>
    <x v="2"/>
    <n v="1"/>
    <n v="29795"/>
    <x v="788"/>
    <n v="2758"/>
    <n v="27037"/>
    <n v="5335.5395410000001"/>
    <x v="0"/>
    <x v="0"/>
  </r>
  <r>
    <n v="10791"/>
    <d v="2024-11-30T00:00:00"/>
    <x v="3"/>
    <x v="1"/>
    <x v="2"/>
    <x v="2"/>
    <n v="1"/>
    <n v="63826"/>
    <x v="789"/>
    <n v="4672"/>
    <n v="59154"/>
    <n v="9408.4881779999996"/>
    <x v="0"/>
    <x v="7"/>
  </r>
  <r>
    <n v="10792"/>
    <d v="2025-03-10T00:00:00"/>
    <x v="1"/>
    <x v="3"/>
    <x v="1"/>
    <x v="1"/>
    <n v="2"/>
    <n v="73774"/>
    <x v="790"/>
    <n v="3771"/>
    <n v="143777"/>
    <n v="29067.491399999999"/>
    <x v="1"/>
    <x v="1"/>
  </r>
  <r>
    <n v="10793"/>
    <d v="2025-03-22T00:00:00"/>
    <x v="1"/>
    <x v="2"/>
    <x v="2"/>
    <x v="2"/>
    <n v="5"/>
    <n v="13513"/>
    <x v="791"/>
    <n v="1112"/>
    <n v="66453"/>
    <n v="11590.368619999999"/>
    <x v="1"/>
    <x v="1"/>
  </r>
  <r>
    <n v="10794"/>
    <d v="2024-11-03T00:00:00"/>
    <x v="2"/>
    <x v="2"/>
    <x v="2"/>
    <x v="1"/>
    <n v="9"/>
    <n v="73274"/>
    <x v="792"/>
    <n v="1945"/>
    <n v="657521"/>
    <n v="70499.829849999995"/>
    <x v="0"/>
    <x v="7"/>
  </r>
  <r>
    <n v="10795"/>
    <d v="2024-09-05T00:00:00"/>
    <x v="0"/>
    <x v="4"/>
    <x v="1"/>
    <x v="1"/>
    <n v="6"/>
    <n v="75472"/>
    <x v="793"/>
    <n v="4808"/>
    <n v="448024"/>
    <n v="97689.414680000002"/>
    <x v="0"/>
    <x v="2"/>
  </r>
  <r>
    <n v="10796"/>
    <d v="2024-06-14T00:00:00"/>
    <x v="0"/>
    <x v="2"/>
    <x v="0"/>
    <x v="2"/>
    <n v="4"/>
    <n v="39604"/>
    <x v="794"/>
    <n v="1558"/>
    <n v="156858"/>
    <n v="28758.343949999999"/>
    <x v="0"/>
    <x v="11"/>
  </r>
  <r>
    <n v="10797"/>
    <d v="2025-04-25T00:00:00"/>
    <x v="1"/>
    <x v="1"/>
    <x v="2"/>
    <x v="0"/>
    <n v="3"/>
    <n v="72104"/>
    <x v="795"/>
    <n v="3879"/>
    <n v="212433"/>
    <n v="44338.844420000001"/>
    <x v="1"/>
    <x v="0"/>
  </r>
  <r>
    <n v="10798"/>
    <d v="2024-11-30T00:00:00"/>
    <x v="0"/>
    <x v="0"/>
    <x v="0"/>
    <x v="3"/>
    <n v="8"/>
    <n v="70229"/>
    <x v="796"/>
    <n v="641"/>
    <n v="561191"/>
    <n v="66731.651809999996"/>
    <x v="0"/>
    <x v="7"/>
  </r>
  <r>
    <n v="10799"/>
    <d v="2025-06-25T00:00:00"/>
    <x v="1"/>
    <x v="0"/>
    <x v="1"/>
    <x v="1"/>
    <n v="3"/>
    <n v="51815"/>
    <x v="797"/>
    <n v="2237"/>
    <n v="153208"/>
    <n v="31896.506949999999"/>
    <x v="1"/>
    <x v="11"/>
  </r>
  <r>
    <n v="10800"/>
    <d v="2024-04-15T00:00:00"/>
    <x v="3"/>
    <x v="0"/>
    <x v="2"/>
    <x v="1"/>
    <n v="1"/>
    <n v="9720"/>
    <x v="798"/>
    <n v="4907"/>
    <n v="4813"/>
    <n v="779.94630480000001"/>
    <x v="0"/>
    <x v="0"/>
  </r>
  <r>
    <n v="10801"/>
    <d v="2025-07-16T00:00:00"/>
    <x v="2"/>
    <x v="0"/>
    <x v="0"/>
    <x v="0"/>
    <n v="4"/>
    <n v="45725"/>
    <x v="799"/>
    <n v="3486"/>
    <n v="179414"/>
    <n v="39451.354619999998"/>
    <x v="1"/>
    <x v="10"/>
  </r>
  <r>
    <n v="10802"/>
    <d v="2024-03-21T00:00:00"/>
    <x v="4"/>
    <x v="2"/>
    <x v="0"/>
    <x v="1"/>
    <n v="5"/>
    <n v="48923"/>
    <x v="800"/>
    <n v="3225"/>
    <n v="241390"/>
    <n v="45833.897599999997"/>
    <x v="0"/>
    <x v="1"/>
  </r>
  <r>
    <n v="10803"/>
    <d v="2024-05-12T00:00:00"/>
    <x v="2"/>
    <x v="2"/>
    <x v="2"/>
    <x v="1"/>
    <n v="5"/>
    <n v="79080"/>
    <x v="801"/>
    <n v="1014"/>
    <n v="394386"/>
    <n v="60433.864439999998"/>
    <x v="0"/>
    <x v="5"/>
  </r>
  <r>
    <n v="10804"/>
    <d v="2024-05-17T00:00:00"/>
    <x v="1"/>
    <x v="4"/>
    <x v="0"/>
    <x v="2"/>
    <n v="5"/>
    <n v="44293"/>
    <x v="802"/>
    <n v="2021"/>
    <n v="219444"/>
    <n v="28590.81955"/>
    <x v="0"/>
    <x v="5"/>
  </r>
  <r>
    <n v="10805"/>
    <d v="2024-07-02T00:00:00"/>
    <x v="1"/>
    <x v="2"/>
    <x v="0"/>
    <x v="2"/>
    <n v="8"/>
    <n v="78471"/>
    <x v="803"/>
    <n v="2676"/>
    <n v="625092"/>
    <n v="139013.35060000001"/>
    <x v="0"/>
    <x v="10"/>
  </r>
  <r>
    <n v="10806"/>
    <d v="2025-02-04T00:00:00"/>
    <x v="2"/>
    <x v="0"/>
    <x v="1"/>
    <x v="0"/>
    <n v="8"/>
    <n v="35029"/>
    <x v="804"/>
    <n v="1540"/>
    <n v="278692"/>
    <n v="51287.38207"/>
    <x v="1"/>
    <x v="9"/>
  </r>
  <r>
    <n v="10807"/>
    <d v="2024-11-25T00:00:00"/>
    <x v="1"/>
    <x v="3"/>
    <x v="1"/>
    <x v="1"/>
    <n v="4"/>
    <n v="66914"/>
    <x v="805"/>
    <n v="2936"/>
    <n v="264720"/>
    <n v="65682.382230000003"/>
    <x v="0"/>
    <x v="7"/>
  </r>
  <r>
    <n v="10808"/>
    <d v="2025-05-22T00:00:00"/>
    <x v="0"/>
    <x v="3"/>
    <x v="0"/>
    <x v="3"/>
    <n v="9"/>
    <n v="31585"/>
    <x v="806"/>
    <n v="3106"/>
    <n v="281159"/>
    <n v="43867.355159999999"/>
    <x v="1"/>
    <x v="5"/>
  </r>
  <r>
    <n v="10809"/>
    <d v="2024-03-09T00:00:00"/>
    <x v="0"/>
    <x v="1"/>
    <x v="0"/>
    <x v="2"/>
    <n v="1"/>
    <n v="63271"/>
    <x v="807"/>
    <n v="783"/>
    <n v="62488"/>
    <n v="12676.18341"/>
    <x v="0"/>
    <x v="1"/>
  </r>
  <r>
    <n v="10810"/>
    <d v="2025-06-29T00:00:00"/>
    <x v="1"/>
    <x v="1"/>
    <x v="2"/>
    <x v="3"/>
    <n v="5"/>
    <n v="62373"/>
    <x v="808"/>
    <n v="670"/>
    <n v="311195"/>
    <n v="60192.311179999997"/>
    <x v="1"/>
    <x v="11"/>
  </r>
  <r>
    <n v="10811"/>
    <d v="2024-02-22T00:00:00"/>
    <x v="1"/>
    <x v="2"/>
    <x v="1"/>
    <x v="3"/>
    <n v="5"/>
    <n v="28898"/>
    <x v="809"/>
    <n v="2769"/>
    <n v="141721"/>
    <n v="27725.907609999998"/>
    <x v="0"/>
    <x v="9"/>
  </r>
  <r>
    <n v="10812"/>
    <d v="2025-03-25T00:00:00"/>
    <x v="0"/>
    <x v="3"/>
    <x v="2"/>
    <x v="0"/>
    <n v="5"/>
    <n v="28449"/>
    <x v="810"/>
    <n v="2573"/>
    <n v="139672"/>
    <n v="29407.519840000001"/>
    <x v="1"/>
    <x v="1"/>
  </r>
  <r>
    <n v="10813"/>
    <d v="2024-07-23T00:00:00"/>
    <x v="1"/>
    <x v="0"/>
    <x v="0"/>
    <x v="0"/>
    <n v="8"/>
    <n v="11737"/>
    <x v="811"/>
    <n v="2584"/>
    <n v="91312"/>
    <n v="11036.53829"/>
    <x v="0"/>
    <x v="10"/>
  </r>
  <r>
    <n v="10814"/>
    <d v="2024-05-05T00:00:00"/>
    <x v="1"/>
    <x v="0"/>
    <x v="2"/>
    <x v="1"/>
    <n v="9"/>
    <n v="40308"/>
    <x v="812"/>
    <n v="4942"/>
    <n v="357830"/>
    <n v="65284.86924"/>
    <x v="0"/>
    <x v="5"/>
  </r>
  <r>
    <n v="10815"/>
    <d v="2024-02-12T00:00:00"/>
    <x v="2"/>
    <x v="0"/>
    <x v="0"/>
    <x v="0"/>
    <n v="3"/>
    <n v="70494"/>
    <x v="813"/>
    <n v="1277"/>
    <n v="210205"/>
    <n v="37073.74035"/>
    <x v="0"/>
    <x v="9"/>
  </r>
  <r>
    <n v="10816"/>
    <d v="2024-04-20T00:00:00"/>
    <x v="4"/>
    <x v="2"/>
    <x v="1"/>
    <x v="2"/>
    <n v="9"/>
    <n v="62175"/>
    <x v="814"/>
    <n v="3043"/>
    <n v="556532"/>
    <n v="84247.518290000007"/>
    <x v="0"/>
    <x v="0"/>
  </r>
  <r>
    <n v="10817"/>
    <d v="2025-10-24T00:00:00"/>
    <x v="0"/>
    <x v="2"/>
    <x v="1"/>
    <x v="1"/>
    <n v="8"/>
    <n v="34059"/>
    <x v="815"/>
    <n v="3172"/>
    <n v="269300"/>
    <n v="44548.29002"/>
    <x v="1"/>
    <x v="8"/>
  </r>
  <r>
    <n v="10818"/>
    <d v="2024-07-01T00:00:00"/>
    <x v="2"/>
    <x v="4"/>
    <x v="0"/>
    <x v="1"/>
    <n v="3"/>
    <n v="30448"/>
    <x v="816"/>
    <n v="3782"/>
    <n v="87562"/>
    <n v="15570.43346"/>
    <x v="0"/>
    <x v="10"/>
  </r>
  <r>
    <n v="10819"/>
    <d v="2024-04-04T00:00:00"/>
    <x v="4"/>
    <x v="0"/>
    <x v="1"/>
    <x v="3"/>
    <n v="2"/>
    <n v="24708"/>
    <x v="817"/>
    <n v="177"/>
    <n v="49239"/>
    <n v="7294.18408"/>
    <x v="0"/>
    <x v="0"/>
  </r>
  <r>
    <n v="10820"/>
    <d v="2025-01-08T00:00:00"/>
    <x v="1"/>
    <x v="0"/>
    <x v="0"/>
    <x v="3"/>
    <n v="4"/>
    <n v="7986"/>
    <x v="818"/>
    <n v="275"/>
    <n v="31669"/>
    <n v="4559.5070580000001"/>
    <x v="1"/>
    <x v="4"/>
  </r>
  <r>
    <n v="10821"/>
    <d v="2025-06-03T00:00:00"/>
    <x v="1"/>
    <x v="2"/>
    <x v="2"/>
    <x v="3"/>
    <n v="2"/>
    <n v="57934"/>
    <x v="819"/>
    <n v="2359"/>
    <n v="113509"/>
    <n v="23920.987249999998"/>
    <x v="1"/>
    <x v="11"/>
  </r>
  <r>
    <n v="10822"/>
    <d v="2024-12-25T00:00:00"/>
    <x v="2"/>
    <x v="2"/>
    <x v="0"/>
    <x v="1"/>
    <n v="4"/>
    <n v="11485"/>
    <x v="820"/>
    <n v="3481"/>
    <n v="42459"/>
    <n v="4672.0916129999996"/>
    <x v="0"/>
    <x v="3"/>
  </r>
  <r>
    <n v="10823"/>
    <d v="2025-11-26T00:00:00"/>
    <x v="1"/>
    <x v="4"/>
    <x v="2"/>
    <x v="0"/>
    <n v="5"/>
    <n v="16772"/>
    <x v="821"/>
    <n v="4886"/>
    <n v="78974"/>
    <n v="11604.79192"/>
    <x v="1"/>
    <x v="7"/>
  </r>
  <r>
    <n v="10824"/>
    <d v="2024-10-07T00:00:00"/>
    <x v="3"/>
    <x v="4"/>
    <x v="0"/>
    <x v="0"/>
    <n v="2"/>
    <n v="17531"/>
    <x v="822"/>
    <n v="3359"/>
    <n v="31703"/>
    <n v="6278.9906700000001"/>
    <x v="0"/>
    <x v="8"/>
  </r>
  <r>
    <n v="10825"/>
    <d v="2024-07-13T00:00:00"/>
    <x v="2"/>
    <x v="1"/>
    <x v="1"/>
    <x v="0"/>
    <n v="8"/>
    <n v="62564"/>
    <x v="823"/>
    <n v="1424"/>
    <n v="499088"/>
    <n v="65538.212480000002"/>
    <x v="0"/>
    <x v="10"/>
  </r>
  <r>
    <n v="10826"/>
    <d v="2024-07-13T00:00:00"/>
    <x v="4"/>
    <x v="3"/>
    <x v="0"/>
    <x v="1"/>
    <n v="1"/>
    <n v="43635"/>
    <x v="824"/>
    <n v="4122"/>
    <n v="39513"/>
    <n v="7343.1312959999996"/>
    <x v="0"/>
    <x v="10"/>
  </r>
  <r>
    <n v="10827"/>
    <d v="2025-10-28T00:00:00"/>
    <x v="2"/>
    <x v="0"/>
    <x v="0"/>
    <x v="1"/>
    <n v="3"/>
    <n v="30919"/>
    <x v="825"/>
    <n v="2960"/>
    <n v="89797"/>
    <n v="13049.71501"/>
    <x v="1"/>
    <x v="8"/>
  </r>
  <r>
    <n v="10828"/>
    <d v="2024-04-02T00:00:00"/>
    <x v="0"/>
    <x v="0"/>
    <x v="0"/>
    <x v="1"/>
    <n v="7"/>
    <n v="27900"/>
    <x v="826"/>
    <n v="2469"/>
    <n v="192831"/>
    <n v="43675.294179999997"/>
    <x v="0"/>
    <x v="0"/>
  </r>
  <r>
    <n v="10829"/>
    <d v="2025-11-02T00:00:00"/>
    <x v="2"/>
    <x v="4"/>
    <x v="1"/>
    <x v="1"/>
    <n v="1"/>
    <n v="42394"/>
    <x v="827"/>
    <n v="3085"/>
    <n v="39309"/>
    <n v="5994.5595979999998"/>
    <x v="1"/>
    <x v="7"/>
  </r>
  <r>
    <n v="10830"/>
    <d v="2024-03-01T00:00:00"/>
    <x v="1"/>
    <x v="4"/>
    <x v="0"/>
    <x v="1"/>
    <n v="2"/>
    <n v="40030"/>
    <x v="828"/>
    <n v="2372"/>
    <n v="77688"/>
    <n v="10443.402400000001"/>
    <x v="0"/>
    <x v="1"/>
  </r>
  <r>
    <n v="10831"/>
    <d v="2025-09-25T00:00:00"/>
    <x v="1"/>
    <x v="1"/>
    <x v="1"/>
    <x v="0"/>
    <n v="3"/>
    <n v="72950"/>
    <x v="829"/>
    <n v="4068"/>
    <n v="214782"/>
    <n v="38556.712420000003"/>
    <x v="1"/>
    <x v="2"/>
  </r>
  <r>
    <n v="10832"/>
    <d v="2024-02-20T00:00:00"/>
    <x v="3"/>
    <x v="3"/>
    <x v="0"/>
    <x v="1"/>
    <n v="2"/>
    <n v="20559"/>
    <x v="830"/>
    <n v="1590"/>
    <n v="39528"/>
    <n v="4757.1583140000002"/>
    <x v="0"/>
    <x v="9"/>
  </r>
  <r>
    <n v="10833"/>
    <d v="2025-02-06T00:00:00"/>
    <x v="3"/>
    <x v="1"/>
    <x v="2"/>
    <x v="0"/>
    <n v="2"/>
    <n v="32557"/>
    <x v="831"/>
    <n v="4380"/>
    <n v="60734"/>
    <n v="13338.55869"/>
    <x v="1"/>
    <x v="9"/>
  </r>
  <r>
    <n v="10834"/>
    <d v="2024-01-05T00:00:00"/>
    <x v="3"/>
    <x v="3"/>
    <x v="0"/>
    <x v="1"/>
    <n v="6"/>
    <n v="43008"/>
    <x v="832"/>
    <n v="1112"/>
    <n v="256936"/>
    <n v="51902.160819999997"/>
    <x v="0"/>
    <x v="4"/>
  </r>
  <r>
    <n v="10835"/>
    <d v="2025-04-10T00:00:00"/>
    <x v="4"/>
    <x v="0"/>
    <x v="2"/>
    <x v="0"/>
    <n v="7"/>
    <n v="19053"/>
    <x v="833"/>
    <n v="1068"/>
    <n v="132303"/>
    <n v="28521.395939999999"/>
    <x v="1"/>
    <x v="0"/>
  </r>
  <r>
    <n v="10836"/>
    <d v="2025-08-26T00:00:00"/>
    <x v="3"/>
    <x v="1"/>
    <x v="1"/>
    <x v="2"/>
    <n v="6"/>
    <n v="46817"/>
    <x v="834"/>
    <n v="2545"/>
    <n v="278357"/>
    <n v="44490.280859999999"/>
    <x v="1"/>
    <x v="6"/>
  </r>
  <r>
    <n v="10837"/>
    <d v="2025-11-12T00:00:00"/>
    <x v="4"/>
    <x v="4"/>
    <x v="1"/>
    <x v="2"/>
    <n v="6"/>
    <n v="9993"/>
    <x v="835"/>
    <n v="3649"/>
    <n v="56309"/>
    <n v="12683.631079999999"/>
    <x v="1"/>
    <x v="7"/>
  </r>
  <r>
    <n v="10838"/>
    <d v="2025-06-17T00:00:00"/>
    <x v="3"/>
    <x v="1"/>
    <x v="0"/>
    <x v="0"/>
    <n v="9"/>
    <n v="53381"/>
    <x v="836"/>
    <n v="1814"/>
    <n v="478615"/>
    <n v="83294.430789999999"/>
    <x v="1"/>
    <x v="11"/>
  </r>
  <r>
    <n v="10839"/>
    <d v="2025-02-08T00:00:00"/>
    <x v="4"/>
    <x v="1"/>
    <x v="1"/>
    <x v="2"/>
    <n v="8"/>
    <n v="78747"/>
    <x v="837"/>
    <n v="3907"/>
    <n v="626069"/>
    <n v="71500.119510000004"/>
    <x v="1"/>
    <x v="9"/>
  </r>
  <r>
    <n v="10840"/>
    <d v="2025-05-27T00:00:00"/>
    <x v="2"/>
    <x v="0"/>
    <x v="0"/>
    <x v="2"/>
    <n v="8"/>
    <n v="18515"/>
    <x v="838"/>
    <n v="3731"/>
    <n v="144389"/>
    <n v="19291.00388"/>
    <x v="1"/>
    <x v="5"/>
  </r>
  <r>
    <n v="10841"/>
    <d v="2025-10-06T00:00:00"/>
    <x v="2"/>
    <x v="4"/>
    <x v="1"/>
    <x v="0"/>
    <n v="6"/>
    <n v="21335"/>
    <x v="839"/>
    <n v="2192"/>
    <n v="125818"/>
    <n v="26001.286209999998"/>
    <x v="1"/>
    <x v="8"/>
  </r>
  <r>
    <n v="10842"/>
    <d v="2024-08-20T00:00:00"/>
    <x v="1"/>
    <x v="4"/>
    <x v="2"/>
    <x v="1"/>
    <n v="5"/>
    <n v="63724"/>
    <x v="840"/>
    <n v="81"/>
    <n v="318539"/>
    <n v="74685.719400000002"/>
    <x v="0"/>
    <x v="6"/>
  </r>
  <r>
    <n v="10843"/>
    <d v="2025-06-07T00:00:00"/>
    <x v="4"/>
    <x v="2"/>
    <x v="1"/>
    <x v="1"/>
    <n v="9"/>
    <n v="7175"/>
    <x v="841"/>
    <n v="3706"/>
    <n v="60869"/>
    <n v="6955.977774"/>
    <x v="1"/>
    <x v="11"/>
  </r>
  <r>
    <n v="10844"/>
    <d v="2024-12-11T00:00:00"/>
    <x v="0"/>
    <x v="2"/>
    <x v="2"/>
    <x v="0"/>
    <n v="2"/>
    <n v="7405"/>
    <x v="842"/>
    <n v="3176"/>
    <n v="11634"/>
    <n v="2671.541232"/>
    <x v="0"/>
    <x v="3"/>
  </r>
  <r>
    <n v="10845"/>
    <d v="2024-02-15T00:00:00"/>
    <x v="1"/>
    <x v="2"/>
    <x v="0"/>
    <x v="3"/>
    <n v="7"/>
    <n v="57515"/>
    <x v="843"/>
    <n v="1825"/>
    <n v="400780"/>
    <n v="88115.680919999999"/>
    <x v="0"/>
    <x v="9"/>
  </r>
  <r>
    <n v="10846"/>
    <d v="2025-06-29T00:00:00"/>
    <x v="2"/>
    <x v="0"/>
    <x v="0"/>
    <x v="3"/>
    <n v="6"/>
    <n v="12341"/>
    <x v="844"/>
    <n v="81"/>
    <n v="73965"/>
    <n v="11352.455819999999"/>
    <x v="1"/>
    <x v="11"/>
  </r>
  <r>
    <n v="10847"/>
    <d v="2024-03-18T00:00:00"/>
    <x v="4"/>
    <x v="1"/>
    <x v="0"/>
    <x v="2"/>
    <n v="7"/>
    <n v="29284"/>
    <x v="845"/>
    <n v="93"/>
    <n v="204895"/>
    <n v="41673.905630000001"/>
    <x v="0"/>
    <x v="1"/>
  </r>
  <r>
    <n v="10848"/>
    <d v="2025-12-30T00:00:00"/>
    <x v="3"/>
    <x v="4"/>
    <x v="2"/>
    <x v="3"/>
    <n v="4"/>
    <n v="33002"/>
    <x v="846"/>
    <n v="342"/>
    <n v="131666"/>
    <n v="16858.870340000001"/>
    <x v="1"/>
    <x v="3"/>
  </r>
  <r>
    <n v="10849"/>
    <d v="2024-03-13T00:00:00"/>
    <x v="0"/>
    <x v="4"/>
    <x v="0"/>
    <x v="2"/>
    <n v="9"/>
    <n v="65452"/>
    <x v="847"/>
    <n v="2408"/>
    <n v="586660"/>
    <n v="130243.79700000001"/>
    <x v="0"/>
    <x v="1"/>
  </r>
  <r>
    <n v="10850"/>
    <d v="2024-09-05T00:00:00"/>
    <x v="2"/>
    <x v="1"/>
    <x v="0"/>
    <x v="1"/>
    <n v="7"/>
    <n v="63677"/>
    <x v="848"/>
    <n v="1854"/>
    <n v="443885"/>
    <n v="88155.939759999994"/>
    <x v="0"/>
    <x v="2"/>
  </r>
  <r>
    <n v="10851"/>
    <d v="2024-02-16T00:00:00"/>
    <x v="1"/>
    <x v="4"/>
    <x v="2"/>
    <x v="0"/>
    <n v="2"/>
    <n v="67547"/>
    <x v="849"/>
    <n v="3999"/>
    <n v="131095"/>
    <n v="21738.750629999999"/>
    <x v="0"/>
    <x v="9"/>
  </r>
  <r>
    <n v="10852"/>
    <d v="2024-04-30T00:00:00"/>
    <x v="4"/>
    <x v="1"/>
    <x v="1"/>
    <x v="1"/>
    <n v="4"/>
    <n v="23941"/>
    <x v="850"/>
    <n v="1089"/>
    <n v="94675"/>
    <n v="21744.72653"/>
    <x v="0"/>
    <x v="0"/>
  </r>
  <r>
    <n v="10853"/>
    <d v="2024-08-01T00:00:00"/>
    <x v="0"/>
    <x v="0"/>
    <x v="0"/>
    <x v="0"/>
    <n v="5"/>
    <n v="30019"/>
    <x v="851"/>
    <n v="623"/>
    <n v="149472"/>
    <n v="18068.948909999999"/>
    <x v="0"/>
    <x v="6"/>
  </r>
  <r>
    <n v="10854"/>
    <d v="2024-08-26T00:00:00"/>
    <x v="4"/>
    <x v="0"/>
    <x v="1"/>
    <x v="3"/>
    <n v="2"/>
    <n v="20779"/>
    <x v="852"/>
    <n v="867"/>
    <n v="40691"/>
    <n v="9231.4794750000001"/>
    <x v="0"/>
    <x v="6"/>
  </r>
  <r>
    <n v="10855"/>
    <d v="2024-02-25T00:00:00"/>
    <x v="3"/>
    <x v="0"/>
    <x v="1"/>
    <x v="1"/>
    <n v="8"/>
    <n v="23426"/>
    <x v="853"/>
    <n v="2476"/>
    <n v="184932"/>
    <n v="19155.80414"/>
    <x v="0"/>
    <x v="9"/>
  </r>
  <r>
    <n v="10856"/>
    <d v="2024-12-15T00:00:00"/>
    <x v="1"/>
    <x v="1"/>
    <x v="0"/>
    <x v="1"/>
    <n v="1"/>
    <n v="67668"/>
    <x v="854"/>
    <n v="3472"/>
    <n v="64196"/>
    <n v="13672.46797"/>
    <x v="0"/>
    <x v="3"/>
  </r>
  <r>
    <n v="10857"/>
    <d v="2024-04-16T00:00:00"/>
    <x v="4"/>
    <x v="1"/>
    <x v="0"/>
    <x v="2"/>
    <n v="3"/>
    <n v="35183"/>
    <x v="855"/>
    <n v="170"/>
    <n v="105379"/>
    <n v="19600.979960000001"/>
    <x v="0"/>
    <x v="0"/>
  </r>
  <r>
    <n v="10858"/>
    <d v="2024-02-17T00:00:00"/>
    <x v="2"/>
    <x v="3"/>
    <x v="2"/>
    <x v="0"/>
    <n v="1"/>
    <n v="71314"/>
    <x v="856"/>
    <n v="1782"/>
    <n v="69532"/>
    <n v="14219.884400000001"/>
    <x v="0"/>
    <x v="9"/>
  </r>
  <r>
    <n v="10859"/>
    <d v="2025-07-26T00:00:00"/>
    <x v="1"/>
    <x v="4"/>
    <x v="2"/>
    <x v="3"/>
    <n v="5"/>
    <n v="40927"/>
    <x v="857"/>
    <n v="577"/>
    <n v="204058"/>
    <n v="33027.12988"/>
    <x v="1"/>
    <x v="10"/>
  </r>
  <r>
    <n v="10860"/>
    <d v="2024-12-02T00:00:00"/>
    <x v="2"/>
    <x v="4"/>
    <x v="0"/>
    <x v="1"/>
    <n v="8"/>
    <n v="11395"/>
    <x v="858"/>
    <n v="67"/>
    <n v="91093"/>
    <n v="20920.980319999999"/>
    <x v="0"/>
    <x v="3"/>
  </r>
  <r>
    <n v="10861"/>
    <d v="2024-01-26T00:00:00"/>
    <x v="4"/>
    <x v="3"/>
    <x v="1"/>
    <x v="0"/>
    <n v="7"/>
    <n v="10974"/>
    <x v="859"/>
    <n v="1515"/>
    <n v="75303"/>
    <n v="11067.459140000001"/>
    <x v="0"/>
    <x v="4"/>
  </r>
  <r>
    <n v="10862"/>
    <d v="2024-09-13T00:00:00"/>
    <x v="1"/>
    <x v="3"/>
    <x v="2"/>
    <x v="3"/>
    <n v="9"/>
    <n v="10150"/>
    <x v="860"/>
    <n v="0"/>
    <n v="91350"/>
    <n v="12902.5748"/>
    <x v="0"/>
    <x v="2"/>
  </r>
  <r>
    <n v="10863"/>
    <d v="2024-01-08T00:00:00"/>
    <x v="2"/>
    <x v="0"/>
    <x v="2"/>
    <x v="1"/>
    <n v="2"/>
    <n v="54572"/>
    <x v="861"/>
    <n v="2198"/>
    <n v="106946"/>
    <n v="15535.25368"/>
    <x v="0"/>
    <x v="4"/>
  </r>
  <r>
    <n v="10864"/>
    <d v="2025-09-16T00:00:00"/>
    <x v="3"/>
    <x v="3"/>
    <x v="0"/>
    <x v="0"/>
    <n v="8"/>
    <n v="47811"/>
    <x v="862"/>
    <n v="901"/>
    <n v="381587"/>
    <n v="82481.77635"/>
    <x v="1"/>
    <x v="2"/>
  </r>
  <r>
    <n v="10865"/>
    <d v="2024-09-09T00:00:00"/>
    <x v="3"/>
    <x v="1"/>
    <x v="0"/>
    <x v="2"/>
    <n v="8"/>
    <n v="59497"/>
    <x v="863"/>
    <n v="4845"/>
    <n v="471131"/>
    <n v="82115.193299999999"/>
    <x v="0"/>
    <x v="2"/>
  </r>
  <r>
    <n v="10866"/>
    <d v="2025-11-22T00:00:00"/>
    <x v="4"/>
    <x v="2"/>
    <x v="0"/>
    <x v="1"/>
    <n v="6"/>
    <n v="27466"/>
    <x v="864"/>
    <n v="794"/>
    <n v="164002"/>
    <n v="29612.66014"/>
    <x v="1"/>
    <x v="7"/>
  </r>
  <r>
    <n v="10867"/>
    <d v="2025-12-19T00:00:00"/>
    <x v="1"/>
    <x v="1"/>
    <x v="0"/>
    <x v="0"/>
    <n v="3"/>
    <n v="14550"/>
    <x v="865"/>
    <n v="2066"/>
    <n v="41584"/>
    <n v="9345.9338380000008"/>
    <x v="1"/>
    <x v="3"/>
  </r>
  <r>
    <n v="10868"/>
    <d v="2024-10-29T00:00:00"/>
    <x v="0"/>
    <x v="3"/>
    <x v="2"/>
    <x v="3"/>
    <n v="2"/>
    <n v="58062"/>
    <x v="866"/>
    <n v="1819"/>
    <n v="114305"/>
    <n v="25719.17742"/>
    <x v="0"/>
    <x v="8"/>
  </r>
  <r>
    <n v="10869"/>
    <d v="2025-09-30T00:00:00"/>
    <x v="1"/>
    <x v="4"/>
    <x v="2"/>
    <x v="3"/>
    <n v="8"/>
    <n v="40394"/>
    <x v="867"/>
    <n v="370"/>
    <n v="322782"/>
    <n v="40109.122329999998"/>
    <x v="1"/>
    <x v="2"/>
  </r>
  <r>
    <n v="10870"/>
    <d v="2024-02-25T00:00:00"/>
    <x v="3"/>
    <x v="1"/>
    <x v="2"/>
    <x v="2"/>
    <n v="6"/>
    <n v="65031"/>
    <x v="868"/>
    <n v="2538"/>
    <n v="387648"/>
    <n v="70732.250830000004"/>
    <x v="0"/>
    <x v="9"/>
  </r>
  <r>
    <n v="10871"/>
    <d v="2025-12-26T00:00:00"/>
    <x v="2"/>
    <x v="4"/>
    <x v="1"/>
    <x v="1"/>
    <n v="4"/>
    <n v="66550"/>
    <x v="869"/>
    <n v="3907"/>
    <n v="262293"/>
    <n v="31187.354009999999"/>
    <x v="1"/>
    <x v="3"/>
  </r>
  <r>
    <n v="10872"/>
    <d v="2025-06-09T00:00:00"/>
    <x v="0"/>
    <x v="1"/>
    <x v="2"/>
    <x v="2"/>
    <n v="5"/>
    <n v="14487"/>
    <x v="870"/>
    <n v="2054"/>
    <n v="70381"/>
    <n v="16207.28535"/>
    <x v="1"/>
    <x v="11"/>
  </r>
  <r>
    <n v="10873"/>
    <d v="2025-04-18T00:00:00"/>
    <x v="4"/>
    <x v="4"/>
    <x v="2"/>
    <x v="0"/>
    <n v="5"/>
    <n v="60084"/>
    <x v="871"/>
    <n v="2596"/>
    <n v="297824"/>
    <n v="67174.457930000004"/>
    <x v="1"/>
    <x v="0"/>
  </r>
  <r>
    <n v="10874"/>
    <d v="2024-01-28T00:00:00"/>
    <x v="0"/>
    <x v="1"/>
    <x v="0"/>
    <x v="3"/>
    <n v="9"/>
    <n v="35931"/>
    <x v="872"/>
    <n v="4466"/>
    <n v="318913"/>
    <n v="72521.558860000005"/>
    <x v="0"/>
    <x v="4"/>
  </r>
  <r>
    <n v="10875"/>
    <d v="2024-03-18T00:00:00"/>
    <x v="4"/>
    <x v="4"/>
    <x v="2"/>
    <x v="2"/>
    <n v="9"/>
    <n v="16366"/>
    <x v="873"/>
    <n v="1688"/>
    <n v="145606"/>
    <n v="29955.34402"/>
    <x v="0"/>
    <x v="1"/>
  </r>
  <r>
    <n v="10876"/>
    <d v="2024-08-03T00:00:00"/>
    <x v="0"/>
    <x v="2"/>
    <x v="2"/>
    <x v="1"/>
    <n v="8"/>
    <n v="36863"/>
    <x v="874"/>
    <n v="4852"/>
    <n v="290052"/>
    <n v="49318.004459999996"/>
    <x v="0"/>
    <x v="6"/>
  </r>
  <r>
    <n v="10877"/>
    <d v="2025-01-20T00:00:00"/>
    <x v="4"/>
    <x v="0"/>
    <x v="2"/>
    <x v="0"/>
    <n v="8"/>
    <n v="33329"/>
    <x v="875"/>
    <n v="3321"/>
    <n v="263311"/>
    <n v="42316.232620000002"/>
    <x v="1"/>
    <x v="4"/>
  </r>
  <r>
    <n v="10878"/>
    <d v="2024-12-30T00:00:00"/>
    <x v="4"/>
    <x v="1"/>
    <x v="0"/>
    <x v="1"/>
    <n v="2"/>
    <n v="68818"/>
    <x v="876"/>
    <n v="1138"/>
    <n v="136498"/>
    <n v="21741.90438"/>
    <x v="0"/>
    <x v="3"/>
  </r>
  <r>
    <n v="10879"/>
    <d v="2025-10-27T00:00:00"/>
    <x v="0"/>
    <x v="2"/>
    <x v="2"/>
    <x v="2"/>
    <n v="3"/>
    <n v="60123"/>
    <x v="877"/>
    <n v="2621"/>
    <n v="177748"/>
    <n v="19540.178609999999"/>
    <x v="1"/>
    <x v="8"/>
  </r>
  <r>
    <n v="10880"/>
    <d v="2025-06-09T00:00:00"/>
    <x v="0"/>
    <x v="0"/>
    <x v="2"/>
    <x v="3"/>
    <n v="8"/>
    <n v="46371"/>
    <x v="878"/>
    <n v="2728"/>
    <n v="368240"/>
    <n v="89235.799140000003"/>
    <x v="1"/>
    <x v="11"/>
  </r>
  <r>
    <n v="10881"/>
    <d v="2025-11-29T00:00:00"/>
    <x v="4"/>
    <x v="1"/>
    <x v="1"/>
    <x v="3"/>
    <n v="5"/>
    <n v="63766"/>
    <x v="879"/>
    <n v="1165"/>
    <n v="317665"/>
    <n v="53222.022470000004"/>
    <x v="1"/>
    <x v="7"/>
  </r>
  <r>
    <n v="10882"/>
    <d v="2024-11-07T00:00:00"/>
    <x v="3"/>
    <x v="2"/>
    <x v="1"/>
    <x v="2"/>
    <n v="7"/>
    <n v="65325"/>
    <x v="880"/>
    <n v="1508"/>
    <n v="455767"/>
    <n v="109164.05160000001"/>
    <x v="0"/>
    <x v="7"/>
  </r>
  <r>
    <n v="10883"/>
    <d v="2024-01-07T00:00:00"/>
    <x v="0"/>
    <x v="2"/>
    <x v="1"/>
    <x v="1"/>
    <n v="8"/>
    <n v="45241"/>
    <x v="881"/>
    <n v="3841"/>
    <n v="358087"/>
    <n v="83036.30416"/>
    <x v="0"/>
    <x v="4"/>
  </r>
  <r>
    <n v="10884"/>
    <d v="2024-01-03T00:00:00"/>
    <x v="1"/>
    <x v="2"/>
    <x v="1"/>
    <x v="1"/>
    <n v="6"/>
    <n v="6676"/>
    <x v="882"/>
    <n v="4558"/>
    <n v="35498"/>
    <n v="7961.9017320000003"/>
    <x v="0"/>
    <x v="4"/>
  </r>
  <r>
    <n v="10885"/>
    <d v="2025-09-14T00:00:00"/>
    <x v="2"/>
    <x v="3"/>
    <x v="0"/>
    <x v="1"/>
    <n v="5"/>
    <n v="10282"/>
    <x v="883"/>
    <n v="4576"/>
    <n v="46834"/>
    <n v="8816.3287469999996"/>
    <x v="1"/>
    <x v="2"/>
  </r>
  <r>
    <n v="10886"/>
    <d v="2024-12-28T00:00:00"/>
    <x v="4"/>
    <x v="4"/>
    <x v="1"/>
    <x v="1"/>
    <n v="8"/>
    <n v="31222"/>
    <x v="884"/>
    <n v="4918"/>
    <n v="244858"/>
    <n v="28215.81567"/>
    <x v="0"/>
    <x v="3"/>
  </r>
  <r>
    <n v="10887"/>
    <d v="2025-05-22T00:00:00"/>
    <x v="4"/>
    <x v="0"/>
    <x v="2"/>
    <x v="3"/>
    <n v="1"/>
    <n v="66303"/>
    <x v="885"/>
    <n v="523"/>
    <n v="65780"/>
    <n v="9774.0342729999993"/>
    <x v="1"/>
    <x v="5"/>
  </r>
  <r>
    <n v="10888"/>
    <d v="2024-09-30T00:00:00"/>
    <x v="2"/>
    <x v="4"/>
    <x v="1"/>
    <x v="1"/>
    <n v="1"/>
    <n v="18376"/>
    <x v="886"/>
    <n v="2258"/>
    <n v="16118"/>
    <n v="3071.0903779999999"/>
    <x v="0"/>
    <x v="2"/>
  </r>
  <r>
    <n v="10889"/>
    <d v="2025-05-20T00:00:00"/>
    <x v="3"/>
    <x v="4"/>
    <x v="0"/>
    <x v="2"/>
    <n v="1"/>
    <n v="70129"/>
    <x v="887"/>
    <n v="4339"/>
    <n v="65790"/>
    <n v="6711.7886449999996"/>
    <x v="1"/>
    <x v="5"/>
  </r>
  <r>
    <n v="10890"/>
    <d v="2024-01-15T00:00:00"/>
    <x v="2"/>
    <x v="4"/>
    <x v="1"/>
    <x v="2"/>
    <n v="3"/>
    <n v="14431"/>
    <x v="888"/>
    <n v="238"/>
    <n v="43055"/>
    <n v="4580.8210980000003"/>
    <x v="0"/>
    <x v="4"/>
  </r>
  <r>
    <n v="10891"/>
    <d v="2024-07-10T00:00:00"/>
    <x v="0"/>
    <x v="2"/>
    <x v="1"/>
    <x v="2"/>
    <n v="6"/>
    <n v="38370"/>
    <x v="889"/>
    <n v="1220"/>
    <n v="229000"/>
    <n v="46177.737179999996"/>
    <x v="0"/>
    <x v="10"/>
  </r>
  <r>
    <n v="10892"/>
    <d v="2025-09-22T00:00:00"/>
    <x v="2"/>
    <x v="4"/>
    <x v="0"/>
    <x v="2"/>
    <n v="6"/>
    <n v="6937"/>
    <x v="890"/>
    <n v="768"/>
    <n v="40854"/>
    <n v="9528.3958939999993"/>
    <x v="1"/>
    <x v="2"/>
  </r>
  <r>
    <n v="10893"/>
    <d v="2025-04-29T00:00:00"/>
    <x v="4"/>
    <x v="3"/>
    <x v="0"/>
    <x v="1"/>
    <n v="5"/>
    <n v="29601"/>
    <x v="891"/>
    <n v="234"/>
    <n v="147771"/>
    <n v="33732.346619999997"/>
    <x v="1"/>
    <x v="0"/>
  </r>
  <r>
    <n v="10894"/>
    <d v="2024-01-28T00:00:00"/>
    <x v="2"/>
    <x v="1"/>
    <x v="0"/>
    <x v="3"/>
    <n v="7"/>
    <n v="6067"/>
    <x v="892"/>
    <n v="2760"/>
    <n v="39709"/>
    <n v="4972.4321179999997"/>
    <x v="0"/>
    <x v="4"/>
  </r>
  <r>
    <n v="10895"/>
    <d v="2025-12-14T00:00:00"/>
    <x v="1"/>
    <x v="2"/>
    <x v="0"/>
    <x v="0"/>
    <n v="5"/>
    <n v="18472"/>
    <x v="893"/>
    <n v="4592"/>
    <n v="87768"/>
    <n v="20773.370650000001"/>
    <x v="1"/>
    <x v="3"/>
  </r>
  <r>
    <n v="10896"/>
    <d v="2024-02-08T00:00:00"/>
    <x v="0"/>
    <x v="0"/>
    <x v="0"/>
    <x v="1"/>
    <n v="2"/>
    <n v="60015"/>
    <x v="894"/>
    <n v="1519"/>
    <n v="118511"/>
    <n v="24229.020519999998"/>
    <x v="0"/>
    <x v="9"/>
  </r>
  <r>
    <n v="10897"/>
    <d v="2024-09-29T00:00:00"/>
    <x v="2"/>
    <x v="1"/>
    <x v="0"/>
    <x v="0"/>
    <n v="4"/>
    <n v="38147"/>
    <x v="895"/>
    <n v="1903"/>
    <n v="150685"/>
    <n v="31259.436460000001"/>
    <x v="0"/>
    <x v="2"/>
  </r>
  <r>
    <n v="10898"/>
    <d v="2024-08-18T00:00:00"/>
    <x v="4"/>
    <x v="1"/>
    <x v="2"/>
    <x v="3"/>
    <n v="1"/>
    <n v="59654"/>
    <x v="896"/>
    <n v="2234"/>
    <n v="57420"/>
    <n v="8360.7068619999991"/>
    <x v="0"/>
    <x v="6"/>
  </r>
  <r>
    <n v="10899"/>
    <d v="2024-03-26T00:00:00"/>
    <x v="0"/>
    <x v="1"/>
    <x v="1"/>
    <x v="1"/>
    <n v="7"/>
    <n v="66808"/>
    <x v="897"/>
    <n v="935"/>
    <n v="466721"/>
    <n v="96797.709669999997"/>
    <x v="0"/>
    <x v="1"/>
  </r>
  <r>
    <n v="10900"/>
    <d v="2025-04-18T00:00:00"/>
    <x v="4"/>
    <x v="4"/>
    <x v="1"/>
    <x v="0"/>
    <n v="4"/>
    <n v="57334"/>
    <x v="898"/>
    <n v="1268"/>
    <n v="228068"/>
    <n v="47088.25157"/>
    <x v="1"/>
    <x v="0"/>
  </r>
  <r>
    <n v="10901"/>
    <d v="2024-05-05T00:00:00"/>
    <x v="3"/>
    <x v="4"/>
    <x v="0"/>
    <x v="3"/>
    <n v="4"/>
    <n v="10196"/>
    <x v="899"/>
    <n v="818"/>
    <n v="39966"/>
    <n v="7561.5603590000001"/>
    <x v="0"/>
    <x v="5"/>
  </r>
  <r>
    <n v="10902"/>
    <d v="2025-06-20T00:00:00"/>
    <x v="1"/>
    <x v="2"/>
    <x v="0"/>
    <x v="0"/>
    <n v="4"/>
    <n v="64600"/>
    <x v="900"/>
    <n v="3567"/>
    <n v="254833"/>
    <n v="39140.631350000003"/>
    <x v="1"/>
    <x v="11"/>
  </r>
  <r>
    <n v="10903"/>
    <d v="2024-05-24T00:00:00"/>
    <x v="3"/>
    <x v="4"/>
    <x v="2"/>
    <x v="2"/>
    <n v="3"/>
    <n v="35593"/>
    <x v="901"/>
    <n v="4117"/>
    <n v="102662"/>
    <n v="22755.254629999999"/>
    <x v="0"/>
    <x v="5"/>
  </r>
  <r>
    <n v="10904"/>
    <d v="2025-06-08T00:00:00"/>
    <x v="1"/>
    <x v="4"/>
    <x v="2"/>
    <x v="2"/>
    <n v="8"/>
    <n v="70059"/>
    <x v="902"/>
    <n v="2115"/>
    <n v="558357"/>
    <n v="134356.15549999999"/>
    <x v="1"/>
    <x v="11"/>
  </r>
  <r>
    <n v="10905"/>
    <d v="2024-07-30T00:00:00"/>
    <x v="2"/>
    <x v="4"/>
    <x v="0"/>
    <x v="3"/>
    <n v="4"/>
    <n v="75795"/>
    <x v="903"/>
    <n v="2439"/>
    <n v="300741"/>
    <n v="69315.767219999994"/>
    <x v="0"/>
    <x v="10"/>
  </r>
  <r>
    <n v="10906"/>
    <d v="2024-01-25T00:00:00"/>
    <x v="0"/>
    <x v="2"/>
    <x v="2"/>
    <x v="3"/>
    <n v="8"/>
    <n v="49401"/>
    <x v="904"/>
    <n v="3387"/>
    <n v="391821"/>
    <n v="53462.752630000003"/>
    <x v="0"/>
    <x v="4"/>
  </r>
  <r>
    <n v="10907"/>
    <d v="2025-08-02T00:00:00"/>
    <x v="2"/>
    <x v="2"/>
    <x v="2"/>
    <x v="0"/>
    <n v="9"/>
    <n v="36593"/>
    <x v="905"/>
    <n v="1088"/>
    <n v="328249"/>
    <n v="54768.69831"/>
    <x v="1"/>
    <x v="6"/>
  </r>
  <r>
    <n v="10908"/>
    <d v="2025-01-28T00:00:00"/>
    <x v="1"/>
    <x v="3"/>
    <x v="0"/>
    <x v="3"/>
    <n v="1"/>
    <n v="15461"/>
    <x v="906"/>
    <n v="1827"/>
    <n v="13634"/>
    <n v="2063.6715920000001"/>
    <x v="1"/>
    <x v="4"/>
  </r>
  <r>
    <n v="10909"/>
    <d v="2024-03-07T00:00:00"/>
    <x v="1"/>
    <x v="3"/>
    <x v="0"/>
    <x v="2"/>
    <n v="4"/>
    <n v="40690"/>
    <x v="907"/>
    <n v="4824"/>
    <n v="157936"/>
    <n v="32554.073540000001"/>
    <x v="0"/>
    <x v="1"/>
  </r>
  <r>
    <n v="10910"/>
    <d v="2024-08-20T00:00:00"/>
    <x v="1"/>
    <x v="3"/>
    <x v="0"/>
    <x v="2"/>
    <n v="6"/>
    <n v="73923"/>
    <x v="908"/>
    <n v="2588"/>
    <n v="440950"/>
    <n v="99091.849660000007"/>
    <x v="0"/>
    <x v="6"/>
  </r>
  <r>
    <n v="10911"/>
    <d v="2024-04-18T00:00:00"/>
    <x v="4"/>
    <x v="3"/>
    <x v="0"/>
    <x v="1"/>
    <n v="8"/>
    <n v="26826"/>
    <x v="909"/>
    <n v="2615"/>
    <n v="211993"/>
    <n v="28061.390429999999"/>
    <x v="0"/>
    <x v="0"/>
  </r>
  <r>
    <n v="10912"/>
    <d v="2024-05-25T00:00:00"/>
    <x v="0"/>
    <x v="1"/>
    <x v="1"/>
    <x v="0"/>
    <n v="6"/>
    <n v="19553"/>
    <x v="910"/>
    <n v="1873"/>
    <n v="115445"/>
    <n v="27948.233629999999"/>
    <x v="0"/>
    <x v="5"/>
  </r>
  <r>
    <n v="10913"/>
    <d v="2024-04-20T00:00:00"/>
    <x v="2"/>
    <x v="1"/>
    <x v="1"/>
    <x v="3"/>
    <n v="6"/>
    <n v="58165"/>
    <x v="911"/>
    <n v="4307"/>
    <n v="344683"/>
    <n v="69487.875650000002"/>
    <x v="0"/>
    <x v="0"/>
  </r>
  <r>
    <n v="10914"/>
    <d v="2024-08-15T00:00:00"/>
    <x v="2"/>
    <x v="3"/>
    <x v="0"/>
    <x v="3"/>
    <n v="4"/>
    <n v="62454"/>
    <x v="912"/>
    <n v="1773"/>
    <n v="248043"/>
    <n v="32931.969810000002"/>
    <x v="0"/>
    <x v="6"/>
  </r>
  <r>
    <n v="10915"/>
    <d v="2024-04-20T00:00:00"/>
    <x v="3"/>
    <x v="3"/>
    <x v="2"/>
    <x v="3"/>
    <n v="9"/>
    <n v="11959"/>
    <x v="913"/>
    <n v="199"/>
    <n v="107432"/>
    <n v="16723.315439999998"/>
    <x v="0"/>
    <x v="0"/>
  </r>
  <r>
    <n v="10916"/>
    <d v="2025-04-14T00:00:00"/>
    <x v="1"/>
    <x v="0"/>
    <x v="0"/>
    <x v="0"/>
    <n v="7"/>
    <n v="47715"/>
    <x v="914"/>
    <n v="177"/>
    <n v="333828"/>
    <n v="38620.904730000002"/>
    <x v="1"/>
    <x v="0"/>
  </r>
  <r>
    <n v="10917"/>
    <d v="2024-02-03T00:00:00"/>
    <x v="1"/>
    <x v="1"/>
    <x v="1"/>
    <x v="2"/>
    <n v="6"/>
    <n v="34379"/>
    <x v="915"/>
    <n v="930"/>
    <n v="205344"/>
    <n v="38925.080049999997"/>
    <x v="0"/>
    <x v="9"/>
  </r>
  <r>
    <n v="10918"/>
    <d v="2025-09-14T00:00:00"/>
    <x v="1"/>
    <x v="0"/>
    <x v="2"/>
    <x v="3"/>
    <n v="1"/>
    <n v="27674"/>
    <x v="916"/>
    <n v="3736"/>
    <n v="23938"/>
    <n v="3001.3160010000001"/>
    <x v="1"/>
    <x v="2"/>
  </r>
  <r>
    <n v="10919"/>
    <d v="2025-01-03T00:00:00"/>
    <x v="2"/>
    <x v="0"/>
    <x v="1"/>
    <x v="3"/>
    <n v="2"/>
    <n v="14559"/>
    <x v="917"/>
    <n v="2036"/>
    <n v="27082"/>
    <n v="5523.7392559999998"/>
    <x v="1"/>
    <x v="4"/>
  </r>
  <r>
    <n v="10920"/>
    <d v="2025-08-17T00:00:00"/>
    <x v="3"/>
    <x v="4"/>
    <x v="0"/>
    <x v="2"/>
    <n v="6"/>
    <n v="37252"/>
    <x v="918"/>
    <n v="1485"/>
    <n v="222027"/>
    <n v="46756.002399999998"/>
    <x v="1"/>
    <x v="6"/>
  </r>
  <r>
    <n v="10921"/>
    <d v="2025-07-07T00:00:00"/>
    <x v="4"/>
    <x v="2"/>
    <x v="1"/>
    <x v="3"/>
    <n v="1"/>
    <n v="31104"/>
    <x v="919"/>
    <n v="2091"/>
    <n v="29013"/>
    <n v="4987.3411630000001"/>
    <x v="1"/>
    <x v="10"/>
  </r>
  <r>
    <n v="10922"/>
    <d v="2025-02-28T00:00:00"/>
    <x v="0"/>
    <x v="1"/>
    <x v="1"/>
    <x v="1"/>
    <n v="5"/>
    <n v="5551"/>
    <x v="920"/>
    <n v="4263"/>
    <n v="23492"/>
    <n v="2679.7915379999999"/>
    <x v="1"/>
    <x v="9"/>
  </r>
  <r>
    <n v="10923"/>
    <d v="2025-09-04T00:00:00"/>
    <x v="4"/>
    <x v="3"/>
    <x v="1"/>
    <x v="2"/>
    <n v="1"/>
    <n v="70669"/>
    <x v="921"/>
    <n v="2384"/>
    <n v="68285"/>
    <n v="13085.52137"/>
    <x v="1"/>
    <x v="2"/>
  </r>
  <r>
    <n v="10924"/>
    <d v="2025-06-01T00:00:00"/>
    <x v="2"/>
    <x v="3"/>
    <x v="2"/>
    <x v="2"/>
    <n v="3"/>
    <n v="11607"/>
    <x v="922"/>
    <n v="4088"/>
    <n v="30733"/>
    <n v="4789.147602"/>
    <x v="1"/>
    <x v="11"/>
  </r>
  <r>
    <n v="10925"/>
    <d v="2025-11-22T00:00:00"/>
    <x v="1"/>
    <x v="2"/>
    <x v="1"/>
    <x v="2"/>
    <n v="7"/>
    <n v="47973"/>
    <x v="923"/>
    <n v="4681"/>
    <n v="331130"/>
    <n v="80281.515069999994"/>
    <x v="1"/>
    <x v="7"/>
  </r>
  <r>
    <n v="10926"/>
    <d v="2024-10-08T00:00:00"/>
    <x v="0"/>
    <x v="1"/>
    <x v="2"/>
    <x v="1"/>
    <n v="5"/>
    <n v="34858"/>
    <x v="924"/>
    <n v="1915"/>
    <n v="172375"/>
    <n v="30507.075049999999"/>
    <x v="0"/>
    <x v="8"/>
  </r>
  <r>
    <n v="10927"/>
    <d v="2024-11-15T00:00:00"/>
    <x v="2"/>
    <x v="3"/>
    <x v="0"/>
    <x v="2"/>
    <n v="1"/>
    <n v="44367"/>
    <x v="925"/>
    <n v="15"/>
    <n v="44352"/>
    <n v="4915.9717030000002"/>
    <x v="0"/>
    <x v="7"/>
  </r>
  <r>
    <n v="10928"/>
    <d v="2025-03-18T00:00:00"/>
    <x v="2"/>
    <x v="3"/>
    <x v="0"/>
    <x v="0"/>
    <n v="1"/>
    <n v="64851"/>
    <x v="926"/>
    <n v="2934"/>
    <n v="61917"/>
    <n v="12099.03766"/>
    <x v="1"/>
    <x v="1"/>
  </r>
  <r>
    <n v="10929"/>
    <d v="2024-11-10T00:00:00"/>
    <x v="2"/>
    <x v="4"/>
    <x v="1"/>
    <x v="0"/>
    <n v="8"/>
    <n v="61536"/>
    <x v="927"/>
    <n v="836"/>
    <n v="491452"/>
    <n v="106597.44040000001"/>
    <x v="0"/>
    <x v="7"/>
  </r>
  <r>
    <n v="10930"/>
    <d v="2025-01-11T00:00:00"/>
    <x v="0"/>
    <x v="0"/>
    <x v="2"/>
    <x v="0"/>
    <n v="9"/>
    <n v="23570"/>
    <x v="928"/>
    <n v="2157"/>
    <n v="209973"/>
    <n v="26052.48846"/>
    <x v="1"/>
    <x v="4"/>
  </r>
  <r>
    <n v="10931"/>
    <d v="2024-10-15T00:00:00"/>
    <x v="0"/>
    <x v="3"/>
    <x v="0"/>
    <x v="2"/>
    <n v="7"/>
    <n v="40938"/>
    <x v="929"/>
    <n v="1576"/>
    <n v="284990"/>
    <n v="47695.528740000002"/>
    <x v="0"/>
    <x v="8"/>
  </r>
  <r>
    <n v="10932"/>
    <d v="2025-03-12T00:00:00"/>
    <x v="3"/>
    <x v="1"/>
    <x v="2"/>
    <x v="2"/>
    <n v="3"/>
    <n v="56798"/>
    <x v="930"/>
    <n v="305"/>
    <n v="170089"/>
    <n v="35970.343990000001"/>
    <x v="1"/>
    <x v="1"/>
  </r>
  <r>
    <n v="10933"/>
    <d v="2025-10-23T00:00:00"/>
    <x v="3"/>
    <x v="2"/>
    <x v="2"/>
    <x v="2"/>
    <n v="6"/>
    <n v="64718"/>
    <x v="931"/>
    <n v="2053"/>
    <n v="386255"/>
    <n v="39812.86421"/>
    <x v="1"/>
    <x v="8"/>
  </r>
  <r>
    <n v="10934"/>
    <d v="2024-10-03T00:00:00"/>
    <x v="4"/>
    <x v="4"/>
    <x v="1"/>
    <x v="1"/>
    <n v="3"/>
    <n v="59969"/>
    <x v="932"/>
    <n v="2890"/>
    <n v="177017"/>
    <n v="18470.92196"/>
    <x v="0"/>
    <x v="8"/>
  </r>
  <r>
    <n v="10935"/>
    <d v="2025-12-10T00:00:00"/>
    <x v="0"/>
    <x v="1"/>
    <x v="1"/>
    <x v="0"/>
    <n v="4"/>
    <n v="50820"/>
    <x v="933"/>
    <n v="3344"/>
    <n v="199936"/>
    <n v="40294.463649999998"/>
    <x v="1"/>
    <x v="3"/>
  </r>
  <r>
    <n v="10936"/>
    <d v="2025-08-04T00:00:00"/>
    <x v="0"/>
    <x v="4"/>
    <x v="2"/>
    <x v="3"/>
    <n v="4"/>
    <n v="38218"/>
    <x v="934"/>
    <n v="4456"/>
    <n v="148416"/>
    <n v="30984.656159999999"/>
    <x v="1"/>
    <x v="6"/>
  </r>
  <r>
    <n v="10937"/>
    <d v="2025-05-17T00:00:00"/>
    <x v="0"/>
    <x v="0"/>
    <x v="2"/>
    <x v="3"/>
    <n v="3"/>
    <n v="14990"/>
    <x v="935"/>
    <n v="1208"/>
    <n v="43762"/>
    <n v="9928.7407469999998"/>
    <x v="1"/>
    <x v="5"/>
  </r>
  <r>
    <n v="10938"/>
    <d v="2025-09-15T00:00:00"/>
    <x v="3"/>
    <x v="3"/>
    <x v="1"/>
    <x v="2"/>
    <n v="6"/>
    <n v="17778"/>
    <x v="936"/>
    <n v="1858"/>
    <n v="104810"/>
    <n v="16763.308499999999"/>
    <x v="1"/>
    <x v="2"/>
  </r>
  <r>
    <n v="10939"/>
    <d v="2025-05-30T00:00:00"/>
    <x v="2"/>
    <x v="1"/>
    <x v="2"/>
    <x v="1"/>
    <n v="5"/>
    <n v="45140"/>
    <x v="937"/>
    <n v="2703"/>
    <n v="222997"/>
    <n v="35337.554049999999"/>
    <x v="1"/>
    <x v="5"/>
  </r>
  <r>
    <n v="10940"/>
    <d v="2024-12-15T00:00:00"/>
    <x v="1"/>
    <x v="2"/>
    <x v="1"/>
    <x v="2"/>
    <n v="9"/>
    <n v="56606"/>
    <x v="938"/>
    <n v="1971"/>
    <n v="507483"/>
    <n v="92795.903390000007"/>
    <x v="0"/>
    <x v="3"/>
  </r>
  <r>
    <n v="10941"/>
    <d v="2025-03-21T00:00:00"/>
    <x v="3"/>
    <x v="0"/>
    <x v="2"/>
    <x v="3"/>
    <n v="9"/>
    <n v="74344"/>
    <x v="939"/>
    <n v="1113"/>
    <n v="667983"/>
    <n v="142680.52970000001"/>
    <x v="1"/>
    <x v="1"/>
  </r>
  <r>
    <n v="10942"/>
    <d v="2024-12-15T00:00:00"/>
    <x v="0"/>
    <x v="0"/>
    <x v="1"/>
    <x v="0"/>
    <n v="3"/>
    <n v="64871"/>
    <x v="940"/>
    <n v="983"/>
    <n v="193630"/>
    <n v="37980.297859999999"/>
    <x v="0"/>
    <x v="3"/>
  </r>
  <r>
    <n v="10943"/>
    <d v="2025-08-29T00:00:00"/>
    <x v="3"/>
    <x v="4"/>
    <x v="2"/>
    <x v="3"/>
    <n v="9"/>
    <n v="33940"/>
    <x v="941"/>
    <n v="3310"/>
    <n v="302150"/>
    <n v="45050.110439999997"/>
    <x v="1"/>
    <x v="6"/>
  </r>
  <r>
    <n v="10944"/>
    <d v="2025-10-25T00:00:00"/>
    <x v="4"/>
    <x v="0"/>
    <x v="1"/>
    <x v="0"/>
    <n v="3"/>
    <n v="34590"/>
    <x v="942"/>
    <n v="4001"/>
    <n v="99769"/>
    <n v="15163.100979999999"/>
    <x v="1"/>
    <x v="8"/>
  </r>
  <r>
    <n v="10945"/>
    <d v="2024-05-16T00:00:00"/>
    <x v="0"/>
    <x v="1"/>
    <x v="2"/>
    <x v="0"/>
    <n v="4"/>
    <n v="56517"/>
    <x v="943"/>
    <n v="2771"/>
    <n v="223297"/>
    <n v="47886.206960000003"/>
    <x v="0"/>
    <x v="5"/>
  </r>
  <r>
    <n v="10946"/>
    <d v="2024-08-30T00:00:00"/>
    <x v="4"/>
    <x v="4"/>
    <x v="0"/>
    <x v="1"/>
    <n v="1"/>
    <n v="72145"/>
    <x v="944"/>
    <n v="3152"/>
    <n v="68993"/>
    <n v="12432.33157"/>
    <x v="0"/>
    <x v="6"/>
  </r>
  <r>
    <n v="10947"/>
    <d v="2025-06-26T00:00:00"/>
    <x v="0"/>
    <x v="0"/>
    <x v="0"/>
    <x v="3"/>
    <n v="5"/>
    <n v="34297"/>
    <x v="945"/>
    <n v="2162"/>
    <n v="169323"/>
    <n v="19420.742999999999"/>
    <x v="1"/>
    <x v="11"/>
  </r>
  <r>
    <n v="10948"/>
    <d v="2024-02-09T00:00:00"/>
    <x v="3"/>
    <x v="2"/>
    <x v="2"/>
    <x v="2"/>
    <n v="9"/>
    <n v="32866"/>
    <x v="946"/>
    <n v="2127"/>
    <n v="293667"/>
    <n v="36106.13538"/>
    <x v="0"/>
    <x v="9"/>
  </r>
  <r>
    <n v="10949"/>
    <d v="2024-08-16T00:00:00"/>
    <x v="2"/>
    <x v="1"/>
    <x v="0"/>
    <x v="1"/>
    <n v="2"/>
    <n v="38991"/>
    <x v="947"/>
    <n v="3639"/>
    <n v="74343"/>
    <n v="16926.306919999999"/>
    <x v="0"/>
    <x v="6"/>
  </r>
  <r>
    <n v="10950"/>
    <d v="2025-07-01T00:00:00"/>
    <x v="1"/>
    <x v="2"/>
    <x v="2"/>
    <x v="0"/>
    <n v="4"/>
    <n v="6907"/>
    <x v="948"/>
    <n v="4274"/>
    <n v="23354"/>
    <n v="5834.3083020000004"/>
    <x v="1"/>
    <x v="10"/>
  </r>
  <r>
    <n v="10951"/>
    <d v="2024-08-10T00:00:00"/>
    <x v="4"/>
    <x v="2"/>
    <x v="2"/>
    <x v="3"/>
    <n v="2"/>
    <n v="30938"/>
    <x v="949"/>
    <n v="560"/>
    <n v="61316"/>
    <n v="9219.0099570000002"/>
    <x v="0"/>
    <x v="6"/>
  </r>
  <r>
    <n v="10952"/>
    <d v="2024-01-06T00:00:00"/>
    <x v="3"/>
    <x v="4"/>
    <x v="0"/>
    <x v="2"/>
    <n v="8"/>
    <n v="10810"/>
    <x v="950"/>
    <n v="1809"/>
    <n v="84671"/>
    <n v="13378.462460000001"/>
    <x v="0"/>
    <x v="4"/>
  </r>
  <r>
    <n v="10953"/>
    <d v="2024-11-17T00:00:00"/>
    <x v="2"/>
    <x v="3"/>
    <x v="2"/>
    <x v="1"/>
    <n v="9"/>
    <n v="60600"/>
    <x v="951"/>
    <n v="4387"/>
    <n v="541013"/>
    <n v="66638.304459999999"/>
    <x v="0"/>
    <x v="7"/>
  </r>
  <r>
    <n v="10954"/>
    <d v="2025-04-12T00:00:00"/>
    <x v="3"/>
    <x v="4"/>
    <x v="1"/>
    <x v="2"/>
    <n v="3"/>
    <n v="63612"/>
    <x v="952"/>
    <n v="2932"/>
    <n v="187904"/>
    <n v="25434.114699999998"/>
    <x v="1"/>
    <x v="0"/>
  </r>
  <r>
    <n v="10955"/>
    <d v="2024-03-15T00:00:00"/>
    <x v="4"/>
    <x v="1"/>
    <x v="2"/>
    <x v="3"/>
    <n v="9"/>
    <n v="42705"/>
    <x v="953"/>
    <n v="290"/>
    <n v="384055"/>
    <n v="62867.682309999997"/>
    <x v="0"/>
    <x v="1"/>
  </r>
  <r>
    <n v="10956"/>
    <d v="2024-01-04T00:00:00"/>
    <x v="1"/>
    <x v="1"/>
    <x v="2"/>
    <x v="2"/>
    <n v="6"/>
    <n v="22615"/>
    <x v="954"/>
    <n v="4637"/>
    <n v="131053"/>
    <n v="18695.81741"/>
    <x v="0"/>
    <x v="4"/>
  </r>
  <r>
    <n v="10957"/>
    <d v="2025-10-07T00:00:00"/>
    <x v="3"/>
    <x v="4"/>
    <x v="0"/>
    <x v="1"/>
    <n v="6"/>
    <n v="71273"/>
    <x v="955"/>
    <n v="1909"/>
    <n v="425729"/>
    <n v="87365.435289999994"/>
    <x v="1"/>
    <x v="8"/>
  </r>
  <r>
    <n v="10958"/>
    <d v="2024-04-27T00:00:00"/>
    <x v="0"/>
    <x v="3"/>
    <x v="1"/>
    <x v="2"/>
    <n v="7"/>
    <n v="53703"/>
    <x v="956"/>
    <n v="4689"/>
    <n v="371232"/>
    <n v="67073.238580000005"/>
    <x v="0"/>
    <x v="0"/>
  </r>
  <r>
    <n v="10959"/>
    <d v="2025-08-28T00:00:00"/>
    <x v="2"/>
    <x v="4"/>
    <x v="2"/>
    <x v="3"/>
    <n v="5"/>
    <n v="64125"/>
    <x v="957"/>
    <n v="1428"/>
    <n v="319197"/>
    <n v="71290.916469999996"/>
    <x v="1"/>
    <x v="6"/>
  </r>
  <r>
    <n v="10960"/>
    <d v="2025-05-18T00:00:00"/>
    <x v="3"/>
    <x v="1"/>
    <x v="2"/>
    <x v="1"/>
    <n v="6"/>
    <n v="54681"/>
    <x v="958"/>
    <n v="947"/>
    <n v="327139"/>
    <n v="68266.953559999994"/>
    <x v="1"/>
    <x v="5"/>
  </r>
  <r>
    <n v="10961"/>
    <d v="2025-07-27T00:00:00"/>
    <x v="2"/>
    <x v="3"/>
    <x v="2"/>
    <x v="0"/>
    <n v="1"/>
    <n v="37567"/>
    <x v="959"/>
    <n v="2527"/>
    <n v="35040"/>
    <n v="4177.296816"/>
    <x v="1"/>
    <x v="10"/>
  </r>
  <r>
    <n v="10962"/>
    <d v="2025-03-16T00:00:00"/>
    <x v="0"/>
    <x v="1"/>
    <x v="2"/>
    <x v="1"/>
    <n v="3"/>
    <n v="9418"/>
    <x v="960"/>
    <n v="1348"/>
    <n v="26906"/>
    <n v="3188.5855259999998"/>
    <x v="1"/>
    <x v="1"/>
  </r>
  <r>
    <n v="10963"/>
    <d v="2024-07-12T00:00:00"/>
    <x v="1"/>
    <x v="3"/>
    <x v="2"/>
    <x v="3"/>
    <n v="9"/>
    <n v="47164"/>
    <x v="961"/>
    <n v="380"/>
    <n v="424096"/>
    <n v="99385.750750000007"/>
    <x v="0"/>
    <x v="10"/>
  </r>
  <r>
    <n v="10964"/>
    <d v="2025-12-15T00:00:00"/>
    <x v="1"/>
    <x v="3"/>
    <x v="2"/>
    <x v="2"/>
    <n v="5"/>
    <n v="6986"/>
    <x v="962"/>
    <n v="1704"/>
    <n v="33226"/>
    <n v="7406.962066"/>
    <x v="1"/>
    <x v="3"/>
  </r>
  <r>
    <n v="10965"/>
    <d v="2025-01-26T00:00:00"/>
    <x v="0"/>
    <x v="4"/>
    <x v="1"/>
    <x v="0"/>
    <n v="5"/>
    <n v="43593"/>
    <x v="963"/>
    <n v="309"/>
    <n v="217656"/>
    <n v="37042.351929999997"/>
    <x v="1"/>
    <x v="4"/>
  </r>
  <r>
    <n v="10966"/>
    <d v="2024-01-26T00:00:00"/>
    <x v="2"/>
    <x v="4"/>
    <x v="1"/>
    <x v="0"/>
    <n v="8"/>
    <n v="38983"/>
    <x v="964"/>
    <n v="3414"/>
    <n v="308450"/>
    <n v="36876.622609999999"/>
    <x v="0"/>
    <x v="4"/>
  </r>
  <r>
    <n v="10967"/>
    <d v="2025-03-10T00:00:00"/>
    <x v="3"/>
    <x v="4"/>
    <x v="2"/>
    <x v="2"/>
    <n v="2"/>
    <n v="36989"/>
    <x v="965"/>
    <n v="1498"/>
    <n v="72480"/>
    <n v="17017.32143"/>
    <x v="1"/>
    <x v="1"/>
  </r>
  <r>
    <n v="10968"/>
    <d v="2024-06-21T00:00:00"/>
    <x v="0"/>
    <x v="3"/>
    <x v="2"/>
    <x v="3"/>
    <n v="7"/>
    <n v="51887"/>
    <x v="966"/>
    <n v="2894"/>
    <n v="360315"/>
    <n v="48500.2307"/>
    <x v="0"/>
    <x v="11"/>
  </r>
  <r>
    <n v="10969"/>
    <d v="2024-10-26T00:00:00"/>
    <x v="4"/>
    <x v="3"/>
    <x v="0"/>
    <x v="1"/>
    <n v="9"/>
    <n v="28442"/>
    <x v="967"/>
    <n v="660"/>
    <n v="255318"/>
    <n v="26892.700140000001"/>
    <x v="0"/>
    <x v="8"/>
  </r>
  <r>
    <n v="10970"/>
    <d v="2025-10-06T00:00:00"/>
    <x v="2"/>
    <x v="1"/>
    <x v="1"/>
    <x v="3"/>
    <n v="7"/>
    <n v="16243"/>
    <x v="968"/>
    <n v="3447"/>
    <n v="110254"/>
    <n v="26310.565689999999"/>
    <x v="1"/>
    <x v="8"/>
  </r>
  <r>
    <n v="10971"/>
    <d v="2024-11-21T00:00:00"/>
    <x v="1"/>
    <x v="2"/>
    <x v="1"/>
    <x v="0"/>
    <n v="5"/>
    <n v="5132"/>
    <x v="969"/>
    <n v="2273"/>
    <n v="23387"/>
    <n v="5176.4866039999997"/>
    <x v="0"/>
    <x v="7"/>
  </r>
  <r>
    <n v="10972"/>
    <d v="2025-02-13T00:00:00"/>
    <x v="0"/>
    <x v="4"/>
    <x v="2"/>
    <x v="1"/>
    <n v="6"/>
    <n v="20556"/>
    <x v="970"/>
    <n v="1497"/>
    <n v="121839"/>
    <n v="24857.867389999999"/>
    <x v="1"/>
    <x v="9"/>
  </r>
  <r>
    <n v="10973"/>
    <d v="2024-04-27T00:00:00"/>
    <x v="1"/>
    <x v="1"/>
    <x v="1"/>
    <x v="1"/>
    <n v="4"/>
    <n v="69397"/>
    <x v="971"/>
    <n v="2072"/>
    <n v="275516"/>
    <n v="28957.98619"/>
    <x v="0"/>
    <x v="0"/>
  </r>
  <r>
    <n v="10974"/>
    <d v="2025-12-24T00:00:00"/>
    <x v="2"/>
    <x v="1"/>
    <x v="1"/>
    <x v="2"/>
    <n v="7"/>
    <n v="64440"/>
    <x v="972"/>
    <n v="3436"/>
    <n v="447644"/>
    <n v="80246.756959999999"/>
    <x v="1"/>
    <x v="3"/>
  </r>
  <r>
    <n v="10975"/>
    <d v="2024-08-12T00:00:00"/>
    <x v="1"/>
    <x v="0"/>
    <x v="0"/>
    <x v="3"/>
    <n v="1"/>
    <n v="38855"/>
    <x v="973"/>
    <n v="2142"/>
    <n v="36713"/>
    <n v="7270.8416239999997"/>
    <x v="0"/>
    <x v="6"/>
  </r>
  <r>
    <n v="10976"/>
    <d v="2025-06-15T00:00:00"/>
    <x v="0"/>
    <x v="4"/>
    <x v="0"/>
    <x v="1"/>
    <n v="4"/>
    <n v="14839"/>
    <x v="974"/>
    <n v="4660"/>
    <n v="54696"/>
    <n v="11699.5885"/>
    <x v="1"/>
    <x v="11"/>
  </r>
  <r>
    <n v="10977"/>
    <d v="2024-04-22T00:00:00"/>
    <x v="2"/>
    <x v="1"/>
    <x v="1"/>
    <x v="2"/>
    <n v="3"/>
    <n v="64064"/>
    <x v="975"/>
    <n v="1605"/>
    <n v="190587"/>
    <n v="32525.783769999998"/>
    <x v="0"/>
    <x v="0"/>
  </r>
  <r>
    <n v="10978"/>
    <d v="2024-05-19T00:00:00"/>
    <x v="4"/>
    <x v="0"/>
    <x v="1"/>
    <x v="3"/>
    <n v="4"/>
    <n v="48220"/>
    <x v="976"/>
    <n v="4739"/>
    <n v="188141"/>
    <n v="45718.713600000003"/>
    <x v="0"/>
    <x v="5"/>
  </r>
  <r>
    <n v="10979"/>
    <d v="2025-07-12T00:00:00"/>
    <x v="0"/>
    <x v="4"/>
    <x v="1"/>
    <x v="0"/>
    <n v="1"/>
    <n v="46078"/>
    <x v="977"/>
    <n v="1431"/>
    <n v="44647"/>
    <n v="6104.011004"/>
    <x v="1"/>
    <x v="10"/>
  </r>
  <r>
    <n v="10980"/>
    <d v="2024-01-01T00:00:00"/>
    <x v="3"/>
    <x v="3"/>
    <x v="2"/>
    <x v="0"/>
    <n v="2"/>
    <n v="71430"/>
    <x v="978"/>
    <n v="1950"/>
    <n v="140910"/>
    <n v="15564.952079999999"/>
    <x v="0"/>
    <x v="4"/>
  </r>
  <r>
    <n v="10981"/>
    <d v="2024-03-30T00:00:00"/>
    <x v="0"/>
    <x v="0"/>
    <x v="0"/>
    <x v="3"/>
    <n v="9"/>
    <n v="6265"/>
    <x v="979"/>
    <n v="3922"/>
    <n v="52463"/>
    <n v="7864.9873269999998"/>
    <x v="0"/>
    <x v="1"/>
  </r>
  <r>
    <n v="10982"/>
    <d v="2025-10-15T00:00:00"/>
    <x v="2"/>
    <x v="3"/>
    <x v="2"/>
    <x v="1"/>
    <n v="7"/>
    <n v="27807"/>
    <x v="980"/>
    <n v="458"/>
    <n v="194191"/>
    <n v="38696.582439999998"/>
    <x v="1"/>
    <x v="8"/>
  </r>
  <r>
    <n v="10983"/>
    <d v="2024-11-15T00:00:00"/>
    <x v="0"/>
    <x v="2"/>
    <x v="0"/>
    <x v="1"/>
    <n v="6"/>
    <n v="54514"/>
    <x v="981"/>
    <n v="2948"/>
    <n v="324136"/>
    <n v="68254.478130000003"/>
    <x v="0"/>
    <x v="7"/>
  </r>
  <r>
    <n v="10984"/>
    <d v="2025-07-03T00:00:00"/>
    <x v="4"/>
    <x v="2"/>
    <x v="0"/>
    <x v="0"/>
    <n v="2"/>
    <n v="61316"/>
    <x v="982"/>
    <n v="337"/>
    <n v="122295"/>
    <n v="25776.671699999999"/>
    <x v="1"/>
    <x v="10"/>
  </r>
  <r>
    <n v="10985"/>
    <d v="2024-05-18T00:00:00"/>
    <x v="4"/>
    <x v="2"/>
    <x v="0"/>
    <x v="0"/>
    <n v="1"/>
    <n v="69817"/>
    <x v="983"/>
    <n v="3943"/>
    <n v="65874"/>
    <n v="7680.9791580000001"/>
    <x v="0"/>
    <x v="5"/>
  </r>
  <r>
    <n v="10986"/>
    <d v="2025-05-25T00:00:00"/>
    <x v="3"/>
    <x v="2"/>
    <x v="1"/>
    <x v="1"/>
    <n v="2"/>
    <n v="37229"/>
    <x v="984"/>
    <n v="2013"/>
    <n v="72445"/>
    <n v="16862.545829999999"/>
    <x v="1"/>
    <x v="5"/>
  </r>
  <r>
    <n v="10987"/>
    <d v="2024-09-15T00:00:00"/>
    <x v="1"/>
    <x v="1"/>
    <x v="0"/>
    <x v="3"/>
    <n v="7"/>
    <n v="37748"/>
    <x v="985"/>
    <n v="4020"/>
    <n v="260216"/>
    <n v="36983.213430000003"/>
    <x v="0"/>
    <x v="2"/>
  </r>
  <r>
    <n v="10988"/>
    <d v="2025-11-03T00:00:00"/>
    <x v="2"/>
    <x v="2"/>
    <x v="2"/>
    <x v="0"/>
    <n v="2"/>
    <n v="46273"/>
    <x v="986"/>
    <n v="344"/>
    <n v="92202"/>
    <n v="12123.33359"/>
    <x v="1"/>
    <x v="7"/>
  </r>
  <r>
    <n v="10989"/>
    <d v="2025-11-20T00:00:00"/>
    <x v="2"/>
    <x v="1"/>
    <x v="0"/>
    <x v="1"/>
    <n v="3"/>
    <n v="59784"/>
    <x v="987"/>
    <n v="4671"/>
    <n v="174681"/>
    <n v="33568.206980000003"/>
    <x v="1"/>
    <x v="7"/>
  </r>
  <r>
    <n v="10990"/>
    <d v="2024-01-10T00:00:00"/>
    <x v="1"/>
    <x v="1"/>
    <x v="2"/>
    <x v="3"/>
    <n v="8"/>
    <n v="23090"/>
    <x v="988"/>
    <n v="942"/>
    <n v="183778"/>
    <n v="24217.779879999998"/>
    <x v="0"/>
    <x v="4"/>
  </r>
  <r>
    <n v="10991"/>
    <d v="2024-09-17T00:00:00"/>
    <x v="4"/>
    <x v="4"/>
    <x v="0"/>
    <x v="2"/>
    <n v="7"/>
    <n v="18374"/>
    <x v="989"/>
    <n v="345"/>
    <n v="128273"/>
    <n v="22602.443240000001"/>
    <x v="0"/>
    <x v="2"/>
  </r>
  <r>
    <n v="10992"/>
    <d v="2025-10-11T00:00:00"/>
    <x v="4"/>
    <x v="1"/>
    <x v="0"/>
    <x v="3"/>
    <n v="9"/>
    <n v="51116"/>
    <x v="990"/>
    <n v="3894"/>
    <n v="456150"/>
    <n v="73464.989409999995"/>
    <x v="1"/>
    <x v="8"/>
  </r>
  <r>
    <n v="10993"/>
    <d v="2024-06-20T00:00:00"/>
    <x v="0"/>
    <x v="1"/>
    <x v="1"/>
    <x v="1"/>
    <n v="4"/>
    <n v="64133"/>
    <x v="991"/>
    <n v="3319"/>
    <n v="253213"/>
    <n v="34134.413760000003"/>
    <x v="0"/>
    <x v="11"/>
  </r>
  <r>
    <n v="10994"/>
    <d v="2024-01-13T00:00:00"/>
    <x v="3"/>
    <x v="2"/>
    <x v="2"/>
    <x v="3"/>
    <n v="7"/>
    <n v="72929"/>
    <x v="992"/>
    <n v="3695"/>
    <n v="506808"/>
    <n v="72883.523730000001"/>
    <x v="0"/>
    <x v="4"/>
  </r>
  <r>
    <n v="10995"/>
    <d v="2024-06-16T00:00:00"/>
    <x v="3"/>
    <x v="1"/>
    <x v="0"/>
    <x v="1"/>
    <n v="1"/>
    <n v="62278"/>
    <x v="993"/>
    <n v="324"/>
    <n v="61954"/>
    <n v="10167.33814"/>
    <x v="0"/>
    <x v="11"/>
  </r>
  <r>
    <n v="10996"/>
    <d v="2025-10-03T00:00:00"/>
    <x v="3"/>
    <x v="3"/>
    <x v="0"/>
    <x v="0"/>
    <n v="2"/>
    <n v="41462"/>
    <x v="994"/>
    <n v="2138"/>
    <n v="80786"/>
    <n v="12273.33646"/>
    <x v="1"/>
    <x v="8"/>
  </r>
  <r>
    <n v="10997"/>
    <d v="2025-08-18T00:00:00"/>
    <x v="0"/>
    <x v="2"/>
    <x v="2"/>
    <x v="2"/>
    <n v="7"/>
    <n v="64624"/>
    <x v="995"/>
    <n v="4389"/>
    <n v="447979"/>
    <n v="70438.590750000003"/>
    <x v="1"/>
    <x v="6"/>
  </r>
  <r>
    <n v="10998"/>
    <d v="2024-11-16T00:00:00"/>
    <x v="3"/>
    <x v="0"/>
    <x v="0"/>
    <x v="0"/>
    <n v="2"/>
    <n v="55141"/>
    <x v="996"/>
    <n v="3612"/>
    <n v="106670"/>
    <n v="22434.321660000001"/>
    <x v="0"/>
    <x v="7"/>
  </r>
  <r>
    <n v="10999"/>
    <d v="2024-11-14T00:00:00"/>
    <x v="1"/>
    <x v="2"/>
    <x v="1"/>
    <x v="0"/>
    <n v="6"/>
    <n v="15655"/>
    <x v="997"/>
    <n v="523"/>
    <n v="93407"/>
    <n v="11699.87938"/>
    <x v="0"/>
    <x v="7"/>
  </r>
  <r>
    <n v="11000"/>
    <d v="2025-09-04T00:00:00"/>
    <x v="0"/>
    <x v="1"/>
    <x v="2"/>
    <x v="1"/>
    <n v="9"/>
    <n v="46864"/>
    <x v="998"/>
    <n v="2897"/>
    <n v="418879"/>
    <n v="81322.336939999994"/>
    <x v="1"/>
    <x v="2"/>
  </r>
  <r>
    <n v="11001"/>
    <d v="2024-11-24T00:00:00"/>
    <x v="1"/>
    <x v="3"/>
    <x v="1"/>
    <x v="1"/>
    <n v="5"/>
    <n v="11410"/>
    <x v="999"/>
    <n v="3740"/>
    <n v="53310"/>
    <n v="10753.888650000001"/>
    <x v="0"/>
    <x v="7"/>
  </r>
  <r>
    <n v="11002"/>
    <d v="2025-07-03T00:00:00"/>
    <x v="0"/>
    <x v="2"/>
    <x v="2"/>
    <x v="1"/>
    <n v="7"/>
    <n v="65388"/>
    <x v="1000"/>
    <n v="258"/>
    <n v="457458"/>
    <n v="100783.97040000001"/>
    <x v="1"/>
    <x v="10"/>
  </r>
  <r>
    <n v="11003"/>
    <d v="2025-02-22T00:00:00"/>
    <x v="3"/>
    <x v="3"/>
    <x v="2"/>
    <x v="1"/>
    <n v="1"/>
    <n v="38678"/>
    <x v="1001"/>
    <n v="1110"/>
    <n v="37568"/>
    <n v="8531.6580979999999"/>
    <x v="1"/>
    <x v="9"/>
  </r>
  <r>
    <n v="11004"/>
    <d v="2025-08-28T00:00:00"/>
    <x v="1"/>
    <x v="0"/>
    <x v="2"/>
    <x v="0"/>
    <n v="8"/>
    <n v="27970"/>
    <x v="1002"/>
    <n v="820"/>
    <n v="222940"/>
    <n v="27599.934440000001"/>
    <x v="1"/>
    <x v="6"/>
  </r>
  <r>
    <n v="11005"/>
    <d v="2024-04-04T00:00:00"/>
    <x v="1"/>
    <x v="0"/>
    <x v="0"/>
    <x v="1"/>
    <n v="9"/>
    <n v="64951"/>
    <x v="1003"/>
    <n v="2788"/>
    <n v="581771"/>
    <n v="70242.515190000006"/>
    <x v="0"/>
    <x v="0"/>
  </r>
  <r>
    <n v="11006"/>
    <d v="2025-08-03T00:00:00"/>
    <x v="1"/>
    <x v="4"/>
    <x v="2"/>
    <x v="1"/>
    <n v="5"/>
    <n v="23507"/>
    <x v="1004"/>
    <n v="4664"/>
    <n v="112871"/>
    <n v="21695.57285"/>
    <x v="1"/>
    <x v="6"/>
  </r>
  <r>
    <n v="11007"/>
    <d v="2024-11-13T00:00:00"/>
    <x v="0"/>
    <x v="4"/>
    <x v="2"/>
    <x v="0"/>
    <n v="6"/>
    <n v="66686"/>
    <x v="1005"/>
    <n v="4604"/>
    <n v="395512"/>
    <n v="84456.636809999996"/>
    <x v="0"/>
    <x v="7"/>
  </r>
  <r>
    <n v="11008"/>
    <d v="2024-08-23T00:00:00"/>
    <x v="2"/>
    <x v="2"/>
    <x v="2"/>
    <x v="2"/>
    <n v="8"/>
    <n v="23235"/>
    <x v="1006"/>
    <n v="1563"/>
    <n v="184317"/>
    <n v="25960.8586"/>
    <x v="0"/>
    <x v="6"/>
  </r>
  <r>
    <n v="11009"/>
    <d v="2024-11-29T00:00:00"/>
    <x v="3"/>
    <x v="4"/>
    <x v="1"/>
    <x v="2"/>
    <n v="4"/>
    <n v="52683"/>
    <x v="1007"/>
    <n v="4620"/>
    <n v="206112"/>
    <n v="36868.712890000003"/>
    <x v="0"/>
    <x v="7"/>
  </r>
  <r>
    <n v="11010"/>
    <d v="2025-01-10T00:00:00"/>
    <x v="1"/>
    <x v="3"/>
    <x v="2"/>
    <x v="3"/>
    <n v="2"/>
    <n v="72151"/>
    <x v="1008"/>
    <n v="1207"/>
    <n v="143095"/>
    <n v="30885.040199999999"/>
    <x v="1"/>
    <x v="4"/>
  </r>
  <r>
    <n v="11011"/>
    <d v="2025-04-03T00:00:00"/>
    <x v="2"/>
    <x v="4"/>
    <x v="0"/>
    <x v="0"/>
    <n v="8"/>
    <n v="14397"/>
    <x v="1009"/>
    <n v="308"/>
    <n v="114868"/>
    <n v="24711.032060000001"/>
    <x v="1"/>
    <x v="0"/>
  </r>
  <r>
    <n v="11012"/>
    <d v="2024-05-16T00:00:00"/>
    <x v="3"/>
    <x v="3"/>
    <x v="2"/>
    <x v="1"/>
    <n v="2"/>
    <n v="34655"/>
    <x v="1010"/>
    <n v="1839"/>
    <n v="67471"/>
    <n v="13364.18506"/>
    <x v="0"/>
    <x v="5"/>
  </r>
  <r>
    <n v="11013"/>
    <d v="2025-08-10T00:00:00"/>
    <x v="3"/>
    <x v="4"/>
    <x v="2"/>
    <x v="3"/>
    <n v="5"/>
    <n v="70446"/>
    <x v="1011"/>
    <n v="3352"/>
    <n v="348878"/>
    <n v="39010.894070000002"/>
    <x v="1"/>
    <x v="6"/>
  </r>
  <r>
    <n v="11014"/>
    <d v="2025-06-30T00:00:00"/>
    <x v="1"/>
    <x v="4"/>
    <x v="1"/>
    <x v="2"/>
    <n v="6"/>
    <n v="48639"/>
    <x v="1012"/>
    <n v="1383"/>
    <n v="290451"/>
    <n v="31251.53398"/>
    <x v="1"/>
    <x v="11"/>
  </r>
  <r>
    <n v="11015"/>
    <d v="2025-05-27T00:00:00"/>
    <x v="1"/>
    <x v="4"/>
    <x v="0"/>
    <x v="2"/>
    <n v="5"/>
    <n v="23830"/>
    <x v="1013"/>
    <n v="2306"/>
    <n v="116844"/>
    <n v="18492.525570000002"/>
    <x v="1"/>
    <x v="5"/>
  </r>
  <r>
    <n v="11016"/>
    <d v="2024-10-22T00:00:00"/>
    <x v="0"/>
    <x v="1"/>
    <x v="0"/>
    <x v="0"/>
    <n v="6"/>
    <n v="13014"/>
    <x v="1014"/>
    <n v="1180"/>
    <n v="76904"/>
    <n v="7998.2554769999997"/>
    <x v="0"/>
    <x v="8"/>
  </r>
  <r>
    <n v="11017"/>
    <d v="2024-11-15T00:00:00"/>
    <x v="2"/>
    <x v="1"/>
    <x v="0"/>
    <x v="1"/>
    <n v="6"/>
    <n v="66731"/>
    <x v="1015"/>
    <n v="2472"/>
    <n v="397914"/>
    <n v="93757.153149999998"/>
    <x v="0"/>
    <x v="7"/>
  </r>
  <r>
    <n v="11018"/>
    <d v="2025-07-25T00:00:00"/>
    <x v="2"/>
    <x v="4"/>
    <x v="2"/>
    <x v="1"/>
    <n v="3"/>
    <n v="48061"/>
    <x v="1016"/>
    <n v="2686"/>
    <n v="141497"/>
    <n v="14577.26144"/>
    <x v="1"/>
    <x v="10"/>
  </r>
  <r>
    <n v="11019"/>
    <d v="2024-12-14T00:00:00"/>
    <x v="1"/>
    <x v="3"/>
    <x v="2"/>
    <x v="3"/>
    <n v="3"/>
    <n v="73752"/>
    <x v="1017"/>
    <n v="2967"/>
    <n v="218289"/>
    <n v="22798.524310000001"/>
    <x v="0"/>
    <x v="3"/>
  </r>
  <r>
    <n v="11020"/>
    <d v="2024-08-16T00:00:00"/>
    <x v="3"/>
    <x v="2"/>
    <x v="0"/>
    <x v="2"/>
    <n v="9"/>
    <n v="26859"/>
    <x v="1018"/>
    <n v="4445"/>
    <n v="237286"/>
    <n v="29613.080849999998"/>
    <x v="0"/>
    <x v="6"/>
  </r>
  <r>
    <n v="11021"/>
    <d v="2024-09-26T00:00:00"/>
    <x v="1"/>
    <x v="0"/>
    <x v="0"/>
    <x v="3"/>
    <n v="3"/>
    <n v="23908"/>
    <x v="1019"/>
    <n v="960"/>
    <n v="70764"/>
    <n v="13731.91482"/>
    <x v="0"/>
    <x v="2"/>
  </r>
  <r>
    <n v="11022"/>
    <d v="2024-10-17T00:00:00"/>
    <x v="3"/>
    <x v="1"/>
    <x v="1"/>
    <x v="3"/>
    <n v="3"/>
    <n v="33693"/>
    <x v="1020"/>
    <n v="3456"/>
    <n v="97623"/>
    <n v="17692.520980000001"/>
    <x v="0"/>
    <x v="8"/>
  </r>
  <r>
    <n v="11023"/>
    <d v="2025-12-25T00:00:00"/>
    <x v="3"/>
    <x v="4"/>
    <x v="0"/>
    <x v="3"/>
    <n v="2"/>
    <n v="18603"/>
    <x v="1021"/>
    <n v="437"/>
    <n v="36769"/>
    <n v="7314.2023790000003"/>
    <x v="1"/>
    <x v="3"/>
  </r>
  <r>
    <n v="11024"/>
    <d v="2024-06-13T00:00:00"/>
    <x v="1"/>
    <x v="0"/>
    <x v="2"/>
    <x v="1"/>
    <n v="7"/>
    <n v="48702"/>
    <x v="1022"/>
    <n v="455"/>
    <n v="340459"/>
    <n v="79678.733470000006"/>
    <x v="0"/>
    <x v="11"/>
  </r>
  <r>
    <n v="11025"/>
    <d v="2024-01-05T00:00:00"/>
    <x v="4"/>
    <x v="1"/>
    <x v="2"/>
    <x v="2"/>
    <n v="4"/>
    <n v="23345"/>
    <x v="1023"/>
    <n v="3817"/>
    <n v="89563"/>
    <n v="15068.2446"/>
    <x v="0"/>
    <x v="4"/>
  </r>
  <r>
    <n v="11026"/>
    <d v="2025-01-13T00:00:00"/>
    <x v="2"/>
    <x v="2"/>
    <x v="2"/>
    <x v="3"/>
    <n v="1"/>
    <n v="27687"/>
    <x v="1024"/>
    <n v="1569"/>
    <n v="26118"/>
    <n v="2783.6929110000001"/>
    <x v="1"/>
    <x v="4"/>
  </r>
  <r>
    <n v="11027"/>
    <d v="2024-03-18T00:00:00"/>
    <x v="3"/>
    <x v="3"/>
    <x v="1"/>
    <x v="2"/>
    <n v="6"/>
    <n v="34581"/>
    <x v="1025"/>
    <n v="1103"/>
    <n v="206383"/>
    <n v="44274.208599999998"/>
    <x v="0"/>
    <x v="1"/>
  </r>
  <r>
    <n v="11028"/>
    <d v="2025-02-13T00:00:00"/>
    <x v="3"/>
    <x v="4"/>
    <x v="0"/>
    <x v="2"/>
    <n v="5"/>
    <n v="42393"/>
    <x v="1026"/>
    <n v="1618"/>
    <n v="210347"/>
    <n v="46653.843330000003"/>
    <x v="1"/>
    <x v="9"/>
  </r>
  <r>
    <n v="11029"/>
    <d v="2025-07-27T00:00:00"/>
    <x v="4"/>
    <x v="2"/>
    <x v="2"/>
    <x v="3"/>
    <n v="2"/>
    <n v="13292"/>
    <x v="1027"/>
    <n v="3612"/>
    <n v="22972"/>
    <n v="2469.1053099999999"/>
    <x v="1"/>
    <x v="10"/>
  </r>
  <r>
    <n v="11030"/>
    <d v="2024-05-11T00:00:00"/>
    <x v="0"/>
    <x v="1"/>
    <x v="1"/>
    <x v="3"/>
    <n v="6"/>
    <n v="8448"/>
    <x v="1028"/>
    <n v="1512"/>
    <n v="49176"/>
    <n v="6708.9535299999998"/>
    <x v="0"/>
    <x v="5"/>
  </r>
  <r>
    <n v="11031"/>
    <d v="2025-08-23T00:00:00"/>
    <x v="4"/>
    <x v="4"/>
    <x v="1"/>
    <x v="0"/>
    <n v="1"/>
    <n v="24628"/>
    <x v="1029"/>
    <n v="4738"/>
    <n v="19890"/>
    <n v="4288.0755509999999"/>
    <x v="1"/>
    <x v="6"/>
  </r>
  <r>
    <n v="11032"/>
    <d v="2024-02-11T00:00:00"/>
    <x v="4"/>
    <x v="0"/>
    <x v="2"/>
    <x v="1"/>
    <n v="3"/>
    <n v="19678"/>
    <x v="1030"/>
    <n v="391"/>
    <n v="58643"/>
    <n v="9173.1307479999996"/>
    <x v="0"/>
    <x v="9"/>
  </r>
  <r>
    <n v="11033"/>
    <d v="2024-03-29T00:00:00"/>
    <x v="3"/>
    <x v="3"/>
    <x v="1"/>
    <x v="2"/>
    <n v="4"/>
    <n v="43815"/>
    <x v="1031"/>
    <n v="2621"/>
    <n v="172639"/>
    <n v="29503.60972"/>
    <x v="0"/>
    <x v="1"/>
  </r>
  <r>
    <n v="11034"/>
    <d v="2025-02-05T00:00:00"/>
    <x v="2"/>
    <x v="1"/>
    <x v="1"/>
    <x v="3"/>
    <n v="3"/>
    <n v="31477"/>
    <x v="1032"/>
    <n v="920"/>
    <n v="93511"/>
    <n v="20897.498029999999"/>
    <x v="1"/>
    <x v="9"/>
  </r>
  <r>
    <n v="11035"/>
    <d v="2024-10-22T00:00:00"/>
    <x v="4"/>
    <x v="3"/>
    <x v="2"/>
    <x v="3"/>
    <n v="6"/>
    <n v="58826"/>
    <x v="1033"/>
    <n v="2457"/>
    <n v="350499"/>
    <n v="40024.508040000001"/>
    <x v="0"/>
    <x v="8"/>
  </r>
  <r>
    <n v="11036"/>
    <d v="2024-10-21T00:00:00"/>
    <x v="0"/>
    <x v="4"/>
    <x v="1"/>
    <x v="2"/>
    <n v="4"/>
    <n v="71750"/>
    <x v="1034"/>
    <n v="3600"/>
    <n v="283400"/>
    <n v="57131.356630000002"/>
    <x v="0"/>
    <x v="8"/>
  </r>
  <r>
    <n v="11037"/>
    <d v="2025-09-07T00:00:00"/>
    <x v="1"/>
    <x v="2"/>
    <x v="2"/>
    <x v="3"/>
    <n v="1"/>
    <n v="25010"/>
    <x v="1035"/>
    <n v="4508"/>
    <n v="20502"/>
    <n v="2711.3414849999999"/>
    <x v="1"/>
    <x v="2"/>
  </r>
  <r>
    <n v="11038"/>
    <d v="2025-06-09T00:00:00"/>
    <x v="4"/>
    <x v="3"/>
    <x v="2"/>
    <x v="0"/>
    <n v="5"/>
    <n v="70146"/>
    <x v="1036"/>
    <n v="1788"/>
    <n v="348942"/>
    <n v="38173.457349999997"/>
    <x v="1"/>
    <x v="11"/>
  </r>
  <r>
    <n v="11039"/>
    <d v="2025-11-21T00:00:00"/>
    <x v="4"/>
    <x v="0"/>
    <x v="1"/>
    <x v="2"/>
    <n v="5"/>
    <n v="63133"/>
    <x v="1037"/>
    <n v="260"/>
    <n v="315405"/>
    <n v="62883.769950000002"/>
    <x v="1"/>
    <x v="7"/>
  </r>
  <r>
    <n v="11040"/>
    <d v="2025-09-28T00:00:00"/>
    <x v="0"/>
    <x v="1"/>
    <x v="2"/>
    <x v="3"/>
    <n v="9"/>
    <n v="45643"/>
    <x v="1038"/>
    <n v="2013"/>
    <n v="408774"/>
    <n v="48321.925840000004"/>
    <x v="1"/>
    <x v="2"/>
  </r>
  <r>
    <n v="11041"/>
    <d v="2025-02-25T00:00:00"/>
    <x v="2"/>
    <x v="0"/>
    <x v="2"/>
    <x v="2"/>
    <n v="8"/>
    <n v="51687"/>
    <x v="1039"/>
    <n v="1335"/>
    <n v="412161"/>
    <n v="87399.188819999996"/>
    <x v="1"/>
    <x v="9"/>
  </r>
  <r>
    <n v="11042"/>
    <d v="2024-01-23T00:00:00"/>
    <x v="4"/>
    <x v="3"/>
    <x v="0"/>
    <x v="3"/>
    <n v="8"/>
    <n v="52993"/>
    <x v="1040"/>
    <n v="334"/>
    <n v="423610"/>
    <n v="55241.204619999997"/>
    <x v="0"/>
    <x v="4"/>
  </r>
  <r>
    <n v="11043"/>
    <d v="2025-07-28T00:00:00"/>
    <x v="4"/>
    <x v="2"/>
    <x v="2"/>
    <x v="3"/>
    <n v="5"/>
    <n v="30078"/>
    <x v="1041"/>
    <n v="2779"/>
    <n v="147611"/>
    <n v="15835.23618"/>
    <x v="1"/>
    <x v="10"/>
  </r>
  <r>
    <n v="11044"/>
    <d v="2024-05-22T00:00:00"/>
    <x v="2"/>
    <x v="2"/>
    <x v="0"/>
    <x v="1"/>
    <n v="8"/>
    <n v="70708"/>
    <x v="1042"/>
    <n v="803"/>
    <n v="564861"/>
    <n v="64899.489809999999"/>
    <x v="0"/>
    <x v="5"/>
  </r>
  <r>
    <n v="11045"/>
    <d v="2025-10-26T00:00:00"/>
    <x v="0"/>
    <x v="0"/>
    <x v="0"/>
    <x v="2"/>
    <n v="7"/>
    <n v="22270"/>
    <x v="1043"/>
    <n v="2437"/>
    <n v="153453"/>
    <n v="34709.616520000003"/>
    <x v="1"/>
    <x v="8"/>
  </r>
  <r>
    <n v="11046"/>
    <d v="2024-05-24T00:00:00"/>
    <x v="4"/>
    <x v="4"/>
    <x v="0"/>
    <x v="1"/>
    <n v="1"/>
    <n v="11263"/>
    <x v="1044"/>
    <n v="2807"/>
    <n v="8456"/>
    <n v="1316.136086"/>
    <x v="0"/>
    <x v="5"/>
  </r>
  <r>
    <n v="11047"/>
    <d v="2024-08-12T00:00:00"/>
    <x v="2"/>
    <x v="4"/>
    <x v="0"/>
    <x v="3"/>
    <n v="7"/>
    <n v="25752"/>
    <x v="1045"/>
    <n v="940"/>
    <n v="179324"/>
    <n v="26062.949479999999"/>
    <x v="0"/>
    <x v="6"/>
  </r>
  <r>
    <n v="11048"/>
    <d v="2025-05-17T00:00:00"/>
    <x v="4"/>
    <x v="2"/>
    <x v="1"/>
    <x v="2"/>
    <n v="8"/>
    <n v="16621"/>
    <x v="1046"/>
    <n v="3163"/>
    <n v="129805"/>
    <n v="22544.509419999998"/>
    <x v="1"/>
    <x v="5"/>
  </r>
  <r>
    <n v="11049"/>
    <d v="2025-09-07T00:00:00"/>
    <x v="1"/>
    <x v="0"/>
    <x v="1"/>
    <x v="2"/>
    <n v="3"/>
    <n v="47369"/>
    <x v="1047"/>
    <n v="902"/>
    <n v="141205"/>
    <n v="27526.486509999999"/>
    <x v="1"/>
    <x v="2"/>
  </r>
  <r>
    <n v="11050"/>
    <d v="2024-04-13T00:00:00"/>
    <x v="3"/>
    <x v="0"/>
    <x v="2"/>
    <x v="0"/>
    <n v="9"/>
    <n v="77592"/>
    <x v="1048"/>
    <n v="3432"/>
    <n v="694896"/>
    <n v="73356.93028"/>
    <x v="0"/>
    <x v="0"/>
  </r>
  <r>
    <n v="11051"/>
    <d v="2024-02-08T00:00:00"/>
    <x v="1"/>
    <x v="0"/>
    <x v="2"/>
    <x v="0"/>
    <n v="8"/>
    <n v="65267"/>
    <x v="1049"/>
    <n v="1268"/>
    <n v="520868"/>
    <n v="122262.4482"/>
    <x v="0"/>
    <x v="9"/>
  </r>
  <r>
    <n v="11052"/>
    <d v="2024-07-16T00:00:00"/>
    <x v="4"/>
    <x v="3"/>
    <x v="2"/>
    <x v="3"/>
    <n v="2"/>
    <n v="19245"/>
    <x v="1050"/>
    <n v="23"/>
    <n v="38467"/>
    <n v="9377.185399"/>
    <x v="0"/>
    <x v="10"/>
  </r>
  <r>
    <n v="11053"/>
    <d v="2025-10-07T00:00:00"/>
    <x v="0"/>
    <x v="4"/>
    <x v="1"/>
    <x v="3"/>
    <n v="6"/>
    <n v="37676"/>
    <x v="1051"/>
    <n v="4652"/>
    <n v="221404"/>
    <n v="35999.409749999999"/>
    <x v="1"/>
    <x v="8"/>
  </r>
  <r>
    <n v="11054"/>
    <d v="2025-08-01T00:00:00"/>
    <x v="3"/>
    <x v="4"/>
    <x v="0"/>
    <x v="3"/>
    <n v="4"/>
    <n v="70796"/>
    <x v="1052"/>
    <n v="2748"/>
    <n v="280436"/>
    <n v="45400.999839999997"/>
    <x v="1"/>
    <x v="6"/>
  </r>
  <r>
    <n v="11055"/>
    <d v="2025-01-25T00:00:00"/>
    <x v="1"/>
    <x v="3"/>
    <x v="1"/>
    <x v="3"/>
    <n v="3"/>
    <n v="57504"/>
    <x v="1053"/>
    <n v="2450"/>
    <n v="170062"/>
    <n v="39417.6486"/>
    <x v="1"/>
    <x v="4"/>
  </r>
  <r>
    <n v="11056"/>
    <d v="2024-06-27T00:00:00"/>
    <x v="2"/>
    <x v="1"/>
    <x v="1"/>
    <x v="0"/>
    <n v="6"/>
    <n v="6352"/>
    <x v="1054"/>
    <n v="1396"/>
    <n v="36716"/>
    <n v="6035.9917969999997"/>
    <x v="0"/>
    <x v="11"/>
  </r>
  <r>
    <n v="11057"/>
    <d v="2025-07-07T00:00:00"/>
    <x v="0"/>
    <x v="3"/>
    <x v="2"/>
    <x v="2"/>
    <n v="9"/>
    <n v="10243"/>
    <x v="1055"/>
    <n v="3357"/>
    <n v="88830"/>
    <n v="20291.302790000002"/>
    <x v="1"/>
    <x v="10"/>
  </r>
  <r>
    <n v="11058"/>
    <d v="2025-03-23T00:00:00"/>
    <x v="1"/>
    <x v="0"/>
    <x v="2"/>
    <x v="1"/>
    <n v="2"/>
    <n v="50333"/>
    <x v="1056"/>
    <n v="3904"/>
    <n v="96762"/>
    <n v="10087.49091"/>
    <x v="1"/>
    <x v="1"/>
  </r>
  <r>
    <n v="11059"/>
    <d v="2025-05-14T00:00:00"/>
    <x v="2"/>
    <x v="3"/>
    <x v="2"/>
    <x v="2"/>
    <n v="5"/>
    <n v="64484"/>
    <x v="1057"/>
    <n v="2488"/>
    <n v="319932"/>
    <n v="55491.434780000003"/>
    <x v="1"/>
    <x v="5"/>
  </r>
  <r>
    <n v="11060"/>
    <d v="2024-01-15T00:00:00"/>
    <x v="4"/>
    <x v="0"/>
    <x v="0"/>
    <x v="2"/>
    <n v="6"/>
    <n v="54974"/>
    <x v="1058"/>
    <n v="3666"/>
    <n v="326178"/>
    <n v="79217.010139999999"/>
    <x v="0"/>
    <x v="4"/>
  </r>
  <r>
    <n v="11061"/>
    <d v="2025-09-14T00:00:00"/>
    <x v="2"/>
    <x v="2"/>
    <x v="0"/>
    <x v="0"/>
    <n v="4"/>
    <n v="70702"/>
    <x v="1059"/>
    <n v="1757"/>
    <n v="281051"/>
    <n v="38762.750319999999"/>
    <x v="1"/>
    <x v="2"/>
  </r>
  <r>
    <n v="11062"/>
    <d v="2025-10-30T00:00:00"/>
    <x v="1"/>
    <x v="0"/>
    <x v="1"/>
    <x v="2"/>
    <n v="7"/>
    <n v="26310"/>
    <x v="1060"/>
    <n v="4977"/>
    <n v="179193"/>
    <n v="25073.26211"/>
    <x v="1"/>
    <x v="8"/>
  </r>
  <r>
    <n v="11063"/>
    <d v="2024-10-15T00:00:00"/>
    <x v="1"/>
    <x v="4"/>
    <x v="0"/>
    <x v="2"/>
    <n v="2"/>
    <n v="22439"/>
    <x v="1061"/>
    <n v="1878"/>
    <n v="43000"/>
    <n v="8364.2932770000007"/>
    <x v="0"/>
    <x v="8"/>
  </r>
  <r>
    <n v="11064"/>
    <d v="2025-04-22T00:00:00"/>
    <x v="4"/>
    <x v="3"/>
    <x v="2"/>
    <x v="3"/>
    <n v="7"/>
    <n v="6254"/>
    <x v="1062"/>
    <n v="2532"/>
    <n v="41246"/>
    <n v="9854.8503760000003"/>
    <x v="1"/>
    <x v="0"/>
  </r>
  <r>
    <n v="11065"/>
    <d v="2024-08-18T00:00:00"/>
    <x v="2"/>
    <x v="0"/>
    <x v="0"/>
    <x v="1"/>
    <n v="2"/>
    <n v="9286"/>
    <x v="1063"/>
    <n v="3514"/>
    <n v="15058"/>
    <n v="1954.6991"/>
    <x v="0"/>
    <x v="6"/>
  </r>
  <r>
    <n v="11066"/>
    <d v="2025-02-23T00:00:00"/>
    <x v="2"/>
    <x v="1"/>
    <x v="0"/>
    <x v="2"/>
    <n v="1"/>
    <n v="78545"/>
    <x v="1064"/>
    <n v="3773"/>
    <n v="74772"/>
    <n v="17814.253580000001"/>
    <x v="1"/>
    <x v="9"/>
  </r>
  <r>
    <n v="11067"/>
    <d v="2024-06-05T00:00:00"/>
    <x v="4"/>
    <x v="2"/>
    <x v="0"/>
    <x v="2"/>
    <n v="5"/>
    <n v="74543"/>
    <x v="1065"/>
    <n v="2078"/>
    <n v="370637"/>
    <n v="73923.757809999996"/>
    <x v="0"/>
    <x v="11"/>
  </r>
  <r>
    <n v="11068"/>
    <d v="2025-07-03T00:00:00"/>
    <x v="2"/>
    <x v="1"/>
    <x v="0"/>
    <x v="1"/>
    <n v="2"/>
    <n v="19992"/>
    <x v="1066"/>
    <n v="4661"/>
    <n v="35323"/>
    <n v="8793.9115419999998"/>
    <x v="1"/>
    <x v="10"/>
  </r>
  <r>
    <n v="11069"/>
    <d v="2025-03-16T00:00:00"/>
    <x v="4"/>
    <x v="1"/>
    <x v="2"/>
    <x v="3"/>
    <n v="8"/>
    <n v="67052"/>
    <x v="1067"/>
    <n v="2057"/>
    <n v="534359"/>
    <n v="112465.91190000001"/>
    <x v="1"/>
    <x v="1"/>
  </r>
  <r>
    <n v="11070"/>
    <d v="2024-04-06T00:00:00"/>
    <x v="0"/>
    <x v="1"/>
    <x v="2"/>
    <x v="0"/>
    <n v="8"/>
    <n v="14723"/>
    <x v="1068"/>
    <n v="677"/>
    <n v="117107"/>
    <n v="23441.31769"/>
    <x v="0"/>
    <x v="0"/>
  </r>
  <r>
    <n v="11071"/>
    <d v="2025-02-14T00:00:00"/>
    <x v="1"/>
    <x v="2"/>
    <x v="1"/>
    <x v="0"/>
    <n v="1"/>
    <n v="70183"/>
    <x v="1069"/>
    <n v="4946"/>
    <n v="65237"/>
    <n v="14497.97573"/>
    <x v="1"/>
    <x v="9"/>
  </r>
  <r>
    <n v="11072"/>
    <d v="2024-10-15T00:00:00"/>
    <x v="0"/>
    <x v="2"/>
    <x v="1"/>
    <x v="2"/>
    <n v="4"/>
    <n v="19590"/>
    <x v="1070"/>
    <n v="2974"/>
    <n v="75386"/>
    <n v="9519.0692170000002"/>
    <x v="0"/>
    <x v="8"/>
  </r>
  <r>
    <n v="11073"/>
    <d v="2024-09-10T00:00:00"/>
    <x v="3"/>
    <x v="2"/>
    <x v="1"/>
    <x v="3"/>
    <n v="9"/>
    <n v="50002"/>
    <x v="1071"/>
    <n v="284"/>
    <n v="449734"/>
    <n v="108789.6841"/>
    <x v="0"/>
    <x v="2"/>
  </r>
  <r>
    <n v="11074"/>
    <d v="2024-07-14T00:00:00"/>
    <x v="3"/>
    <x v="2"/>
    <x v="0"/>
    <x v="0"/>
    <n v="5"/>
    <n v="51779"/>
    <x v="1072"/>
    <n v="2200"/>
    <n v="256695"/>
    <n v="32045.630870000001"/>
    <x v="0"/>
    <x v="10"/>
  </r>
  <r>
    <n v="11075"/>
    <d v="2025-08-20T00:00:00"/>
    <x v="3"/>
    <x v="1"/>
    <x v="0"/>
    <x v="0"/>
    <n v="6"/>
    <n v="17016"/>
    <x v="1073"/>
    <n v="4466"/>
    <n v="97630"/>
    <n v="10138.92973"/>
    <x v="1"/>
    <x v="6"/>
  </r>
  <r>
    <n v="11076"/>
    <d v="2025-06-05T00:00:00"/>
    <x v="4"/>
    <x v="4"/>
    <x v="2"/>
    <x v="0"/>
    <n v="3"/>
    <n v="53183"/>
    <x v="1074"/>
    <n v="1840"/>
    <n v="157709"/>
    <n v="32279.645690000001"/>
    <x v="1"/>
    <x v="11"/>
  </r>
  <r>
    <n v="11077"/>
    <d v="2025-05-31T00:00:00"/>
    <x v="2"/>
    <x v="4"/>
    <x v="1"/>
    <x v="0"/>
    <n v="5"/>
    <n v="9744"/>
    <x v="1075"/>
    <n v="1878"/>
    <n v="46842"/>
    <n v="5981.2228429999996"/>
    <x v="1"/>
    <x v="5"/>
  </r>
  <r>
    <n v="11078"/>
    <d v="2025-09-26T00:00:00"/>
    <x v="0"/>
    <x v="2"/>
    <x v="2"/>
    <x v="0"/>
    <n v="1"/>
    <n v="51357"/>
    <x v="1076"/>
    <n v="1610"/>
    <n v="49747"/>
    <n v="10636.55416"/>
    <x v="1"/>
    <x v="2"/>
  </r>
  <r>
    <n v="11079"/>
    <d v="2024-04-27T00:00:00"/>
    <x v="0"/>
    <x v="3"/>
    <x v="1"/>
    <x v="2"/>
    <n v="8"/>
    <n v="35239"/>
    <x v="1077"/>
    <n v="3962"/>
    <n v="277950"/>
    <n v="60942.16259"/>
    <x v="0"/>
    <x v="0"/>
  </r>
  <r>
    <n v="11080"/>
    <d v="2024-06-07T00:00:00"/>
    <x v="0"/>
    <x v="0"/>
    <x v="1"/>
    <x v="0"/>
    <n v="6"/>
    <n v="17922"/>
    <x v="1078"/>
    <n v="4236"/>
    <n v="103296"/>
    <n v="13997.112709999999"/>
    <x v="0"/>
    <x v="11"/>
  </r>
  <r>
    <n v="11081"/>
    <d v="2024-08-15T00:00:00"/>
    <x v="0"/>
    <x v="3"/>
    <x v="1"/>
    <x v="2"/>
    <n v="2"/>
    <n v="5084"/>
    <x v="1079"/>
    <n v="3159"/>
    <n v="7009"/>
    <n v="792.07341959999997"/>
    <x v="0"/>
    <x v="6"/>
  </r>
  <r>
    <n v="11082"/>
    <d v="2024-08-03T00:00:00"/>
    <x v="3"/>
    <x v="3"/>
    <x v="0"/>
    <x v="1"/>
    <n v="4"/>
    <n v="57147"/>
    <x v="1080"/>
    <n v="3498"/>
    <n v="225090"/>
    <n v="39418.468690000002"/>
    <x v="0"/>
    <x v="6"/>
  </r>
  <r>
    <n v="11083"/>
    <d v="2025-11-26T00:00:00"/>
    <x v="0"/>
    <x v="3"/>
    <x v="1"/>
    <x v="1"/>
    <n v="4"/>
    <n v="65631"/>
    <x v="1081"/>
    <n v="2131"/>
    <n v="260393"/>
    <n v="60810.300289999999"/>
    <x v="1"/>
    <x v="7"/>
  </r>
  <r>
    <n v="11084"/>
    <d v="2024-01-15T00:00:00"/>
    <x v="2"/>
    <x v="4"/>
    <x v="1"/>
    <x v="3"/>
    <n v="9"/>
    <n v="20373"/>
    <x v="1082"/>
    <n v="3314"/>
    <n v="180043"/>
    <n v="40886.624759999999"/>
    <x v="0"/>
    <x v="4"/>
  </r>
  <r>
    <n v="11085"/>
    <d v="2024-06-05T00:00:00"/>
    <x v="3"/>
    <x v="0"/>
    <x v="0"/>
    <x v="2"/>
    <n v="9"/>
    <n v="10156"/>
    <x v="1083"/>
    <n v="1378"/>
    <n v="90026"/>
    <n v="10583.66978"/>
    <x v="0"/>
    <x v="11"/>
  </r>
  <r>
    <n v="11086"/>
    <d v="2025-10-09T00:00:00"/>
    <x v="0"/>
    <x v="3"/>
    <x v="1"/>
    <x v="3"/>
    <n v="5"/>
    <n v="43551"/>
    <x v="1084"/>
    <n v="3077"/>
    <n v="214678"/>
    <n v="52535.46125"/>
    <x v="1"/>
    <x v="8"/>
  </r>
  <r>
    <n v="11087"/>
    <d v="2024-09-17T00:00:00"/>
    <x v="4"/>
    <x v="2"/>
    <x v="0"/>
    <x v="1"/>
    <n v="3"/>
    <n v="43463"/>
    <x v="1085"/>
    <n v="3014"/>
    <n v="127375"/>
    <n v="17780.579310000001"/>
    <x v="0"/>
    <x v="2"/>
  </r>
  <r>
    <n v="11088"/>
    <d v="2024-06-05T00:00:00"/>
    <x v="1"/>
    <x v="4"/>
    <x v="0"/>
    <x v="1"/>
    <n v="1"/>
    <n v="54305"/>
    <x v="1086"/>
    <n v="3892"/>
    <n v="50413"/>
    <n v="7683.3786110000001"/>
    <x v="0"/>
    <x v="11"/>
  </r>
  <r>
    <n v="11089"/>
    <d v="2024-02-16T00:00:00"/>
    <x v="1"/>
    <x v="2"/>
    <x v="2"/>
    <x v="1"/>
    <n v="6"/>
    <n v="14653"/>
    <x v="1087"/>
    <n v="1715"/>
    <n v="86203"/>
    <n v="10547.586719999999"/>
    <x v="0"/>
    <x v="9"/>
  </r>
  <r>
    <n v="11090"/>
    <d v="2024-11-19T00:00:00"/>
    <x v="1"/>
    <x v="2"/>
    <x v="0"/>
    <x v="1"/>
    <n v="8"/>
    <n v="28068"/>
    <x v="1088"/>
    <n v="452"/>
    <n v="224092"/>
    <n v="35108.59332"/>
    <x v="0"/>
    <x v="7"/>
  </r>
  <r>
    <n v="11091"/>
    <d v="2025-11-15T00:00:00"/>
    <x v="3"/>
    <x v="3"/>
    <x v="0"/>
    <x v="0"/>
    <n v="1"/>
    <n v="39787"/>
    <x v="1089"/>
    <n v="341"/>
    <n v="39446"/>
    <n v="7705.6248619999997"/>
    <x v="1"/>
    <x v="7"/>
  </r>
  <r>
    <n v="11092"/>
    <d v="2024-05-09T00:00:00"/>
    <x v="0"/>
    <x v="2"/>
    <x v="0"/>
    <x v="1"/>
    <n v="1"/>
    <n v="30673"/>
    <x v="1090"/>
    <n v="392"/>
    <n v="30281"/>
    <n v="5326.7833689999998"/>
    <x v="0"/>
    <x v="5"/>
  </r>
  <r>
    <n v="11093"/>
    <d v="2025-02-14T00:00:00"/>
    <x v="3"/>
    <x v="0"/>
    <x v="1"/>
    <x v="0"/>
    <n v="7"/>
    <n v="21155"/>
    <x v="1091"/>
    <n v="1269"/>
    <n v="146816"/>
    <n v="32906.005559999998"/>
    <x v="1"/>
    <x v="9"/>
  </r>
  <r>
    <n v="11094"/>
    <d v="2024-04-04T00:00:00"/>
    <x v="2"/>
    <x v="2"/>
    <x v="2"/>
    <x v="0"/>
    <n v="7"/>
    <n v="5570"/>
    <x v="1092"/>
    <n v="3050"/>
    <n v="35940"/>
    <n v="7051.252673"/>
    <x v="0"/>
    <x v="0"/>
  </r>
  <r>
    <n v="11095"/>
    <d v="2025-09-18T00:00:00"/>
    <x v="4"/>
    <x v="3"/>
    <x v="1"/>
    <x v="3"/>
    <n v="2"/>
    <n v="62492"/>
    <x v="1093"/>
    <n v="4059"/>
    <n v="120925"/>
    <n v="16872.867279999999"/>
    <x v="1"/>
    <x v="2"/>
  </r>
  <r>
    <n v="11096"/>
    <d v="2024-10-18T00:00:00"/>
    <x v="4"/>
    <x v="2"/>
    <x v="0"/>
    <x v="0"/>
    <n v="3"/>
    <n v="16769"/>
    <x v="1094"/>
    <n v="970"/>
    <n v="49337"/>
    <n v="9059.0480250000001"/>
    <x v="0"/>
    <x v="8"/>
  </r>
  <r>
    <n v="11097"/>
    <d v="2024-10-09T00:00:00"/>
    <x v="1"/>
    <x v="4"/>
    <x v="0"/>
    <x v="3"/>
    <n v="2"/>
    <n v="43921"/>
    <x v="1095"/>
    <n v="2205"/>
    <n v="85637"/>
    <n v="9388.2703170000004"/>
    <x v="0"/>
    <x v="8"/>
  </r>
  <r>
    <n v="11098"/>
    <d v="2024-03-09T00:00:00"/>
    <x v="1"/>
    <x v="4"/>
    <x v="2"/>
    <x v="0"/>
    <n v="6"/>
    <n v="24075"/>
    <x v="1096"/>
    <n v="4794"/>
    <n v="139656"/>
    <n v="26132.232980000001"/>
    <x v="0"/>
    <x v="1"/>
  </r>
  <r>
    <n v="11099"/>
    <d v="2025-10-21T00:00:00"/>
    <x v="1"/>
    <x v="4"/>
    <x v="2"/>
    <x v="0"/>
    <n v="8"/>
    <n v="15301"/>
    <x v="1097"/>
    <n v="165"/>
    <n v="122243"/>
    <n v="19369.351330000001"/>
    <x v="1"/>
    <x v="8"/>
  </r>
  <r>
    <n v="11100"/>
    <d v="2024-01-11T00:00:00"/>
    <x v="0"/>
    <x v="1"/>
    <x v="0"/>
    <x v="1"/>
    <n v="8"/>
    <n v="76043"/>
    <x v="1098"/>
    <n v="254"/>
    <n v="608090"/>
    <n v="69784.270860000004"/>
    <x v="0"/>
    <x v="4"/>
  </r>
  <r>
    <n v="11101"/>
    <d v="2024-09-10T00:00:00"/>
    <x v="2"/>
    <x v="4"/>
    <x v="0"/>
    <x v="2"/>
    <n v="1"/>
    <n v="60001"/>
    <x v="1099"/>
    <n v="301"/>
    <n v="59700"/>
    <n v="8723.3396990000001"/>
    <x v="0"/>
    <x v="2"/>
  </r>
  <r>
    <n v="11102"/>
    <d v="2025-07-03T00:00:00"/>
    <x v="2"/>
    <x v="4"/>
    <x v="1"/>
    <x v="0"/>
    <n v="9"/>
    <n v="53359"/>
    <x v="1100"/>
    <n v="3103"/>
    <n v="477128"/>
    <n v="111988.1676"/>
    <x v="1"/>
    <x v="10"/>
  </r>
  <r>
    <n v="11103"/>
    <d v="2024-05-13T00:00:00"/>
    <x v="2"/>
    <x v="1"/>
    <x v="0"/>
    <x v="2"/>
    <n v="8"/>
    <n v="60119"/>
    <x v="1101"/>
    <n v="3840"/>
    <n v="477112"/>
    <n v="89652.060580000005"/>
    <x v="0"/>
    <x v="5"/>
  </r>
  <r>
    <n v="11104"/>
    <d v="2025-12-12T00:00:00"/>
    <x v="2"/>
    <x v="4"/>
    <x v="1"/>
    <x v="2"/>
    <n v="9"/>
    <n v="74191"/>
    <x v="1102"/>
    <n v="2556"/>
    <n v="665163"/>
    <n v="156639.05350000001"/>
    <x v="1"/>
    <x v="3"/>
  </r>
  <r>
    <n v="11105"/>
    <d v="2024-01-23T00:00:00"/>
    <x v="1"/>
    <x v="3"/>
    <x v="2"/>
    <x v="2"/>
    <n v="9"/>
    <n v="21347"/>
    <x v="1103"/>
    <n v="1505"/>
    <n v="190618"/>
    <n v="30807.795160000001"/>
    <x v="0"/>
    <x v="4"/>
  </r>
  <r>
    <n v="11106"/>
    <d v="2024-12-11T00:00:00"/>
    <x v="4"/>
    <x v="4"/>
    <x v="1"/>
    <x v="0"/>
    <n v="6"/>
    <n v="27053"/>
    <x v="1104"/>
    <n v="1256"/>
    <n v="161062"/>
    <n v="39755.946530000001"/>
    <x v="0"/>
    <x v="3"/>
  </r>
  <r>
    <n v="11107"/>
    <d v="2024-10-28T00:00:00"/>
    <x v="1"/>
    <x v="4"/>
    <x v="0"/>
    <x v="2"/>
    <n v="3"/>
    <n v="64056"/>
    <x v="1105"/>
    <n v="2262"/>
    <n v="189906"/>
    <n v="29246.066760000002"/>
    <x v="0"/>
    <x v="8"/>
  </r>
  <r>
    <n v="11108"/>
    <d v="2024-12-28T00:00:00"/>
    <x v="2"/>
    <x v="1"/>
    <x v="1"/>
    <x v="0"/>
    <n v="1"/>
    <n v="73028"/>
    <x v="1106"/>
    <n v="4340"/>
    <n v="68688"/>
    <n v="14666.309310000001"/>
    <x v="0"/>
    <x v="3"/>
  </r>
  <r>
    <n v="11109"/>
    <d v="2025-01-30T00:00:00"/>
    <x v="1"/>
    <x v="3"/>
    <x v="1"/>
    <x v="1"/>
    <n v="8"/>
    <n v="63688"/>
    <x v="1107"/>
    <n v="209"/>
    <n v="509295"/>
    <n v="74260.539510000002"/>
    <x v="1"/>
    <x v="4"/>
  </r>
  <r>
    <n v="11110"/>
    <d v="2024-08-05T00:00:00"/>
    <x v="2"/>
    <x v="2"/>
    <x v="2"/>
    <x v="0"/>
    <n v="3"/>
    <n v="63450"/>
    <x v="1108"/>
    <n v="3793"/>
    <n v="186557"/>
    <n v="21621.69181"/>
    <x v="0"/>
    <x v="6"/>
  </r>
  <r>
    <n v="11111"/>
    <d v="2024-05-20T00:00:00"/>
    <x v="3"/>
    <x v="0"/>
    <x v="1"/>
    <x v="3"/>
    <n v="7"/>
    <n v="17304"/>
    <x v="1109"/>
    <n v="4521"/>
    <n v="116607"/>
    <n v="26231.73459"/>
    <x v="0"/>
    <x v="5"/>
  </r>
  <r>
    <n v="11112"/>
    <d v="2025-09-07T00:00:00"/>
    <x v="4"/>
    <x v="3"/>
    <x v="0"/>
    <x v="1"/>
    <n v="6"/>
    <n v="36403"/>
    <x v="1110"/>
    <n v="3047"/>
    <n v="215371"/>
    <n v="46172.791899999997"/>
    <x v="1"/>
    <x v="2"/>
  </r>
  <r>
    <n v="11113"/>
    <d v="2024-07-28T00:00:00"/>
    <x v="3"/>
    <x v="2"/>
    <x v="1"/>
    <x v="2"/>
    <n v="3"/>
    <n v="42424"/>
    <x v="1111"/>
    <n v="980"/>
    <n v="126292"/>
    <n v="28175.032289999999"/>
    <x v="0"/>
    <x v="10"/>
  </r>
  <r>
    <n v="11114"/>
    <d v="2025-09-14T00:00:00"/>
    <x v="0"/>
    <x v="3"/>
    <x v="1"/>
    <x v="2"/>
    <n v="6"/>
    <n v="64924"/>
    <x v="1112"/>
    <n v="2119"/>
    <n v="387425"/>
    <n v="56158.873090000001"/>
    <x v="1"/>
    <x v="2"/>
  </r>
  <r>
    <n v="11115"/>
    <d v="2025-09-07T00:00:00"/>
    <x v="1"/>
    <x v="2"/>
    <x v="1"/>
    <x v="3"/>
    <n v="3"/>
    <n v="79047"/>
    <x v="1113"/>
    <n v="3745"/>
    <n v="233396"/>
    <n v="47974.371319999998"/>
    <x v="1"/>
    <x v="2"/>
  </r>
  <r>
    <n v="11116"/>
    <d v="2025-11-13T00:00:00"/>
    <x v="0"/>
    <x v="2"/>
    <x v="0"/>
    <x v="1"/>
    <n v="9"/>
    <n v="26178"/>
    <x v="1114"/>
    <n v="177"/>
    <n v="235425"/>
    <n v="31308.800459999999"/>
    <x v="1"/>
    <x v="7"/>
  </r>
  <r>
    <n v="11117"/>
    <d v="2025-04-04T00:00:00"/>
    <x v="1"/>
    <x v="3"/>
    <x v="1"/>
    <x v="3"/>
    <n v="1"/>
    <n v="22821"/>
    <x v="1115"/>
    <n v="1546"/>
    <n v="21275"/>
    <n v="2163.5979400000001"/>
    <x v="1"/>
    <x v="0"/>
  </r>
  <r>
    <n v="11118"/>
    <d v="2024-12-21T00:00:00"/>
    <x v="3"/>
    <x v="1"/>
    <x v="0"/>
    <x v="2"/>
    <n v="8"/>
    <n v="5714"/>
    <x v="1116"/>
    <n v="2034"/>
    <n v="43678"/>
    <n v="10044.774509999999"/>
    <x v="0"/>
    <x v="3"/>
  </r>
  <r>
    <n v="11119"/>
    <d v="2024-11-19T00:00:00"/>
    <x v="2"/>
    <x v="3"/>
    <x v="1"/>
    <x v="0"/>
    <n v="5"/>
    <n v="79767"/>
    <x v="1117"/>
    <n v="298"/>
    <n v="398537"/>
    <n v="71150.341560000001"/>
    <x v="0"/>
    <x v="7"/>
  </r>
  <r>
    <n v="11120"/>
    <d v="2024-05-12T00:00:00"/>
    <x v="2"/>
    <x v="3"/>
    <x v="2"/>
    <x v="2"/>
    <n v="4"/>
    <n v="77882"/>
    <x v="1118"/>
    <n v="2567"/>
    <n v="308961"/>
    <n v="76482.677819999997"/>
    <x v="0"/>
    <x v="5"/>
  </r>
  <r>
    <n v="11121"/>
    <d v="2024-05-06T00:00:00"/>
    <x v="1"/>
    <x v="2"/>
    <x v="2"/>
    <x v="3"/>
    <n v="1"/>
    <n v="29124"/>
    <x v="1119"/>
    <n v="3566"/>
    <n v="25558"/>
    <n v="4031.9113440000001"/>
    <x v="0"/>
    <x v="5"/>
  </r>
  <r>
    <n v="11122"/>
    <d v="2024-04-15T00:00:00"/>
    <x v="2"/>
    <x v="0"/>
    <x v="2"/>
    <x v="0"/>
    <n v="9"/>
    <n v="22511"/>
    <x v="1120"/>
    <n v="4039"/>
    <n v="198560"/>
    <n v="48355.505640000003"/>
    <x v="0"/>
    <x v="0"/>
  </r>
  <r>
    <n v="11123"/>
    <d v="2025-08-26T00:00:00"/>
    <x v="3"/>
    <x v="2"/>
    <x v="0"/>
    <x v="0"/>
    <n v="9"/>
    <n v="59588"/>
    <x v="1121"/>
    <n v="274"/>
    <n v="536018"/>
    <n v="103054.0646"/>
    <x v="1"/>
    <x v="6"/>
  </r>
  <r>
    <n v="11124"/>
    <d v="2025-01-12T00:00:00"/>
    <x v="2"/>
    <x v="4"/>
    <x v="0"/>
    <x v="2"/>
    <n v="5"/>
    <n v="16215"/>
    <x v="1122"/>
    <n v="2995"/>
    <n v="78080"/>
    <n v="13806.9458"/>
    <x v="1"/>
    <x v="4"/>
  </r>
  <r>
    <n v="11125"/>
    <d v="2024-02-20T00:00:00"/>
    <x v="3"/>
    <x v="3"/>
    <x v="0"/>
    <x v="0"/>
    <n v="9"/>
    <n v="16851"/>
    <x v="1123"/>
    <n v="52"/>
    <n v="151607"/>
    <n v="22046.908329999998"/>
    <x v="0"/>
    <x v="9"/>
  </r>
  <r>
    <n v="11126"/>
    <d v="2024-01-29T00:00:00"/>
    <x v="0"/>
    <x v="3"/>
    <x v="1"/>
    <x v="1"/>
    <n v="9"/>
    <n v="38550"/>
    <x v="1124"/>
    <n v="1423"/>
    <n v="345527"/>
    <n v="77325.988759999993"/>
    <x v="0"/>
    <x v="4"/>
  </r>
  <r>
    <n v="11127"/>
    <d v="2025-04-06T00:00:00"/>
    <x v="3"/>
    <x v="1"/>
    <x v="0"/>
    <x v="2"/>
    <n v="7"/>
    <n v="60958"/>
    <x v="1125"/>
    <n v="1627"/>
    <n v="425079"/>
    <n v="95353.386299999998"/>
    <x v="1"/>
    <x v="0"/>
  </r>
  <r>
    <n v="11128"/>
    <d v="2024-10-22T00:00:00"/>
    <x v="4"/>
    <x v="2"/>
    <x v="0"/>
    <x v="2"/>
    <n v="8"/>
    <n v="6178"/>
    <x v="1126"/>
    <n v="488"/>
    <n v="48936"/>
    <n v="7954.0295379999998"/>
    <x v="0"/>
    <x v="8"/>
  </r>
  <r>
    <n v="11129"/>
    <d v="2024-10-23T00:00:00"/>
    <x v="4"/>
    <x v="1"/>
    <x v="0"/>
    <x v="1"/>
    <n v="1"/>
    <n v="72942"/>
    <x v="1127"/>
    <n v="2354"/>
    <n v="70588"/>
    <n v="14759.525250000001"/>
    <x v="0"/>
    <x v="8"/>
  </r>
  <r>
    <n v="11130"/>
    <d v="2025-12-26T00:00:00"/>
    <x v="4"/>
    <x v="3"/>
    <x v="0"/>
    <x v="2"/>
    <n v="4"/>
    <n v="51314"/>
    <x v="1128"/>
    <n v="416"/>
    <n v="204840"/>
    <n v="34225.83281"/>
    <x v="1"/>
    <x v="3"/>
  </r>
  <r>
    <n v="11131"/>
    <d v="2025-02-10T00:00:00"/>
    <x v="1"/>
    <x v="2"/>
    <x v="2"/>
    <x v="3"/>
    <n v="4"/>
    <n v="36146"/>
    <x v="1129"/>
    <n v="2556"/>
    <n v="142028"/>
    <n v="29960.649539999999"/>
    <x v="1"/>
    <x v="9"/>
  </r>
  <r>
    <n v="11132"/>
    <d v="2025-09-04T00:00:00"/>
    <x v="1"/>
    <x v="2"/>
    <x v="1"/>
    <x v="3"/>
    <n v="9"/>
    <n v="73260"/>
    <x v="1130"/>
    <n v="920"/>
    <n v="658420"/>
    <n v="164031.20240000001"/>
    <x v="1"/>
    <x v="2"/>
  </r>
  <r>
    <n v="11133"/>
    <d v="2025-02-08T00:00:00"/>
    <x v="1"/>
    <x v="4"/>
    <x v="2"/>
    <x v="2"/>
    <n v="3"/>
    <n v="40303"/>
    <x v="1131"/>
    <n v="1553"/>
    <n v="119356"/>
    <n v="16635.176500000001"/>
    <x v="1"/>
    <x v="9"/>
  </r>
  <r>
    <n v="11134"/>
    <d v="2024-12-11T00:00:00"/>
    <x v="3"/>
    <x v="4"/>
    <x v="1"/>
    <x v="1"/>
    <n v="1"/>
    <n v="59013"/>
    <x v="1132"/>
    <n v="2685"/>
    <n v="56328"/>
    <n v="10990.03602"/>
    <x v="0"/>
    <x v="3"/>
  </r>
  <r>
    <n v="11135"/>
    <d v="2025-09-13T00:00:00"/>
    <x v="1"/>
    <x v="0"/>
    <x v="1"/>
    <x v="0"/>
    <n v="5"/>
    <n v="6201"/>
    <x v="1133"/>
    <n v="665"/>
    <n v="30340"/>
    <n v="4762.824619"/>
    <x v="1"/>
    <x v="2"/>
  </r>
  <r>
    <n v="11136"/>
    <d v="2025-02-23T00:00:00"/>
    <x v="0"/>
    <x v="4"/>
    <x v="2"/>
    <x v="1"/>
    <n v="7"/>
    <n v="60103"/>
    <x v="1134"/>
    <n v="4101"/>
    <n v="416620"/>
    <n v="75931.384130000006"/>
    <x v="1"/>
    <x v="9"/>
  </r>
  <r>
    <n v="11137"/>
    <d v="2024-06-30T00:00:00"/>
    <x v="4"/>
    <x v="2"/>
    <x v="0"/>
    <x v="3"/>
    <n v="4"/>
    <n v="17664"/>
    <x v="1135"/>
    <n v="2469"/>
    <n v="68187"/>
    <n v="15759.52209"/>
    <x v="0"/>
    <x v="11"/>
  </r>
  <r>
    <n v="11138"/>
    <d v="2024-01-01T00:00:00"/>
    <x v="3"/>
    <x v="4"/>
    <x v="2"/>
    <x v="2"/>
    <n v="9"/>
    <n v="74856"/>
    <x v="1136"/>
    <n v="1474"/>
    <n v="672230"/>
    <n v="102270.639"/>
    <x v="0"/>
    <x v="4"/>
  </r>
  <r>
    <n v="11139"/>
    <d v="2025-07-20T00:00:00"/>
    <x v="4"/>
    <x v="0"/>
    <x v="1"/>
    <x v="1"/>
    <n v="6"/>
    <n v="73624"/>
    <x v="1137"/>
    <n v="337"/>
    <n v="441407"/>
    <n v="48933.605490000002"/>
    <x v="1"/>
    <x v="10"/>
  </r>
  <r>
    <n v="11140"/>
    <d v="2025-01-05T00:00:00"/>
    <x v="1"/>
    <x v="3"/>
    <x v="1"/>
    <x v="0"/>
    <n v="6"/>
    <n v="46456"/>
    <x v="1138"/>
    <n v="3159"/>
    <n v="275577"/>
    <n v="60583.0069"/>
    <x v="1"/>
    <x v="4"/>
  </r>
  <r>
    <n v="11141"/>
    <d v="2025-10-22T00:00:00"/>
    <x v="3"/>
    <x v="4"/>
    <x v="0"/>
    <x v="0"/>
    <n v="3"/>
    <n v="13664"/>
    <x v="1139"/>
    <n v="268"/>
    <n v="40724"/>
    <n v="7462.8248299999996"/>
    <x v="1"/>
    <x v="8"/>
  </r>
  <r>
    <n v="11142"/>
    <d v="2025-03-06T00:00:00"/>
    <x v="2"/>
    <x v="2"/>
    <x v="2"/>
    <x v="0"/>
    <n v="5"/>
    <n v="57534"/>
    <x v="1140"/>
    <n v="1087"/>
    <n v="286583"/>
    <n v="47976.900750000001"/>
    <x v="1"/>
    <x v="1"/>
  </r>
  <r>
    <n v="11143"/>
    <d v="2024-11-04T00:00:00"/>
    <x v="0"/>
    <x v="3"/>
    <x v="1"/>
    <x v="0"/>
    <n v="6"/>
    <n v="71696"/>
    <x v="1141"/>
    <n v="1293"/>
    <n v="428883"/>
    <n v="54682.56407"/>
    <x v="0"/>
    <x v="7"/>
  </r>
  <r>
    <n v="11144"/>
    <d v="2024-05-16T00:00:00"/>
    <x v="1"/>
    <x v="2"/>
    <x v="2"/>
    <x v="1"/>
    <n v="4"/>
    <n v="15714"/>
    <x v="1142"/>
    <n v="656"/>
    <n v="62200"/>
    <n v="7086.315987"/>
    <x v="0"/>
    <x v="5"/>
  </r>
  <r>
    <n v="11145"/>
    <d v="2024-07-20T00:00:00"/>
    <x v="1"/>
    <x v="3"/>
    <x v="0"/>
    <x v="0"/>
    <n v="3"/>
    <n v="9312"/>
    <x v="1143"/>
    <n v="2828"/>
    <n v="25108"/>
    <n v="3560.5738649999998"/>
    <x v="0"/>
    <x v="10"/>
  </r>
  <r>
    <n v="11146"/>
    <d v="2025-03-11T00:00:00"/>
    <x v="0"/>
    <x v="2"/>
    <x v="0"/>
    <x v="3"/>
    <n v="5"/>
    <n v="25845"/>
    <x v="1144"/>
    <n v="3973"/>
    <n v="125252"/>
    <n v="26031.829519999999"/>
    <x v="1"/>
    <x v="1"/>
  </r>
  <r>
    <n v="11147"/>
    <d v="2024-11-08T00:00:00"/>
    <x v="0"/>
    <x v="4"/>
    <x v="1"/>
    <x v="0"/>
    <n v="7"/>
    <n v="55703"/>
    <x v="1145"/>
    <n v="4957"/>
    <n v="384964"/>
    <n v="62273.947569999997"/>
    <x v="0"/>
    <x v="7"/>
  </r>
  <r>
    <n v="11148"/>
    <d v="2024-04-26T00:00:00"/>
    <x v="2"/>
    <x v="4"/>
    <x v="0"/>
    <x v="3"/>
    <n v="6"/>
    <n v="40215"/>
    <x v="1146"/>
    <n v="1336"/>
    <n v="239954"/>
    <n v="44519.658580000003"/>
    <x v="0"/>
    <x v="0"/>
  </r>
  <r>
    <n v="11149"/>
    <d v="2025-10-27T00:00:00"/>
    <x v="1"/>
    <x v="0"/>
    <x v="1"/>
    <x v="1"/>
    <n v="2"/>
    <n v="46078"/>
    <x v="1147"/>
    <n v="2356"/>
    <n v="89800"/>
    <n v="10085.153609999999"/>
    <x v="1"/>
    <x v="8"/>
  </r>
  <r>
    <n v="11150"/>
    <d v="2025-07-28T00:00:00"/>
    <x v="1"/>
    <x v="3"/>
    <x v="1"/>
    <x v="3"/>
    <n v="1"/>
    <n v="41264"/>
    <x v="1148"/>
    <n v="1667"/>
    <n v="39597"/>
    <n v="4691.7082190000001"/>
    <x v="1"/>
    <x v="10"/>
  </r>
  <r>
    <n v="11151"/>
    <d v="2024-08-31T00:00:00"/>
    <x v="4"/>
    <x v="0"/>
    <x v="0"/>
    <x v="1"/>
    <n v="5"/>
    <n v="39484"/>
    <x v="1149"/>
    <n v="1825"/>
    <n v="195595"/>
    <n v="19891.204600000001"/>
    <x v="0"/>
    <x v="6"/>
  </r>
  <r>
    <n v="11152"/>
    <d v="2025-06-20T00:00:00"/>
    <x v="3"/>
    <x v="1"/>
    <x v="0"/>
    <x v="0"/>
    <n v="5"/>
    <n v="47162"/>
    <x v="1150"/>
    <n v="4030"/>
    <n v="231780"/>
    <n v="46586.08049"/>
    <x v="1"/>
    <x v="11"/>
  </r>
  <r>
    <n v="11153"/>
    <d v="2025-08-24T00:00:00"/>
    <x v="3"/>
    <x v="4"/>
    <x v="2"/>
    <x v="2"/>
    <n v="6"/>
    <n v="71991"/>
    <x v="1151"/>
    <n v="1212"/>
    <n v="430734"/>
    <n v="60159.833140000002"/>
    <x v="1"/>
    <x v="6"/>
  </r>
  <r>
    <n v="11154"/>
    <d v="2024-03-15T00:00:00"/>
    <x v="4"/>
    <x v="3"/>
    <x v="2"/>
    <x v="3"/>
    <n v="3"/>
    <n v="44794"/>
    <x v="1152"/>
    <n v="2768"/>
    <n v="131614"/>
    <n v="32250.56135"/>
    <x v="0"/>
    <x v="1"/>
  </r>
  <r>
    <n v="11155"/>
    <d v="2025-01-20T00:00:00"/>
    <x v="3"/>
    <x v="0"/>
    <x v="1"/>
    <x v="3"/>
    <n v="1"/>
    <n v="34237"/>
    <x v="1153"/>
    <n v="4415"/>
    <n v="29822"/>
    <n v="4362.0153760000003"/>
    <x v="1"/>
    <x v="4"/>
  </r>
  <r>
    <n v="11156"/>
    <d v="2024-07-28T00:00:00"/>
    <x v="0"/>
    <x v="0"/>
    <x v="2"/>
    <x v="2"/>
    <n v="4"/>
    <n v="70294"/>
    <x v="1154"/>
    <n v="3058"/>
    <n v="278118"/>
    <n v="42981.108260000001"/>
    <x v="0"/>
    <x v="10"/>
  </r>
  <r>
    <n v="11157"/>
    <d v="2025-04-19T00:00:00"/>
    <x v="3"/>
    <x v="1"/>
    <x v="1"/>
    <x v="1"/>
    <n v="4"/>
    <n v="73007"/>
    <x v="1155"/>
    <n v="444"/>
    <n v="291584"/>
    <n v="49692.758450000001"/>
    <x v="1"/>
    <x v="0"/>
  </r>
  <r>
    <n v="11158"/>
    <d v="2025-02-21T00:00:00"/>
    <x v="3"/>
    <x v="0"/>
    <x v="0"/>
    <x v="1"/>
    <n v="2"/>
    <n v="5367"/>
    <x v="1156"/>
    <n v="1397"/>
    <n v="9337"/>
    <n v="1380.6725759999999"/>
    <x v="1"/>
    <x v="9"/>
  </r>
  <r>
    <n v="11159"/>
    <d v="2024-12-12T00:00:00"/>
    <x v="4"/>
    <x v="2"/>
    <x v="0"/>
    <x v="0"/>
    <n v="8"/>
    <n v="18417"/>
    <x v="1157"/>
    <n v="4381"/>
    <n v="142955"/>
    <n v="31824.139370000001"/>
    <x v="0"/>
    <x v="3"/>
  </r>
  <r>
    <n v="11160"/>
    <d v="2025-06-12T00:00:00"/>
    <x v="2"/>
    <x v="4"/>
    <x v="2"/>
    <x v="3"/>
    <n v="6"/>
    <n v="57328"/>
    <x v="1158"/>
    <n v="2218"/>
    <n v="341750"/>
    <n v="79091.551600000006"/>
    <x v="1"/>
    <x v="11"/>
  </r>
  <r>
    <n v="11161"/>
    <d v="2025-10-01T00:00:00"/>
    <x v="3"/>
    <x v="0"/>
    <x v="1"/>
    <x v="1"/>
    <n v="3"/>
    <n v="73910"/>
    <x v="1159"/>
    <n v="3676"/>
    <n v="218054"/>
    <n v="22166.369180000002"/>
    <x v="1"/>
    <x v="8"/>
  </r>
  <r>
    <n v="11162"/>
    <d v="2024-06-27T00:00:00"/>
    <x v="3"/>
    <x v="0"/>
    <x v="1"/>
    <x v="0"/>
    <n v="1"/>
    <n v="11773"/>
    <x v="1160"/>
    <n v="2310"/>
    <n v="9463"/>
    <n v="1875.5594490000001"/>
    <x v="0"/>
    <x v="11"/>
  </r>
  <r>
    <n v="11163"/>
    <d v="2024-06-30T00:00:00"/>
    <x v="2"/>
    <x v="1"/>
    <x v="2"/>
    <x v="1"/>
    <n v="3"/>
    <n v="19205"/>
    <x v="1161"/>
    <n v="4040"/>
    <n v="53575"/>
    <n v="10871.076940000001"/>
    <x v="0"/>
    <x v="11"/>
  </r>
  <r>
    <n v="11164"/>
    <d v="2025-10-25T00:00:00"/>
    <x v="4"/>
    <x v="2"/>
    <x v="1"/>
    <x v="2"/>
    <n v="8"/>
    <n v="60443"/>
    <x v="1162"/>
    <n v="3606"/>
    <n v="479938"/>
    <n v="117207.44990000001"/>
    <x v="1"/>
    <x v="8"/>
  </r>
  <r>
    <n v="11165"/>
    <d v="2024-01-25T00:00:00"/>
    <x v="2"/>
    <x v="0"/>
    <x v="1"/>
    <x v="2"/>
    <n v="4"/>
    <n v="59063"/>
    <x v="1163"/>
    <n v="1827"/>
    <n v="234425"/>
    <n v="36467.124770000002"/>
    <x v="0"/>
    <x v="4"/>
  </r>
  <r>
    <n v="11166"/>
    <d v="2024-06-28T00:00:00"/>
    <x v="4"/>
    <x v="4"/>
    <x v="0"/>
    <x v="2"/>
    <n v="3"/>
    <n v="52119"/>
    <x v="1164"/>
    <n v="3219"/>
    <n v="153138"/>
    <n v="19799.51757"/>
    <x v="0"/>
    <x v="11"/>
  </r>
  <r>
    <n v="11167"/>
    <d v="2025-12-10T00:00:00"/>
    <x v="0"/>
    <x v="4"/>
    <x v="1"/>
    <x v="0"/>
    <n v="4"/>
    <n v="38668"/>
    <x v="1165"/>
    <n v="4688"/>
    <n v="149984"/>
    <n v="26710.22467"/>
    <x v="1"/>
    <x v="3"/>
  </r>
  <r>
    <n v="11168"/>
    <d v="2025-05-15T00:00:00"/>
    <x v="4"/>
    <x v="0"/>
    <x v="1"/>
    <x v="3"/>
    <n v="4"/>
    <n v="7770"/>
    <x v="1166"/>
    <n v="4511"/>
    <n v="26569"/>
    <n v="4440.5660479999997"/>
    <x v="1"/>
    <x v="5"/>
  </r>
  <r>
    <n v="11169"/>
    <d v="2024-06-09T00:00:00"/>
    <x v="0"/>
    <x v="2"/>
    <x v="1"/>
    <x v="2"/>
    <n v="2"/>
    <n v="67537"/>
    <x v="1167"/>
    <n v="2072"/>
    <n v="133002"/>
    <n v="29095.48026"/>
    <x v="0"/>
    <x v="11"/>
  </r>
  <r>
    <n v="11170"/>
    <d v="2024-06-25T00:00:00"/>
    <x v="0"/>
    <x v="4"/>
    <x v="2"/>
    <x v="2"/>
    <n v="4"/>
    <n v="49308"/>
    <x v="1168"/>
    <n v="4189"/>
    <n v="193043"/>
    <n v="45480.219669999999"/>
    <x v="0"/>
    <x v="11"/>
  </r>
  <r>
    <n v="11171"/>
    <d v="2024-10-11T00:00:00"/>
    <x v="4"/>
    <x v="4"/>
    <x v="2"/>
    <x v="1"/>
    <n v="9"/>
    <n v="42948"/>
    <x v="1169"/>
    <n v="2330"/>
    <n v="384202"/>
    <n v="43417.209649999997"/>
    <x v="0"/>
    <x v="8"/>
  </r>
  <r>
    <n v="11172"/>
    <d v="2024-03-03T00:00:00"/>
    <x v="1"/>
    <x v="2"/>
    <x v="2"/>
    <x v="2"/>
    <n v="4"/>
    <n v="55102"/>
    <x v="1170"/>
    <n v="685"/>
    <n v="219723"/>
    <n v="49874.24742"/>
    <x v="0"/>
    <x v="1"/>
  </r>
  <r>
    <n v="11173"/>
    <d v="2025-10-23T00:00:00"/>
    <x v="4"/>
    <x v="2"/>
    <x v="1"/>
    <x v="3"/>
    <n v="1"/>
    <n v="8606"/>
    <x v="1171"/>
    <n v="4958"/>
    <n v="3648"/>
    <n v="862.18886459999999"/>
    <x v="1"/>
    <x v="8"/>
  </r>
  <r>
    <n v="11174"/>
    <d v="2025-10-27T00:00:00"/>
    <x v="3"/>
    <x v="0"/>
    <x v="1"/>
    <x v="0"/>
    <n v="1"/>
    <n v="38025"/>
    <x v="1172"/>
    <n v="684"/>
    <n v="37341"/>
    <n v="8910.3236749999996"/>
    <x v="1"/>
    <x v="8"/>
  </r>
  <r>
    <n v="11175"/>
    <d v="2024-06-04T00:00:00"/>
    <x v="3"/>
    <x v="3"/>
    <x v="2"/>
    <x v="2"/>
    <n v="1"/>
    <n v="55373"/>
    <x v="1173"/>
    <n v="2937"/>
    <n v="52436"/>
    <n v="11255.20276"/>
    <x v="0"/>
    <x v="11"/>
  </r>
  <r>
    <n v="11176"/>
    <d v="2025-04-13T00:00:00"/>
    <x v="1"/>
    <x v="1"/>
    <x v="2"/>
    <x v="0"/>
    <n v="5"/>
    <n v="19388"/>
    <x v="1174"/>
    <n v="3711"/>
    <n v="93229"/>
    <n v="19700.44226"/>
    <x v="1"/>
    <x v="0"/>
  </r>
  <r>
    <n v="11177"/>
    <d v="2024-02-18T00:00:00"/>
    <x v="0"/>
    <x v="3"/>
    <x v="1"/>
    <x v="0"/>
    <n v="6"/>
    <n v="35920"/>
    <x v="1175"/>
    <n v="340"/>
    <n v="215180"/>
    <n v="21998.823209999999"/>
    <x v="0"/>
    <x v="9"/>
  </r>
  <r>
    <n v="11178"/>
    <d v="2024-03-24T00:00:00"/>
    <x v="1"/>
    <x v="3"/>
    <x v="1"/>
    <x v="3"/>
    <n v="6"/>
    <n v="40193"/>
    <x v="1176"/>
    <n v="4699"/>
    <n v="236459"/>
    <n v="56284.038630000003"/>
    <x v="0"/>
    <x v="1"/>
  </r>
  <r>
    <n v="11179"/>
    <d v="2024-12-26T00:00:00"/>
    <x v="3"/>
    <x v="4"/>
    <x v="0"/>
    <x v="1"/>
    <n v="6"/>
    <n v="20011"/>
    <x v="1177"/>
    <n v="733"/>
    <n v="119333"/>
    <n v="18225.225750000001"/>
    <x v="0"/>
    <x v="3"/>
  </r>
  <r>
    <n v="11180"/>
    <d v="2025-11-19T00:00:00"/>
    <x v="1"/>
    <x v="2"/>
    <x v="2"/>
    <x v="1"/>
    <n v="9"/>
    <n v="36254"/>
    <x v="1178"/>
    <n v="1496"/>
    <n v="324790"/>
    <n v="34482.397120000001"/>
    <x v="1"/>
    <x v="7"/>
  </r>
  <r>
    <n v="11181"/>
    <d v="2024-05-27T00:00:00"/>
    <x v="4"/>
    <x v="4"/>
    <x v="1"/>
    <x v="0"/>
    <n v="1"/>
    <n v="63266"/>
    <x v="1179"/>
    <n v="3893"/>
    <n v="59373"/>
    <n v="9615.2730869999996"/>
    <x v="0"/>
    <x v="5"/>
  </r>
  <r>
    <n v="11182"/>
    <d v="2025-09-21T00:00:00"/>
    <x v="1"/>
    <x v="1"/>
    <x v="2"/>
    <x v="2"/>
    <n v="6"/>
    <n v="16106"/>
    <x v="1180"/>
    <n v="2954"/>
    <n v="93682"/>
    <n v="19666.465059999999"/>
    <x v="1"/>
    <x v="2"/>
  </r>
  <r>
    <n v="11183"/>
    <d v="2024-12-07T00:00:00"/>
    <x v="0"/>
    <x v="0"/>
    <x v="2"/>
    <x v="0"/>
    <n v="8"/>
    <n v="26786"/>
    <x v="1181"/>
    <n v="1131"/>
    <n v="213157"/>
    <n v="35446.576739999997"/>
    <x v="0"/>
    <x v="3"/>
  </r>
  <r>
    <n v="11184"/>
    <d v="2025-04-20T00:00:00"/>
    <x v="4"/>
    <x v="1"/>
    <x v="2"/>
    <x v="1"/>
    <n v="8"/>
    <n v="61852"/>
    <x v="1182"/>
    <n v="4635"/>
    <n v="490181"/>
    <n v="104752.4951"/>
    <x v="1"/>
    <x v="0"/>
  </r>
  <r>
    <n v="11185"/>
    <d v="2024-03-03T00:00:00"/>
    <x v="2"/>
    <x v="4"/>
    <x v="0"/>
    <x v="2"/>
    <n v="3"/>
    <n v="21944"/>
    <x v="1183"/>
    <n v="1732"/>
    <n v="64100"/>
    <n v="11307.97164"/>
    <x v="0"/>
    <x v="1"/>
  </r>
  <r>
    <n v="11186"/>
    <d v="2025-12-01T00:00:00"/>
    <x v="3"/>
    <x v="4"/>
    <x v="1"/>
    <x v="1"/>
    <n v="5"/>
    <n v="78917"/>
    <x v="1184"/>
    <n v="3035"/>
    <n v="391550"/>
    <n v="56741.104979999996"/>
    <x v="1"/>
    <x v="3"/>
  </r>
  <r>
    <n v="11187"/>
    <d v="2024-12-25T00:00:00"/>
    <x v="3"/>
    <x v="4"/>
    <x v="1"/>
    <x v="3"/>
    <n v="4"/>
    <n v="46164"/>
    <x v="1185"/>
    <n v="2713"/>
    <n v="181943"/>
    <n v="23732.072090000001"/>
    <x v="0"/>
    <x v="3"/>
  </r>
  <r>
    <n v="11188"/>
    <d v="2025-07-14T00:00:00"/>
    <x v="1"/>
    <x v="4"/>
    <x v="2"/>
    <x v="1"/>
    <n v="1"/>
    <n v="33715"/>
    <x v="1186"/>
    <n v="2479"/>
    <n v="31236"/>
    <n v="5096.6373800000001"/>
    <x v="1"/>
    <x v="10"/>
  </r>
  <r>
    <n v="11189"/>
    <d v="2024-11-22T00:00:00"/>
    <x v="4"/>
    <x v="3"/>
    <x v="1"/>
    <x v="2"/>
    <n v="9"/>
    <n v="59251"/>
    <x v="1187"/>
    <n v="1419"/>
    <n v="531840"/>
    <n v="56040.256159999997"/>
    <x v="0"/>
    <x v="7"/>
  </r>
  <r>
    <n v="11190"/>
    <d v="2024-05-20T00:00:00"/>
    <x v="2"/>
    <x v="0"/>
    <x v="0"/>
    <x v="2"/>
    <n v="5"/>
    <n v="73907"/>
    <x v="1188"/>
    <n v="1989"/>
    <n v="367546"/>
    <n v="60050.248319999999"/>
    <x v="0"/>
    <x v="5"/>
  </r>
  <r>
    <n v="11191"/>
    <d v="2024-08-02T00:00:00"/>
    <x v="4"/>
    <x v="3"/>
    <x v="2"/>
    <x v="0"/>
    <n v="2"/>
    <n v="69506"/>
    <x v="1189"/>
    <n v="4710"/>
    <n v="134302"/>
    <n v="14812.57244"/>
    <x v="0"/>
    <x v="6"/>
  </r>
  <r>
    <n v="11192"/>
    <d v="2025-03-10T00:00:00"/>
    <x v="3"/>
    <x v="4"/>
    <x v="0"/>
    <x v="2"/>
    <n v="2"/>
    <n v="40809"/>
    <x v="1190"/>
    <n v="487"/>
    <n v="81131"/>
    <n v="18785.940340000001"/>
    <x v="1"/>
    <x v="1"/>
  </r>
  <r>
    <n v="11193"/>
    <d v="2025-12-23T00:00:00"/>
    <x v="4"/>
    <x v="2"/>
    <x v="0"/>
    <x v="3"/>
    <n v="7"/>
    <n v="11844"/>
    <x v="1191"/>
    <n v="3819"/>
    <n v="79089"/>
    <n v="14736.0329"/>
    <x v="1"/>
    <x v="3"/>
  </r>
  <r>
    <n v="11194"/>
    <d v="2024-11-13T00:00:00"/>
    <x v="2"/>
    <x v="3"/>
    <x v="1"/>
    <x v="1"/>
    <n v="4"/>
    <n v="54864"/>
    <x v="1192"/>
    <n v="1441"/>
    <n v="218015"/>
    <n v="42928.55848"/>
    <x v="0"/>
    <x v="7"/>
  </r>
  <r>
    <n v="11195"/>
    <d v="2024-02-01T00:00:00"/>
    <x v="1"/>
    <x v="4"/>
    <x v="1"/>
    <x v="0"/>
    <n v="1"/>
    <n v="42174"/>
    <x v="1193"/>
    <n v="2390"/>
    <n v="39784"/>
    <n v="5702.224749"/>
    <x v="0"/>
    <x v="9"/>
  </r>
  <r>
    <n v="11196"/>
    <d v="2025-10-31T00:00:00"/>
    <x v="0"/>
    <x v="4"/>
    <x v="0"/>
    <x v="0"/>
    <n v="5"/>
    <n v="50933"/>
    <x v="1194"/>
    <n v="1384"/>
    <n v="253281"/>
    <n v="33907.528209999997"/>
    <x v="1"/>
    <x v="8"/>
  </r>
  <r>
    <n v="11197"/>
    <d v="2024-10-11T00:00:00"/>
    <x v="4"/>
    <x v="0"/>
    <x v="1"/>
    <x v="2"/>
    <n v="2"/>
    <n v="18144"/>
    <x v="1195"/>
    <n v="2156"/>
    <n v="34132"/>
    <n v="7037.5332950000002"/>
    <x v="0"/>
    <x v="8"/>
  </r>
  <r>
    <n v="11198"/>
    <d v="2024-10-31T00:00:00"/>
    <x v="0"/>
    <x v="1"/>
    <x v="0"/>
    <x v="3"/>
    <n v="7"/>
    <n v="12649"/>
    <x v="1196"/>
    <n v="4944"/>
    <n v="83599"/>
    <n v="16781.23042"/>
    <x v="0"/>
    <x v="8"/>
  </r>
  <r>
    <n v="11199"/>
    <d v="2025-03-04T00:00:00"/>
    <x v="3"/>
    <x v="3"/>
    <x v="0"/>
    <x v="0"/>
    <n v="9"/>
    <n v="41645"/>
    <x v="1197"/>
    <n v="4396"/>
    <n v="370409"/>
    <n v="43857.080650000004"/>
    <x v="1"/>
    <x v="1"/>
  </r>
  <r>
    <n v="11200"/>
    <d v="2025-04-21T00:00:00"/>
    <x v="1"/>
    <x v="3"/>
    <x v="2"/>
    <x v="3"/>
    <n v="1"/>
    <n v="57674"/>
    <x v="1198"/>
    <n v="1391"/>
    <n v="56283"/>
    <n v="7643.0179449999996"/>
    <x v="1"/>
    <x v="0"/>
  </r>
  <r>
    <n v="11201"/>
    <d v="2024-10-12T00:00:00"/>
    <x v="1"/>
    <x v="3"/>
    <x v="0"/>
    <x v="3"/>
    <n v="2"/>
    <n v="17818"/>
    <x v="1199"/>
    <n v="4800"/>
    <n v="30836"/>
    <n v="7461.8916429999999"/>
    <x v="0"/>
    <x v="8"/>
  </r>
  <r>
    <n v="11202"/>
    <d v="2024-05-23T00:00:00"/>
    <x v="4"/>
    <x v="4"/>
    <x v="0"/>
    <x v="1"/>
    <n v="6"/>
    <n v="41880"/>
    <x v="1200"/>
    <n v="3142"/>
    <n v="248138"/>
    <n v="36135.496700000003"/>
    <x v="0"/>
    <x v="5"/>
  </r>
  <r>
    <n v="11203"/>
    <d v="2025-02-27T00:00:00"/>
    <x v="1"/>
    <x v="0"/>
    <x v="1"/>
    <x v="1"/>
    <n v="8"/>
    <n v="65109"/>
    <x v="1201"/>
    <n v="268"/>
    <n v="520604"/>
    <n v="54077.598140000002"/>
    <x v="1"/>
    <x v="9"/>
  </r>
  <r>
    <n v="11204"/>
    <d v="2024-01-19T00:00:00"/>
    <x v="4"/>
    <x v="4"/>
    <x v="2"/>
    <x v="1"/>
    <n v="7"/>
    <n v="42333"/>
    <x v="1202"/>
    <n v="3917"/>
    <n v="292414"/>
    <n v="32039.01469"/>
    <x v="0"/>
    <x v="4"/>
  </r>
  <r>
    <n v="11205"/>
    <d v="2024-01-18T00:00:00"/>
    <x v="4"/>
    <x v="4"/>
    <x v="1"/>
    <x v="3"/>
    <n v="9"/>
    <n v="59058"/>
    <x v="1203"/>
    <n v="1524"/>
    <n v="529998"/>
    <n v="114651.4037"/>
    <x v="0"/>
    <x v="4"/>
  </r>
  <r>
    <n v="11206"/>
    <d v="2025-08-12T00:00:00"/>
    <x v="0"/>
    <x v="2"/>
    <x v="2"/>
    <x v="1"/>
    <n v="2"/>
    <n v="59575"/>
    <x v="1013"/>
    <n v="477"/>
    <n v="118673"/>
    <n v="25345.390479999998"/>
    <x v="1"/>
    <x v="6"/>
  </r>
  <r>
    <n v="11207"/>
    <d v="2025-01-05T00:00:00"/>
    <x v="1"/>
    <x v="0"/>
    <x v="1"/>
    <x v="0"/>
    <n v="9"/>
    <n v="30130"/>
    <x v="1204"/>
    <n v="4271"/>
    <n v="266899"/>
    <n v="41976.297460000002"/>
    <x v="1"/>
    <x v="4"/>
  </r>
  <r>
    <n v="11208"/>
    <d v="2024-06-23T00:00:00"/>
    <x v="4"/>
    <x v="3"/>
    <x v="0"/>
    <x v="0"/>
    <n v="4"/>
    <n v="31716"/>
    <x v="1205"/>
    <n v="238"/>
    <n v="126626"/>
    <n v="15572.480229999999"/>
    <x v="0"/>
    <x v="11"/>
  </r>
  <r>
    <n v="11209"/>
    <d v="2024-07-12T00:00:00"/>
    <x v="0"/>
    <x v="1"/>
    <x v="2"/>
    <x v="2"/>
    <n v="3"/>
    <n v="36297"/>
    <x v="1206"/>
    <n v="609"/>
    <n v="108282"/>
    <n v="18918.574359999999"/>
    <x v="0"/>
    <x v="10"/>
  </r>
  <r>
    <n v="11210"/>
    <d v="2025-05-16T00:00:00"/>
    <x v="2"/>
    <x v="3"/>
    <x v="2"/>
    <x v="3"/>
    <n v="7"/>
    <n v="24062"/>
    <x v="1207"/>
    <n v="4587"/>
    <n v="163847"/>
    <n v="24541.54407"/>
    <x v="1"/>
    <x v="5"/>
  </r>
  <r>
    <n v="11211"/>
    <d v="2024-04-22T00:00:00"/>
    <x v="0"/>
    <x v="4"/>
    <x v="2"/>
    <x v="1"/>
    <n v="5"/>
    <n v="34492"/>
    <x v="1208"/>
    <n v="4424"/>
    <n v="168036"/>
    <n v="26229.621800000001"/>
    <x v="0"/>
    <x v="0"/>
  </r>
  <r>
    <n v="11212"/>
    <d v="2024-04-23T00:00:00"/>
    <x v="0"/>
    <x v="0"/>
    <x v="2"/>
    <x v="0"/>
    <n v="5"/>
    <n v="61481"/>
    <x v="1209"/>
    <n v="3397"/>
    <n v="304008"/>
    <n v="42302.045330000001"/>
    <x v="0"/>
    <x v="0"/>
  </r>
  <r>
    <n v="11213"/>
    <d v="2024-08-09T00:00:00"/>
    <x v="4"/>
    <x v="0"/>
    <x v="1"/>
    <x v="3"/>
    <n v="2"/>
    <n v="71377"/>
    <x v="1210"/>
    <n v="4540"/>
    <n v="138214"/>
    <n v="15124.57653"/>
    <x v="0"/>
    <x v="6"/>
  </r>
  <r>
    <n v="11214"/>
    <d v="2025-11-08T00:00:00"/>
    <x v="3"/>
    <x v="0"/>
    <x v="1"/>
    <x v="3"/>
    <n v="6"/>
    <n v="15567"/>
    <x v="1211"/>
    <n v="4537"/>
    <n v="88865"/>
    <n v="19432.45537"/>
    <x v="1"/>
    <x v="7"/>
  </r>
  <r>
    <n v="11215"/>
    <d v="2025-10-05T00:00:00"/>
    <x v="3"/>
    <x v="2"/>
    <x v="2"/>
    <x v="1"/>
    <n v="6"/>
    <n v="41806"/>
    <x v="1212"/>
    <n v="4890"/>
    <n v="245946"/>
    <n v="47401.940849999999"/>
    <x v="1"/>
    <x v="8"/>
  </r>
  <r>
    <n v="11216"/>
    <d v="2024-09-20T00:00:00"/>
    <x v="3"/>
    <x v="3"/>
    <x v="2"/>
    <x v="3"/>
    <n v="4"/>
    <n v="79457"/>
    <x v="1213"/>
    <n v="1831"/>
    <n v="315997"/>
    <n v="71161.029280000002"/>
    <x v="0"/>
    <x v="2"/>
  </r>
  <r>
    <n v="11217"/>
    <d v="2024-02-24T00:00:00"/>
    <x v="0"/>
    <x v="2"/>
    <x v="2"/>
    <x v="1"/>
    <n v="5"/>
    <n v="74885"/>
    <x v="1214"/>
    <n v="4986"/>
    <n v="369439"/>
    <n v="64829.265299999999"/>
    <x v="0"/>
    <x v="9"/>
  </r>
  <r>
    <n v="11218"/>
    <d v="2025-10-04T00:00:00"/>
    <x v="4"/>
    <x v="1"/>
    <x v="1"/>
    <x v="1"/>
    <n v="7"/>
    <n v="52674"/>
    <x v="1215"/>
    <n v="1154"/>
    <n v="367564"/>
    <n v="91063.244349999994"/>
    <x v="1"/>
    <x v="8"/>
  </r>
  <r>
    <n v="11219"/>
    <d v="2025-04-02T00:00:00"/>
    <x v="1"/>
    <x v="4"/>
    <x v="2"/>
    <x v="1"/>
    <n v="8"/>
    <n v="75482"/>
    <x v="1216"/>
    <n v="1751"/>
    <n v="602105"/>
    <n v="147141.65909999999"/>
    <x v="1"/>
    <x v="0"/>
  </r>
  <r>
    <n v="11220"/>
    <d v="2024-06-10T00:00:00"/>
    <x v="0"/>
    <x v="2"/>
    <x v="2"/>
    <x v="3"/>
    <n v="6"/>
    <n v="48127"/>
    <x v="1217"/>
    <n v="3598"/>
    <n v="285164"/>
    <n v="40141.829949999999"/>
    <x v="0"/>
    <x v="11"/>
  </r>
  <r>
    <n v="11221"/>
    <d v="2025-01-14T00:00:00"/>
    <x v="0"/>
    <x v="2"/>
    <x v="2"/>
    <x v="3"/>
    <n v="5"/>
    <n v="28502"/>
    <x v="1218"/>
    <n v="2485"/>
    <n v="140025"/>
    <n v="22130.466560000001"/>
    <x v="1"/>
    <x v="4"/>
  </r>
  <r>
    <n v="11222"/>
    <d v="2024-03-27T00:00:00"/>
    <x v="4"/>
    <x v="4"/>
    <x v="1"/>
    <x v="1"/>
    <n v="3"/>
    <n v="77193"/>
    <x v="1219"/>
    <n v="3338"/>
    <n v="228241"/>
    <n v="48593.972370000003"/>
    <x v="0"/>
    <x v="1"/>
  </r>
  <r>
    <n v="11223"/>
    <d v="2024-02-24T00:00:00"/>
    <x v="2"/>
    <x v="0"/>
    <x v="0"/>
    <x v="3"/>
    <n v="7"/>
    <n v="55724"/>
    <x v="1220"/>
    <n v="2333"/>
    <n v="387735"/>
    <n v="83940.951499999996"/>
    <x v="0"/>
    <x v="9"/>
  </r>
  <r>
    <n v="11224"/>
    <d v="2025-04-20T00:00:00"/>
    <x v="0"/>
    <x v="4"/>
    <x v="0"/>
    <x v="1"/>
    <n v="8"/>
    <n v="11240"/>
    <x v="1221"/>
    <n v="4386"/>
    <n v="85534"/>
    <n v="20237.760989999999"/>
    <x v="1"/>
    <x v="0"/>
  </r>
  <r>
    <n v="11225"/>
    <d v="2024-06-26T00:00:00"/>
    <x v="2"/>
    <x v="3"/>
    <x v="1"/>
    <x v="2"/>
    <n v="3"/>
    <n v="53544"/>
    <x v="1222"/>
    <n v="4463"/>
    <n v="156169"/>
    <n v="30905.075970000002"/>
    <x v="0"/>
    <x v="11"/>
  </r>
  <r>
    <n v="11226"/>
    <d v="2025-01-25T00:00:00"/>
    <x v="2"/>
    <x v="4"/>
    <x v="0"/>
    <x v="3"/>
    <n v="5"/>
    <n v="21640"/>
    <x v="1223"/>
    <n v="4581"/>
    <n v="103619"/>
    <n v="17746.63408"/>
    <x v="1"/>
    <x v="4"/>
  </r>
  <r>
    <n v="11227"/>
    <d v="2024-12-14T00:00:00"/>
    <x v="3"/>
    <x v="0"/>
    <x v="2"/>
    <x v="3"/>
    <n v="2"/>
    <n v="37895"/>
    <x v="1224"/>
    <n v="167"/>
    <n v="75623"/>
    <n v="11846.171469999999"/>
    <x v="0"/>
    <x v="3"/>
  </r>
  <r>
    <n v="11228"/>
    <d v="2024-01-08T00:00:00"/>
    <x v="4"/>
    <x v="4"/>
    <x v="2"/>
    <x v="2"/>
    <n v="4"/>
    <n v="16920"/>
    <x v="1225"/>
    <n v="3542"/>
    <n v="64138"/>
    <n v="10446.59109"/>
    <x v="0"/>
    <x v="4"/>
  </r>
  <r>
    <n v="11229"/>
    <d v="2024-11-08T00:00:00"/>
    <x v="2"/>
    <x v="2"/>
    <x v="1"/>
    <x v="2"/>
    <n v="4"/>
    <n v="35643"/>
    <x v="1226"/>
    <n v="4009"/>
    <n v="138563"/>
    <n v="31531.503339999999"/>
    <x v="0"/>
    <x v="7"/>
  </r>
  <r>
    <n v="11230"/>
    <d v="2025-03-18T00:00:00"/>
    <x v="4"/>
    <x v="1"/>
    <x v="1"/>
    <x v="2"/>
    <n v="8"/>
    <n v="34227"/>
    <x v="1227"/>
    <n v="77"/>
    <n v="273739"/>
    <n v="67613.896129999994"/>
    <x v="1"/>
    <x v="1"/>
  </r>
  <r>
    <n v="11231"/>
    <d v="2024-11-23T00:00:00"/>
    <x v="3"/>
    <x v="2"/>
    <x v="0"/>
    <x v="1"/>
    <n v="3"/>
    <n v="28251"/>
    <x v="1228"/>
    <n v="2898"/>
    <n v="81855"/>
    <n v="8822.8539500000006"/>
    <x v="0"/>
    <x v="7"/>
  </r>
  <r>
    <n v="11232"/>
    <d v="2024-02-23T00:00:00"/>
    <x v="4"/>
    <x v="1"/>
    <x v="0"/>
    <x v="1"/>
    <n v="5"/>
    <n v="29238"/>
    <x v="1229"/>
    <n v="1108"/>
    <n v="145082"/>
    <n v="27135.658429999999"/>
    <x v="0"/>
    <x v="9"/>
  </r>
  <r>
    <n v="11233"/>
    <d v="2024-08-26T00:00:00"/>
    <x v="0"/>
    <x v="4"/>
    <x v="2"/>
    <x v="0"/>
    <n v="5"/>
    <n v="65044"/>
    <x v="1230"/>
    <n v="891"/>
    <n v="324329"/>
    <n v="57733.187709999998"/>
    <x v="0"/>
    <x v="6"/>
  </r>
  <r>
    <n v="11234"/>
    <d v="2024-08-16T00:00:00"/>
    <x v="2"/>
    <x v="3"/>
    <x v="1"/>
    <x v="2"/>
    <n v="2"/>
    <n v="32723"/>
    <x v="1231"/>
    <n v="4756"/>
    <n v="60690"/>
    <n v="9493.2111989999994"/>
    <x v="0"/>
    <x v="6"/>
  </r>
  <r>
    <n v="11235"/>
    <d v="2025-08-01T00:00:00"/>
    <x v="4"/>
    <x v="4"/>
    <x v="0"/>
    <x v="0"/>
    <n v="9"/>
    <n v="39973"/>
    <x v="1232"/>
    <n v="1224"/>
    <n v="358533"/>
    <n v="81651.038530000005"/>
    <x v="1"/>
    <x v="6"/>
  </r>
  <r>
    <n v="11236"/>
    <d v="2024-02-20T00:00:00"/>
    <x v="1"/>
    <x v="0"/>
    <x v="0"/>
    <x v="1"/>
    <n v="4"/>
    <n v="13513"/>
    <x v="1233"/>
    <n v="4684"/>
    <n v="49368"/>
    <n v="9200.2921889999998"/>
    <x v="0"/>
    <x v="9"/>
  </r>
  <r>
    <n v="11237"/>
    <d v="2025-08-31T00:00:00"/>
    <x v="4"/>
    <x v="4"/>
    <x v="2"/>
    <x v="3"/>
    <n v="9"/>
    <n v="48316"/>
    <x v="1234"/>
    <n v="564"/>
    <n v="434280"/>
    <n v="63825.006529999999"/>
    <x v="1"/>
    <x v="6"/>
  </r>
  <r>
    <n v="11238"/>
    <d v="2025-08-26T00:00:00"/>
    <x v="2"/>
    <x v="1"/>
    <x v="2"/>
    <x v="2"/>
    <n v="9"/>
    <n v="35225"/>
    <x v="1235"/>
    <n v="2859"/>
    <n v="314166"/>
    <n v="52344.958400000003"/>
    <x v="1"/>
    <x v="6"/>
  </r>
  <r>
    <n v="11239"/>
    <d v="2024-09-20T00:00:00"/>
    <x v="3"/>
    <x v="2"/>
    <x v="2"/>
    <x v="3"/>
    <n v="2"/>
    <n v="9379"/>
    <x v="1236"/>
    <n v="301"/>
    <n v="18457"/>
    <n v="2833.5284889999998"/>
    <x v="0"/>
    <x v="2"/>
  </r>
  <r>
    <n v="11240"/>
    <d v="2025-02-21T00:00:00"/>
    <x v="3"/>
    <x v="3"/>
    <x v="2"/>
    <x v="1"/>
    <n v="9"/>
    <n v="16305"/>
    <x v="1237"/>
    <n v="4389"/>
    <n v="142356"/>
    <n v="23419.390019999999"/>
    <x v="1"/>
    <x v="9"/>
  </r>
  <r>
    <n v="11241"/>
    <d v="2024-04-05T00:00:00"/>
    <x v="2"/>
    <x v="4"/>
    <x v="0"/>
    <x v="2"/>
    <n v="9"/>
    <n v="36722"/>
    <x v="1238"/>
    <n v="108"/>
    <n v="330390"/>
    <n v="36570.825669999998"/>
    <x v="0"/>
    <x v="0"/>
  </r>
  <r>
    <n v="11242"/>
    <d v="2024-03-28T00:00:00"/>
    <x v="0"/>
    <x v="4"/>
    <x v="1"/>
    <x v="0"/>
    <n v="2"/>
    <n v="60429"/>
    <x v="1239"/>
    <n v="2412"/>
    <n v="118446"/>
    <n v="13832.99712"/>
    <x v="0"/>
    <x v="1"/>
  </r>
  <r>
    <n v="11243"/>
    <d v="2024-03-18T00:00:00"/>
    <x v="0"/>
    <x v="2"/>
    <x v="1"/>
    <x v="0"/>
    <n v="6"/>
    <n v="47476"/>
    <x v="1240"/>
    <n v="2647"/>
    <n v="282209"/>
    <n v="54622.610939999999"/>
    <x v="0"/>
    <x v="1"/>
  </r>
  <r>
    <n v="11244"/>
    <d v="2024-10-14T00:00:00"/>
    <x v="3"/>
    <x v="3"/>
    <x v="2"/>
    <x v="1"/>
    <n v="9"/>
    <n v="49253"/>
    <x v="1241"/>
    <n v="2725"/>
    <n v="440552"/>
    <n v="89260.353770000002"/>
    <x v="0"/>
    <x v="8"/>
  </r>
  <r>
    <n v="11245"/>
    <d v="2024-04-29T00:00:00"/>
    <x v="3"/>
    <x v="4"/>
    <x v="2"/>
    <x v="3"/>
    <n v="4"/>
    <n v="25708"/>
    <x v="1242"/>
    <n v="3338"/>
    <n v="99494"/>
    <n v="19450.386740000002"/>
    <x v="0"/>
    <x v="0"/>
  </r>
  <r>
    <n v="11246"/>
    <d v="2025-05-05T00:00:00"/>
    <x v="2"/>
    <x v="4"/>
    <x v="0"/>
    <x v="1"/>
    <n v="2"/>
    <n v="69963"/>
    <x v="1243"/>
    <n v="2140"/>
    <n v="137786"/>
    <n v="29549.766009999999"/>
    <x v="1"/>
    <x v="5"/>
  </r>
  <r>
    <n v="11247"/>
    <d v="2025-03-27T00:00:00"/>
    <x v="0"/>
    <x v="1"/>
    <x v="2"/>
    <x v="3"/>
    <n v="7"/>
    <n v="32621"/>
    <x v="1244"/>
    <n v="4523"/>
    <n v="223824"/>
    <n v="54060.233820000001"/>
    <x v="1"/>
    <x v="1"/>
  </r>
  <r>
    <n v="11248"/>
    <d v="2025-05-14T00:00:00"/>
    <x v="3"/>
    <x v="1"/>
    <x v="1"/>
    <x v="1"/>
    <n v="9"/>
    <n v="35001"/>
    <x v="1245"/>
    <n v="4733"/>
    <n v="310276"/>
    <n v="71081.980869999999"/>
    <x v="1"/>
    <x v="5"/>
  </r>
  <r>
    <n v="11249"/>
    <d v="2024-06-13T00:00:00"/>
    <x v="0"/>
    <x v="0"/>
    <x v="2"/>
    <x v="0"/>
    <n v="6"/>
    <n v="19220"/>
    <x v="1246"/>
    <n v="3813"/>
    <n v="111507"/>
    <n v="18150.712149999999"/>
    <x v="0"/>
    <x v="11"/>
  </r>
  <r>
    <n v="11250"/>
    <d v="2024-06-30T00:00:00"/>
    <x v="3"/>
    <x v="2"/>
    <x v="1"/>
    <x v="3"/>
    <n v="4"/>
    <n v="70122"/>
    <x v="1247"/>
    <n v="4200"/>
    <n v="276288"/>
    <n v="36644.48373"/>
    <x v="0"/>
    <x v="11"/>
  </r>
  <r>
    <n v="11251"/>
    <d v="2025-04-13T00:00:00"/>
    <x v="4"/>
    <x v="3"/>
    <x v="2"/>
    <x v="1"/>
    <n v="1"/>
    <n v="72907"/>
    <x v="1248"/>
    <n v="2256"/>
    <n v="70651"/>
    <n v="10370.00059"/>
    <x v="1"/>
    <x v="0"/>
  </r>
  <r>
    <n v="11252"/>
    <d v="2024-01-07T00:00:00"/>
    <x v="1"/>
    <x v="4"/>
    <x v="2"/>
    <x v="2"/>
    <n v="4"/>
    <n v="42784"/>
    <x v="1249"/>
    <n v="3645"/>
    <n v="167491"/>
    <n v="31515.311430000002"/>
    <x v="0"/>
    <x v="4"/>
  </r>
  <r>
    <n v="11253"/>
    <d v="2024-11-25T00:00:00"/>
    <x v="4"/>
    <x v="4"/>
    <x v="1"/>
    <x v="0"/>
    <n v="3"/>
    <n v="44070"/>
    <x v="1250"/>
    <n v="3059"/>
    <n v="129151"/>
    <n v="29502.124390000001"/>
    <x v="0"/>
    <x v="7"/>
  </r>
  <r>
    <n v="11254"/>
    <d v="2025-11-03T00:00:00"/>
    <x v="3"/>
    <x v="0"/>
    <x v="0"/>
    <x v="0"/>
    <n v="7"/>
    <n v="44150"/>
    <x v="1251"/>
    <n v="2521"/>
    <n v="306529"/>
    <n v="62917.719080000003"/>
    <x v="1"/>
    <x v="7"/>
  </r>
  <r>
    <n v="11255"/>
    <d v="2024-05-30T00:00:00"/>
    <x v="1"/>
    <x v="4"/>
    <x v="0"/>
    <x v="2"/>
    <n v="5"/>
    <n v="66262"/>
    <x v="1252"/>
    <n v="3417"/>
    <n v="327893"/>
    <n v="59496.829389999999"/>
    <x v="0"/>
    <x v="5"/>
  </r>
  <r>
    <n v="11256"/>
    <d v="2024-03-25T00:00:00"/>
    <x v="1"/>
    <x v="2"/>
    <x v="2"/>
    <x v="1"/>
    <n v="3"/>
    <n v="60544"/>
    <x v="1253"/>
    <n v="11"/>
    <n v="181621"/>
    <n v="34559.162429999997"/>
    <x v="0"/>
    <x v="1"/>
  </r>
  <r>
    <n v="11257"/>
    <d v="2024-05-26T00:00:00"/>
    <x v="3"/>
    <x v="0"/>
    <x v="2"/>
    <x v="3"/>
    <n v="2"/>
    <n v="32161"/>
    <x v="1254"/>
    <n v="4744"/>
    <n v="59578"/>
    <n v="10678.71199"/>
    <x v="0"/>
    <x v="5"/>
  </r>
  <r>
    <n v="11258"/>
    <d v="2025-09-15T00:00:00"/>
    <x v="3"/>
    <x v="2"/>
    <x v="1"/>
    <x v="0"/>
    <n v="2"/>
    <n v="26180"/>
    <x v="1255"/>
    <n v="3266"/>
    <n v="49094"/>
    <n v="12064.562159999999"/>
    <x v="1"/>
    <x v="2"/>
  </r>
  <r>
    <n v="11259"/>
    <d v="2025-01-15T00:00:00"/>
    <x v="0"/>
    <x v="0"/>
    <x v="1"/>
    <x v="1"/>
    <n v="5"/>
    <n v="23825"/>
    <x v="1256"/>
    <n v="3145"/>
    <n v="115980"/>
    <n v="25795.542990000002"/>
    <x v="1"/>
    <x v="4"/>
  </r>
  <r>
    <n v="11260"/>
    <d v="2025-07-01T00:00:00"/>
    <x v="3"/>
    <x v="4"/>
    <x v="2"/>
    <x v="2"/>
    <n v="8"/>
    <n v="6017"/>
    <x v="1257"/>
    <n v="874"/>
    <n v="47262"/>
    <n v="10264.90856"/>
    <x v="1"/>
    <x v="10"/>
  </r>
  <r>
    <n v="11261"/>
    <d v="2024-10-11T00:00:00"/>
    <x v="2"/>
    <x v="0"/>
    <x v="1"/>
    <x v="3"/>
    <n v="8"/>
    <n v="25885"/>
    <x v="1258"/>
    <n v="2433"/>
    <n v="204647"/>
    <n v="36345.173779999997"/>
    <x v="0"/>
    <x v="8"/>
  </r>
  <r>
    <n v="11262"/>
    <d v="2025-11-30T00:00:00"/>
    <x v="3"/>
    <x v="1"/>
    <x v="0"/>
    <x v="1"/>
    <n v="5"/>
    <n v="51260"/>
    <x v="1259"/>
    <n v="883"/>
    <n v="255417"/>
    <n v="38254.166429999997"/>
    <x v="1"/>
    <x v="7"/>
  </r>
  <r>
    <n v="11263"/>
    <d v="2024-03-22T00:00:00"/>
    <x v="2"/>
    <x v="3"/>
    <x v="0"/>
    <x v="1"/>
    <n v="2"/>
    <n v="15260"/>
    <x v="1260"/>
    <n v="4650"/>
    <n v="25870"/>
    <n v="2662.7244430000001"/>
    <x v="0"/>
    <x v="1"/>
  </r>
  <r>
    <n v="11264"/>
    <d v="2025-05-28T00:00:00"/>
    <x v="3"/>
    <x v="4"/>
    <x v="1"/>
    <x v="0"/>
    <n v="4"/>
    <n v="59946"/>
    <x v="1261"/>
    <n v="3985"/>
    <n v="235799"/>
    <n v="25116.013449999999"/>
    <x v="1"/>
    <x v="5"/>
  </r>
  <r>
    <n v="11265"/>
    <d v="2025-12-09T00:00:00"/>
    <x v="0"/>
    <x v="3"/>
    <x v="1"/>
    <x v="0"/>
    <n v="7"/>
    <n v="51662"/>
    <x v="1262"/>
    <n v="1579"/>
    <n v="360055"/>
    <n v="37638.597419999998"/>
    <x v="1"/>
    <x v="3"/>
  </r>
  <r>
    <n v="11266"/>
    <d v="2025-06-06T00:00:00"/>
    <x v="2"/>
    <x v="4"/>
    <x v="1"/>
    <x v="3"/>
    <n v="6"/>
    <n v="42018"/>
    <x v="1263"/>
    <n v="3771"/>
    <n v="248337"/>
    <n v="61356.998820000001"/>
    <x v="1"/>
    <x v="11"/>
  </r>
  <r>
    <n v="11267"/>
    <d v="2025-01-20T00:00:00"/>
    <x v="4"/>
    <x v="3"/>
    <x v="0"/>
    <x v="1"/>
    <n v="7"/>
    <n v="60099"/>
    <x v="1264"/>
    <n v="352"/>
    <n v="420341"/>
    <n v="49252.343099999998"/>
    <x v="1"/>
    <x v="4"/>
  </r>
  <r>
    <n v="11268"/>
    <d v="2025-12-07T00:00:00"/>
    <x v="2"/>
    <x v="1"/>
    <x v="2"/>
    <x v="2"/>
    <n v="5"/>
    <n v="67306"/>
    <x v="1265"/>
    <n v="1506"/>
    <n v="335024"/>
    <n v="40644.383990000002"/>
    <x v="1"/>
    <x v="3"/>
  </r>
  <r>
    <n v="11269"/>
    <d v="2025-04-15T00:00:00"/>
    <x v="0"/>
    <x v="3"/>
    <x v="1"/>
    <x v="2"/>
    <n v="2"/>
    <n v="34230"/>
    <x v="1266"/>
    <n v="3487"/>
    <n v="64973"/>
    <n v="11215.80157"/>
    <x v="1"/>
    <x v="0"/>
  </r>
  <r>
    <n v="11270"/>
    <d v="2024-04-28T00:00:00"/>
    <x v="2"/>
    <x v="0"/>
    <x v="1"/>
    <x v="3"/>
    <n v="8"/>
    <n v="29769"/>
    <x v="1267"/>
    <n v="2851"/>
    <n v="235301"/>
    <n v="40521.2264"/>
    <x v="0"/>
    <x v="0"/>
  </r>
  <r>
    <n v="11271"/>
    <d v="2025-01-30T00:00:00"/>
    <x v="3"/>
    <x v="3"/>
    <x v="1"/>
    <x v="1"/>
    <n v="2"/>
    <n v="40214"/>
    <x v="1268"/>
    <n v="2029"/>
    <n v="78399"/>
    <n v="18658.65351"/>
    <x v="1"/>
    <x v="4"/>
  </r>
  <r>
    <n v="11272"/>
    <d v="2025-06-15T00:00:00"/>
    <x v="3"/>
    <x v="4"/>
    <x v="2"/>
    <x v="0"/>
    <n v="8"/>
    <n v="37492"/>
    <x v="1269"/>
    <n v="1846"/>
    <n v="298090"/>
    <n v="33096.9058"/>
    <x v="1"/>
    <x v="11"/>
  </r>
  <r>
    <n v="11273"/>
    <d v="2024-09-17T00:00:00"/>
    <x v="0"/>
    <x v="2"/>
    <x v="1"/>
    <x v="1"/>
    <n v="7"/>
    <n v="68767"/>
    <x v="1270"/>
    <n v="2390"/>
    <n v="478979"/>
    <n v="116672.5187"/>
    <x v="0"/>
    <x v="2"/>
  </r>
  <r>
    <n v="11274"/>
    <d v="2024-09-12T00:00:00"/>
    <x v="1"/>
    <x v="3"/>
    <x v="1"/>
    <x v="0"/>
    <n v="3"/>
    <n v="67473"/>
    <x v="1271"/>
    <n v="4030"/>
    <n v="198389"/>
    <n v="26278.316449999998"/>
    <x v="0"/>
    <x v="2"/>
  </r>
  <r>
    <n v="11275"/>
    <d v="2024-08-13T00:00:00"/>
    <x v="3"/>
    <x v="3"/>
    <x v="0"/>
    <x v="2"/>
    <n v="4"/>
    <n v="8687"/>
    <x v="1272"/>
    <n v="3438"/>
    <n v="31310"/>
    <n v="7687.3273650000001"/>
    <x v="0"/>
    <x v="6"/>
  </r>
  <r>
    <n v="11276"/>
    <d v="2024-02-22T00:00:00"/>
    <x v="4"/>
    <x v="3"/>
    <x v="1"/>
    <x v="3"/>
    <n v="7"/>
    <n v="54135"/>
    <x v="1273"/>
    <n v="2383"/>
    <n v="376562"/>
    <n v="68232.512789999993"/>
    <x v="0"/>
    <x v="9"/>
  </r>
  <r>
    <n v="11277"/>
    <d v="2025-05-14T00:00:00"/>
    <x v="0"/>
    <x v="4"/>
    <x v="0"/>
    <x v="3"/>
    <n v="4"/>
    <n v="69635"/>
    <x v="1274"/>
    <n v="3367"/>
    <n v="275173"/>
    <n v="54429.745499999997"/>
    <x v="1"/>
    <x v="5"/>
  </r>
  <r>
    <n v="11278"/>
    <d v="2025-05-20T00:00:00"/>
    <x v="2"/>
    <x v="3"/>
    <x v="2"/>
    <x v="3"/>
    <n v="9"/>
    <n v="78400"/>
    <x v="1275"/>
    <n v="4980"/>
    <n v="700620"/>
    <n v="103242.8839"/>
    <x v="1"/>
    <x v="5"/>
  </r>
  <r>
    <n v="11279"/>
    <d v="2024-12-29T00:00:00"/>
    <x v="2"/>
    <x v="4"/>
    <x v="1"/>
    <x v="0"/>
    <n v="7"/>
    <n v="76663"/>
    <x v="1276"/>
    <n v="1465"/>
    <n v="535176"/>
    <n v="102632.62420000001"/>
    <x v="0"/>
    <x v="3"/>
  </r>
  <r>
    <n v="11280"/>
    <d v="2024-10-06T00:00:00"/>
    <x v="4"/>
    <x v="4"/>
    <x v="1"/>
    <x v="2"/>
    <n v="1"/>
    <n v="54704"/>
    <x v="1277"/>
    <n v="2151"/>
    <n v="52553"/>
    <n v="10858.73561"/>
    <x v="0"/>
    <x v="8"/>
  </r>
  <r>
    <n v="11281"/>
    <d v="2025-08-15T00:00:00"/>
    <x v="3"/>
    <x v="2"/>
    <x v="0"/>
    <x v="2"/>
    <n v="1"/>
    <n v="18834"/>
    <x v="1278"/>
    <n v="3483"/>
    <n v="15351"/>
    <n v="1558.9788659999999"/>
    <x v="1"/>
    <x v="6"/>
  </r>
  <r>
    <n v="11282"/>
    <d v="2025-12-14T00:00:00"/>
    <x v="0"/>
    <x v="0"/>
    <x v="2"/>
    <x v="3"/>
    <n v="4"/>
    <n v="13921"/>
    <x v="1279"/>
    <n v="573"/>
    <n v="55111"/>
    <n v="5794.0544110000001"/>
    <x v="1"/>
    <x v="3"/>
  </r>
  <r>
    <n v="11283"/>
    <d v="2024-06-06T00:00:00"/>
    <x v="4"/>
    <x v="4"/>
    <x v="2"/>
    <x v="3"/>
    <n v="9"/>
    <n v="33573"/>
    <x v="1280"/>
    <n v="774"/>
    <n v="301383"/>
    <n v="74734.410189999995"/>
    <x v="0"/>
    <x v="11"/>
  </r>
  <r>
    <n v="11284"/>
    <d v="2025-09-23T00:00:00"/>
    <x v="3"/>
    <x v="1"/>
    <x v="0"/>
    <x v="0"/>
    <n v="4"/>
    <n v="42876"/>
    <x v="1281"/>
    <n v="3365"/>
    <n v="168139"/>
    <n v="28353.879110000002"/>
    <x v="1"/>
    <x v="2"/>
  </r>
  <r>
    <n v="11285"/>
    <d v="2024-02-28T00:00:00"/>
    <x v="0"/>
    <x v="3"/>
    <x v="2"/>
    <x v="0"/>
    <n v="5"/>
    <n v="9266"/>
    <x v="1282"/>
    <n v="4338"/>
    <n v="41992"/>
    <n v="10093.727430000001"/>
    <x v="0"/>
    <x v="9"/>
  </r>
  <r>
    <n v="11286"/>
    <d v="2025-12-27T00:00:00"/>
    <x v="2"/>
    <x v="1"/>
    <x v="2"/>
    <x v="1"/>
    <n v="1"/>
    <n v="42713"/>
    <x v="1283"/>
    <n v="3930"/>
    <n v="38783"/>
    <n v="8124.4428909999997"/>
    <x v="1"/>
    <x v="3"/>
  </r>
  <r>
    <n v="11287"/>
    <d v="2024-05-07T00:00:00"/>
    <x v="0"/>
    <x v="3"/>
    <x v="2"/>
    <x v="0"/>
    <n v="2"/>
    <n v="13985"/>
    <x v="1284"/>
    <n v="2680"/>
    <n v="25290"/>
    <n v="3943.8552759999998"/>
    <x v="0"/>
    <x v="5"/>
  </r>
  <r>
    <n v="11288"/>
    <d v="2025-12-21T00:00:00"/>
    <x v="1"/>
    <x v="2"/>
    <x v="2"/>
    <x v="1"/>
    <n v="4"/>
    <n v="27068"/>
    <x v="1285"/>
    <n v="4960"/>
    <n v="103312"/>
    <n v="12668.76838"/>
    <x v="1"/>
    <x v="3"/>
  </r>
  <r>
    <n v="11289"/>
    <d v="2024-04-24T00:00:00"/>
    <x v="0"/>
    <x v="4"/>
    <x v="2"/>
    <x v="3"/>
    <n v="4"/>
    <n v="13366"/>
    <x v="1286"/>
    <n v="2220"/>
    <n v="51244"/>
    <n v="12643.061110000001"/>
    <x v="0"/>
    <x v="0"/>
  </r>
  <r>
    <n v="11290"/>
    <d v="2024-07-27T00:00:00"/>
    <x v="1"/>
    <x v="0"/>
    <x v="2"/>
    <x v="2"/>
    <n v="6"/>
    <n v="74384"/>
    <x v="1287"/>
    <n v="1439"/>
    <n v="444865"/>
    <n v="83489.789109999998"/>
    <x v="0"/>
    <x v="10"/>
  </r>
  <r>
    <n v="11291"/>
    <d v="2025-06-09T00:00:00"/>
    <x v="0"/>
    <x v="4"/>
    <x v="2"/>
    <x v="0"/>
    <n v="6"/>
    <n v="35472"/>
    <x v="1288"/>
    <n v="713"/>
    <n v="212119"/>
    <n v="27332.27419"/>
    <x v="1"/>
    <x v="11"/>
  </r>
  <r>
    <n v="11292"/>
    <d v="2025-06-04T00:00:00"/>
    <x v="1"/>
    <x v="3"/>
    <x v="2"/>
    <x v="2"/>
    <n v="8"/>
    <n v="8456"/>
    <x v="1289"/>
    <n v="575"/>
    <n v="67073"/>
    <n v="13565.376550000001"/>
    <x v="1"/>
    <x v="11"/>
  </r>
  <r>
    <n v="11293"/>
    <d v="2025-07-05T00:00:00"/>
    <x v="2"/>
    <x v="0"/>
    <x v="1"/>
    <x v="0"/>
    <n v="9"/>
    <n v="17031"/>
    <x v="1290"/>
    <n v="2981"/>
    <n v="150298"/>
    <n v="17105.00604"/>
    <x v="1"/>
    <x v="10"/>
  </r>
  <r>
    <n v="11294"/>
    <d v="2024-08-24T00:00:00"/>
    <x v="3"/>
    <x v="4"/>
    <x v="0"/>
    <x v="0"/>
    <n v="1"/>
    <n v="25026"/>
    <x v="1291"/>
    <n v="69"/>
    <n v="24957"/>
    <n v="5745.2409589999997"/>
    <x v="0"/>
    <x v="6"/>
  </r>
  <r>
    <n v="11295"/>
    <d v="2024-10-07T00:00:00"/>
    <x v="1"/>
    <x v="0"/>
    <x v="2"/>
    <x v="1"/>
    <n v="1"/>
    <n v="45887"/>
    <x v="1292"/>
    <n v="3764"/>
    <n v="42123"/>
    <n v="4781.8283220000003"/>
    <x v="0"/>
    <x v="8"/>
  </r>
  <r>
    <n v="11296"/>
    <d v="2024-12-24T00:00:00"/>
    <x v="1"/>
    <x v="3"/>
    <x v="0"/>
    <x v="0"/>
    <n v="6"/>
    <n v="33777"/>
    <x v="1293"/>
    <n v="4938"/>
    <n v="197724"/>
    <n v="26777.593990000001"/>
    <x v="0"/>
    <x v="3"/>
  </r>
  <r>
    <n v="11297"/>
    <d v="2024-07-19T00:00:00"/>
    <x v="2"/>
    <x v="2"/>
    <x v="2"/>
    <x v="3"/>
    <n v="4"/>
    <n v="47930"/>
    <x v="1294"/>
    <n v="2376"/>
    <n v="189344"/>
    <n v="21531.18116"/>
    <x v="0"/>
    <x v="10"/>
  </r>
  <r>
    <n v="11298"/>
    <d v="2024-10-04T00:00:00"/>
    <x v="1"/>
    <x v="2"/>
    <x v="2"/>
    <x v="2"/>
    <n v="4"/>
    <n v="6660"/>
    <x v="1295"/>
    <n v="2205"/>
    <n v="24435"/>
    <n v="2823.906097"/>
    <x v="0"/>
    <x v="8"/>
  </r>
  <r>
    <n v="11299"/>
    <d v="2024-08-22T00:00:00"/>
    <x v="4"/>
    <x v="4"/>
    <x v="1"/>
    <x v="0"/>
    <n v="1"/>
    <n v="32151"/>
    <x v="766"/>
    <n v="917"/>
    <n v="31234"/>
    <n v="5577.615393"/>
    <x v="0"/>
    <x v="6"/>
  </r>
  <r>
    <n v="11300"/>
    <d v="2025-05-08T00:00:00"/>
    <x v="2"/>
    <x v="1"/>
    <x v="0"/>
    <x v="2"/>
    <n v="9"/>
    <n v="29613"/>
    <x v="1296"/>
    <n v="2745"/>
    <n v="263772"/>
    <n v="53558.501129999997"/>
    <x v="1"/>
    <x v="5"/>
  </r>
  <r>
    <n v="11301"/>
    <d v="2024-01-04T00:00:00"/>
    <x v="4"/>
    <x v="3"/>
    <x v="0"/>
    <x v="2"/>
    <n v="3"/>
    <n v="70266"/>
    <x v="1297"/>
    <n v="742"/>
    <n v="210056"/>
    <n v="45849.399420000002"/>
    <x v="0"/>
    <x v="4"/>
  </r>
  <r>
    <n v="11302"/>
    <d v="2025-10-27T00:00:00"/>
    <x v="2"/>
    <x v="4"/>
    <x v="1"/>
    <x v="2"/>
    <n v="5"/>
    <n v="59738"/>
    <x v="1298"/>
    <n v="4150"/>
    <n v="294540"/>
    <n v="60162.23775"/>
    <x v="1"/>
    <x v="8"/>
  </r>
  <r>
    <n v="11303"/>
    <d v="2025-03-17T00:00:00"/>
    <x v="1"/>
    <x v="4"/>
    <x v="1"/>
    <x v="0"/>
    <n v="1"/>
    <n v="50777"/>
    <x v="1299"/>
    <n v="2533"/>
    <n v="48244"/>
    <n v="7454.8303740000001"/>
    <x v="1"/>
    <x v="1"/>
  </r>
  <r>
    <n v="11304"/>
    <d v="2024-01-29T00:00:00"/>
    <x v="4"/>
    <x v="2"/>
    <x v="0"/>
    <x v="1"/>
    <n v="8"/>
    <n v="35702"/>
    <x v="1300"/>
    <n v="1837"/>
    <n v="283779"/>
    <n v="52099.88564"/>
    <x v="0"/>
    <x v="4"/>
  </r>
  <r>
    <n v="11305"/>
    <d v="2024-04-18T00:00:00"/>
    <x v="1"/>
    <x v="0"/>
    <x v="2"/>
    <x v="2"/>
    <n v="3"/>
    <n v="66804"/>
    <x v="1301"/>
    <n v="1376"/>
    <n v="199036"/>
    <n v="47599.382010000001"/>
    <x v="0"/>
    <x v="0"/>
  </r>
  <r>
    <n v="11306"/>
    <d v="2025-09-01T00:00:00"/>
    <x v="2"/>
    <x v="3"/>
    <x v="2"/>
    <x v="2"/>
    <n v="1"/>
    <n v="18021"/>
    <x v="1302"/>
    <n v="409"/>
    <n v="17612"/>
    <n v="2785.0999029999998"/>
    <x v="1"/>
    <x v="2"/>
  </r>
  <r>
    <n v="11307"/>
    <d v="2025-12-27T00:00:00"/>
    <x v="1"/>
    <x v="0"/>
    <x v="0"/>
    <x v="0"/>
    <n v="6"/>
    <n v="49001"/>
    <x v="1303"/>
    <n v="3007"/>
    <n v="290999"/>
    <n v="40117.312850000002"/>
    <x v="1"/>
    <x v="3"/>
  </r>
  <r>
    <n v="11308"/>
    <d v="2024-03-15T00:00:00"/>
    <x v="4"/>
    <x v="3"/>
    <x v="2"/>
    <x v="0"/>
    <n v="1"/>
    <n v="24092"/>
    <x v="1304"/>
    <n v="2952"/>
    <n v="21140"/>
    <n v="3760.7616760000001"/>
    <x v="0"/>
    <x v="1"/>
  </r>
  <r>
    <n v="11309"/>
    <d v="2024-05-25T00:00:00"/>
    <x v="4"/>
    <x v="1"/>
    <x v="1"/>
    <x v="3"/>
    <n v="3"/>
    <n v="33915"/>
    <x v="1305"/>
    <n v="4242"/>
    <n v="97503"/>
    <n v="14098.96127"/>
    <x v="0"/>
    <x v="5"/>
  </r>
  <r>
    <n v="11310"/>
    <d v="2024-05-07T00:00:00"/>
    <x v="1"/>
    <x v="2"/>
    <x v="1"/>
    <x v="3"/>
    <n v="5"/>
    <n v="58323"/>
    <x v="1306"/>
    <n v="1679"/>
    <n v="289936"/>
    <n v="40380.128320000003"/>
    <x v="0"/>
    <x v="5"/>
  </r>
  <r>
    <n v="11311"/>
    <d v="2024-02-11T00:00:00"/>
    <x v="0"/>
    <x v="1"/>
    <x v="1"/>
    <x v="1"/>
    <n v="4"/>
    <n v="56902"/>
    <x v="1307"/>
    <n v="1714"/>
    <n v="225894"/>
    <n v="48978.448940000002"/>
    <x v="0"/>
    <x v="9"/>
  </r>
  <r>
    <n v="11312"/>
    <d v="2024-12-21T00:00:00"/>
    <x v="2"/>
    <x v="4"/>
    <x v="0"/>
    <x v="1"/>
    <n v="7"/>
    <n v="20739"/>
    <x v="1308"/>
    <n v="1197"/>
    <n v="143976"/>
    <n v="33636.447509999998"/>
    <x v="0"/>
    <x v="3"/>
  </r>
  <r>
    <n v="11313"/>
    <d v="2024-02-10T00:00:00"/>
    <x v="2"/>
    <x v="2"/>
    <x v="0"/>
    <x v="1"/>
    <n v="6"/>
    <n v="78012"/>
    <x v="1309"/>
    <n v="2337"/>
    <n v="465735"/>
    <n v="81665.469039999996"/>
    <x v="0"/>
    <x v="9"/>
  </r>
  <r>
    <n v="11314"/>
    <d v="2024-02-03T00:00:00"/>
    <x v="1"/>
    <x v="4"/>
    <x v="0"/>
    <x v="1"/>
    <n v="3"/>
    <n v="78467"/>
    <x v="1310"/>
    <n v="3216"/>
    <n v="232185"/>
    <n v="50376.583270000003"/>
    <x v="0"/>
    <x v="9"/>
  </r>
  <r>
    <n v="11315"/>
    <d v="2024-01-17T00:00:00"/>
    <x v="0"/>
    <x v="1"/>
    <x v="2"/>
    <x v="2"/>
    <n v="8"/>
    <n v="18699"/>
    <x v="1311"/>
    <n v="2956"/>
    <n v="146636"/>
    <n v="18778.706760000001"/>
    <x v="0"/>
    <x v="4"/>
  </r>
  <r>
    <n v="11316"/>
    <d v="2025-11-07T00:00:00"/>
    <x v="4"/>
    <x v="3"/>
    <x v="0"/>
    <x v="0"/>
    <n v="8"/>
    <n v="7804"/>
    <x v="1312"/>
    <n v="3193"/>
    <n v="59239"/>
    <n v="10790.17367"/>
    <x v="1"/>
    <x v="7"/>
  </r>
  <r>
    <n v="11317"/>
    <d v="2024-06-01T00:00:00"/>
    <x v="3"/>
    <x v="4"/>
    <x v="0"/>
    <x v="3"/>
    <n v="2"/>
    <n v="53904"/>
    <x v="1313"/>
    <n v="26"/>
    <n v="107782"/>
    <n v="21063.835330000002"/>
    <x v="0"/>
    <x v="11"/>
  </r>
  <r>
    <n v="11318"/>
    <d v="2025-01-12T00:00:00"/>
    <x v="3"/>
    <x v="0"/>
    <x v="1"/>
    <x v="2"/>
    <n v="7"/>
    <n v="59596"/>
    <x v="1314"/>
    <n v="3137"/>
    <n v="414035"/>
    <n v="71876.320810000005"/>
    <x v="1"/>
    <x v="4"/>
  </r>
  <r>
    <n v="11319"/>
    <d v="2025-08-10T00:00:00"/>
    <x v="1"/>
    <x v="3"/>
    <x v="2"/>
    <x v="0"/>
    <n v="1"/>
    <n v="54993"/>
    <x v="1315"/>
    <n v="2973"/>
    <n v="52020"/>
    <n v="6114.0163279999997"/>
    <x v="1"/>
    <x v="6"/>
  </r>
  <r>
    <n v="11320"/>
    <d v="2025-08-21T00:00:00"/>
    <x v="0"/>
    <x v="3"/>
    <x v="2"/>
    <x v="0"/>
    <n v="2"/>
    <n v="69366"/>
    <x v="1316"/>
    <n v="3165"/>
    <n v="135567"/>
    <n v="28484.664919999999"/>
    <x v="1"/>
    <x v="6"/>
  </r>
  <r>
    <n v="11321"/>
    <d v="2025-09-20T00:00:00"/>
    <x v="0"/>
    <x v="1"/>
    <x v="1"/>
    <x v="2"/>
    <n v="8"/>
    <n v="43343"/>
    <x v="1317"/>
    <n v="1090"/>
    <n v="345654"/>
    <n v="78070.009239999999"/>
    <x v="1"/>
    <x v="2"/>
  </r>
  <r>
    <n v="11322"/>
    <d v="2024-12-07T00:00:00"/>
    <x v="2"/>
    <x v="1"/>
    <x v="2"/>
    <x v="2"/>
    <n v="1"/>
    <n v="16775"/>
    <x v="1318"/>
    <n v="249"/>
    <n v="16526"/>
    <n v="3227.2623629999998"/>
    <x v="0"/>
    <x v="3"/>
  </r>
  <r>
    <n v="11323"/>
    <d v="2024-01-27T00:00:00"/>
    <x v="4"/>
    <x v="2"/>
    <x v="0"/>
    <x v="3"/>
    <n v="2"/>
    <n v="68012"/>
    <x v="1319"/>
    <n v="141"/>
    <n v="135883"/>
    <n v="17036.215660000002"/>
    <x v="0"/>
    <x v="4"/>
  </r>
  <r>
    <n v="11324"/>
    <d v="2024-10-13T00:00:00"/>
    <x v="0"/>
    <x v="2"/>
    <x v="2"/>
    <x v="1"/>
    <n v="1"/>
    <n v="52686"/>
    <x v="1320"/>
    <n v="266"/>
    <n v="52420"/>
    <n v="5828.2058349999998"/>
    <x v="0"/>
    <x v="8"/>
  </r>
  <r>
    <n v="11325"/>
    <d v="2025-10-07T00:00:00"/>
    <x v="3"/>
    <x v="0"/>
    <x v="1"/>
    <x v="1"/>
    <n v="5"/>
    <n v="60557"/>
    <x v="1321"/>
    <n v="4310"/>
    <n v="298475"/>
    <n v="43350.683969999998"/>
    <x v="1"/>
    <x v="8"/>
  </r>
  <r>
    <n v="11326"/>
    <d v="2025-12-31T00:00:00"/>
    <x v="4"/>
    <x v="3"/>
    <x v="2"/>
    <x v="3"/>
    <n v="7"/>
    <n v="69236"/>
    <x v="1322"/>
    <n v="488"/>
    <n v="484164"/>
    <n v="51102.792079999999"/>
    <x v="1"/>
    <x v="3"/>
  </r>
  <r>
    <n v="11327"/>
    <d v="2024-06-16T00:00:00"/>
    <x v="4"/>
    <x v="0"/>
    <x v="1"/>
    <x v="3"/>
    <n v="6"/>
    <n v="50874"/>
    <x v="1323"/>
    <n v="495"/>
    <n v="304749"/>
    <n v="68837.573130000004"/>
    <x v="0"/>
    <x v="11"/>
  </r>
  <r>
    <n v="11328"/>
    <d v="2025-09-01T00:00:00"/>
    <x v="1"/>
    <x v="0"/>
    <x v="0"/>
    <x v="1"/>
    <n v="6"/>
    <n v="36586"/>
    <x v="1324"/>
    <n v="479"/>
    <n v="219037"/>
    <n v="45003.137439999999"/>
    <x v="1"/>
    <x v="2"/>
  </r>
  <r>
    <n v="11329"/>
    <d v="2024-09-24T00:00:00"/>
    <x v="0"/>
    <x v="1"/>
    <x v="0"/>
    <x v="2"/>
    <n v="6"/>
    <n v="62009"/>
    <x v="1325"/>
    <n v="2690"/>
    <n v="369364"/>
    <n v="68167.344790000003"/>
    <x v="0"/>
    <x v="2"/>
  </r>
  <r>
    <n v="11330"/>
    <d v="2025-03-30T00:00:00"/>
    <x v="1"/>
    <x v="0"/>
    <x v="1"/>
    <x v="1"/>
    <n v="8"/>
    <n v="5607"/>
    <x v="1326"/>
    <n v="4096"/>
    <n v="40760"/>
    <n v="9515.2131260000006"/>
    <x v="1"/>
    <x v="1"/>
  </r>
  <r>
    <n v="11331"/>
    <d v="2025-11-15T00:00:00"/>
    <x v="0"/>
    <x v="0"/>
    <x v="0"/>
    <x v="0"/>
    <n v="5"/>
    <n v="42386"/>
    <x v="1327"/>
    <n v="3080"/>
    <n v="208850"/>
    <n v="24333.954109999999"/>
    <x v="1"/>
    <x v="7"/>
  </r>
  <r>
    <n v="11332"/>
    <d v="2025-02-04T00:00:00"/>
    <x v="2"/>
    <x v="4"/>
    <x v="0"/>
    <x v="0"/>
    <n v="7"/>
    <n v="67652"/>
    <x v="1328"/>
    <n v="4936"/>
    <n v="468628"/>
    <n v="97085.176550000004"/>
    <x v="1"/>
    <x v="9"/>
  </r>
  <r>
    <n v="11333"/>
    <d v="2025-04-20T00:00:00"/>
    <x v="1"/>
    <x v="2"/>
    <x v="2"/>
    <x v="3"/>
    <n v="3"/>
    <n v="58112"/>
    <x v="1329"/>
    <n v="2427"/>
    <n v="171909"/>
    <n v="20972.009409999999"/>
    <x v="1"/>
    <x v="0"/>
  </r>
  <r>
    <n v="11334"/>
    <d v="2025-12-02T00:00:00"/>
    <x v="1"/>
    <x v="2"/>
    <x v="0"/>
    <x v="1"/>
    <n v="9"/>
    <n v="42025"/>
    <x v="1330"/>
    <n v="843"/>
    <n v="377382"/>
    <n v="41187.023910000004"/>
    <x v="1"/>
    <x v="3"/>
  </r>
  <r>
    <n v="11335"/>
    <d v="2025-09-25T00:00:00"/>
    <x v="3"/>
    <x v="3"/>
    <x v="1"/>
    <x v="1"/>
    <n v="3"/>
    <n v="68492"/>
    <x v="1331"/>
    <n v="3215"/>
    <n v="202261"/>
    <n v="24258.30978"/>
    <x v="1"/>
    <x v="2"/>
  </r>
  <r>
    <n v="11336"/>
    <d v="2025-07-11T00:00:00"/>
    <x v="1"/>
    <x v="2"/>
    <x v="0"/>
    <x v="0"/>
    <n v="6"/>
    <n v="15223"/>
    <x v="1332"/>
    <n v="3911"/>
    <n v="87427"/>
    <n v="21213.375899999999"/>
    <x v="1"/>
    <x v="10"/>
  </r>
  <r>
    <n v="11337"/>
    <d v="2025-07-29T00:00:00"/>
    <x v="0"/>
    <x v="3"/>
    <x v="2"/>
    <x v="1"/>
    <n v="3"/>
    <n v="27943"/>
    <x v="1333"/>
    <n v="4077"/>
    <n v="79752"/>
    <n v="13244.01649"/>
    <x v="1"/>
    <x v="10"/>
  </r>
  <r>
    <n v="11338"/>
    <d v="2024-05-09T00:00:00"/>
    <x v="3"/>
    <x v="4"/>
    <x v="1"/>
    <x v="3"/>
    <n v="1"/>
    <n v="67860"/>
    <x v="1334"/>
    <n v="2349"/>
    <n v="65511"/>
    <n v="7032.5635579999998"/>
    <x v="0"/>
    <x v="5"/>
  </r>
  <r>
    <n v="11339"/>
    <d v="2024-12-28T00:00:00"/>
    <x v="1"/>
    <x v="2"/>
    <x v="0"/>
    <x v="3"/>
    <n v="1"/>
    <n v="71287"/>
    <x v="1335"/>
    <n v="649"/>
    <n v="70638"/>
    <n v="13247.817639999999"/>
    <x v="0"/>
    <x v="3"/>
  </r>
  <r>
    <n v="11340"/>
    <d v="2025-12-05T00:00:00"/>
    <x v="1"/>
    <x v="4"/>
    <x v="0"/>
    <x v="0"/>
    <n v="3"/>
    <n v="75880"/>
    <x v="1336"/>
    <n v="1893"/>
    <n v="225747"/>
    <n v="29337.42769"/>
    <x v="1"/>
    <x v="3"/>
  </r>
  <r>
    <n v="11341"/>
    <d v="2025-11-23T00:00:00"/>
    <x v="2"/>
    <x v="2"/>
    <x v="0"/>
    <x v="1"/>
    <n v="4"/>
    <n v="38973"/>
    <x v="1337"/>
    <n v="2856"/>
    <n v="153036"/>
    <n v="15460.53253"/>
    <x v="1"/>
    <x v="7"/>
  </r>
  <r>
    <n v="11342"/>
    <d v="2024-10-18T00:00:00"/>
    <x v="1"/>
    <x v="2"/>
    <x v="1"/>
    <x v="1"/>
    <n v="2"/>
    <n v="41655"/>
    <x v="1338"/>
    <n v="3250"/>
    <n v="80060"/>
    <n v="17113.455010000001"/>
    <x v="0"/>
    <x v="8"/>
  </r>
  <r>
    <n v="11343"/>
    <d v="2025-01-05T00:00:00"/>
    <x v="4"/>
    <x v="4"/>
    <x v="2"/>
    <x v="0"/>
    <n v="9"/>
    <n v="79158"/>
    <x v="1339"/>
    <n v="2386"/>
    <n v="710036"/>
    <n v="87497.354170000006"/>
    <x v="1"/>
    <x v="4"/>
  </r>
  <r>
    <n v="11344"/>
    <d v="2024-01-29T00:00:00"/>
    <x v="3"/>
    <x v="0"/>
    <x v="1"/>
    <x v="2"/>
    <n v="8"/>
    <n v="69177"/>
    <x v="1340"/>
    <n v="1725"/>
    <n v="551691"/>
    <n v="133163.29569999999"/>
    <x v="0"/>
    <x v="4"/>
  </r>
  <r>
    <n v="11345"/>
    <d v="2024-05-28T00:00:00"/>
    <x v="4"/>
    <x v="0"/>
    <x v="1"/>
    <x v="2"/>
    <n v="3"/>
    <n v="64509"/>
    <x v="1341"/>
    <n v="1354"/>
    <n v="192173"/>
    <n v="36305.319380000001"/>
    <x v="0"/>
    <x v="5"/>
  </r>
  <r>
    <n v="11346"/>
    <d v="2024-10-22T00:00:00"/>
    <x v="3"/>
    <x v="0"/>
    <x v="2"/>
    <x v="1"/>
    <n v="7"/>
    <n v="65461"/>
    <x v="1342"/>
    <n v="1293"/>
    <n v="456934"/>
    <n v="51656.102379999997"/>
    <x v="0"/>
    <x v="8"/>
  </r>
  <r>
    <n v="11347"/>
    <d v="2024-01-11T00:00:00"/>
    <x v="2"/>
    <x v="0"/>
    <x v="1"/>
    <x v="3"/>
    <n v="4"/>
    <n v="23658"/>
    <x v="1343"/>
    <n v="3046"/>
    <n v="91586"/>
    <n v="12151.050219999999"/>
    <x v="0"/>
    <x v="4"/>
  </r>
  <r>
    <n v="11348"/>
    <d v="2025-05-26T00:00:00"/>
    <x v="1"/>
    <x v="2"/>
    <x v="1"/>
    <x v="2"/>
    <n v="5"/>
    <n v="41133"/>
    <x v="1344"/>
    <n v="3258"/>
    <n v="202407"/>
    <n v="38786.584569999999"/>
    <x v="1"/>
    <x v="5"/>
  </r>
  <r>
    <n v="11349"/>
    <d v="2025-11-06T00:00:00"/>
    <x v="1"/>
    <x v="1"/>
    <x v="0"/>
    <x v="1"/>
    <n v="4"/>
    <n v="25620"/>
    <x v="1345"/>
    <n v="2713"/>
    <n v="99767"/>
    <n v="15036.57388"/>
    <x v="1"/>
    <x v="7"/>
  </r>
  <r>
    <n v="11350"/>
    <d v="2024-04-22T00:00:00"/>
    <x v="1"/>
    <x v="4"/>
    <x v="1"/>
    <x v="2"/>
    <n v="9"/>
    <n v="42067"/>
    <x v="1346"/>
    <n v="403"/>
    <n v="378200"/>
    <n v="68008.475290000002"/>
    <x v="0"/>
    <x v="0"/>
  </r>
  <r>
    <n v="11351"/>
    <d v="2024-07-05T00:00:00"/>
    <x v="3"/>
    <x v="1"/>
    <x v="0"/>
    <x v="0"/>
    <n v="7"/>
    <n v="74269"/>
    <x v="1347"/>
    <n v="3972"/>
    <n v="515911"/>
    <n v="113462.65889999999"/>
    <x v="0"/>
    <x v="10"/>
  </r>
  <r>
    <n v="11352"/>
    <d v="2024-08-14T00:00:00"/>
    <x v="1"/>
    <x v="1"/>
    <x v="1"/>
    <x v="2"/>
    <n v="4"/>
    <n v="34675"/>
    <x v="1348"/>
    <n v="4032"/>
    <n v="134668"/>
    <n v="29477.508989999998"/>
    <x v="0"/>
    <x v="6"/>
  </r>
  <r>
    <n v="11353"/>
    <d v="2024-11-05T00:00:00"/>
    <x v="4"/>
    <x v="3"/>
    <x v="0"/>
    <x v="2"/>
    <n v="8"/>
    <n v="72201"/>
    <x v="1349"/>
    <n v="1546"/>
    <n v="576062"/>
    <n v="117918.75109999999"/>
    <x v="0"/>
    <x v="7"/>
  </r>
  <r>
    <n v="11354"/>
    <d v="2024-04-07T00:00:00"/>
    <x v="1"/>
    <x v="0"/>
    <x v="0"/>
    <x v="0"/>
    <n v="2"/>
    <n v="5860"/>
    <x v="1350"/>
    <n v="2606"/>
    <n v="9114"/>
    <n v="2122.7248420000001"/>
    <x v="0"/>
    <x v="0"/>
  </r>
  <r>
    <n v="11355"/>
    <d v="2024-02-24T00:00:00"/>
    <x v="2"/>
    <x v="2"/>
    <x v="0"/>
    <x v="3"/>
    <n v="7"/>
    <n v="32618"/>
    <x v="1351"/>
    <n v="2825"/>
    <n v="225501"/>
    <n v="29293.505300000001"/>
    <x v="0"/>
    <x v="9"/>
  </r>
  <r>
    <n v="11356"/>
    <d v="2025-09-14T00:00:00"/>
    <x v="4"/>
    <x v="0"/>
    <x v="2"/>
    <x v="1"/>
    <n v="1"/>
    <n v="32916"/>
    <x v="1352"/>
    <n v="1852"/>
    <n v="31064"/>
    <n v="3932.2744400000001"/>
    <x v="1"/>
    <x v="2"/>
  </r>
  <r>
    <n v="11357"/>
    <d v="2025-10-25T00:00:00"/>
    <x v="1"/>
    <x v="0"/>
    <x v="1"/>
    <x v="3"/>
    <n v="8"/>
    <n v="27878"/>
    <x v="1353"/>
    <n v="4206"/>
    <n v="218818"/>
    <n v="48118.609369999998"/>
    <x v="1"/>
    <x v="8"/>
  </r>
  <r>
    <n v="11358"/>
    <d v="2025-02-09T00:00:00"/>
    <x v="1"/>
    <x v="1"/>
    <x v="1"/>
    <x v="3"/>
    <n v="6"/>
    <n v="43554"/>
    <x v="1354"/>
    <n v="812"/>
    <n v="260512"/>
    <n v="38590.5288"/>
    <x v="1"/>
    <x v="9"/>
  </r>
  <r>
    <n v="11359"/>
    <d v="2024-03-09T00:00:00"/>
    <x v="0"/>
    <x v="3"/>
    <x v="1"/>
    <x v="2"/>
    <n v="5"/>
    <n v="31796"/>
    <x v="1355"/>
    <n v="3374"/>
    <n v="155606"/>
    <n v="27515.39849"/>
    <x v="0"/>
    <x v="1"/>
  </r>
  <r>
    <n v="11360"/>
    <d v="2024-11-07T00:00:00"/>
    <x v="3"/>
    <x v="0"/>
    <x v="2"/>
    <x v="1"/>
    <n v="9"/>
    <n v="14345"/>
    <x v="1356"/>
    <n v="929"/>
    <n v="128176"/>
    <n v="27121.121589999999"/>
    <x v="0"/>
    <x v="7"/>
  </r>
  <r>
    <n v="11361"/>
    <d v="2024-10-15T00:00:00"/>
    <x v="4"/>
    <x v="4"/>
    <x v="0"/>
    <x v="2"/>
    <n v="9"/>
    <n v="66518"/>
    <x v="1357"/>
    <n v="4981"/>
    <n v="593681"/>
    <n v="94626.727849999996"/>
    <x v="0"/>
    <x v="8"/>
  </r>
  <r>
    <n v="11362"/>
    <d v="2025-07-01T00:00:00"/>
    <x v="0"/>
    <x v="4"/>
    <x v="1"/>
    <x v="0"/>
    <n v="3"/>
    <n v="27584"/>
    <x v="1358"/>
    <n v="4075"/>
    <n v="78677"/>
    <n v="9403.8168939999996"/>
    <x v="1"/>
    <x v="10"/>
  </r>
  <r>
    <n v="11363"/>
    <d v="2024-05-27T00:00:00"/>
    <x v="2"/>
    <x v="0"/>
    <x v="2"/>
    <x v="3"/>
    <n v="9"/>
    <n v="16598"/>
    <x v="1359"/>
    <n v="3323"/>
    <n v="146059"/>
    <n v="29492.02592"/>
    <x v="0"/>
    <x v="5"/>
  </r>
  <r>
    <n v="11364"/>
    <d v="2025-04-11T00:00:00"/>
    <x v="3"/>
    <x v="1"/>
    <x v="2"/>
    <x v="3"/>
    <n v="9"/>
    <n v="78861"/>
    <x v="1360"/>
    <n v="174"/>
    <n v="709575"/>
    <n v="157932.88080000001"/>
    <x v="1"/>
    <x v="0"/>
  </r>
  <r>
    <n v="11365"/>
    <d v="2024-08-31T00:00:00"/>
    <x v="4"/>
    <x v="1"/>
    <x v="1"/>
    <x v="0"/>
    <n v="2"/>
    <n v="23445"/>
    <x v="1361"/>
    <n v="1363"/>
    <n v="45527"/>
    <n v="4640.0932890000004"/>
    <x v="0"/>
    <x v="6"/>
  </r>
  <r>
    <n v="11366"/>
    <d v="2025-05-05T00:00:00"/>
    <x v="1"/>
    <x v="2"/>
    <x v="0"/>
    <x v="1"/>
    <n v="5"/>
    <n v="48813"/>
    <x v="1362"/>
    <n v="2895"/>
    <n v="241170"/>
    <n v="44467.604079999997"/>
    <x v="1"/>
    <x v="5"/>
  </r>
  <r>
    <n v="11367"/>
    <d v="2025-05-21T00:00:00"/>
    <x v="4"/>
    <x v="3"/>
    <x v="2"/>
    <x v="3"/>
    <n v="2"/>
    <n v="8730"/>
    <x v="1363"/>
    <n v="1037"/>
    <n v="16423"/>
    <n v="2798.6559750000001"/>
    <x v="1"/>
    <x v="5"/>
  </r>
  <r>
    <n v="11368"/>
    <d v="2024-12-30T00:00:00"/>
    <x v="1"/>
    <x v="1"/>
    <x v="1"/>
    <x v="3"/>
    <n v="1"/>
    <n v="16684"/>
    <x v="1364"/>
    <n v="3011"/>
    <n v="13673"/>
    <n v="1899.7184299999999"/>
    <x v="0"/>
    <x v="3"/>
  </r>
  <r>
    <n v="11369"/>
    <d v="2025-04-26T00:00:00"/>
    <x v="3"/>
    <x v="2"/>
    <x v="0"/>
    <x v="1"/>
    <n v="7"/>
    <n v="62470"/>
    <x v="1365"/>
    <n v="2090"/>
    <n v="435200"/>
    <n v="54031.944860000003"/>
    <x v="1"/>
    <x v="0"/>
  </r>
  <r>
    <n v="11370"/>
    <d v="2024-07-19T00:00:00"/>
    <x v="1"/>
    <x v="4"/>
    <x v="2"/>
    <x v="2"/>
    <n v="4"/>
    <n v="39563"/>
    <x v="1366"/>
    <n v="460"/>
    <n v="157792"/>
    <n v="20229.817510000001"/>
    <x v="0"/>
    <x v="10"/>
  </r>
  <r>
    <n v="11371"/>
    <d v="2024-06-02T00:00:00"/>
    <x v="2"/>
    <x v="4"/>
    <x v="2"/>
    <x v="0"/>
    <n v="5"/>
    <n v="15041"/>
    <x v="1367"/>
    <n v="2752"/>
    <n v="72453"/>
    <n v="15124.27232"/>
    <x v="0"/>
    <x v="11"/>
  </r>
  <r>
    <n v="11372"/>
    <d v="2025-03-25T00:00:00"/>
    <x v="1"/>
    <x v="4"/>
    <x v="1"/>
    <x v="1"/>
    <n v="4"/>
    <n v="58465"/>
    <x v="1368"/>
    <n v="148"/>
    <n v="233712"/>
    <n v="42168.48558"/>
    <x v="1"/>
    <x v="1"/>
  </r>
  <r>
    <n v="11373"/>
    <d v="2025-05-15T00:00:00"/>
    <x v="2"/>
    <x v="0"/>
    <x v="1"/>
    <x v="0"/>
    <n v="6"/>
    <n v="78723"/>
    <x v="1369"/>
    <n v="4433"/>
    <n v="467905"/>
    <n v="115653.5561"/>
    <x v="1"/>
    <x v="5"/>
  </r>
  <r>
    <n v="11374"/>
    <d v="2024-03-13T00:00:00"/>
    <x v="3"/>
    <x v="3"/>
    <x v="0"/>
    <x v="0"/>
    <n v="2"/>
    <n v="66320"/>
    <x v="1370"/>
    <n v="1133"/>
    <n v="131507"/>
    <n v="17948.68289"/>
    <x v="0"/>
    <x v="1"/>
  </r>
  <r>
    <n v="11375"/>
    <d v="2025-12-13T00:00:00"/>
    <x v="3"/>
    <x v="2"/>
    <x v="1"/>
    <x v="3"/>
    <n v="8"/>
    <n v="37624"/>
    <x v="1371"/>
    <n v="353"/>
    <n v="300639"/>
    <n v="73216.307220000002"/>
    <x v="1"/>
    <x v="3"/>
  </r>
  <r>
    <n v="11376"/>
    <d v="2024-10-22T00:00:00"/>
    <x v="4"/>
    <x v="3"/>
    <x v="1"/>
    <x v="1"/>
    <n v="4"/>
    <n v="8726"/>
    <x v="1372"/>
    <n v="1107"/>
    <n v="33797"/>
    <n v="5991.0736669999997"/>
    <x v="0"/>
    <x v="8"/>
  </r>
  <r>
    <n v="11377"/>
    <d v="2024-01-17T00:00:00"/>
    <x v="2"/>
    <x v="0"/>
    <x v="0"/>
    <x v="0"/>
    <n v="8"/>
    <n v="55393"/>
    <x v="1373"/>
    <n v="2602"/>
    <n v="440542"/>
    <n v="53703.812870000002"/>
    <x v="0"/>
    <x v="4"/>
  </r>
  <r>
    <n v="11378"/>
    <d v="2025-10-02T00:00:00"/>
    <x v="2"/>
    <x v="2"/>
    <x v="1"/>
    <x v="2"/>
    <n v="3"/>
    <n v="6843"/>
    <x v="1374"/>
    <n v="2113"/>
    <n v="18416"/>
    <n v="2250.9297879999999"/>
    <x v="1"/>
    <x v="8"/>
  </r>
  <r>
    <n v="11379"/>
    <d v="2024-08-04T00:00:00"/>
    <x v="0"/>
    <x v="2"/>
    <x v="0"/>
    <x v="0"/>
    <n v="5"/>
    <n v="59929"/>
    <x v="1375"/>
    <n v="4094"/>
    <n v="295551"/>
    <n v="56534.531719999999"/>
    <x v="0"/>
    <x v="6"/>
  </r>
  <r>
    <n v="11380"/>
    <d v="2024-03-01T00:00:00"/>
    <x v="0"/>
    <x v="1"/>
    <x v="0"/>
    <x v="3"/>
    <n v="3"/>
    <n v="63856"/>
    <x v="1376"/>
    <n v="3685"/>
    <n v="187883"/>
    <n v="42219.829989999998"/>
    <x v="0"/>
    <x v="1"/>
  </r>
  <r>
    <n v="11381"/>
    <d v="2025-09-07T00:00:00"/>
    <x v="0"/>
    <x v="3"/>
    <x v="0"/>
    <x v="2"/>
    <n v="7"/>
    <n v="70460"/>
    <x v="1377"/>
    <n v="3206"/>
    <n v="490014"/>
    <n v="103959.76730000001"/>
    <x v="1"/>
    <x v="2"/>
  </r>
  <r>
    <n v="11382"/>
    <d v="2024-02-11T00:00:00"/>
    <x v="1"/>
    <x v="3"/>
    <x v="1"/>
    <x v="2"/>
    <n v="3"/>
    <n v="18754"/>
    <x v="1378"/>
    <n v="1109"/>
    <n v="55153"/>
    <n v="10939.272220000001"/>
    <x v="0"/>
    <x v="9"/>
  </r>
  <r>
    <n v="11383"/>
    <d v="2024-01-25T00:00:00"/>
    <x v="0"/>
    <x v="1"/>
    <x v="0"/>
    <x v="1"/>
    <n v="8"/>
    <n v="33853"/>
    <x v="1379"/>
    <n v="4179"/>
    <n v="266645"/>
    <n v="33548.263149999999"/>
    <x v="0"/>
    <x v="4"/>
  </r>
  <r>
    <n v="11384"/>
    <d v="2024-02-08T00:00:00"/>
    <x v="2"/>
    <x v="4"/>
    <x v="1"/>
    <x v="2"/>
    <n v="9"/>
    <n v="64560"/>
    <x v="1380"/>
    <n v="1977"/>
    <n v="579063"/>
    <n v="67316.653309999994"/>
    <x v="0"/>
    <x v="9"/>
  </r>
  <r>
    <n v="11385"/>
    <d v="2024-05-10T00:00:00"/>
    <x v="1"/>
    <x v="0"/>
    <x v="0"/>
    <x v="1"/>
    <n v="2"/>
    <n v="72816"/>
    <x v="1381"/>
    <n v="226"/>
    <n v="145406"/>
    <n v="14546.009620000001"/>
    <x v="0"/>
    <x v="5"/>
  </r>
  <r>
    <n v="11386"/>
    <d v="2025-05-12T00:00:00"/>
    <x v="3"/>
    <x v="3"/>
    <x v="1"/>
    <x v="1"/>
    <n v="3"/>
    <n v="78332"/>
    <x v="1382"/>
    <n v="2939"/>
    <n v="232057"/>
    <n v="26748.996709999999"/>
    <x v="1"/>
    <x v="5"/>
  </r>
  <r>
    <n v="11387"/>
    <d v="2024-08-16T00:00:00"/>
    <x v="4"/>
    <x v="1"/>
    <x v="0"/>
    <x v="2"/>
    <n v="7"/>
    <n v="9567"/>
    <x v="1383"/>
    <n v="1012"/>
    <n v="65957"/>
    <n v="14177.78635"/>
    <x v="0"/>
    <x v="6"/>
  </r>
  <r>
    <n v="11388"/>
    <d v="2024-04-17T00:00:00"/>
    <x v="0"/>
    <x v="2"/>
    <x v="2"/>
    <x v="1"/>
    <n v="5"/>
    <n v="79836"/>
    <x v="1384"/>
    <n v="4115"/>
    <n v="395065"/>
    <n v="92558.697320000007"/>
    <x v="0"/>
    <x v="0"/>
  </r>
  <r>
    <n v="11389"/>
    <d v="2024-06-20T00:00:00"/>
    <x v="3"/>
    <x v="1"/>
    <x v="2"/>
    <x v="1"/>
    <n v="7"/>
    <n v="67118"/>
    <x v="1385"/>
    <n v="3106"/>
    <n v="466720"/>
    <n v="63498.454919999996"/>
    <x v="0"/>
    <x v="11"/>
  </r>
  <r>
    <n v="11390"/>
    <d v="2025-03-10T00:00:00"/>
    <x v="2"/>
    <x v="4"/>
    <x v="2"/>
    <x v="2"/>
    <n v="2"/>
    <n v="63886"/>
    <x v="1386"/>
    <n v="3936"/>
    <n v="123836"/>
    <n v="27149.07847"/>
    <x v="1"/>
    <x v="1"/>
  </r>
  <r>
    <n v="11391"/>
    <d v="2025-04-22T00:00:00"/>
    <x v="4"/>
    <x v="0"/>
    <x v="0"/>
    <x v="3"/>
    <n v="4"/>
    <n v="62724"/>
    <x v="1387"/>
    <n v="2802"/>
    <n v="248094"/>
    <n v="32209.377850000001"/>
    <x v="1"/>
    <x v="0"/>
  </r>
  <r>
    <n v="11392"/>
    <d v="2024-04-11T00:00:00"/>
    <x v="3"/>
    <x v="4"/>
    <x v="1"/>
    <x v="0"/>
    <n v="1"/>
    <n v="37150"/>
    <x v="1388"/>
    <n v="1466"/>
    <n v="35684"/>
    <n v="4902.6516119999997"/>
    <x v="0"/>
    <x v="0"/>
  </r>
  <r>
    <n v="11393"/>
    <d v="2025-06-07T00:00:00"/>
    <x v="4"/>
    <x v="2"/>
    <x v="0"/>
    <x v="1"/>
    <n v="5"/>
    <n v="71791"/>
    <x v="1389"/>
    <n v="2988"/>
    <n v="355967"/>
    <n v="47565.632660000003"/>
    <x v="1"/>
    <x v="11"/>
  </r>
  <r>
    <n v="11394"/>
    <d v="2024-10-01T00:00:00"/>
    <x v="0"/>
    <x v="2"/>
    <x v="0"/>
    <x v="1"/>
    <n v="8"/>
    <n v="11462"/>
    <x v="1390"/>
    <n v="269"/>
    <n v="91427"/>
    <n v="9852.1265590000003"/>
    <x v="0"/>
    <x v="8"/>
  </r>
  <r>
    <n v="11395"/>
    <d v="2025-09-04T00:00:00"/>
    <x v="2"/>
    <x v="2"/>
    <x v="0"/>
    <x v="2"/>
    <n v="1"/>
    <n v="32560"/>
    <x v="1391"/>
    <n v="3806"/>
    <n v="28754"/>
    <n v="3712.405655"/>
    <x v="1"/>
    <x v="2"/>
  </r>
  <r>
    <n v="11396"/>
    <d v="2024-02-13T00:00:00"/>
    <x v="4"/>
    <x v="2"/>
    <x v="0"/>
    <x v="0"/>
    <n v="7"/>
    <n v="8371"/>
    <x v="1392"/>
    <n v="1531"/>
    <n v="57066"/>
    <n v="8904.0936760000004"/>
    <x v="0"/>
    <x v="9"/>
  </r>
  <r>
    <n v="11397"/>
    <d v="2024-01-17T00:00:00"/>
    <x v="3"/>
    <x v="1"/>
    <x v="1"/>
    <x v="0"/>
    <n v="7"/>
    <n v="59012"/>
    <x v="1393"/>
    <n v="303"/>
    <n v="412781"/>
    <n v="66383.629190000007"/>
    <x v="0"/>
    <x v="4"/>
  </r>
  <r>
    <n v="11398"/>
    <d v="2024-11-25T00:00:00"/>
    <x v="0"/>
    <x v="2"/>
    <x v="0"/>
    <x v="1"/>
    <n v="7"/>
    <n v="78156"/>
    <x v="1394"/>
    <n v="4905"/>
    <n v="542187"/>
    <n v="79386.999979999993"/>
    <x v="0"/>
    <x v="7"/>
  </r>
  <r>
    <n v="11399"/>
    <d v="2025-07-22T00:00:00"/>
    <x v="0"/>
    <x v="2"/>
    <x v="2"/>
    <x v="2"/>
    <n v="1"/>
    <n v="7932"/>
    <x v="1395"/>
    <n v="1932"/>
    <n v="6000"/>
    <n v="1063.252757"/>
    <x v="1"/>
    <x v="10"/>
  </r>
  <r>
    <n v="11400"/>
    <d v="2025-05-11T00:00:00"/>
    <x v="3"/>
    <x v="1"/>
    <x v="2"/>
    <x v="3"/>
    <n v="3"/>
    <n v="26470"/>
    <x v="1396"/>
    <n v="2040"/>
    <n v="77370"/>
    <n v="12123.858490000001"/>
    <x v="1"/>
    <x v="5"/>
  </r>
  <r>
    <n v="11401"/>
    <d v="2024-01-12T00:00:00"/>
    <x v="3"/>
    <x v="2"/>
    <x v="2"/>
    <x v="0"/>
    <n v="2"/>
    <n v="14778"/>
    <x v="1397"/>
    <n v="4021"/>
    <n v="25535"/>
    <n v="6270.2391859999998"/>
    <x v="0"/>
    <x v="4"/>
  </r>
  <r>
    <n v="11402"/>
    <d v="2024-11-13T00:00:00"/>
    <x v="4"/>
    <x v="4"/>
    <x v="0"/>
    <x v="3"/>
    <n v="5"/>
    <n v="28033"/>
    <x v="1398"/>
    <n v="141"/>
    <n v="140024"/>
    <n v="30959.666000000001"/>
    <x v="0"/>
    <x v="7"/>
  </r>
  <r>
    <n v="11403"/>
    <d v="2025-08-14T00:00:00"/>
    <x v="1"/>
    <x v="4"/>
    <x v="1"/>
    <x v="2"/>
    <n v="2"/>
    <n v="15304"/>
    <x v="1399"/>
    <n v="808"/>
    <n v="29800"/>
    <n v="7141.4687359999998"/>
    <x v="1"/>
    <x v="6"/>
  </r>
  <r>
    <n v="11404"/>
    <d v="2024-08-03T00:00:00"/>
    <x v="0"/>
    <x v="3"/>
    <x v="1"/>
    <x v="3"/>
    <n v="5"/>
    <n v="78655"/>
    <x v="1400"/>
    <n v="947"/>
    <n v="392328"/>
    <n v="72036.929839999997"/>
    <x v="0"/>
    <x v="6"/>
  </r>
  <r>
    <n v="11405"/>
    <d v="2024-12-04T00:00:00"/>
    <x v="4"/>
    <x v="4"/>
    <x v="1"/>
    <x v="2"/>
    <n v="5"/>
    <n v="19407"/>
    <x v="1401"/>
    <n v="3951"/>
    <n v="93084"/>
    <n v="18779.784899999999"/>
    <x v="0"/>
    <x v="3"/>
  </r>
  <r>
    <n v="11406"/>
    <d v="2025-10-22T00:00:00"/>
    <x v="3"/>
    <x v="0"/>
    <x v="0"/>
    <x v="1"/>
    <n v="4"/>
    <n v="75519"/>
    <x v="1402"/>
    <n v="3412"/>
    <n v="298664"/>
    <n v="37333.434930000003"/>
    <x v="1"/>
    <x v="8"/>
  </r>
  <r>
    <n v="11407"/>
    <d v="2024-03-21T00:00:00"/>
    <x v="4"/>
    <x v="0"/>
    <x v="1"/>
    <x v="3"/>
    <n v="7"/>
    <n v="7521"/>
    <x v="1403"/>
    <n v="2292"/>
    <n v="50355"/>
    <n v="10721.479020000001"/>
    <x v="0"/>
    <x v="1"/>
  </r>
  <r>
    <n v="11408"/>
    <d v="2025-12-27T00:00:00"/>
    <x v="3"/>
    <x v="0"/>
    <x v="2"/>
    <x v="1"/>
    <n v="6"/>
    <n v="5783"/>
    <x v="1404"/>
    <n v="765"/>
    <n v="33933"/>
    <n v="4594.3811569999998"/>
    <x v="1"/>
    <x v="3"/>
  </r>
  <r>
    <n v="11409"/>
    <d v="2025-04-29T00:00:00"/>
    <x v="2"/>
    <x v="1"/>
    <x v="1"/>
    <x v="1"/>
    <n v="2"/>
    <n v="47666"/>
    <x v="1405"/>
    <n v="2923"/>
    <n v="92409"/>
    <n v="11262.341249999999"/>
    <x v="1"/>
    <x v="0"/>
  </r>
  <r>
    <n v="11410"/>
    <d v="2025-01-08T00:00:00"/>
    <x v="3"/>
    <x v="4"/>
    <x v="0"/>
    <x v="2"/>
    <n v="4"/>
    <n v="21798"/>
    <x v="1406"/>
    <n v="938"/>
    <n v="86254"/>
    <n v="9166.9804399999994"/>
    <x v="1"/>
    <x v="4"/>
  </r>
  <r>
    <n v="11411"/>
    <d v="2025-12-10T00:00:00"/>
    <x v="3"/>
    <x v="0"/>
    <x v="0"/>
    <x v="3"/>
    <n v="7"/>
    <n v="79091"/>
    <x v="1407"/>
    <n v="2496"/>
    <n v="551141"/>
    <n v="94153.917799999996"/>
    <x v="1"/>
    <x v="3"/>
  </r>
  <r>
    <n v="11412"/>
    <d v="2024-07-18T00:00:00"/>
    <x v="3"/>
    <x v="3"/>
    <x v="1"/>
    <x v="0"/>
    <n v="9"/>
    <n v="6103"/>
    <x v="1408"/>
    <n v="3562"/>
    <n v="51365"/>
    <n v="7346.1395480000001"/>
    <x v="0"/>
    <x v="10"/>
  </r>
  <r>
    <n v="11413"/>
    <d v="2025-06-20T00:00:00"/>
    <x v="1"/>
    <x v="1"/>
    <x v="0"/>
    <x v="3"/>
    <n v="9"/>
    <n v="59043"/>
    <x v="1409"/>
    <n v="1262"/>
    <n v="530125"/>
    <n v="131475.81140000001"/>
    <x v="1"/>
    <x v="11"/>
  </r>
  <r>
    <n v="11414"/>
    <d v="2025-04-10T00:00:00"/>
    <x v="3"/>
    <x v="3"/>
    <x v="1"/>
    <x v="0"/>
    <n v="3"/>
    <n v="75845"/>
    <x v="1410"/>
    <n v="542"/>
    <n v="226993"/>
    <n v="31205.895659999998"/>
    <x v="1"/>
    <x v="0"/>
  </r>
  <r>
    <n v="11415"/>
    <d v="2024-03-29T00:00:00"/>
    <x v="0"/>
    <x v="4"/>
    <x v="1"/>
    <x v="1"/>
    <n v="1"/>
    <n v="38939"/>
    <x v="1411"/>
    <n v="2679"/>
    <n v="36260"/>
    <n v="8339.1289020000004"/>
    <x v="0"/>
    <x v="1"/>
  </r>
  <r>
    <n v="11416"/>
    <d v="2024-09-24T00:00:00"/>
    <x v="0"/>
    <x v="2"/>
    <x v="2"/>
    <x v="1"/>
    <n v="9"/>
    <n v="64042"/>
    <x v="1412"/>
    <n v="2954"/>
    <n v="573424"/>
    <n v="84560.437709999998"/>
    <x v="0"/>
    <x v="2"/>
  </r>
  <r>
    <n v="11417"/>
    <d v="2025-10-16T00:00:00"/>
    <x v="4"/>
    <x v="3"/>
    <x v="0"/>
    <x v="2"/>
    <n v="8"/>
    <n v="79170"/>
    <x v="1413"/>
    <n v="2931"/>
    <n v="630429"/>
    <n v="133883.59390000001"/>
    <x v="1"/>
    <x v="8"/>
  </r>
  <r>
    <n v="11418"/>
    <d v="2025-07-24T00:00:00"/>
    <x v="1"/>
    <x v="2"/>
    <x v="2"/>
    <x v="0"/>
    <n v="7"/>
    <n v="17135"/>
    <x v="1414"/>
    <n v="2781"/>
    <n v="117164"/>
    <n v="23312.847089999999"/>
    <x v="1"/>
    <x v="10"/>
  </r>
  <r>
    <n v="11419"/>
    <d v="2025-05-03T00:00:00"/>
    <x v="4"/>
    <x v="1"/>
    <x v="0"/>
    <x v="3"/>
    <n v="6"/>
    <n v="66948"/>
    <x v="1415"/>
    <n v="4239"/>
    <n v="397449"/>
    <n v="73236.946800000005"/>
    <x v="1"/>
    <x v="5"/>
  </r>
  <r>
    <n v="11420"/>
    <d v="2025-06-21T00:00:00"/>
    <x v="0"/>
    <x v="3"/>
    <x v="1"/>
    <x v="2"/>
    <n v="7"/>
    <n v="64756"/>
    <x v="1416"/>
    <n v="2991"/>
    <n v="450301"/>
    <n v="73184.603329999998"/>
    <x v="1"/>
    <x v="11"/>
  </r>
  <r>
    <n v="11421"/>
    <d v="2024-02-16T00:00:00"/>
    <x v="0"/>
    <x v="3"/>
    <x v="0"/>
    <x v="2"/>
    <n v="9"/>
    <n v="44404"/>
    <x v="1417"/>
    <n v="2612"/>
    <n v="397024"/>
    <n v="79669.119489999997"/>
    <x v="0"/>
    <x v="9"/>
  </r>
  <r>
    <n v="11422"/>
    <d v="2024-10-14T00:00:00"/>
    <x v="2"/>
    <x v="1"/>
    <x v="1"/>
    <x v="2"/>
    <n v="6"/>
    <n v="7589"/>
    <x v="1418"/>
    <n v="3648"/>
    <n v="41886"/>
    <n v="6747.4891470000002"/>
    <x v="0"/>
    <x v="8"/>
  </r>
  <r>
    <n v="11423"/>
    <d v="2024-01-16T00:00:00"/>
    <x v="3"/>
    <x v="1"/>
    <x v="0"/>
    <x v="3"/>
    <n v="3"/>
    <n v="14695"/>
    <x v="1419"/>
    <n v="1199"/>
    <n v="42886"/>
    <n v="7814.4739970000001"/>
    <x v="0"/>
    <x v="4"/>
  </r>
  <r>
    <n v="11424"/>
    <d v="2025-12-11T00:00:00"/>
    <x v="0"/>
    <x v="0"/>
    <x v="2"/>
    <x v="2"/>
    <n v="3"/>
    <n v="10722"/>
    <x v="1420"/>
    <n v="2117"/>
    <n v="30049"/>
    <n v="5663.3428590000003"/>
    <x v="1"/>
    <x v="3"/>
  </r>
  <r>
    <n v="11425"/>
    <d v="2025-02-04T00:00:00"/>
    <x v="4"/>
    <x v="4"/>
    <x v="2"/>
    <x v="3"/>
    <n v="4"/>
    <n v="54874"/>
    <x v="1421"/>
    <n v="2680"/>
    <n v="216816"/>
    <n v="30376.633409999999"/>
    <x v="1"/>
    <x v="9"/>
  </r>
  <r>
    <n v="11426"/>
    <d v="2024-03-26T00:00:00"/>
    <x v="4"/>
    <x v="3"/>
    <x v="1"/>
    <x v="2"/>
    <n v="8"/>
    <n v="5841"/>
    <x v="1422"/>
    <n v="2848"/>
    <n v="43880"/>
    <n v="6624.1454940000003"/>
    <x v="0"/>
    <x v="1"/>
  </r>
  <r>
    <n v="11427"/>
    <d v="2024-09-06T00:00:00"/>
    <x v="3"/>
    <x v="3"/>
    <x v="2"/>
    <x v="0"/>
    <n v="9"/>
    <n v="23731"/>
    <x v="1423"/>
    <n v="4688"/>
    <n v="208891"/>
    <n v="21454.674370000001"/>
    <x v="0"/>
    <x v="2"/>
  </r>
  <r>
    <n v="11428"/>
    <d v="2025-01-25T00:00:00"/>
    <x v="3"/>
    <x v="1"/>
    <x v="1"/>
    <x v="1"/>
    <n v="8"/>
    <n v="5645"/>
    <x v="1424"/>
    <n v="4662"/>
    <n v="40498"/>
    <n v="9226.4102370000001"/>
    <x v="1"/>
    <x v="4"/>
  </r>
  <r>
    <n v="11429"/>
    <d v="2024-11-30T00:00:00"/>
    <x v="2"/>
    <x v="1"/>
    <x v="1"/>
    <x v="0"/>
    <n v="2"/>
    <n v="37116"/>
    <x v="1425"/>
    <n v="4786"/>
    <n v="69446"/>
    <n v="14819.60082"/>
    <x v="0"/>
    <x v="7"/>
  </r>
  <r>
    <n v="11430"/>
    <d v="2025-09-20T00:00:00"/>
    <x v="1"/>
    <x v="4"/>
    <x v="1"/>
    <x v="0"/>
    <n v="4"/>
    <n v="45983"/>
    <x v="1426"/>
    <n v="3681"/>
    <n v="180251"/>
    <n v="22987.332160000002"/>
    <x v="1"/>
    <x v="2"/>
  </r>
  <r>
    <n v="11431"/>
    <d v="2025-06-02T00:00:00"/>
    <x v="4"/>
    <x v="1"/>
    <x v="0"/>
    <x v="2"/>
    <n v="4"/>
    <n v="34402"/>
    <x v="1427"/>
    <n v="3495"/>
    <n v="134113"/>
    <n v="20694.610570000001"/>
    <x v="1"/>
    <x v="11"/>
  </r>
  <r>
    <n v="11432"/>
    <d v="2024-05-16T00:00:00"/>
    <x v="3"/>
    <x v="2"/>
    <x v="1"/>
    <x v="0"/>
    <n v="2"/>
    <n v="54158"/>
    <x v="1428"/>
    <n v="664"/>
    <n v="107652"/>
    <n v="17564.5458"/>
    <x v="0"/>
    <x v="5"/>
  </r>
  <r>
    <n v="11433"/>
    <d v="2025-11-18T00:00:00"/>
    <x v="4"/>
    <x v="2"/>
    <x v="2"/>
    <x v="0"/>
    <n v="8"/>
    <n v="41469"/>
    <x v="1429"/>
    <n v="4501"/>
    <n v="327251"/>
    <n v="49138.964200000002"/>
    <x v="1"/>
    <x v="7"/>
  </r>
  <r>
    <n v="11434"/>
    <d v="2025-05-12T00:00:00"/>
    <x v="3"/>
    <x v="2"/>
    <x v="0"/>
    <x v="0"/>
    <n v="3"/>
    <n v="65576"/>
    <x v="392"/>
    <n v="3162"/>
    <n v="193566"/>
    <n v="42533.500070000002"/>
    <x v="1"/>
    <x v="5"/>
  </r>
  <r>
    <n v="11435"/>
    <d v="2025-12-27T00:00:00"/>
    <x v="0"/>
    <x v="2"/>
    <x v="2"/>
    <x v="2"/>
    <n v="2"/>
    <n v="18908"/>
    <x v="1430"/>
    <n v="3365"/>
    <n v="34451"/>
    <n v="7193.8203119999998"/>
    <x v="1"/>
    <x v="3"/>
  </r>
  <r>
    <n v="11436"/>
    <d v="2025-04-21T00:00:00"/>
    <x v="4"/>
    <x v="4"/>
    <x v="1"/>
    <x v="3"/>
    <n v="7"/>
    <n v="65269"/>
    <x v="1431"/>
    <n v="1416"/>
    <n v="455467"/>
    <n v="97959.022800000006"/>
    <x v="1"/>
    <x v="0"/>
  </r>
  <r>
    <n v="11437"/>
    <d v="2025-08-16T00:00:00"/>
    <x v="0"/>
    <x v="3"/>
    <x v="1"/>
    <x v="1"/>
    <n v="1"/>
    <n v="47231"/>
    <x v="1432"/>
    <n v="3108"/>
    <n v="44123"/>
    <n v="10396.23954"/>
    <x v="1"/>
    <x v="6"/>
  </r>
  <r>
    <n v="11438"/>
    <d v="2024-08-10T00:00:00"/>
    <x v="4"/>
    <x v="2"/>
    <x v="2"/>
    <x v="1"/>
    <n v="6"/>
    <n v="50221"/>
    <x v="1433"/>
    <n v="516"/>
    <n v="300810"/>
    <n v="56935.117389999999"/>
    <x v="0"/>
    <x v="6"/>
  </r>
  <r>
    <n v="11439"/>
    <d v="2025-01-06T00:00:00"/>
    <x v="1"/>
    <x v="1"/>
    <x v="0"/>
    <x v="3"/>
    <n v="3"/>
    <n v="17715"/>
    <x v="1434"/>
    <n v="849"/>
    <n v="52296"/>
    <n v="10050.25309"/>
    <x v="1"/>
    <x v="4"/>
  </r>
  <r>
    <n v="11440"/>
    <d v="2025-02-05T00:00:00"/>
    <x v="2"/>
    <x v="2"/>
    <x v="2"/>
    <x v="3"/>
    <n v="3"/>
    <n v="43398"/>
    <x v="1435"/>
    <n v="1901"/>
    <n v="128293"/>
    <n v="26722.164100000002"/>
    <x v="1"/>
    <x v="9"/>
  </r>
  <r>
    <n v="11441"/>
    <d v="2025-03-18T00:00:00"/>
    <x v="0"/>
    <x v="4"/>
    <x v="1"/>
    <x v="0"/>
    <n v="5"/>
    <n v="67372"/>
    <x v="1436"/>
    <n v="907"/>
    <n v="335953"/>
    <n v="67924.620079999993"/>
    <x v="1"/>
    <x v="1"/>
  </r>
  <r>
    <n v="11442"/>
    <d v="2025-05-04T00:00:00"/>
    <x v="3"/>
    <x v="1"/>
    <x v="0"/>
    <x v="1"/>
    <n v="3"/>
    <n v="40324"/>
    <x v="1437"/>
    <n v="315"/>
    <n v="120657"/>
    <n v="27808.054400000001"/>
    <x v="1"/>
    <x v="5"/>
  </r>
  <r>
    <n v="11443"/>
    <d v="2025-09-06T00:00:00"/>
    <x v="1"/>
    <x v="2"/>
    <x v="1"/>
    <x v="3"/>
    <n v="4"/>
    <n v="24338"/>
    <x v="1438"/>
    <n v="3243"/>
    <n v="94109"/>
    <n v="20283.28744"/>
    <x v="1"/>
    <x v="2"/>
  </r>
  <r>
    <n v="11444"/>
    <d v="2024-09-29T00:00:00"/>
    <x v="4"/>
    <x v="3"/>
    <x v="1"/>
    <x v="0"/>
    <n v="3"/>
    <n v="12387"/>
    <x v="1439"/>
    <n v="1507"/>
    <n v="35654"/>
    <n v="4209.6247270000003"/>
    <x v="0"/>
    <x v="2"/>
  </r>
  <r>
    <n v="11445"/>
    <d v="2025-06-09T00:00:00"/>
    <x v="0"/>
    <x v="1"/>
    <x v="2"/>
    <x v="1"/>
    <n v="7"/>
    <n v="31175"/>
    <x v="1440"/>
    <n v="4122"/>
    <n v="214103"/>
    <n v="51224.954700000002"/>
    <x v="1"/>
    <x v="11"/>
  </r>
  <r>
    <n v="11446"/>
    <d v="2024-06-07T00:00:00"/>
    <x v="4"/>
    <x v="1"/>
    <x v="1"/>
    <x v="2"/>
    <n v="3"/>
    <n v="35795"/>
    <x v="1441"/>
    <n v="1518"/>
    <n v="105867"/>
    <n v="21434.350880000002"/>
    <x v="0"/>
    <x v="11"/>
  </r>
  <r>
    <n v="11447"/>
    <d v="2024-05-31T00:00:00"/>
    <x v="4"/>
    <x v="3"/>
    <x v="2"/>
    <x v="2"/>
    <n v="4"/>
    <n v="42429"/>
    <x v="1442"/>
    <n v="4150"/>
    <n v="165566"/>
    <n v="19714.25635"/>
    <x v="0"/>
    <x v="5"/>
  </r>
  <r>
    <n v="11448"/>
    <d v="2025-09-11T00:00:00"/>
    <x v="4"/>
    <x v="1"/>
    <x v="0"/>
    <x v="1"/>
    <n v="2"/>
    <n v="68105"/>
    <x v="1443"/>
    <n v="1934"/>
    <n v="134276"/>
    <n v="28976.231800000001"/>
    <x v="1"/>
    <x v="2"/>
  </r>
  <r>
    <n v="11449"/>
    <d v="2024-07-06T00:00:00"/>
    <x v="2"/>
    <x v="2"/>
    <x v="1"/>
    <x v="1"/>
    <n v="2"/>
    <n v="8801"/>
    <x v="1444"/>
    <n v="4344"/>
    <n v="13258"/>
    <n v="2038.5749980000001"/>
    <x v="0"/>
    <x v="10"/>
  </r>
  <r>
    <n v="11450"/>
    <d v="2024-04-07T00:00:00"/>
    <x v="2"/>
    <x v="1"/>
    <x v="1"/>
    <x v="2"/>
    <n v="9"/>
    <n v="12413"/>
    <x v="1445"/>
    <n v="1801"/>
    <n v="109916"/>
    <n v="24280.08023"/>
    <x v="0"/>
    <x v="0"/>
  </r>
  <r>
    <n v="11451"/>
    <d v="2024-05-10T00:00:00"/>
    <x v="3"/>
    <x v="2"/>
    <x v="0"/>
    <x v="2"/>
    <n v="1"/>
    <n v="22665"/>
    <x v="1446"/>
    <n v="2622"/>
    <n v="20043"/>
    <n v="4876.6801969999997"/>
    <x v="0"/>
    <x v="5"/>
  </r>
  <r>
    <n v="11452"/>
    <d v="2024-06-19T00:00:00"/>
    <x v="0"/>
    <x v="3"/>
    <x v="2"/>
    <x v="1"/>
    <n v="1"/>
    <n v="13187"/>
    <x v="1447"/>
    <n v="856"/>
    <n v="12331"/>
    <n v="1705.2084319999999"/>
    <x v="0"/>
    <x v="11"/>
  </r>
  <r>
    <n v="11453"/>
    <d v="2024-07-01T00:00:00"/>
    <x v="1"/>
    <x v="0"/>
    <x v="1"/>
    <x v="0"/>
    <n v="1"/>
    <n v="69989"/>
    <x v="1448"/>
    <n v="1876"/>
    <n v="68113"/>
    <n v="15571.425789999999"/>
    <x v="0"/>
    <x v="10"/>
  </r>
  <r>
    <n v="11454"/>
    <d v="2024-12-29T00:00:00"/>
    <x v="1"/>
    <x v="3"/>
    <x v="0"/>
    <x v="3"/>
    <n v="3"/>
    <n v="30784"/>
    <x v="1449"/>
    <n v="1525"/>
    <n v="90827"/>
    <n v="19621.73878"/>
    <x v="0"/>
    <x v="3"/>
  </r>
  <r>
    <n v="11455"/>
    <d v="2024-02-08T00:00:00"/>
    <x v="1"/>
    <x v="2"/>
    <x v="1"/>
    <x v="3"/>
    <n v="2"/>
    <n v="54454"/>
    <x v="1450"/>
    <n v="1416"/>
    <n v="107492"/>
    <n v="21571.251090000002"/>
    <x v="0"/>
    <x v="9"/>
  </r>
  <r>
    <n v="11456"/>
    <d v="2025-06-10T00:00:00"/>
    <x v="4"/>
    <x v="4"/>
    <x v="2"/>
    <x v="1"/>
    <n v="3"/>
    <n v="18805"/>
    <x v="1451"/>
    <n v="3479"/>
    <n v="52936"/>
    <n v="8350.0230919999995"/>
    <x v="1"/>
    <x v="11"/>
  </r>
  <r>
    <n v="11457"/>
    <d v="2025-05-11T00:00:00"/>
    <x v="2"/>
    <x v="3"/>
    <x v="2"/>
    <x v="3"/>
    <n v="5"/>
    <n v="46715"/>
    <x v="1452"/>
    <n v="3871"/>
    <n v="229704"/>
    <n v="26755.76442"/>
    <x v="1"/>
    <x v="5"/>
  </r>
  <r>
    <n v="11458"/>
    <d v="2025-05-30T00:00:00"/>
    <x v="0"/>
    <x v="4"/>
    <x v="2"/>
    <x v="2"/>
    <n v="9"/>
    <n v="58411"/>
    <x v="1453"/>
    <n v="1794"/>
    <n v="523905"/>
    <n v="90417.895139999993"/>
    <x v="1"/>
    <x v="5"/>
  </r>
  <r>
    <n v="11459"/>
    <d v="2024-12-14T00:00:00"/>
    <x v="4"/>
    <x v="4"/>
    <x v="2"/>
    <x v="2"/>
    <n v="2"/>
    <n v="47186"/>
    <x v="1454"/>
    <n v="3065"/>
    <n v="91307"/>
    <n v="10577.915440000001"/>
    <x v="0"/>
    <x v="3"/>
  </r>
  <r>
    <n v="11460"/>
    <d v="2025-01-31T00:00:00"/>
    <x v="2"/>
    <x v="2"/>
    <x v="0"/>
    <x v="3"/>
    <n v="1"/>
    <n v="78111"/>
    <x v="1455"/>
    <n v="2720"/>
    <n v="75391"/>
    <n v="13195.08994"/>
    <x v="1"/>
    <x v="4"/>
  </r>
  <r>
    <n v="11461"/>
    <d v="2025-12-22T00:00:00"/>
    <x v="2"/>
    <x v="2"/>
    <x v="1"/>
    <x v="1"/>
    <n v="6"/>
    <n v="33093"/>
    <x v="1456"/>
    <n v="4204"/>
    <n v="194354"/>
    <n v="43349.491750000001"/>
    <x v="1"/>
    <x v="3"/>
  </r>
  <r>
    <n v="11462"/>
    <d v="2024-06-09T00:00:00"/>
    <x v="0"/>
    <x v="0"/>
    <x v="0"/>
    <x v="2"/>
    <n v="3"/>
    <n v="79625"/>
    <x v="1457"/>
    <n v="3676"/>
    <n v="235199"/>
    <n v="58716.423739999998"/>
    <x v="0"/>
    <x v="11"/>
  </r>
  <r>
    <n v="11463"/>
    <d v="2024-01-16T00:00:00"/>
    <x v="0"/>
    <x v="1"/>
    <x v="2"/>
    <x v="0"/>
    <n v="7"/>
    <n v="27474"/>
    <x v="1458"/>
    <n v="352"/>
    <n v="191966"/>
    <n v="24898.241050000001"/>
    <x v="0"/>
    <x v="4"/>
  </r>
  <r>
    <n v="11464"/>
    <d v="2025-05-07T00:00:00"/>
    <x v="0"/>
    <x v="3"/>
    <x v="2"/>
    <x v="0"/>
    <n v="6"/>
    <n v="13154"/>
    <x v="1459"/>
    <n v="3231"/>
    <n v="75693"/>
    <n v="9929.3098200000004"/>
    <x v="1"/>
    <x v="5"/>
  </r>
  <r>
    <n v="11465"/>
    <d v="2025-03-01T00:00:00"/>
    <x v="4"/>
    <x v="2"/>
    <x v="2"/>
    <x v="2"/>
    <n v="7"/>
    <n v="27064"/>
    <x v="1460"/>
    <n v="1427"/>
    <n v="188021"/>
    <n v="41671.56424"/>
    <x v="1"/>
    <x v="1"/>
  </r>
  <r>
    <n v="11466"/>
    <d v="2024-04-17T00:00:00"/>
    <x v="3"/>
    <x v="3"/>
    <x v="2"/>
    <x v="2"/>
    <n v="5"/>
    <n v="34398"/>
    <x v="1461"/>
    <n v="2192"/>
    <n v="169798"/>
    <n v="28926.58265"/>
    <x v="0"/>
    <x v="0"/>
  </r>
  <r>
    <n v="11467"/>
    <d v="2025-03-25T00:00:00"/>
    <x v="0"/>
    <x v="4"/>
    <x v="1"/>
    <x v="3"/>
    <n v="1"/>
    <n v="48869"/>
    <x v="1462"/>
    <n v="1777"/>
    <n v="47092"/>
    <n v="11178.26051"/>
    <x v="1"/>
    <x v="1"/>
  </r>
  <r>
    <n v="11468"/>
    <d v="2024-11-06T00:00:00"/>
    <x v="3"/>
    <x v="1"/>
    <x v="2"/>
    <x v="1"/>
    <n v="3"/>
    <n v="14646"/>
    <x v="1463"/>
    <n v="3536"/>
    <n v="40402"/>
    <n v="8700.5478989999992"/>
    <x v="0"/>
    <x v="7"/>
  </r>
  <r>
    <n v="11469"/>
    <d v="2024-06-18T00:00:00"/>
    <x v="4"/>
    <x v="0"/>
    <x v="1"/>
    <x v="3"/>
    <n v="3"/>
    <n v="64671"/>
    <x v="1464"/>
    <n v="1116"/>
    <n v="192897"/>
    <n v="40597.905980000003"/>
    <x v="0"/>
    <x v="11"/>
  </r>
  <r>
    <n v="11470"/>
    <d v="2025-06-29T00:00:00"/>
    <x v="3"/>
    <x v="3"/>
    <x v="2"/>
    <x v="1"/>
    <n v="7"/>
    <n v="64707"/>
    <x v="1465"/>
    <n v="2320"/>
    <n v="450629"/>
    <n v="51954.394670000001"/>
    <x v="1"/>
    <x v="11"/>
  </r>
  <r>
    <n v="11471"/>
    <d v="2025-02-17T00:00:00"/>
    <x v="1"/>
    <x v="1"/>
    <x v="1"/>
    <x v="0"/>
    <n v="3"/>
    <n v="30391"/>
    <x v="1466"/>
    <n v="533"/>
    <n v="90640"/>
    <n v="9551.7641839999997"/>
    <x v="1"/>
    <x v="9"/>
  </r>
  <r>
    <n v="11472"/>
    <d v="2024-09-07T00:00:00"/>
    <x v="3"/>
    <x v="0"/>
    <x v="1"/>
    <x v="0"/>
    <n v="5"/>
    <n v="33822"/>
    <x v="1467"/>
    <n v="1217"/>
    <n v="167893"/>
    <n v="24766.639009999999"/>
    <x v="0"/>
    <x v="2"/>
  </r>
  <r>
    <n v="11473"/>
    <d v="2024-05-20T00:00:00"/>
    <x v="0"/>
    <x v="3"/>
    <x v="2"/>
    <x v="1"/>
    <n v="4"/>
    <n v="42872"/>
    <x v="1468"/>
    <n v="2988"/>
    <n v="168500"/>
    <n v="22342.216069999999"/>
    <x v="0"/>
    <x v="5"/>
  </r>
  <r>
    <n v="11474"/>
    <d v="2024-09-30T00:00:00"/>
    <x v="4"/>
    <x v="1"/>
    <x v="0"/>
    <x v="3"/>
    <n v="4"/>
    <n v="34340"/>
    <x v="1469"/>
    <n v="2228"/>
    <n v="135132"/>
    <n v="27951.558659999999"/>
    <x v="0"/>
    <x v="2"/>
  </r>
  <r>
    <n v="11475"/>
    <d v="2025-02-19T00:00:00"/>
    <x v="0"/>
    <x v="2"/>
    <x v="0"/>
    <x v="2"/>
    <n v="7"/>
    <n v="9502"/>
    <x v="1470"/>
    <n v="1979"/>
    <n v="64535"/>
    <n v="10816.71513"/>
    <x v="1"/>
    <x v="9"/>
  </r>
  <r>
    <n v="11476"/>
    <d v="2025-08-30T00:00:00"/>
    <x v="1"/>
    <x v="3"/>
    <x v="0"/>
    <x v="1"/>
    <n v="1"/>
    <n v="53020"/>
    <x v="1471"/>
    <n v="2076"/>
    <n v="50944"/>
    <n v="9092.0753359999999"/>
    <x v="1"/>
    <x v="6"/>
  </r>
  <r>
    <n v="11477"/>
    <d v="2024-02-08T00:00:00"/>
    <x v="0"/>
    <x v="1"/>
    <x v="0"/>
    <x v="3"/>
    <n v="7"/>
    <n v="25971"/>
    <x v="1472"/>
    <n v="531"/>
    <n v="181266"/>
    <n v="40252.149550000002"/>
    <x v="0"/>
    <x v="9"/>
  </r>
  <r>
    <n v="11478"/>
    <d v="2024-01-29T00:00:00"/>
    <x v="0"/>
    <x v="0"/>
    <x v="0"/>
    <x v="0"/>
    <n v="8"/>
    <n v="63376"/>
    <x v="1473"/>
    <n v="3076"/>
    <n v="503932"/>
    <n v="86563.273190000007"/>
    <x v="0"/>
    <x v="4"/>
  </r>
  <r>
    <n v="11479"/>
    <d v="2025-04-21T00:00:00"/>
    <x v="0"/>
    <x v="1"/>
    <x v="2"/>
    <x v="2"/>
    <n v="3"/>
    <n v="11037"/>
    <x v="1474"/>
    <n v="1944"/>
    <n v="31167"/>
    <n v="5664.2577959999999"/>
    <x v="1"/>
    <x v="0"/>
  </r>
  <r>
    <n v="11480"/>
    <d v="2024-11-13T00:00:00"/>
    <x v="2"/>
    <x v="2"/>
    <x v="2"/>
    <x v="0"/>
    <n v="3"/>
    <n v="55307"/>
    <x v="1475"/>
    <n v="4235"/>
    <n v="161686"/>
    <n v="36597.30919"/>
    <x v="0"/>
    <x v="7"/>
  </r>
  <r>
    <n v="11481"/>
    <d v="2024-09-01T00:00:00"/>
    <x v="1"/>
    <x v="3"/>
    <x v="2"/>
    <x v="1"/>
    <n v="4"/>
    <n v="32361"/>
    <x v="1476"/>
    <n v="3099"/>
    <n v="126345"/>
    <n v="20809.06842"/>
    <x v="0"/>
    <x v="2"/>
  </r>
  <r>
    <n v="11482"/>
    <d v="2025-11-27T00:00:00"/>
    <x v="0"/>
    <x v="3"/>
    <x v="2"/>
    <x v="0"/>
    <n v="6"/>
    <n v="19466"/>
    <x v="1477"/>
    <n v="4357"/>
    <n v="112439"/>
    <n v="12645.90259"/>
    <x v="1"/>
    <x v="7"/>
  </r>
  <r>
    <n v="11483"/>
    <d v="2024-09-28T00:00:00"/>
    <x v="0"/>
    <x v="3"/>
    <x v="2"/>
    <x v="0"/>
    <n v="7"/>
    <n v="14627"/>
    <x v="1478"/>
    <n v="3829"/>
    <n v="98560"/>
    <n v="17568.88982"/>
    <x v="0"/>
    <x v="2"/>
  </r>
  <r>
    <n v="11484"/>
    <d v="2025-03-15T00:00:00"/>
    <x v="0"/>
    <x v="2"/>
    <x v="2"/>
    <x v="1"/>
    <n v="1"/>
    <n v="26593"/>
    <x v="1479"/>
    <n v="4114"/>
    <n v="22479"/>
    <n v="4201.4206949999998"/>
    <x v="1"/>
    <x v="1"/>
  </r>
  <r>
    <n v="11485"/>
    <d v="2024-08-26T00:00:00"/>
    <x v="4"/>
    <x v="0"/>
    <x v="1"/>
    <x v="2"/>
    <n v="4"/>
    <n v="56697"/>
    <x v="1480"/>
    <n v="2584"/>
    <n v="224204"/>
    <n v="39632.43361"/>
    <x v="0"/>
    <x v="6"/>
  </r>
  <r>
    <n v="11486"/>
    <d v="2025-01-11T00:00:00"/>
    <x v="2"/>
    <x v="3"/>
    <x v="1"/>
    <x v="1"/>
    <n v="7"/>
    <n v="28149"/>
    <x v="1481"/>
    <n v="1548"/>
    <n v="195495"/>
    <n v="27116.608560000001"/>
    <x v="1"/>
    <x v="4"/>
  </r>
  <r>
    <n v="11487"/>
    <d v="2024-09-22T00:00:00"/>
    <x v="4"/>
    <x v="0"/>
    <x v="2"/>
    <x v="3"/>
    <n v="2"/>
    <n v="21737"/>
    <x v="1482"/>
    <n v="1488"/>
    <n v="41986"/>
    <n v="5607.3776809999999"/>
    <x v="0"/>
    <x v="2"/>
  </r>
  <r>
    <n v="11488"/>
    <d v="2024-12-24T00:00:00"/>
    <x v="2"/>
    <x v="1"/>
    <x v="2"/>
    <x v="1"/>
    <n v="1"/>
    <n v="72854"/>
    <x v="1483"/>
    <n v="3659"/>
    <n v="69195"/>
    <n v="10757.293820000001"/>
    <x v="0"/>
    <x v="3"/>
  </r>
  <r>
    <n v="11489"/>
    <d v="2024-12-05T00:00:00"/>
    <x v="0"/>
    <x v="0"/>
    <x v="1"/>
    <x v="1"/>
    <n v="1"/>
    <n v="50487"/>
    <x v="1484"/>
    <n v="227"/>
    <n v="50260"/>
    <n v="6279.1984599999996"/>
    <x v="0"/>
    <x v="3"/>
  </r>
  <r>
    <n v="11490"/>
    <d v="2025-01-23T00:00:00"/>
    <x v="1"/>
    <x v="0"/>
    <x v="1"/>
    <x v="2"/>
    <n v="6"/>
    <n v="30314"/>
    <x v="1485"/>
    <n v="4471"/>
    <n v="177413"/>
    <n v="35465.488850000002"/>
    <x v="1"/>
    <x v="4"/>
  </r>
  <r>
    <n v="11491"/>
    <d v="2025-07-30T00:00:00"/>
    <x v="3"/>
    <x v="3"/>
    <x v="2"/>
    <x v="3"/>
    <n v="5"/>
    <n v="40287"/>
    <x v="1486"/>
    <n v="4831"/>
    <n v="196604"/>
    <n v="37787.531640000001"/>
    <x v="1"/>
    <x v="10"/>
  </r>
  <r>
    <n v="11492"/>
    <d v="2025-11-19T00:00:00"/>
    <x v="3"/>
    <x v="4"/>
    <x v="1"/>
    <x v="0"/>
    <n v="1"/>
    <n v="35451"/>
    <x v="1487"/>
    <n v="4352"/>
    <n v="31099"/>
    <n v="6059.9306880000004"/>
    <x v="1"/>
    <x v="7"/>
  </r>
  <r>
    <n v="11493"/>
    <d v="2024-01-03T00:00:00"/>
    <x v="0"/>
    <x v="4"/>
    <x v="0"/>
    <x v="0"/>
    <n v="3"/>
    <n v="75963"/>
    <x v="1488"/>
    <n v="4928"/>
    <n v="222961"/>
    <n v="29814.26108"/>
    <x v="0"/>
    <x v="4"/>
  </r>
  <r>
    <n v="11494"/>
    <d v="2025-03-04T00:00:00"/>
    <x v="4"/>
    <x v="2"/>
    <x v="0"/>
    <x v="0"/>
    <n v="7"/>
    <n v="42371"/>
    <x v="1489"/>
    <n v="4796"/>
    <n v="291801"/>
    <n v="39970.711929999998"/>
    <x v="1"/>
    <x v="1"/>
  </r>
  <r>
    <n v="11495"/>
    <d v="2024-05-21T00:00:00"/>
    <x v="1"/>
    <x v="2"/>
    <x v="0"/>
    <x v="0"/>
    <n v="9"/>
    <n v="29630"/>
    <x v="1490"/>
    <n v="698"/>
    <n v="265972"/>
    <n v="58010.764300000003"/>
    <x v="0"/>
    <x v="5"/>
  </r>
  <r>
    <n v="11496"/>
    <d v="2025-01-10T00:00:00"/>
    <x v="2"/>
    <x v="4"/>
    <x v="1"/>
    <x v="2"/>
    <n v="9"/>
    <n v="56236"/>
    <x v="1491"/>
    <n v="437"/>
    <n v="505687"/>
    <n v="102915.7828"/>
    <x v="1"/>
    <x v="4"/>
  </r>
  <r>
    <n v="11497"/>
    <d v="2025-10-31T00:00:00"/>
    <x v="0"/>
    <x v="1"/>
    <x v="2"/>
    <x v="3"/>
    <n v="6"/>
    <n v="38667"/>
    <x v="1492"/>
    <n v="1684"/>
    <n v="230318"/>
    <n v="53267.25088"/>
    <x v="1"/>
    <x v="8"/>
  </r>
  <r>
    <n v="11498"/>
    <d v="2024-11-19T00:00:00"/>
    <x v="1"/>
    <x v="3"/>
    <x v="2"/>
    <x v="2"/>
    <n v="3"/>
    <n v="30099"/>
    <x v="1493"/>
    <n v="2153"/>
    <n v="88144"/>
    <n v="14149.3912"/>
    <x v="0"/>
    <x v="7"/>
  </r>
  <r>
    <n v="11499"/>
    <d v="2024-05-25T00:00:00"/>
    <x v="1"/>
    <x v="3"/>
    <x v="2"/>
    <x v="1"/>
    <n v="1"/>
    <n v="43098"/>
    <x v="1494"/>
    <n v="4710"/>
    <n v="38388"/>
    <n v="6990.4231229999996"/>
    <x v="0"/>
    <x v="5"/>
  </r>
  <r>
    <n v="11500"/>
    <d v="2024-10-19T00:00:00"/>
    <x v="2"/>
    <x v="1"/>
    <x v="1"/>
    <x v="3"/>
    <n v="3"/>
    <n v="32873"/>
    <x v="1495"/>
    <n v="2914"/>
    <n v="95705"/>
    <n v="20176.208050000001"/>
    <x v="0"/>
    <x v="8"/>
  </r>
  <r>
    <n v="11501"/>
    <d v="2025-10-26T00:00:00"/>
    <x v="1"/>
    <x v="1"/>
    <x v="1"/>
    <x v="3"/>
    <n v="2"/>
    <n v="28558"/>
    <x v="1496"/>
    <n v="3217"/>
    <n v="53899"/>
    <n v="13265.7968"/>
    <x v="1"/>
    <x v="8"/>
  </r>
  <r>
    <n v="11502"/>
    <d v="2025-03-07T00:00:00"/>
    <x v="4"/>
    <x v="4"/>
    <x v="0"/>
    <x v="0"/>
    <n v="5"/>
    <n v="65123"/>
    <x v="1497"/>
    <n v="959"/>
    <n v="324656"/>
    <n v="80659.085869999995"/>
    <x v="1"/>
    <x v="1"/>
  </r>
  <r>
    <n v="11503"/>
    <d v="2025-12-05T00:00:00"/>
    <x v="4"/>
    <x v="2"/>
    <x v="1"/>
    <x v="0"/>
    <n v="8"/>
    <n v="35518"/>
    <x v="1498"/>
    <n v="1839"/>
    <n v="282305"/>
    <n v="70541.332219999997"/>
    <x v="1"/>
    <x v="3"/>
  </r>
  <r>
    <n v="11504"/>
    <d v="2025-08-07T00:00:00"/>
    <x v="4"/>
    <x v="1"/>
    <x v="0"/>
    <x v="0"/>
    <n v="5"/>
    <n v="57763"/>
    <x v="1499"/>
    <n v="277"/>
    <n v="288538"/>
    <n v="67396.40956"/>
    <x v="1"/>
    <x v="6"/>
  </r>
  <r>
    <n v="11505"/>
    <d v="2025-02-02T00:00:00"/>
    <x v="1"/>
    <x v="2"/>
    <x v="0"/>
    <x v="0"/>
    <n v="1"/>
    <n v="79716"/>
    <x v="1500"/>
    <n v="4220"/>
    <n v="75496"/>
    <n v="14793.26174"/>
    <x v="1"/>
    <x v="9"/>
  </r>
  <r>
    <n v="11506"/>
    <d v="2024-12-09T00:00:00"/>
    <x v="4"/>
    <x v="0"/>
    <x v="2"/>
    <x v="1"/>
    <n v="3"/>
    <n v="64172"/>
    <x v="1501"/>
    <n v="3756"/>
    <n v="188760"/>
    <n v="19073.375499999998"/>
    <x v="0"/>
    <x v="3"/>
  </r>
  <r>
    <n v="11507"/>
    <d v="2024-05-19T00:00:00"/>
    <x v="2"/>
    <x v="3"/>
    <x v="1"/>
    <x v="0"/>
    <n v="5"/>
    <n v="8750"/>
    <x v="1502"/>
    <n v="1343"/>
    <n v="42407"/>
    <n v="8690.5328549999995"/>
    <x v="0"/>
    <x v="5"/>
  </r>
  <r>
    <n v="11508"/>
    <d v="2024-07-05T00:00:00"/>
    <x v="1"/>
    <x v="4"/>
    <x v="2"/>
    <x v="2"/>
    <n v="7"/>
    <n v="16881"/>
    <x v="1503"/>
    <n v="4770"/>
    <n v="113397"/>
    <n v="15398.170400000001"/>
    <x v="0"/>
    <x v="10"/>
  </r>
  <r>
    <n v="11509"/>
    <d v="2024-03-01T00:00:00"/>
    <x v="3"/>
    <x v="3"/>
    <x v="2"/>
    <x v="3"/>
    <n v="5"/>
    <n v="24606"/>
    <x v="1504"/>
    <n v="714"/>
    <n v="122316"/>
    <n v="13280.46852"/>
    <x v="0"/>
    <x v="1"/>
  </r>
  <r>
    <n v="11510"/>
    <d v="2025-01-14T00:00:00"/>
    <x v="1"/>
    <x v="4"/>
    <x v="1"/>
    <x v="1"/>
    <n v="5"/>
    <n v="21819"/>
    <x v="1505"/>
    <n v="1505"/>
    <n v="107590"/>
    <n v="22010.510910000001"/>
    <x v="1"/>
    <x v="4"/>
  </r>
  <r>
    <n v="11511"/>
    <d v="2025-12-10T00:00:00"/>
    <x v="2"/>
    <x v="0"/>
    <x v="1"/>
    <x v="1"/>
    <n v="7"/>
    <n v="33755"/>
    <x v="1506"/>
    <n v="3921"/>
    <n v="232364"/>
    <n v="49586.858460000003"/>
    <x v="1"/>
    <x v="3"/>
  </r>
  <r>
    <n v="11512"/>
    <d v="2025-03-15T00:00:00"/>
    <x v="3"/>
    <x v="3"/>
    <x v="0"/>
    <x v="3"/>
    <n v="8"/>
    <n v="30811"/>
    <x v="1507"/>
    <n v="2714"/>
    <n v="243774"/>
    <n v="48490.297420000003"/>
    <x v="1"/>
    <x v="1"/>
  </r>
  <r>
    <n v="11513"/>
    <d v="2024-11-14T00:00:00"/>
    <x v="1"/>
    <x v="0"/>
    <x v="0"/>
    <x v="3"/>
    <n v="8"/>
    <n v="63122"/>
    <x v="1508"/>
    <n v="1347"/>
    <n v="503629"/>
    <n v="77949.413960000005"/>
    <x v="0"/>
    <x v="7"/>
  </r>
  <r>
    <n v="11514"/>
    <d v="2024-10-28T00:00:00"/>
    <x v="4"/>
    <x v="4"/>
    <x v="0"/>
    <x v="3"/>
    <n v="7"/>
    <n v="42697"/>
    <x v="1509"/>
    <n v="2442"/>
    <n v="296437"/>
    <n v="52365.779430000002"/>
    <x v="0"/>
    <x v="8"/>
  </r>
  <r>
    <n v="11515"/>
    <d v="2024-12-09T00:00:00"/>
    <x v="0"/>
    <x v="1"/>
    <x v="0"/>
    <x v="1"/>
    <n v="3"/>
    <n v="66196"/>
    <x v="1510"/>
    <n v="4868"/>
    <n v="193720"/>
    <n v="46539.708149999999"/>
    <x v="0"/>
    <x v="3"/>
  </r>
  <r>
    <n v="11516"/>
    <d v="2024-01-11T00:00:00"/>
    <x v="0"/>
    <x v="3"/>
    <x v="2"/>
    <x v="2"/>
    <n v="2"/>
    <n v="23344"/>
    <x v="1511"/>
    <n v="3960"/>
    <n v="42728"/>
    <n v="8949.0226029999994"/>
    <x v="0"/>
    <x v="4"/>
  </r>
  <r>
    <n v="11517"/>
    <d v="2024-03-02T00:00:00"/>
    <x v="4"/>
    <x v="0"/>
    <x v="2"/>
    <x v="2"/>
    <n v="1"/>
    <n v="25656"/>
    <x v="1512"/>
    <n v="1752"/>
    <n v="23904"/>
    <n v="4199.9957880000002"/>
    <x v="0"/>
    <x v="1"/>
  </r>
  <r>
    <n v="11518"/>
    <d v="2024-08-13T00:00:00"/>
    <x v="0"/>
    <x v="3"/>
    <x v="1"/>
    <x v="3"/>
    <n v="6"/>
    <n v="31382"/>
    <x v="1513"/>
    <n v="2505"/>
    <n v="185787"/>
    <n v="35116.97064"/>
    <x v="0"/>
    <x v="6"/>
  </r>
  <r>
    <n v="11519"/>
    <d v="2024-06-01T00:00:00"/>
    <x v="0"/>
    <x v="3"/>
    <x v="0"/>
    <x v="1"/>
    <n v="9"/>
    <n v="36031"/>
    <x v="1514"/>
    <n v="1737"/>
    <n v="322542"/>
    <n v="77136.73848"/>
    <x v="0"/>
    <x v="11"/>
  </r>
  <r>
    <n v="11520"/>
    <d v="2025-12-11T00:00:00"/>
    <x v="4"/>
    <x v="3"/>
    <x v="0"/>
    <x v="0"/>
    <n v="3"/>
    <n v="76349"/>
    <x v="1515"/>
    <n v="4169"/>
    <n v="224878"/>
    <n v="35770.753909999999"/>
    <x v="1"/>
    <x v="3"/>
  </r>
  <r>
    <n v="11521"/>
    <d v="2025-07-17T00:00:00"/>
    <x v="4"/>
    <x v="2"/>
    <x v="0"/>
    <x v="1"/>
    <n v="5"/>
    <n v="65574"/>
    <x v="1516"/>
    <n v="1108"/>
    <n v="326762"/>
    <n v="37667.998420000004"/>
    <x v="1"/>
    <x v="10"/>
  </r>
  <r>
    <n v="11522"/>
    <d v="2025-07-24T00:00:00"/>
    <x v="1"/>
    <x v="0"/>
    <x v="2"/>
    <x v="3"/>
    <n v="9"/>
    <n v="72260"/>
    <x v="1517"/>
    <n v="2679"/>
    <n v="647661"/>
    <n v="96419.842430000004"/>
    <x v="1"/>
    <x v="10"/>
  </r>
  <r>
    <n v="11523"/>
    <d v="2025-08-06T00:00:00"/>
    <x v="1"/>
    <x v="0"/>
    <x v="1"/>
    <x v="1"/>
    <n v="9"/>
    <n v="62529"/>
    <x v="1518"/>
    <n v="1037"/>
    <n v="561724"/>
    <n v="91156.588810000001"/>
    <x v="1"/>
    <x v="6"/>
  </r>
  <r>
    <n v="11524"/>
    <d v="2025-10-21T00:00:00"/>
    <x v="4"/>
    <x v="3"/>
    <x v="2"/>
    <x v="1"/>
    <n v="7"/>
    <n v="6494"/>
    <x v="1519"/>
    <n v="911"/>
    <n v="44547"/>
    <n v="6278.6582269999999"/>
    <x v="1"/>
    <x v="8"/>
  </r>
  <r>
    <n v="11525"/>
    <d v="2025-07-28T00:00:00"/>
    <x v="2"/>
    <x v="1"/>
    <x v="1"/>
    <x v="1"/>
    <n v="4"/>
    <n v="23363"/>
    <x v="1520"/>
    <n v="4889"/>
    <n v="88563"/>
    <n v="15883.40747"/>
    <x v="1"/>
    <x v="10"/>
  </r>
  <r>
    <n v="11526"/>
    <d v="2024-11-05T00:00:00"/>
    <x v="0"/>
    <x v="3"/>
    <x v="1"/>
    <x v="0"/>
    <n v="2"/>
    <n v="26812"/>
    <x v="1521"/>
    <n v="2096"/>
    <n v="51528"/>
    <n v="7509.107489"/>
    <x v="0"/>
    <x v="7"/>
  </r>
  <r>
    <n v="11527"/>
    <d v="2024-08-30T00:00:00"/>
    <x v="1"/>
    <x v="2"/>
    <x v="2"/>
    <x v="3"/>
    <n v="2"/>
    <n v="25437"/>
    <x v="1522"/>
    <n v="3013"/>
    <n v="47861"/>
    <n v="5526.8417200000004"/>
    <x v="0"/>
    <x v="6"/>
  </r>
  <r>
    <n v="11528"/>
    <d v="2025-05-07T00:00:00"/>
    <x v="0"/>
    <x v="4"/>
    <x v="2"/>
    <x v="3"/>
    <n v="4"/>
    <n v="12160"/>
    <x v="1523"/>
    <n v="358"/>
    <n v="48282"/>
    <n v="6190.2485960000004"/>
    <x v="1"/>
    <x v="5"/>
  </r>
  <r>
    <n v="11529"/>
    <d v="2024-12-31T00:00:00"/>
    <x v="3"/>
    <x v="2"/>
    <x v="1"/>
    <x v="3"/>
    <n v="1"/>
    <n v="46343"/>
    <x v="1524"/>
    <n v="1076"/>
    <n v="45267"/>
    <n v="10761.02571"/>
    <x v="0"/>
    <x v="3"/>
  </r>
  <r>
    <n v="11530"/>
    <d v="2024-11-25T00:00:00"/>
    <x v="4"/>
    <x v="1"/>
    <x v="2"/>
    <x v="2"/>
    <n v="4"/>
    <n v="28593"/>
    <x v="1525"/>
    <n v="2103"/>
    <n v="112269"/>
    <n v="21829.510750000001"/>
    <x v="0"/>
    <x v="7"/>
  </r>
  <r>
    <n v="11531"/>
    <d v="2024-04-16T00:00:00"/>
    <x v="2"/>
    <x v="3"/>
    <x v="2"/>
    <x v="2"/>
    <n v="6"/>
    <n v="5284"/>
    <x v="1526"/>
    <n v="4974"/>
    <n v="26730"/>
    <n v="3933.2207840000001"/>
    <x v="0"/>
    <x v="0"/>
  </r>
  <r>
    <n v="11532"/>
    <d v="2024-08-13T00:00:00"/>
    <x v="3"/>
    <x v="0"/>
    <x v="1"/>
    <x v="3"/>
    <n v="6"/>
    <n v="53083"/>
    <x v="1527"/>
    <n v="3527"/>
    <n v="314971"/>
    <n v="48832.375269999997"/>
    <x v="0"/>
    <x v="6"/>
  </r>
  <r>
    <n v="11533"/>
    <d v="2024-08-05T00:00:00"/>
    <x v="3"/>
    <x v="3"/>
    <x v="1"/>
    <x v="1"/>
    <n v="7"/>
    <n v="42851"/>
    <x v="1528"/>
    <n v="2302"/>
    <n v="297655"/>
    <n v="51794.195180000002"/>
    <x v="0"/>
    <x v="6"/>
  </r>
  <r>
    <n v="11534"/>
    <d v="2025-05-20T00:00:00"/>
    <x v="3"/>
    <x v="1"/>
    <x v="0"/>
    <x v="1"/>
    <n v="5"/>
    <n v="25378"/>
    <x v="1529"/>
    <n v="4100"/>
    <n v="122790"/>
    <n v="24677.04552"/>
    <x v="1"/>
    <x v="5"/>
  </r>
  <r>
    <n v="11535"/>
    <d v="2024-09-15T00:00:00"/>
    <x v="4"/>
    <x v="0"/>
    <x v="2"/>
    <x v="3"/>
    <n v="9"/>
    <n v="13491"/>
    <x v="1530"/>
    <n v="1604"/>
    <n v="119815"/>
    <n v="22444.58253"/>
    <x v="0"/>
    <x v="2"/>
  </r>
  <r>
    <n v="11536"/>
    <d v="2025-05-31T00:00:00"/>
    <x v="1"/>
    <x v="2"/>
    <x v="1"/>
    <x v="0"/>
    <n v="2"/>
    <n v="70500"/>
    <x v="1531"/>
    <n v="1075"/>
    <n v="139925"/>
    <n v="33568.667759999997"/>
    <x v="1"/>
    <x v="5"/>
  </r>
  <r>
    <n v="11537"/>
    <d v="2024-02-23T00:00:00"/>
    <x v="4"/>
    <x v="4"/>
    <x v="2"/>
    <x v="0"/>
    <n v="2"/>
    <n v="71436"/>
    <x v="1532"/>
    <n v="4048"/>
    <n v="138824"/>
    <n v="26912.743269999999"/>
    <x v="0"/>
    <x v="9"/>
  </r>
  <r>
    <n v="11538"/>
    <d v="2024-02-16T00:00:00"/>
    <x v="1"/>
    <x v="4"/>
    <x v="2"/>
    <x v="1"/>
    <n v="4"/>
    <n v="6459"/>
    <x v="1533"/>
    <n v="328"/>
    <n v="25508"/>
    <n v="6035.6722719999998"/>
    <x v="0"/>
    <x v="9"/>
  </r>
  <r>
    <n v="11539"/>
    <d v="2025-12-27T00:00:00"/>
    <x v="3"/>
    <x v="3"/>
    <x v="1"/>
    <x v="1"/>
    <n v="4"/>
    <n v="18680"/>
    <x v="109"/>
    <n v="3232"/>
    <n v="71488"/>
    <n v="7207.0286829999995"/>
    <x v="1"/>
    <x v="3"/>
  </r>
  <r>
    <n v="11540"/>
    <d v="2025-11-19T00:00:00"/>
    <x v="3"/>
    <x v="2"/>
    <x v="0"/>
    <x v="2"/>
    <n v="4"/>
    <n v="24305"/>
    <x v="1534"/>
    <n v="3477"/>
    <n v="93743"/>
    <n v="21896.857489999999"/>
    <x v="1"/>
    <x v="7"/>
  </r>
  <r>
    <n v="11541"/>
    <d v="2025-06-04T00:00:00"/>
    <x v="2"/>
    <x v="1"/>
    <x v="1"/>
    <x v="0"/>
    <n v="1"/>
    <n v="40301"/>
    <x v="1535"/>
    <n v="1002"/>
    <n v="39299"/>
    <n v="8182.7901570000004"/>
    <x v="1"/>
    <x v="11"/>
  </r>
  <r>
    <n v="11542"/>
    <d v="2024-04-08T00:00:00"/>
    <x v="1"/>
    <x v="4"/>
    <x v="1"/>
    <x v="1"/>
    <n v="4"/>
    <n v="37692"/>
    <x v="1536"/>
    <n v="4878"/>
    <n v="145890"/>
    <n v="18357.195449999999"/>
    <x v="0"/>
    <x v="0"/>
  </r>
  <r>
    <n v="11543"/>
    <d v="2024-01-20T00:00:00"/>
    <x v="3"/>
    <x v="2"/>
    <x v="2"/>
    <x v="1"/>
    <n v="5"/>
    <n v="44347"/>
    <x v="1537"/>
    <n v="576"/>
    <n v="221159"/>
    <n v="30841.88379"/>
    <x v="0"/>
    <x v="4"/>
  </r>
  <r>
    <n v="11544"/>
    <d v="2025-07-26T00:00:00"/>
    <x v="0"/>
    <x v="3"/>
    <x v="0"/>
    <x v="3"/>
    <n v="9"/>
    <n v="22189"/>
    <x v="1538"/>
    <n v="326"/>
    <n v="199375"/>
    <n v="36170.911540000001"/>
    <x v="1"/>
    <x v="10"/>
  </r>
  <r>
    <n v="11545"/>
    <d v="2025-05-04T00:00:00"/>
    <x v="2"/>
    <x v="0"/>
    <x v="1"/>
    <x v="2"/>
    <n v="3"/>
    <n v="12595"/>
    <x v="1539"/>
    <n v="1527"/>
    <n v="36258"/>
    <n v="4305.3011459999998"/>
    <x v="1"/>
    <x v="5"/>
  </r>
  <r>
    <n v="11546"/>
    <d v="2025-02-22T00:00:00"/>
    <x v="4"/>
    <x v="3"/>
    <x v="2"/>
    <x v="0"/>
    <n v="3"/>
    <n v="69370"/>
    <x v="1540"/>
    <n v="2821"/>
    <n v="205289"/>
    <n v="44713.019990000001"/>
    <x v="1"/>
    <x v="9"/>
  </r>
  <r>
    <n v="11547"/>
    <d v="2025-11-20T00:00:00"/>
    <x v="2"/>
    <x v="3"/>
    <x v="1"/>
    <x v="0"/>
    <n v="5"/>
    <n v="6921"/>
    <x v="1541"/>
    <n v="1465"/>
    <n v="33140"/>
    <n v="7246.9252889999998"/>
    <x v="1"/>
    <x v="7"/>
  </r>
  <r>
    <n v="11548"/>
    <d v="2024-03-02T00:00:00"/>
    <x v="0"/>
    <x v="2"/>
    <x v="2"/>
    <x v="2"/>
    <n v="6"/>
    <n v="7387"/>
    <x v="1542"/>
    <n v="3225"/>
    <n v="41097"/>
    <n v="5964.9150879999997"/>
    <x v="0"/>
    <x v="1"/>
  </r>
  <r>
    <n v="11549"/>
    <d v="2024-05-24T00:00:00"/>
    <x v="1"/>
    <x v="4"/>
    <x v="1"/>
    <x v="1"/>
    <n v="3"/>
    <n v="9825"/>
    <x v="1543"/>
    <n v="2281"/>
    <n v="27194"/>
    <n v="3004.1905449999999"/>
    <x v="0"/>
    <x v="5"/>
  </r>
  <r>
    <n v="11550"/>
    <d v="2024-08-03T00:00:00"/>
    <x v="4"/>
    <x v="2"/>
    <x v="0"/>
    <x v="0"/>
    <n v="1"/>
    <n v="10282"/>
    <x v="1544"/>
    <n v="4747"/>
    <n v="5535"/>
    <n v="1374.490603"/>
    <x v="0"/>
    <x v="6"/>
  </r>
  <r>
    <n v="11551"/>
    <d v="2024-01-03T00:00:00"/>
    <x v="4"/>
    <x v="0"/>
    <x v="1"/>
    <x v="0"/>
    <n v="8"/>
    <n v="18869"/>
    <x v="1545"/>
    <n v="2380"/>
    <n v="148572"/>
    <n v="20444.893660000002"/>
    <x v="0"/>
    <x v="4"/>
  </r>
  <r>
    <n v="11552"/>
    <d v="2024-06-08T00:00:00"/>
    <x v="1"/>
    <x v="2"/>
    <x v="2"/>
    <x v="0"/>
    <n v="1"/>
    <n v="20451"/>
    <x v="1546"/>
    <n v="494"/>
    <n v="19957"/>
    <n v="2197.9402009999999"/>
    <x v="0"/>
    <x v="11"/>
  </r>
  <r>
    <n v="11553"/>
    <d v="2024-04-29T00:00:00"/>
    <x v="2"/>
    <x v="1"/>
    <x v="1"/>
    <x v="3"/>
    <n v="2"/>
    <n v="22905"/>
    <x v="1547"/>
    <n v="1138"/>
    <n v="44672"/>
    <n v="6678.2291999999998"/>
    <x v="0"/>
    <x v="0"/>
  </r>
  <r>
    <n v="11554"/>
    <d v="2024-03-29T00:00:00"/>
    <x v="3"/>
    <x v="3"/>
    <x v="0"/>
    <x v="2"/>
    <n v="3"/>
    <n v="7698"/>
    <x v="1548"/>
    <n v="2416"/>
    <n v="20678"/>
    <n v="5073.3574179999996"/>
    <x v="0"/>
    <x v="1"/>
  </r>
  <r>
    <n v="11555"/>
    <d v="2024-11-24T00:00:00"/>
    <x v="2"/>
    <x v="4"/>
    <x v="0"/>
    <x v="0"/>
    <n v="6"/>
    <n v="24996"/>
    <x v="1549"/>
    <n v="1356"/>
    <n v="148620"/>
    <n v="32538.735270000001"/>
    <x v="0"/>
    <x v="7"/>
  </r>
  <r>
    <n v="11556"/>
    <d v="2025-08-02T00:00:00"/>
    <x v="0"/>
    <x v="0"/>
    <x v="0"/>
    <x v="2"/>
    <n v="4"/>
    <n v="21892"/>
    <x v="1550"/>
    <n v="1153"/>
    <n v="86415"/>
    <n v="14867.697459999999"/>
    <x v="1"/>
    <x v="6"/>
  </r>
  <r>
    <n v="11557"/>
    <d v="2024-12-22T00:00:00"/>
    <x v="3"/>
    <x v="3"/>
    <x v="0"/>
    <x v="1"/>
    <n v="4"/>
    <n v="53068"/>
    <x v="1551"/>
    <n v="3249"/>
    <n v="209023"/>
    <n v="30475.46211"/>
    <x v="0"/>
    <x v="3"/>
  </r>
  <r>
    <n v="11558"/>
    <d v="2025-09-01T00:00:00"/>
    <x v="2"/>
    <x v="2"/>
    <x v="2"/>
    <x v="2"/>
    <n v="9"/>
    <n v="76726"/>
    <x v="1552"/>
    <n v="2142"/>
    <n v="688392"/>
    <n v="112549.2798"/>
    <x v="1"/>
    <x v="2"/>
  </r>
  <r>
    <n v="11559"/>
    <d v="2024-09-23T00:00:00"/>
    <x v="1"/>
    <x v="1"/>
    <x v="1"/>
    <x v="3"/>
    <n v="6"/>
    <n v="34689"/>
    <x v="1553"/>
    <n v="3388"/>
    <n v="204746"/>
    <n v="21007.930820000001"/>
    <x v="0"/>
    <x v="2"/>
  </r>
  <r>
    <n v="11560"/>
    <d v="2025-09-08T00:00:00"/>
    <x v="0"/>
    <x v="2"/>
    <x v="0"/>
    <x v="3"/>
    <n v="2"/>
    <n v="36604"/>
    <x v="1554"/>
    <n v="1124"/>
    <n v="72084"/>
    <n v="14975.85267"/>
    <x v="1"/>
    <x v="2"/>
  </r>
  <r>
    <n v="11561"/>
    <d v="2024-11-18T00:00:00"/>
    <x v="0"/>
    <x v="3"/>
    <x v="1"/>
    <x v="2"/>
    <n v="7"/>
    <n v="74457"/>
    <x v="1555"/>
    <n v="801"/>
    <n v="520398"/>
    <n v="59818.001940000002"/>
    <x v="0"/>
    <x v="7"/>
  </r>
  <r>
    <n v="11562"/>
    <d v="2025-09-26T00:00:00"/>
    <x v="0"/>
    <x v="0"/>
    <x v="2"/>
    <x v="3"/>
    <n v="3"/>
    <n v="22243"/>
    <x v="1556"/>
    <n v="2042"/>
    <n v="64687"/>
    <n v="11504.947560000001"/>
    <x v="1"/>
    <x v="2"/>
  </r>
  <r>
    <n v="11563"/>
    <d v="2025-06-24T00:00:00"/>
    <x v="3"/>
    <x v="4"/>
    <x v="1"/>
    <x v="0"/>
    <n v="9"/>
    <n v="48787"/>
    <x v="1557"/>
    <n v="207"/>
    <n v="438876"/>
    <n v="81137.972009999998"/>
    <x v="1"/>
    <x v="11"/>
  </r>
  <r>
    <n v="11564"/>
    <d v="2025-10-10T00:00:00"/>
    <x v="4"/>
    <x v="3"/>
    <x v="1"/>
    <x v="3"/>
    <n v="6"/>
    <n v="39315"/>
    <x v="1558"/>
    <n v="2654"/>
    <n v="233236"/>
    <n v="23382.717430000001"/>
    <x v="1"/>
    <x v="8"/>
  </r>
  <r>
    <n v="11565"/>
    <d v="2024-07-13T00:00:00"/>
    <x v="3"/>
    <x v="0"/>
    <x v="0"/>
    <x v="1"/>
    <n v="8"/>
    <n v="37035"/>
    <x v="1559"/>
    <n v="472"/>
    <n v="295808"/>
    <n v="73059.190489999994"/>
    <x v="0"/>
    <x v="10"/>
  </r>
  <r>
    <n v="11566"/>
    <d v="2024-11-27T00:00:00"/>
    <x v="2"/>
    <x v="3"/>
    <x v="0"/>
    <x v="2"/>
    <n v="1"/>
    <n v="39844"/>
    <x v="1560"/>
    <n v="1638"/>
    <n v="38206"/>
    <n v="5552.1286110000001"/>
    <x v="0"/>
    <x v="7"/>
  </r>
  <r>
    <n v="11567"/>
    <d v="2024-06-18T00:00:00"/>
    <x v="4"/>
    <x v="1"/>
    <x v="2"/>
    <x v="2"/>
    <n v="2"/>
    <n v="21820"/>
    <x v="1561"/>
    <n v="135"/>
    <n v="43505"/>
    <n v="4854.446156"/>
    <x v="0"/>
    <x v="11"/>
  </r>
  <r>
    <n v="11568"/>
    <d v="2025-06-04T00:00:00"/>
    <x v="2"/>
    <x v="2"/>
    <x v="1"/>
    <x v="1"/>
    <n v="6"/>
    <n v="51676"/>
    <x v="1562"/>
    <n v="4356"/>
    <n v="305700"/>
    <n v="69747.987340000007"/>
    <x v="1"/>
    <x v="11"/>
  </r>
  <r>
    <n v="11569"/>
    <d v="2025-04-07T00:00:00"/>
    <x v="4"/>
    <x v="4"/>
    <x v="2"/>
    <x v="1"/>
    <n v="3"/>
    <n v="54914"/>
    <x v="1563"/>
    <n v="1170"/>
    <n v="163572"/>
    <n v="20085.4787"/>
    <x v="1"/>
    <x v="0"/>
  </r>
  <r>
    <n v="11570"/>
    <d v="2024-02-09T00:00:00"/>
    <x v="3"/>
    <x v="0"/>
    <x v="2"/>
    <x v="1"/>
    <n v="1"/>
    <n v="5735"/>
    <x v="1564"/>
    <n v="457"/>
    <n v="5278"/>
    <n v="547.55698129999996"/>
    <x v="0"/>
    <x v="9"/>
  </r>
  <r>
    <n v="11571"/>
    <d v="2025-06-20T00:00:00"/>
    <x v="0"/>
    <x v="4"/>
    <x v="2"/>
    <x v="1"/>
    <n v="6"/>
    <n v="77750"/>
    <x v="1565"/>
    <n v="1436"/>
    <n v="465064"/>
    <n v="81015.823929999999"/>
    <x v="1"/>
    <x v="11"/>
  </r>
  <r>
    <n v="11572"/>
    <d v="2024-09-17T00:00:00"/>
    <x v="1"/>
    <x v="4"/>
    <x v="0"/>
    <x v="0"/>
    <n v="5"/>
    <n v="28968"/>
    <x v="1566"/>
    <n v="3571"/>
    <n v="141269"/>
    <n v="16879.886399999999"/>
    <x v="0"/>
    <x v="2"/>
  </r>
  <r>
    <n v="11573"/>
    <d v="2025-01-29T00:00:00"/>
    <x v="0"/>
    <x v="4"/>
    <x v="0"/>
    <x v="3"/>
    <n v="9"/>
    <n v="49624"/>
    <x v="1567"/>
    <n v="2148"/>
    <n v="444468"/>
    <n v="109945.14230000001"/>
    <x v="1"/>
    <x v="4"/>
  </r>
  <r>
    <n v="11574"/>
    <d v="2024-08-13T00:00:00"/>
    <x v="3"/>
    <x v="0"/>
    <x v="1"/>
    <x v="3"/>
    <n v="6"/>
    <n v="60746"/>
    <x v="1568"/>
    <n v="4242"/>
    <n v="360234"/>
    <n v="36585.958700000003"/>
    <x v="0"/>
    <x v="6"/>
  </r>
  <r>
    <n v="11575"/>
    <d v="2024-05-03T00:00:00"/>
    <x v="4"/>
    <x v="0"/>
    <x v="1"/>
    <x v="0"/>
    <n v="5"/>
    <n v="75264"/>
    <x v="1569"/>
    <n v="4812"/>
    <n v="371508"/>
    <n v="40003.833440000002"/>
    <x v="0"/>
    <x v="5"/>
  </r>
  <r>
    <n v="11576"/>
    <d v="2024-02-07T00:00:00"/>
    <x v="0"/>
    <x v="4"/>
    <x v="1"/>
    <x v="1"/>
    <n v="1"/>
    <n v="41497"/>
    <x v="1570"/>
    <n v="506"/>
    <n v="40991"/>
    <n v="9222.6714599999996"/>
    <x v="0"/>
    <x v="9"/>
  </r>
  <r>
    <n v="11577"/>
    <d v="2024-11-23T00:00:00"/>
    <x v="3"/>
    <x v="2"/>
    <x v="0"/>
    <x v="2"/>
    <n v="1"/>
    <n v="12241"/>
    <x v="1571"/>
    <n v="2605"/>
    <n v="9636"/>
    <n v="1310.137101"/>
    <x v="0"/>
    <x v="7"/>
  </r>
  <r>
    <n v="11578"/>
    <d v="2024-09-07T00:00:00"/>
    <x v="2"/>
    <x v="3"/>
    <x v="0"/>
    <x v="2"/>
    <n v="1"/>
    <n v="66639"/>
    <x v="1572"/>
    <n v="2383"/>
    <n v="64256"/>
    <n v="15211.934149999999"/>
    <x v="0"/>
    <x v="2"/>
  </r>
  <r>
    <n v="11579"/>
    <d v="2024-06-24T00:00:00"/>
    <x v="1"/>
    <x v="4"/>
    <x v="2"/>
    <x v="2"/>
    <n v="7"/>
    <n v="22057"/>
    <x v="1573"/>
    <n v="445"/>
    <n v="153954"/>
    <n v="22580.519090000002"/>
    <x v="0"/>
    <x v="11"/>
  </r>
  <r>
    <n v="11580"/>
    <d v="2025-08-24T00:00:00"/>
    <x v="0"/>
    <x v="1"/>
    <x v="0"/>
    <x v="1"/>
    <n v="6"/>
    <n v="54700"/>
    <x v="1574"/>
    <n v="2781"/>
    <n v="325419"/>
    <n v="35948.190089999996"/>
    <x v="1"/>
    <x v="6"/>
  </r>
  <r>
    <n v="11581"/>
    <d v="2025-03-29T00:00:00"/>
    <x v="4"/>
    <x v="4"/>
    <x v="2"/>
    <x v="0"/>
    <n v="5"/>
    <n v="19432"/>
    <x v="1575"/>
    <n v="443"/>
    <n v="96717"/>
    <n v="9825.3610540000009"/>
    <x v="1"/>
    <x v="1"/>
  </r>
  <r>
    <n v="11582"/>
    <d v="2024-02-06T00:00:00"/>
    <x v="2"/>
    <x v="0"/>
    <x v="2"/>
    <x v="0"/>
    <n v="4"/>
    <n v="66488"/>
    <x v="1576"/>
    <n v="117"/>
    <n v="265835"/>
    <n v="37850.94081"/>
    <x v="0"/>
    <x v="9"/>
  </r>
  <r>
    <n v="11583"/>
    <d v="2024-11-11T00:00:00"/>
    <x v="3"/>
    <x v="3"/>
    <x v="0"/>
    <x v="0"/>
    <n v="8"/>
    <n v="23953"/>
    <x v="1577"/>
    <n v="1540"/>
    <n v="190084"/>
    <n v="32515.690409999999"/>
    <x v="0"/>
    <x v="7"/>
  </r>
  <r>
    <n v="11584"/>
    <d v="2025-11-18T00:00:00"/>
    <x v="1"/>
    <x v="1"/>
    <x v="2"/>
    <x v="3"/>
    <n v="8"/>
    <n v="77232"/>
    <x v="1578"/>
    <n v="2770"/>
    <n v="615086"/>
    <n v="61602.349340000001"/>
    <x v="1"/>
    <x v="7"/>
  </r>
  <r>
    <n v="11585"/>
    <d v="2025-08-15T00:00:00"/>
    <x v="4"/>
    <x v="3"/>
    <x v="2"/>
    <x v="3"/>
    <n v="5"/>
    <n v="34347"/>
    <x v="1579"/>
    <n v="566"/>
    <n v="171169"/>
    <n v="32037.03081"/>
    <x v="1"/>
    <x v="6"/>
  </r>
  <r>
    <n v="11586"/>
    <d v="2024-04-23T00:00:00"/>
    <x v="3"/>
    <x v="3"/>
    <x v="1"/>
    <x v="3"/>
    <n v="4"/>
    <n v="26249"/>
    <x v="1580"/>
    <n v="3602"/>
    <n v="101394"/>
    <n v="15214.09201"/>
    <x v="0"/>
    <x v="0"/>
  </r>
  <r>
    <n v="11587"/>
    <d v="2024-02-09T00:00:00"/>
    <x v="3"/>
    <x v="1"/>
    <x v="2"/>
    <x v="3"/>
    <n v="2"/>
    <n v="58458"/>
    <x v="1581"/>
    <n v="1936"/>
    <n v="114980"/>
    <n v="18226.977920000001"/>
    <x v="0"/>
    <x v="9"/>
  </r>
  <r>
    <n v="11588"/>
    <d v="2024-10-27T00:00:00"/>
    <x v="0"/>
    <x v="4"/>
    <x v="0"/>
    <x v="2"/>
    <n v="7"/>
    <n v="52668"/>
    <x v="1582"/>
    <n v="4183"/>
    <n v="364493"/>
    <n v="50741.669110000003"/>
    <x v="0"/>
    <x v="8"/>
  </r>
  <r>
    <n v="11589"/>
    <d v="2024-08-11T00:00:00"/>
    <x v="0"/>
    <x v="4"/>
    <x v="0"/>
    <x v="2"/>
    <n v="5"/>
    <n v="7802"/>
    <x v="1583"/>
    <n v="1652"/>
    <n v="37358"/>
    <n v="6700.4106179999999"/>
    <x v="0"/>
    <x v="6"/>
  </r>
  <r>
    <n v="11590"/>
    <d v="2024-11-13T00:00:00"/>
    <x v="4"/>
    <x v="4"/>
    <x v="2"/>
    <x v="0"/>
    <n v="3"/>
    <n v="23033"/>
    <x v="1584"/>
    <n v="4571"/>
    <n v="64528"/>
    <n v="8680.2028829999999"/>
    <x v="0"/>
    <x v="7"/>
  </r>
  <r>
    <n v="11591"/>
    <d v="2024-12-14T00:00:00"/>
    <x v="3"/>
    <x v="2"/>
    <x v="1"/>
    <x v="3"/>
    <n v="9"/>
    <n v="40088"/>
    <x v="1585"/>
    <n v="4390"/>
    <n v="356402"/>
    <n v="42847.829169999997"/>
    <x v="0"/>
    <x v="3"/>
  </r>
  <r>
    <n v="11592"/>
    <d v="2024-04-24T00:00:00"/>
    <x v="0"/>
    <x v="4"/>
    <x v="0"/>
    <x v="0"/>
    <n v="9"/>
    <n v="22527"/>
    <x v="1586"/>
    <n v="4815"/>
    <n v="197928"/>
    <n v="46235.39935"/>
    <x v="0"/>
    <x v="0"/>
  </r>
  <r>
    <n v="11593"/>
    <d v="2025-11-28T00:00:00"/>
    <x v="1"/>
    <x v="1"/>
    <x v="0"/>
    <x v="1"/>
    <n v="8"/>
    <n v="16964"/>
    <x v="1587"/>
    <n v="4781"/>
    <n v="130931"/>
    <n v="20763.463169999999"/>
    <x v="1"/>
    <x v="7"/>
  </r>
  <r>
    <n v="11594"/>
    <d v="2024-11-18T00:00:00"/>
    <x v="1"/>
    <x v="2"/>
    <x v="1"/>
    <x v="3"/>
    <n v="1"/>
    <n v="46005"/>
    <x v="1588"/>
    <n v="2686"/>
    <n v="43319"/>
    <n v="4831.781876"/>
    <x v="0"/>
    <x v="7"/>
  </r>
  <r>
    <n v="11595"/>
    <d v="2025-07-21T00:00:00"/>
    <x v="3"/>
    <x v="4"/>
    <x v="2"/>
    <x v="3"/>
    <n v="3"/>
    <n v="9406"/>
    <x v="1589"/>
    <n v="1203"/>
    <n v="27015"/>
    <n v="3634.825382"/>
    <x v="1"/>
    <x v="10"/>
  </r>
  <r>
    <n v="11596"/>
    <d v="2024-02-09T00:00:00"/>
    <x v="0"/>
    <x v="2"/>
    <x v="0"/>
    <x v="0"/>
    <n v="2"/>
    <n v="56761"/>
    <x v="1590"/>
    <n v="2937"/>
    <n v="110585"/>
    <n v="16199.75614"/>
    <x v="0"/>
    <x v="9"/>
  </r>
  <r>
    <n v="11597"/>
    <d v="2024-02-09T00:00:00"/>
    <x v="4"/>
    <x v="1"/>
    <x v="2"/>
    <x v="0"/>
    <n v="4"/>
    <n v="67347"/>
    <x v="1591"/>
    <n v="405"/>
    <n v="268983"/>
    <n v="57951.565979999999"/>
    <x v="0"/>
    <x v="9"/>
  </r>
  <r>
    <n v="11598"/>
    <d v="2024-10-15T00:00:00"/>
    <x v="4"/>
    <x v="4"/>
    <x v="2"/>
    <x v="1"/>
    <n v="2"/>
    <n v="78127"/>
    <x v="1592"/>
    <n v="3907"/>
    <n v="152347"/>
    <n v="15743.283670000001"/>
    <x v="0"/>
    <x v="8"/>
  </r>
  <r>
    <n v="11599"/>
    <d v="2024-09-18T00:00:00"/>
    <x v="4"/>
    <x v="0"/>
    <x v="2"/>
    <x v="0"/>
    <n v="8"/>
    <n v="8119"/>
    <x v="1593"/>
    <n v="4214"/>
    <n v="60738"/>
    <n v="10430.98761"/>
    <x v="0"/>
    <x v="2"/>
  </r>
  <r>
    <n v="11600"/>
    <d v="2024-08-03T00:00:00"/>
    <x v="1"/>
    <x v="1"/>
    <x v="2"/>
    <x v="3"/>
    <n v="1"/>
    <n v="63935"/>
    <x v="1594"/>
    <n v="4079"/>
    <n v="59856"/>
    <n v="9646.0262110000003"/>
    <x v="0"/>
    <x v="6"/>
  </r>
  <r>
    <n v="11601"/>
    <d v="2024-05-26T00:00:00"/>
    <x v="0"/>
    <x v="3"/>
    <x v="0"/>
    <x v="2"/>
    <n v="4"/>
    <n v="63327"/>
    <x v="1595"/>
    <n v="312"/>
    <n v="252996"/>
    <n v="62049.814200000001"/>
    <x v="0"/>
    <x v="5"/>
  </r>
  <r>
    <n v="11602"/>
    <d v="2024-12-01T00:00:00"/>
    <x v="0"/>
    <x v="3"/>
    <x v="1"/>
    <x v="1"/>
    <n v="5"/>
    <n v="57749"/>
    <x v="1596"/>
    <n v="162"/>
    <n v="288583"/>
    <n v="36653.288090000002"/>
    <x v="0"/>
    <x v="3"/>
  </r>
  <r>
    <n v="11603"/>
    <d v="2024-06-16T00:00:00"/>
    <x v="1"/>
    <x v="1"/>
    <x v="0"/>
    <x v="1"/>
    <n v="4"/>
    <n v="64094"/>
    <x v="1597"/>
    <n v="1528"/>
    <n v="254848"/>
    <n v="49486.540589999997"/>
    <x v="0"/>
    <x v="11"/>
  </r>
  <r>
    <n v="11604"/>
    <d v="2024-04-01T00:00:00"/>
    <x v="4"/>
    <x v="3"/>
    <x v="1"/>
    <x v="3"/>
    <n v="8"/>
    <n v="12651"/>
    <x v="1598"/>
    <n v="4388"/>
    <n v="96820"/>
    <n v="12618.505359999999"/>
    <x v="0"/>
    <x v="0"/>
  </r>
  <r>
    <n v="11605"/>
    <d v="2024-12-18T00:00:00"/>
    <x v="4"/>
    <x v="1"/>
    <x v="2"/>
    <x v="2"/>
    <n v="2"/>
    <n v="31896"/>
    <x v="1599"/>
    <n v="4785"/>
    <n v="59007"/>
    <n v="10754.811019999999"/>
    <x v="0"/>
    <x v="3"/>
  </r>
  <r>
    <n v="11606"/>
    <d v="2025-07-24T00:00:00"/>
    <x v="3"/>
    <x v="0"/>
    <x v="1"/>
    <x v="0"/>
    <n v="9"/>
    <n v="15370"/>
    <x v="1600"/>
    <n v="1565"/>
    <n v="136765"/>
    <n v="25063.48345"/>
    <x v="1"/>
    <x v="10"/>
  </r>
  <r>
    <n v="11607"/>
    <d v="2025-07-24T00:00:00"/>
    <x v="2"/>
    <x v="1"/>
    <x v="2"/>
    <x v="0"/>
    <n v="2"/>
    <n v="49552"/>
    <x v="1601"/>
    <n v="4768"/>
    <n v="94336"/>
    <n v="10499.78637"/>
    <x v="1"/>
    <x v="10"/>
  </r>
  <r>
    <n v="11608"/>
    <d v="2025-11-11T00:00:00"/>
    <x v="0"/>
    <x v="4"/>
    <x v="0"/>
    <x v="2"/>
    <n v="2"/>
    <n v="11777"/>
    <x v="1602"/>
    <n v="398"/>
    <n v="23156"/>
    <n v="3901.0379250000001"/>
    <x v="1"/>
    <x v="7"/>
  </r>
  <r>
    <n v="11609"/>
    <d v="2024-12-28T00:00:00"/>
    <x v="0"/>
    <x v="4"/>
    <x v="0"/>
    <x v="2"/>
    <n v="2"/>
    <n v="5113"/>
    <x v="1603"/>
    <n v="3586"/>
    <n v="6640"/>
    <n v="1123.3114840000001"/>
    <x v="0"/>
    <x v="3"/>
  </r>
  <r>
    <n v="11610"/>
    <d v="2025-07-10T00:00:00"/>
    <x v="0"/>
    <x v="2"/>
    <x v="1"/>
    <x v="3"/>
    <n v="8"/>
    <n v="5531"/>
    <x v="1604"/>
    <n v="1047"/>
    <n v="43201"/>
    <n v="6388.1535190000004"/>
    <x v="1"/>
    <x v="10"/>
  </r>
  <r>
    <n v="11611"/>
    <d v="2024-12-10T00:00:00"/>
    <x v="2"/>
    <x v="3"/>
    <x v="2"/>
    <x v="0"/>
    <n v="3"/>
    <n v="14714"/>
    <x v="1605"/>
    <n v="1942"/>
    <n v="42200"/>
    <n v="5974.4136449999996"/>
    <x v="0"/>
    <x v="3"/>
  </r>
  <r>
    <n v="11612"/>
    <d v="2025-11-23T00:00:00"/>
    <x v="3"/>
    <x v="3"/>
    <x v="2"/>
    <x v="3"/>
    <n v="8"/>
    <n v="8410"/>
    <x v="1606"/>
    <n v="3130"/>
    <n v="64150"/>
    <n v="8573.3072560000001"/>
    <x v="1"/>
    <x v="7"/>
  </r>
  <r>
    <n v="11613"/>
    <d v="2024-06-18T00:00:00"/>
    <x v="2"/>
    <x v="1"/>
    <x v="1"/>
    <x v="0"/>
    <n v="7"/>
    <n v="79772"/>
    <x v="1607"/>
    <n v="2796"/>
    <n v="555608"/>
    <n v="56055.93606"/>
    <x v="0"/>
    <x v="11"/>
  </r>
  <r>
    <n v="11614"/>
    <d v="2024-12-21T00:00:00"/>
    <x v="4"/>
    <x v="3"/>
    <x v="2"/>
    <x v="0"/>
    <n v="4"/>
    <n v="29608"/>
    <x v="1608"/>
    <n v="239"/>
    <n v="118193"/>
    <n v="11851.500819999999"/>
    <x v="0"/>
    <x v="3"/>
  </r>
  <r>
    <n v="11615"/>
    <d v="2024-07-09T00:00:00"/>
    <x v="4"/>
    <x v="4"/>
    <x v="2"/>
    <x v="2"/>
    <n v="7"/>
    <n v="13324"/>
    <x v="1609"/>
    <n v="2358"/>
    <n v="90910"/>
    <n v="17133.633300000001"/>
    <x v="0"/>
    <x v="10"/>
  </r>
  <r>
    <n v="11616"/>
    <d v="2025-10-28T00:00:00"/>
    <x v="0"/>
    <x v="0"/>
    <x v="2"/>
    <x v="3"/>
    <n v="8"/>
    <n v="39494"/>
    <x v="1610"/>
    <n v="671"/>
    <n v="315281"/>
    <n v="45312.055009999996"/>
    <x v="1"/>
    <x v="8"/>
  </r>
  <r>
    <n v="11617"/>
    <d v="2025-02-25T00:00:00"/>
    <x v="1"/>
    <x v="1"/>
    <x v="0"/>
    <x v="2"/>
    <n v="6"/>
    <n v="59222"/>
    <x v="1611"/>
    <n v="2619"/>
    <n v="352713"/>
    <n v="44153.776720000002"/>
    <x v="1"/>
    <x v="9"/>
  </r>
  <r>
    <n v="11618"/>
    <d v="2025-11-30T00:00:00"/>
    <x v="0"/>
    <x v="3"/>
    <x v="0"/>
    <x v="3"/>
    <n v="6"/>
    <n v="45985"/>
    <x v="1612"/>
    <n v="2461"/>
    <n v="273449"/>
    <n v="55430.923580000002"/>
    <x v="1"/>
    <x v="7"/>
  </r>
  <r>
    <n v="11619"/>
    <d v="2024-01-07T00:00:00"/>
    <x v="1"/>
    <x v="4"/>
    <x v="0"/>
    <x v="0"/>
    <n v="3"/>
    <n v="40416"/>
    <x v="1613"/>
    <n v="3393"/>
    <n v="117855"/>
    <n v="21135.607209999998"/>
    <x v="0"/>
    <x v="4"/>
  </r>
  <r>
    <n v="11620"/>
    <d v="2024-05-12T00:00:00"/>
    <x v="2"/>
    <x v="2"/>
    <x v="2"/>
    <x v="1"/>
    <n v="5"/>
    <n v="50600"/>
    <x v="1614"/>
    <n v="401"/>
    <n v="252599"/>
    <n v="59927.531869999999"/>
    <x v="0"/>
    <x v="5"/>
  </r>
  <r>
    <n v="11621"/>
    <d v="2025-07-10T00:00:00"/>
    <x v="4"/>
    <x v="3"/>
    <x v="0"/>
    <x v="1"/>
    <n v="2"/>
    <n v="14453"/>
    <x v="1615"/>
    <n v="2106"/>
    <n v="26800"/>
    <n v="6020.6880870000005"/>
    <x v="1"/>
    <x v="10"/>
  </r>
  <r>
    <n v="11622"/>
    <d v="2024-01-31T00:00:00"/>
    <x v="1"/>
    <x v="0"/>
    <x v="2"/>
    <x v="3"/>
    <n v="5"/>
    <n v="32921"/>
    <x v="1616"/>
    <n v="4148"/>
    <n v="160457"/>
    <n v="33537.017870000003"/>
    <x v="0"/>
    <x v="4"/>
  </r>
  <r>
    <n v="11623"/>
    <d v="2025-06-18T00:00:00"/>
    <x v="2"/>
    <x v="0"/>
    <x v="2"/>
    <x v="3"/>
    <n v="5"/>
    <n v="71469"/>
    <x v="1617"/>
    <n v="1087"/>
    <n v="356258"/>
    <n v="42390.175239999997"/>
    <x v="1"/>
    <x v="11"/>
  </r>
  <r>
    <n v="11624"/>
    <d v="2025-03-01T00:00:00"/>
    <x v="4"/>
    <x v="3"/>
    <x v="1"/>
    <x v="2"/>
    <n v="7"/>
    <n v="71586"/>
    <x v="1618"/>
    <n v="1142"/>
    <n v="499960"/>
    <n v="99948.658890000006"/>
    <x v="1"/>
    <x v="1"/>
  </r>
  <r>
    <n v="11625"/>
    <d v="2025-01-28T00:00:00"/>
    <x v="1"/>
    <x v="3"/>
    <x v="2"/>
    <x v="0"/>
    <n v="4"/>
    <n v="30392"/>
    <x v="1619"/>
    <n v="4381"/>
    <n v="117187"/>
    <n v="23916.573710000001"/>
    <x v="1"/>
    <x v="4"/>
  </r>
  <r>
    <n v="11626"/>
    <d v="2025-11-02T00:00:00"/>
    <x v="0"/>
    <x v="4"/>
    <x v="0"/>
    <x v="1"/>
    <n v="6"/>
    <n v="37177"/>
    <x v="1620"/>
    <n v="2065"/>
    <n v="220997"/>
    <n v="47403.831859999998"/>
    <x v="1"/>
    <x v="7"/>
  </r>
  <r>
    <n v="11627"/>
    <d v="2024-12-28T00:00:00"/>
    <x v="0"/>
    <x v="3"/>
    <x v="0"/>
    <x v="2"/>
    <n v="9"/>
    <n v="60182"/>
    <x v="1621"/>
    <n v="3908"/>
    <n v="537730"/>
    <n v="74997.15393"/>
    <x v="0"/>
    <x v="3"/>
  </r>
  <r>
    <n v="11628"/>
    <d v="2025-03-12T00:00:00"/>
    <x v="0"/>
    <x v="2"/>
    <x v="2"/>
    <x v="3"/>
    <n v="4"/>
    <n v="63081"/>
    <x v="1622"/>
    <n v="4255"/>
    <n v="248069"/>
    <n v="48632.594219999999"/>
    <x v="1"/>
    <x v="1"/>
  </r>
  <r>
    <n v="11629"/>
    <d v="2025-10-31T00:00:00"/>
    <x v="2"/>
    <x v="4"/>
    <x v="0"/>
    <x v="0"/>
    <n v="6"/>
    <n v="16106"/>
    <x v="1180"/>
    <n v="3959"/>
    <n v="92677"/>
    <n v="17862.728899999998"/>
    <x v="1"/>
    <x v="8"/>
  </r>
  <r>
    <n v="11630"/>
    <d v="2025-07-04T00:00:00"/>
    <x v="0"/>
    <x v="1"/>
    <x v="2"/>
    <x v="2"/>
    <n v="9"/>
    <n v="57754"/>
    <x v="1623"/>
    <n v="141"/>
    <n v="519645"/>
    <n v="81998.166129999998"/>
    <x v="1"/>
    <x v="10"/>
  </r>
  <r>
    <n v="11631"/>
    <d v="2024-03-22T00:00:00"/>
    <x v="3"/>
    <x v="2"/>
    <x v="1"/>
    <x v="2"/>
    <n v="1"/>
    <n v="11878"/>
    <x v="1624"/>
    <n v="396"/>
    <n v="11482"/>
    <n v="2290.9580719999999"/>
    <x v="0"/>
    <x v="1"/>
  </r>
  <r>
    <n v="11632"/>
    <d v="2024-12-21T00:00:00"/>
    <x v="4"/>
    <x v="4"/>
    <x v="2"/>
    <x v="3"/>
    <n v="8"/>
    <n v="5792"/>
    <x v="1625"/>
    <n v="2627"/>
    <n v="43709"/>
    <n v="4939.3064430000004"/>
    <x v="0"/>
    <x v="3"/>
  </r>
  <r>
    <n v="11633"/>
    <d v="2024-09-14T00:00:00"/>
    <x v="2"/>
    <x v="4"/>
    <x v="2"/>
    <x v="0"/>
    <n v="1"/>
    <n v="16367"/>
    <x v="1626"/>
    <n v="4629"/>
    <n v="11738"/>
    <n v="2306.8192909999998"/>
    <x v="0"/>
    <x v="2"/>
  </r>
  <r>
    <n v="11634"/>
    <d v="2025-12-18T00:00:00"/>
    <x v="0"/>
    <x v="0"/>
    <x v="1"/>
    <x v="1"/>
    <n v="4"/>
    <n v="43731"/>
    <x v="1627"/>
    <n v="1555"/>
    <n v="173369"/>
    <n v="33096.54737"/>
    <x v="1"/>
    <x v="3"/>
  </r>
  <r>
    <n v="11635"/>
    <d v="2025-08-11T00:00:00"/>
    <x v="4"/>
    <x v="4"/>
    <x v="0"/>
    <x v="2"/>
    <n v="3"/>
    <n v="14547"/>
    <x v="1628"/>
    <n v="2508"/>
    <n v="41133"/>
    <n v="5412.8420619999997"/>
    <x v="1"/>
    <x v="6"/>
  </r>
  <r>
    <n v="11636"/>
    <d v="2025-06-07T00:00:00"/>
    <x v="1"/>
    <x v="2"/>
    <x v="1"/>
    <x v="3"/>
    <n v="4"/>
    <n v="33568"/>
    <x v="1629"/>
    <n v="4381"/>
    <n v="129891"/>
    <n v="28930.887790000001"/>
    <x v="1"/>
    <x v="11"/>
  </r>
  <r>
    <n v="11637"/>
    <d v="2024-10-21T00:00:00"/>
    <x v="0"/>
    <x v="3"/>
    <x v="1"/>
    <x v="2"/>
    <n v="7"/>
    <n v="67907"/>
    <x v="1630"/>
    <n v="1028"/>
    <n v="474321"/>
    <n v="109645.0385"/>
    <x v="0"/>
    <x v="8"/>
  </r>
  <r>
    <n v="11638"/>
    <d v="2024-08-11T00:00:00"/>
    <x v="4"/>
    <x v="2"/>
    <x v="2"/>
    <x v="3"/>
    <n v="9"/>
    <n v="55212"/>
    <x v="1631"/>
    <n v="2176"/>
    <n v="494732"/>
    <n v="65093.171629999997"/>
    <x v="0"/>
    <x v="6"/>
  </r>
  <r>
    <n v="11639"/>
    <d v="2025-06-08T00:00:00"/>
    <x v="3"/>
    <x v="1"/>
    <x v="2"/>
    <x v="3"/>
    <n v="9"/>
    <n v="47331"/>
    <x v="1632"/>
    <n v="670"/>
    <n v="425309"/>
    <n v="47376.939919999997"/>
    <x v="1"/>
    <x v="11"/>
  </r>
  <r>
    <n v="11640"/>
    <d v="2024-02-15T00:00:00"/>
    <x v="1"/>
    <x v="4"/>
    <x v="1"/>
    <x v="3"/>
    <n v="1"/>
    <n v="69379"/>
    <x v="1633"/>
    <n v="4594"/>
    <n v="64785"/>
    <n v="12343.89546"/>
    <x v="0"/>
    <x v="9"/>
  </r>
  <r>
    <n v="11641"/>
    <d v="2025-10-28T00:00:00"/>
    <x v="3"/>
    <x v="4"/>
    <x v="0"/>
    <x v="0"/>
    <n v="1"/>
    <n v="9138"/>
    <x v="1634"/>
    <n v="1855"/>
    <n v="7283"/>
    <n v="1252.585902"/>
    <x v="1"/>
    <x v="8"/>
  </r>
  <r>
    <n v="11642"/>
    <d v="2024-04-22T00:00:00"/>
    <x v="4"/>
    <x v="4"/>
    <x v="1"/>
    <x v="1"/>
    <n v="9"/>
    <n v="52112"/>
    <x v="1635"/>
    <n v="3429"/>
    <n v="465579"/>
    <n v="76419.734049999999"/>
    <x v="0"/>
    <x v="0"/>
  </r>
  <r>
    <n v="11643"/>
    <d v="2024-08-20T00:00:00"/>
    <x v="3"/>
    <x v="4"/>
    <x v="0"/>
    <x v="0"/>
    <n v="4"/>
    <n v="78229"/>
    <x v="1636"/>
    <n v="2078"/>
    <n v="310838"/>
    <n v="66566.346090000006"/>
    <x v="0"/>
    <x v="6"/>
  </r>
  <r>
    <n v="11644"/>
    <d v="2024-01-17T00:00:00"/>
    <x v="4"/>
    <x v="0"/>
    <x v="1"/>
    <x v="1"/>
    <n v="3"/>
    <n v="16394"/>
    <x v="1637"/>
    <n v="2006"/>
    <n v="47176"/>
    <n v="11579.3207"/>
    <x v="0"/>
    <x v="4"/>
  </r>
  <r>
    <n v="11645"/>
    <d v="2024-12-25T00:00:00"/>
    <x v="4"/>
    <x v="0"/>
    <x v="1"/>
    <x v="3"/>
    <n v="9"/>
    <n v="44095"/>
    <x v="1638"/>
    <n v="1688"/>
    <n v="395167"/>
    <n v="67830.240850000002"/>
    <x v="0"/>
    <x v="3"/>
  </r>
  <r>
    <n v="11646"/>
    <d v="2024-08-10T00:00:00"/>
    <x v="3"/>
    <x v="3"/>
    <x v="0"/>
    <x v="1"/>
    <n v="5"/>
    <n v="8353"/>
    <x v="1639"/>
    <n v="4431"/>
    <n v="37334"/>
    <n v="3767.8690569999999"/>
    <x v="0"/>
    <x v="6"/>
  </r>
  <r>
    <n v="11647"/>
    <d v="2025-11-30T00:00:00"/>
    <x v="4"/>
    <x v="4"/>
    <x v="1"/>
    <x v="0"/>
    <n v="6"/>
    <n v="51132"/>
    <x v="1640"/>
    <n v="569"/>
    <n v="306223"/>
    <n v="58010.906609999998"/>
    <x v="1"/>
    <x v="7"/>
  </r>
  <r>
    <n v="11648"/>
    <d v="2025-03-23T00:00:00"/>
    <x v="0"/>
    <x v="1"/>
    <x v="2"/>
    <x v="2"/>
    <n v="1"/>
    <n v="70064"/>
    <x v="1641"/>
    <n v="4694"/>
    <n v="65370"/>
    <n v="12949.46236"/>
    <x v="1"/>
    <x v="1"/>
  </r>
  <r>
    <n v="11649"/>
    <d v="2024-12-30T00:00:00"/>
    <x v="4"/>
    <x v="3"/>
    <x v="1"/>
    <x v="0"/>
    <n v="1"/>
    <n v="60121"/>
    <x v="1642"/>
    <n v="1146"/>
    <n v="58975"/>
    <n v="13222.35694"/>
    <x v="0"/>
    <x v="3"/>
  </r>
  <r>
    <n v="11650"/>
    <d v="2025-11-05T00:00:00"/>
    <x v="2"/>
    <x v="4"/>
    <x v="2"/>
    <x v="0"/>
    <n v="7"/>
    <n v="20205"/>
    <x v="349"/>
    <n v="3774"/>
    <n v="137661"/>
    <n v="17883.684659999999"/>
    <x v="1"/>
    <x v="7"/>
  </r>
  <r>
    <n v="11651"/>
    <d v="2024-11-21T00:00:00"/>
    <x v="4"/>
    <x v="0"/>
    <x v="0"/>
    <x v="0"/>
    <n v="8"/>
    <n v="9628"/>
    <x v="1643"/>
    <n v="864"/>
    <n v="76160"/>
    <n v="13605.918890000001"/>
    <x v="0"/>
    <x v="7"/>
  </r>
  <r>
    <n v="11652"/>
    <d v="2025-04-11T00:00:00"/>
    <x v="2"/>
    <x v="1"/>
    <x v="0"/>
    <x v="0"/>
    <n v="8"/>
    <n v="57600"/>
    <x v="1644"/>
    <n v="4900"/>
    <n v="455900"/>
    <n v="76167.087650000001"/>
    <x v="1"/>
    <x v="0"/>
  </r>
  <r>
    <n v="11653"/>
    <d v="2025-02-17T00:00:00"/>
    <x v="4"/>
    <x v="3"/>
    <x v="2"/>
    <x v="0"/>
    <n v="7"/>
    <n v="43095"/>
    <x v="1645"/>
    <n v="4409"/>
    <n v="297256"/>
    <n v="59351.937059999997"/>
    <x v="1"/>
    <x v="9"/>
  </r>
  <r>
    <n v="11654"/>
    <d v="2025-03-30T00:00:00"/>
    <x v="4"/>
    <x v="1"/>
    <x v="1"/>
    <x v="1"/>
    <n v="9"/>
    <n v="63844"/>
    <x v="1646"/>
    <n v="27"/>
    <n v="574569"/>
    <n v="62967.855329999999"/>
    <x v="1"/>
    <x v="1"/>
  </r>
  <r>
    <n v="11655"/>
    <d v="2025-08-08T00:00:00"/>
    <x v="3"/>
    <x v="4"/>
    <x v="2"/>
    <x v="1"/>
    <n v="1"/>
    <n v="52049"/>
    <x v="1647"/>
    <n v="1029"/>
    <n v="51020"/>
    <n v="11867.35097"/>
    <x v="1"/>
    <x v="6"/>
  </r>
  <r>
    <n v="11656"/>
    <d v="2024-08-20T00:00:00"/>
    <x v="0"/>
    <x v="2"/>
    <x v="2"/>
    <x v="2"/>
    <n v="2"/>
    <n v="26433"/>
    <x v="1648"/>
    <n v="1996"/>
    <n v="50870"/>
    <n v="8987.3865729999998"/>
    <x v="0"/>
    <x v="6"/>
  </r>
  <r>
    <n v="11657"/>
    <d v="2024-08-11T00:00:00"/>
    <x v="0"/>
    <x v="1"/>
    <x v="0"/>
    <x v="0"/>
    <n v="3"/>
    <n v="17093"/>
    <x v="1649"/>
    <n v="1341"/>
    <n v="49938"/>
    <n v="11563.48431"/>
    <x v="0"/>
    <x v="6"/>
  </r>
  <r>
    <n v="11658"/>
    <d v="2025-02-15T00:00:00"/>
    <x v="1"/>
    <x v="1"/>
    <x v="2"/>
    <x v="0"/>
    <n v="5"/>
    <n v="21684"/>
    <x v="236"/>
    <n v="1248"/>
    <n v="107172"/>
    <n v="16186.784079999999"/>
    <x v="1"/>
    <x v="9"/>
  </r>
  <r>
    <n v="11659"/>
    <d v="2025-07-25T00:00:00"/>
    <x v="3"/>
    <x v="0"/>
    <x v="1"/>
    <x v="2"/>
    <n v="4"/>
    <n v="65321"/>
    <x v="1650"/>
    <n v="2136"/>
    <n v="259148"/>
    <n v="51318.646229999998"/>
    <x v="1"/>
    <x v="10"/>
  </r>
  <r>
    <n v="11660"/>
    <d v="2024-11-30T00:00:00"/>
    <x v="3"/>
    <x v="4"/>
    <x v="2"/>
    <x v="2"/>
    <n v="4"/>
    <n v="56305"/>
    <x v="1651"/>
    <n v="2087"/>
    <n v="223133"/>
    <n v="54334.842909999999"/>
    <x v="0"/>
    <x v="7"/>
  </r>
  <r>
    <n v="11661"/>
    <d v="2024-08-09T00:00:00"/>
    <x v="0"/>
    <x v="1"/>
    <x v="0"/>
    <x v="3"/>
    <n v="8"/>
    <n v="67025"/>
    <x v="1652"/>
    <n v="680"/>
    <n v="535520"/>
    <n v="129331.76360000001"/>
    <x v="0"/>
    <x v="6"/>
  </r>
  <r>
    <n v="11662"/>
    <d v="2024-02-06T00:00:00"/>
    <x v="3"/>
    <x v="4"/>
    <x v="1"/>
    <x v="2"/>
    <n v="8"/>
    <n v="19907"/>
    <x v="1653"/>
    <n v="374"/>
    <n v="158882"/>
    <n v="38388.340080000002"/>
    <x v="0"/>
    <x v="9"/>
  </r>
  <r>
    <n v="11663"/>
    <d v="2024-10-04T00:00:00"/>
    <x v="0"/>
    <x v="0"/>
    <x v="0"/>
    <x v="2"/>
    <n v="7"/>
    <n v="59057"/>
    <x v="1654"/>
    <n v="3369"/>
    <n v="410030"/>
    <n v="43644.423949999997"/>
    <x v="0"/>
    <x v="8"/>
  </r>
  <r>
    <n v="11664"/>
    <d v="2024-07-14T00:00:00"/>
    <x v="3"/>
    <x v="4"/>
    <x v="2"/>
    <x v="2"/>
    <n v="1"/>
    <n v="17921"/>
    <x v="1655"/>
    <n v="3045"/>
    <n v="14876"/>
    <n v="2386.889905"/>
    <x v="0"/>
    <x v="10"/>
  </r>
  <r>
    <n v="11665"/>
    <d v="2025-04-28T00:00:00"/>
    <x v="4"/>
    <x v="0"/>
    <x v="2"/>
    <x v="3"/>
    <n v="4"/>
    <n v="51794"/>
    <x v="1656"/>
    <n v="2337"/>
    <n v="204839"/>
    <n v="22351.4558"/>
    <x v="1"/>
    <x v="0"/>
  </r>
  <r>
    <n v="11666"/>
    <d v="2024-08-29T00:00:00"/>
    <x v="0"/>
    <x v="0"/>
    <x v="0"/>
    <x v="1"/>
    <n v="1"/>
    <n v="73618"/>
    <x v="1657"/>
    <n v="805"/>
    <n v="72813"/>
    <n v="10661.392470000001"/>
    <x v="0"/>
    <x v="6"/>
  </r>
  <r>
    <n v="11667"/>
    <d v="2024-11-19T00:00:00"/>
    <x v="0"/>
    <x v="3"/>
    <x v="0"/>
    <x v="3"/>
    <n v="5"/>
    <n v="77610"/>
    <x v="1658"/>
    <n v="3039"/>
    <n v="385011"/>
    <n v="48583.273050000003"/>
    <x v="0"/>
    <x v="7"/>
  </r>
  <r>
    <n v="11668"/>
    <d v="2025-12-31T00:00:00"/>
    <x v="2"/>
    <x v="4"/>
    <x v="1"/>
    <x v="1"/>
    <n v="3"/>
    <n v="34330"/>
    <x v="1659"/>
    <n v="278"/>
    <n v="102712"/>
    <n v="19825.53327"/>
    <x v="1"/>
    <x v="3"/>
  </r>
  <r>
    <n v="11669"/>
    <d v="2024-07-10T00:00:00"/>
    <x v="3"/>
    <x v="2"/>
    <x v="0"/>
    <x v="2"/>
    <n v="3"/>
    <n v="22623"/>
    <x v="1660"/>
    <n v="1405"/>
    <n v="66464"/>
    <n v="14430.126829999999"/>
    <x v="0"/>
    <x v="10"/>
  </r>
  <r>
    <n v="11670"/>
    <d v="2024-01-17T00:00:00"/>
    <x v="3"/>
    <x v="3"/>
    <x v="0"/>
    <x v="3"/>
    <n v="4"/>
    <n v="65277"/>
    <x v="1661"/>
    <n v="787"/>
    <n v="260321"/>
    <n v="46077.349300000002"/>
    <x v="0"/>
    <x v="4"/>
  </r>
  <r>
    <n v="11671"/>
    <d v="2025-06-07T00:00:00"/>
    <x v="0"/>
    <x v="0"/>
    <x v="2"/>
    <x v="3"/>
    <n v="2"/>
    <n v="5459"/>
    <x v="1662"/>
    <n v="1332"/>
    <n v="9586"/>
    <n v="2102.4107319999998"/>
    <x v="1"/>
    <x v="11"/>
  </r>
  <r>
    <n v="11672"/>
    <d v="2025-02-04T00:00:00"/>
    <x v="4"/>
    <x v="2"/>
    <x v="2"/>
    <x v="1"/>
    <n v="7"/>
    <n v="70037"/>
    <x v="1663"/>
    <n v="4372"/>
    <n v="485887"/>
    <n v="49522.572139999997"/>
    <x v="1"/>
    <x v="9"/>
  </r>
  <r>
    <n v="11673"/>
    <d v="2025-12-05T00:00:00"/>
    <x v="4"/>
    <x v="1"/>
    <x v="0"/>
    <x v="3"/>
    <n v="4"/>
    <n v="57915"/>
    <x v="1664"/>
    <n v="3147"/>
    <n v="228513"/>
    <n v="50974.727330000002"/>
    <x v="1"/>
    <x v="3"/>
  </r>
  <r>
    <n v="11674"/>
    <d v="2024-01-22T00:00:00"/>
    <x v="4"/>
    <x v="1"/>
    <x v="0"/>
    <x v="3"/>
    <n v="5"/>
    <n v="61172"/>
    <x v="1665"/>
    <n v="2345"/>
    <n v="303515"/>
    <n v="38471.750540000001"/>
    <x v="0"/>
    <x v="4"/>
  </r>
  <r>
    <n v="11675"/>
    <d v="2025-04-18T00:00:00"/>
    <x v="3"/>
    <x v="3"/>
    <x v="2"/>
    <x v="0"/>
    <n v="2"/>
    <n v="73337"/>
    <x v="1666"/>
    <n v="3449"/>
    <n v="143225"/>
    <n v="24225.131669999999"/>
    <x v="1"/>
    <x v="0"/>
  </r>
  <r>
    <n v="11676"/>
    <d v="2024-04-29T00:00:00"/>
    <x v="2"/>
    <x v="2"/>
    <x v="1"/>
    <x v="1"/>
    <n v="6"/>
    <n v="33831"/>
    <x v="1667"/>
    <n v="432"/>
    <n v="202554"/>
    <n v="33702.523029999997"/>
    <x v="0"/>
    <x v="0"/>
  </r>
  <r>
    <n v="11677"/>
    <d v="2024-07-28T00:00:00"/>
    <x v="0"/>
    <x v="4"/>
    <x v="1"/>
    <x v="3"/>
    <n v="9"/>
    <n v="21847"/>
    <x v="1668"/>
    <n v="1009"/>
    <n v="195614"/>
    <n v="45181.616849999999"/>
    <x v="0"/>
    <x v="10"/>
  </r>
  <r>
    <n v="11678"/>
    <d v="2024-11-01T00:00:00"/>
    <x v="1"/>
    <x v="2"/>
    <x v="1"/>
    <x v="3"/>
    <n v="8"/>
    <n v="5997"/>
    <x v="1669"/>
    <n v="3849"/>
    <n v="44127"/>
    <n v="10806.564270000001"/>
    <x v="0"/>
    <x v="7"/>
  </r>
  <r>
    <n v="11679"/>
    <d v="2024-09-26T00:00:00"/>
    <x v="2"/>
    <x v="3"/>
    <x v="1"/>
    <x v="2"/>
    <n v="8"/>
    <n v="27025"/>
    <x v="1670"/>
    <n v="316"/>
    <n v="215884"/>
    <n v="29849.880209999999"/>
    <x v="0"/>
    <x v="2"/>
  </r>
  <r>
    <n v="11680"/>
    <d v="2025-12-04T00:00:00"/>
    <x v="1"/>
    <x v="4"/>
    <x v="2"/>
    <x v="0"/>
    <n v="2"/>
    <n v="69784"/>
    <x v="1671"/>
    <n v="4216"/>
    <n v="135352"/>
    <n v="14903.87616"/>
    <x v="1"/>
    <x v="3"/>
  </r>
  <r>
    <n v="11681"/>
    <d v="2025-11-17T00:00:00"/>
    <x v="2"/>
    <x v="4"/>
    <x v="0"/>
    <x v="0"/>
    <n v="4"/>
    <n v="11384"/>
    <x v="1672"/>
    <n v="1365"/>
    <n v="44171"/>
    <n v="8727.2296480000005"/>
    <x v="1"/>
    <x v="7"/>
  </r>
  <r>
    <n v="11682"/>
    <d v="2024-10-11T00:00:00"/>
    <x v="4"/>
    <x v="1"/>
    <x v="1"/>
    <x v="2"/>
    <n v="8"/>
    <n v="53067"/>
    <x v="1673"/>
    <n v="4399"/>
    <n v="420137"/>
    <n v="73702.990340000004"/>
    <x v="0"/>
    <x v="8"/>
  </r>
  <r>
    <n v="11683"/>
    <d v="2025-12-16T00:00:00"/>
    <x v="3"/>
    <x v="2"/>
    <x v="2"/>
    <x v="2"/>
    <n v="1"/>
    <n v="16198"/>
    <x v="1674"/>
    <n v="935"/>
    <n v="15263"/>
    <n v="2821.4536370000001"/>
    <x v="1"/>
    <x v="3"/>
  </r>
  <r>
    <n v="11684"/>
    <d v="2025-11-06T00:00:00"/>
    <x v="1"/>
    <x v="4"/>
    <x v="0"/>
    <x v="2"/>
    <n v="8"/>
    <n v="39446"/>
    <x v="1675"/>
    <n v="3518"/>
    <n v="312050"/>
    <n v="33370.792979999998"/>
    <x v="1"/>
    <x v="7"/>
  </r>
  <r>
    <n v="11685"/>
    <d v="2024-08-14T00:00:00"/>
    <x v="2"/>
    <x v="3"/>
    <x v="1"/>
    <x v="2"/>
    <n v="3"/>
    <n v="14382"/>
    <x v="1676"/>
    <n v="3787"/>
    <n v="39359"/>
    <n v="8513.2128900000007"/>
    <x v="0"/>
    <x v="6"/>
  </r>
  <r>
    <n v="11686"/>
    <d v="2025-01-15T00:00:00"/>
    <x v="3"/>
    <x v="1"/>
    <x v="0"/>
    <x v="0"/>
    <n v="8"/>
    <n v="29120"/>
    <x v="1677"/>
    <n v="2768"/>
    <n v="230192"/>
    <n v="31042.084599999998"/>
    <x v="1"/>
    <x v="4"/>
  </r>
  <r>
    <n v="11687"/>
    <d v="2025-04-04T00:00:00"/>
    <x v="1"/>
    <x v="4"/>
    <x v="1"/>
    <x v="3"/>
    <n v="6"/>
    <n v="40465"/>
    <x v="1678"/>
    <n v="495"/>
    <n v="242295"/>
    <n v="36402.526100000003"/>
    <x v="1"/>
    <x v="0"/>
  </r>
  <r>
    <n v="11688"/>
    <d v="2024-01-07T00:00:00"/>
    <x v="0"/>
    <x v="2"/>
    <x v="0"/>
    <x v="3"/>
    <n v="7"/>
    <n v="31950"/>
    <x v="1679"/>
    <n v="3592"/>
    <n v="220058"/>
    <n v="29543.459190000001"/>
    <x v="0"/>
    <x v="4"/>
  </r>
  <r>
    <n v="11689"/>
    <d v="2024-01-29T00:00:00"/>
    <x v="2"/>
    <x v="1"/>
    <x v="1"/>
    <x v="2"/>
    <n v="2"/>
    <n v="73462"/>
    <x v="1680"/>
    <n v="2232"/>
    <n v="144692"/>
    <n v="34999.791550000002"/>
    <x v="0"/>
    <x v="4"/>
  </r>
  <r>
    <n v="11690"/>
    <d v="2024-02-02T00:00:00"/>
    <x v="0"/>
    <x v="2"/>
    <x v="1"/>
    <x v="1"/>
    <n v="1"/>
    <n v="20735"/>
    <x v="1681"/>
    <n v="4018"/>
    <n v="16717"/>
    <n v="2094.7783909999998"/>
    <x v="0"/>
    <x v="9"/>
  </r>
  <r>
    <n v="11691"/>
    <d v="2025-10-07T00:00:00"/>
    <x v="4"/>
    <x v="2"/>
    <x v="0"/>
    <x v="2"/>
    <n v="6"/>
    <n v="19223"/>
    <x v="1682"/>
    <n v="2935"/>
    <n v="112403"/>
    <n v="23587.52795"/>
    <x v="1"/>
    <x v="8"/>
  </r>
  <r>
    <n v="11692"/>
    <d v="2024-03-19T00:00:00"/>
    <x v="0"/>
    <x v="2"/>
    <x v="0"/>
    <x v="3"/>
    <n v="3"/>
    <n v="20362"/>
    <x v="1683"/>
    <n v="4808"/>
    <n v="56278"/>
    <n v="7702.3249310000001"/>
    <x v="0"/>
    <x v="1"/>
  </r>
  <r>
    <n v="11693"/>
    <d v="2025-04-03T00:00:00"/>
    <x v="0"/>
    <x v="1"/>
    <x v="0"/>
    <x v="1"/>
    <n v="4"/>
    <n v="44986"/>
    <x v="1684"/>
    <n v="4445"/>
    <n v="175499"/>
    <n v="28735.845239999999"/>
    <x v="1"/>
    <x v="0"/>
  </r>
  <r>
    <n v="11694"/>
    <d v="2025-07-23T00:00:00"/>
    <x v="2"/>
    <x v="4"/>
    <x v="2"/>
    <x v="2"/>
    <n v="9"/>
    <n v="28409"/>
    <x v="1685"/>
    <n v="2367"/>
    <n v="253314"/>
    <n v="63178.86275"/>
    <x v="1"/>
    <x v="10"/>
  </r>
  <r>
    <n v="11695"/>
    <d v="2025-06-21T00:00:00"/>
    <x v="4"/>
    <x v="0"/>
    <x v="2"/>
    <x v="1"/>
    <n v="3"/>
    <n v="72933"/>
    <x v="1686"/>
    <n v="2584"/>
    <n v="216215"/>
    <n v="24883.430110000001"/>
    <x v="1"/>
    <x v="11"/>
  </r>
  <r>
    <n v="11696"/>
    <d v="2025-04-26T00:00:00"/>
    <x v="0"/>
    <x v="4"/>
    <x v="0"/>
    <x v="2"/>
    <n v="2"/>
    <n v="10814"/>
    <x v="1687"/>
    <n v="905"/>
    <n v="20723"/>
    <n v="4811.9611020000002"/>
    <x v="1"/>
    <x v="0"/>
  </r>
  <r>
    <n v="11697"/>
    <d v="2025-03-05T00:00:00"/>
    <x v="3"/>
    <x v="1"/>
    <x v="2"/>
    <x v="0"/>
    <n v="2"/>
    <n v="27888"/>
    <x v="1688"/>
    <n v="3227"/>
    <n v="52549"/>
    <n v="12711.9964"/>
    <x v="1"/>
    <x v="1"/>
  </r>
  <r>
    <n v="11698"/>
    <d v="2024-10-11T00:00:00"/>
    <x v="1"/>
    <x v="0"/>
    <x v="1"/>
    <x v="3"/>
    <n v="2"/>
    <n v="78058"/>
    <x v="1689"/>
    <n v="1827"/>
    <n v="154289"/>
    <n v="31588.218669999998"/>
    <x v="0"/>
    <x v="8"/>
  </r>
  <r>
    <n v="11699"/>
    <d v="2025-05-30T00:00:00"/>
    <x v="0"/>
    <x v="0"/>
    <x v="0"/>
    <x v="2"/>
    <n v="6"/>
    <n v="27169"/>
    <x v="1690"/>
    <n v="3722"/>
    <n v="159292"/>
    <n v="16167.234570000001"/>
    <x v="1"/>
    <x v="5"/>
  </r>
  <r>
    <n v="11700"/>
    <d v="2024-04-08T00:00:00"/>
    <x v="4"/>
    <x v="0"/>
    <x v="2"/>
    <x v="1"/>
    <n v="2"/>
    <n v="64126"/>
    <x v="1691"/>
    <n v="2580"/>
    <n v="125672"/>
    <n v="28039.909950000001"/>
    <x v="0"/>
    <x v="0"/>
  </r>
  <r>
    <n v="11701"/>
    <d v="2025-01-31T00:00:00"/>
    <x v="0"/>
    <x v="3"/>
    <x v="0"/>
    <x v="3"/>
    <n v="7"/>
    <n v="50127"/>
    <x v="1692"/>
    <n v="4597"/>
    <n v="346292"/>
    <n v="80457.756550000006"/>
    <x v="1"/>
    <x v="4"/>
  </r>
  <r>
    <n v="11702"/>
    <d v="2025-05-03T00:00:00"/>
    <x v="1"/>
    <x v="1"/>
    <x v="1"/>
    <x v="2"/>
    <n v="7"/>
    <n v="20762"/>
    <x v="1693"/>
    <n v="1515"/>
    <n v="143819"/>
    <n v="35543.44543"/>
    <x v="1"/>
    <x v="5"/>
  </r>
  <r>
    <n v="11703"/>
    <d v="2024-02-08T00:00:00"/>
    <x v="4"/>
    <x v="3"/>
    <x v="1"/>
    <x v="2"/>
    <n v="7"/>
    <n v="20577"/>
    <x v="1694"/>
    <n v="4622"/>
    <n v="139417"/>
    <n v="31493.932540000002"/>
    <x v="0"/>
    <x v="9"/>
  </r>
  <r>
    <n v="11704"/>
    <d v="2024-09-27T00:00:00"/>
    <x v="2"/>
    <x v="0"/>
    <x v="2"/>
    <x v="2"/>
    <n v="2"/>
    <n v="25931"/>
    <x v="1695"/>
    <n v="4806"/>
    <n v="47056"/>
    <n v="7850.7310500000003"/>
    <x v="0"/>
    <x v="2"/>
  </r>
  <r>
    <n v="11705"/>
    <d v="2024-06-05T00:00:00"/>
    <x v="4"/>
    <x v="3"/>
    <x v="1"/>
    <x v="2"/>
    <n v="7"/>
    <n v="65302"/>
    <x v="1696"/>
    <n v="3003"/>
    <n v="454111"/>
    <n v="92319.608999999997"/>
    <x v="0"/>
    <x v="11"/>
  </r>
  <r>
    <n v="11706"/>
    <d v="2024-03-15T00:00:00"/>
    <x v="2"/>
    <x v="3"/>
    <x v="0"/>
    <x v="0"/>
    <n v="8"/>
    <n v="44278"/>
    <x v="1697"/>
    <n v="111"/>
    <n v="354113"/>
    <n v="61179.84691"/>
    <x v="0"/>
    <x v="1"/>
  </r>
  <r>
    <n v="11707"/>
    <d v="2024-05-09T00:00:00"/>
    <x v="4"/>
    <x v="1"/>
    <x v="2"/>
    <x v="3"/>
    <n v="8"/>
    <n v="63169"/>
    <x v="1698"/>
    <n v="1672"/>
    <n v="503680"/>
    <n v="77039.242339999997"/>
    <x v="0"/>
    <x v="5"/>
  </r>
  <r>
    <n v="11708"/>
    <d v="2025-11-17T00:00:00"/>
    <x v="1"/>
    <x v="2"/>
    <x v="0"/>
    <x v="0"/>
    <n v="2"/>
    <n v="67775"/>
    <x v="1699"/>
    <n v="2302"/>
    <n v="133248"/>
    <n v="25845.311600000001"/>
    <x v="1"/>
    <x v="7"/>
  </r>
  <r>
    <n v="11709"/>
    <d v="2024-03-24T00:00:00"/>
    <x v="1"/>
    <x v="3"/>
    <x v="0"/>
    <x v="3"/>
    <n v="5"/>
    <n v="54203"/>
    <x v="1700"/>
    <n v="1650"/>
    <n v="269365"/>
    <n v="58041.387269999999"/>
    <x v="0"/>
    <x v="1"/>
  </r>
  <r>
    <n v="11710"/>
    <d v="2024-01-22T00:00:00"/>
    <x v="4"/>
    <x v="3"/>
    <x v="0"/>
    <x v="2"/>
    <n v="6"/>
    <n v="11058"/>
    <x v="1701"/>
    <n v="4395"/>
    <n v="61953"/>
    <n v="12104.694219999999"/>
    <x v="0"/>
    <x v="4"/>
  </r>
  <r>
    <n v="11711"/>
    <d v="2025-04-03T00:00:00"/>
    <x v="0"/>
    <x v="0"/>
    <x v="1"/>
    <x v="3"/>
    <n v="9"/>
    <n v="74051"/>
    <x v="1702"/>
    <n v="2474"/>
    <n v="663985"/>
    <n v="148723.8456"/>
    <x v="1"/>
    <x v="0"/>
  </r>
  <r>
    <n v="11712"/>
    <d v="2025-06-22T00:00:00"/>
    <x v="1"/>
    <x v="0"/>
    <x v="0"/>
    <x v="1"/>
    <n v="6"/>
    <n v="73866"/>
    <x v="1703"/>
    <n v="3995"/>
    <n v="439201"/>
    <n v="55539.709779999997"/>
    <x v="1"/>
    <x v="11"/>
  </r>
  <r>
    <n v="11713"/>
    <d v="2025-12-07T00:00:00"/>
    <x v="2"/>
    <x v="0"/>
    <x v="1"/>
    <x v="3"/>
    <n v="6"/>
    <n v="60180"/>
    <x v="1704"/>
    <n v="1890"/>
    <n v="359190"/>
    <n v="56053.101900000001"/>
    <x v="1"/>
    <x v="3"/>
  </r>
  <r>
    <n v="11714"/>
    <d v="2025-01-16T00:00:00"/>
    <x v="2"/>
    <x v="4"/>
    <x v="0"/>
    <x v="1"/>
    <n v="6"/>
    <n v="48825"/>
    <x v="1705"/>
    <n v="306"/>
    <n v="292644"/>
    <n v="42985.85439"/>
    <x v="1"/>
    <x v="4"/>
  </r>
  <r>
    <n v="11715"/>
    <d v="2025-03-15T00:00:00"/>
    <x v="3"/>
    <x v="3"/>
    <x v="1"/>
    <x v="1"/>
    <n v="9"/>
    <n v="79514"/>
    <x v="1706"/>
    <n v="120"/>
    <n v="715506"/>
    <n v="92385.469979999994"/>
    <x v="1"/>
    <x v="1"/>
  </r>
  <r>
    <n v="11716"/>
    <d v="2025-08-26T00:00:00"/>
    <x v="2"/>
    <x v="0"/>
    <x v="1"/>
    <x v="0"/>
    <n v="7"/>
    <n v="20264"/>
    <x v="1707"/>
    <n v="3101"/>
    <n v="138747"/>
    <n v="23098.06626"/>
    <x v="1"/>
    <x v="6"/>
  </r>
  <r>
    <n v="11717"/>
    <d v="2024-01-21T00:00:00"/>
    <x v="3"/>
    <x v="1"/>
    <x v="1"/>
    <x v="3"/>
    <n v="1"/>
    <n v="31615"/>
    <x v="1708"/>
    <n v="1277"/>
    <n v="30338"/>
    <n v="7347.2850829999998"/>
    <x v="0"/>
    <x v="4"/>
  </r>
  <r>
    <n v="11718"/>
    <d v="2024-10-29T00:00:00"/>
    <x v="4"/>
    <x v="4"/>
    <x v="0"/>
    <x v="2"/>
    <n v="1"/>
    <n v="37165"/>
    <x v="1709"/>
    <n v="1427"/>
    <n v="35738"/>
    <n v="6457.9010490000001"/>
    <x v="0"/>
    <x v="8"/>
  </r>
  <r>
    <n v="11719"/>
    <d v="2024-03-24T00:00:00"/>
    <x v="4"/>
    <x v="2"/>
    <x v="0"/>
    <x v="3"/>
    <n v="4"/>
    <n v="47722"/>
    <x v="1710"/>
    <n v="3102"/>
    <n v="187786"/>
    <n v="26846.023929999999"/>
    <x v="0"/>
    <x v="1"/>
  </r>
  <r>
    <n v="11720"/>
    <d v="2025-10-20T00:00:00"/>
    <x v="4"/>
    <x v="3"/>
    <x v="1"/>
    <x v="0"/>
    <n v="2"/>
    <n v="39880"/>
    <x v="1711"/>
    <n v="1185"/>
    <n v="78575"/>
    <n v="12030.54696"/>
    <x v="1"/>
    <x v="8"/>
  </r>
  <r>
    <n v="11721"/>
    <d v="2025-03-28T00:00:00"/>
    <x v="0"/>
    <x v="3"/>
    <x v="0"/>
    <x v="1"/>
    <n v="3"/>
    <n v="6701"/>
    <x v="1712"/>
    <n v="1455"/>
    <n v="18648"/>
    <n v="3579.695381"/>
    <x v="1"/>
    <x v="1"/>
  </r>
  <r>
    <n v="11722"/>
    <d v="2025-01-21T00:00:00"/>
    <x v="0"/>
    <x v="1"/>
    <x v="1"/>
    <x v="1"/>
    <n v="7"/>
    <n v="64430"/>
    <x v="1713"/>
    <n v="1179"/>
    <n v="449831"/>
    <n v="68784.562940000003"/>
    <x v="1"/>
    <x v="4"/>
  </r>
  <r>
    <n v="11723"/>
    <d v="2025-05-21T00:00:00"/>
    <x v="3"/>
    <x v="2"/>
    <x v="0"/>
    <x v="0"/>
    <n v="7"/>
    <n v="60615"/>
    <x v="1714"/>
    <n v="1346"/>
    <n v="422959"/>
    <n v="76450.688739999998"/>
    <x v="1"/>
    <x v="5"/>
  </r>
  <r>
    <n v="11724"/>
    <d v="2024-09-13T00:00:00"/>
    <x v="2"/>
    <x v="2"/>
    <x v="1"/>
    <x v="0"/>
    <n v="3"/>
    <n v="44237"/>
    <x v="1715"/>
    <n v="628"/>
    <n v="132083"/>
    <n v="18640.079180000001"/>
    <x v="0"/>
    <x v="2"/>
  </r>
  <r>
    <n v="11725"/>
    <d v="2025-07-23T00:00:00"/>
    <x v="2"/>
    <x v="4"/>
    <x v="1"/>
    <x v="3"/>
    <n v="2"/>
    <n v="39378"/>
    <x v="1716"/>
    <n v="1214"/>
    <n v="77542"/>
    <n v="11777.830389999999"/>
    <x v="1"/>
    <x v="10"/>
  </r>
  <r>
    <n v="11726"/>
    <d v="2025-06-10T00:00:00"/>
    <x v="4"/>
    <x v="3"/>
    <x v="2"/>
    <x v="1"/>
    <n v="1"/>
    <n v="25736"/>
    <x v="1717"/>
    <n v="1961"/>
    <n v="23775"/>
    <n v="4894.3019770000001"/>
    <x v="1"/>
    <x v="11"/>
  </r>
  <r>
    <n v="11727"/>
    <d v="2024-06-10T00:00:00"/>
    <x v="1"/>
    <x v="0"/>
    <x v="0"/>
    <x v="0"/>
    <n v="9"/>
    <n v="11343"/>
    <x v="1718"/>
    <n v="2995"/>
    <n v="99092"/>
    <n v="18598.850259999999"/>
    <x v="0"/>
    <x v="11"/>
  </r>
  <r>
    <n v="11728"/>
    <d v="2024-06-11T00:00:00"/>
    <x v="0"/>
    <x v="1"/>
    <x v="0"/>
    <x v="3"/>
    <n v="3"/>
    <n v="20797"/>
    <x v="1719"/>
    <n v="4612"/>
    <n v="57779"/>
    <n v="6588.1366209999996"/>
    <x v="0"/>
    <x v="11"/>
  </r>
  <r>
    <n v="11729"/>
    <d v="2025-06-07T00:00:00"/>
    <x v="0"/>
    <x v="1"/>
    <x v="2"/>
    <x v="3"/>
    <n v="9"/>
    <n v="58857"/>
    <x v="1720"/>
    <n v="4940"/>
    <n v="524773"/>
    <n v="129082.2865"/>
    <x v="1"/>
    <x v="11"/>
  </r>
  <r>
    <n v="11730"/>
    <d v="2024-09-27T00:00:00"/>
    <x v="4"/>
    <x v="1"/>
    <x v="1"/>
    <x v="2"/>
    <n v="4"/>
    <n v="46864"/>
    <x v="1721"/>
    <n v="1547"/>
    <n v="185909"/>
    <n v="19966.726699999999"/>
    <x v="0"/>
    <x v="2"/>
  </r>
  <r>
    <n v="11731"/>
    <d v="2025-05-06T00:00:00"/>
    <x v="0"/>
    <x v="1"/>
    <x v="1"/>
    <x v="1"/>
    <n v="6"/>
    <n v="46123"/>
    <x v="1722"/>
    <n v="4915"/>
    <n v="271823"/>
    <n v="30564.032500000001"/>
    <x v="1"/>
    <x v="5"/>
  </r>
  <r>
    <n v="11732"/>
    <d v="2024-07-26T00:00:00"/>
    <x v="4"/>
    <x v="0"/>
    <x v="2"/>
    <x v="3"/>
    <n v="7"/>
    <n v="79864"/>
    <x v="1723"/>
    <n v="2858"/>
    <n v="556190"/>
    <n v="114134.586"/>
    <x v="0"/>
    <x v="10"/>
  </r>
  <r>
    <n v="11733"/>
    <d v="2025-06-22T00:00:00"/>
    <x v="3"/>
    <x v="0"/>
    <x v="2"/>
    <x v="0"/>
    <n v="6"/>
    <n v="72561"/>
    <x v="1724"/>
    <n v="761"/>
    <n v="434605"/>
    <n v="89616.733519999994"/>
    <x v="1"/>
    <x v="11"/>
  </r>
  <r>
    <n v="11734"/>
    <d v="2025-08-06T00:00:00"/>
    <x v="2"/>
    <x v="4"/>
    <x v="1"/>
    <x v="1"/>
    <n v="1"/>
    <n v="5105"/>
    <x v="1725"/>
    <n v="2366"/>
    <n v="2739"/>
    <n v="281.67966380000001"/>
    <x v="1"/>
    <x v="6"/>
  </r>
  <r>
    <n v="11735"/>
    <d v="2024-02-29T00:00:00"/>
    <x v="1"/>
    <x v="3"/>
    <x v="0"/>
    <x v="0"/>
    <n v="6"/>
    <n v="24476"/>
    <x v="1726"/>
    <n v="4206"/>
    <n v="142650"/>
    <n v="28018.326560000001"/>
    <x v="0"/>
    <x v="9"/>
  </r>
  <r>
    <n v="11736"/>
    <d v="2025-03-05T00:00:00"/>
    <x v="2"/>
    <x v="0"/>
    <x v="2"/>
    <x v="0"/>
    <n v="6"/>
    <n v="69147"/>
    <x v="1727"/>
    <n v="1841"/>
    <n v="413041"/>
    <n v="43364.762459999998"/>
    <x v="1"/>
    <x v="1"/>
  </r>
  <r>
    <n v="11737"/>
    <d v="2025-10-18T00:00:00"/>
    <x v="2"/>
    <x v="4"/>
    <x v="2"/>
    <x v="3"/>
    <n v="5"/>
    <n v="47112"/>
    <x v="1728"/>
    <n v="4902"/>
    <n v="230658"/>
    <n v="56307.192790000001"/>
    <x v="1"/>
    <x v="8"/>
  </r>
  <r>
    <n v="11738"/>
    <d v="2025-08-27T00:00:00"/>
    <x v="3"/>
    <x v="2"/>
    <x v="2"/>
    <x v="3"/>
    <n v="3"/>
    <n v="53610"/>
    <x v="1729"/>
    <n v="1496"/>
    <n v="159334"/>
    <n v="32571.277610000001"/>
    <x v="1"/>
    <x v="6"/>
  </r>
  <r>
    <n v="11739"/>
    <d v="2024-11-04T00:00:00"/>
    <x v="0"/>
    <x v="3"/>
    <x v="2"/>
    <x v="2"/>
    <n v="3"/>
    <n v="71234"/>
    <x v="1730"/>
    <n v="3919"/>
    <n v="209783"/>
    <n v="26849.43707"/>
    <x v="0"/>
    <x v="7"/>
  </r>
  <r>
    <n v="11740"/>
    <d v="2025-06-03T00:00:00"/>
    <x v="1"/>
    <x v="0"/>
    <x v="2"/>
    <x v="0"/>
    <n v="7"/>
    <n v="49230"/>
    <x v="1731"/>
    <n v="3088"/>
    <n v="341522"/>
    <n v="42251.639519999997"/>
    <x v="1"/>
    <x v="11"/>
  </r>
  <r>
    <n v="11741"/>
    <d v="2025-08-13T00:00:00"/>
    <x v="0"/>
    <x v="2"/>
    <x v="2"/>
    <x v="3"/>
    <n v="8"/>
    <n v="46706"/>
    <x v="1732"/>
    <n v="1243"/>
    <n v="372405"/>
    <n v="69062.263479999994"/>
    <x v="1"/>
    <x v="6"/>
  </r>
  <r>
    <n v="11742"/>
    <d v="2024-01-27T00:00:00"/>
    <x v="2"/>
    <x v="4"/>
    <x v="1"/>
    <x v="2"/>
    <n v="3"/>
    <n v="70032"/>
    <x v="1733"/>
    <n v="4582"/>
    <n v="205514"/>
    <n v="40080.945110000001"/>
    <x v="0"/>
    <x v="4"/>
  </r>
  <r>
    <n v="11743"/>
    <d v="2025-11-16T00:00:00"/>
    <x v="4"/>
    <x v="0"/>
    <x v="1"/>
    <x v="1"/>
    <n v="3"/>
    <n v="46920"/>
    <x v="1734"/>
    <n v="4906"/>
    <n v="135854"/>
    <n v="30524.44355"/>
    <x v="1"/>
    <x v="7"/>
  </r>
  <r>
    <n v="11744"/>
    <d v="2025-07-15T00:00:00"/>
    <x v="2"/>
    <x v="0"/>
    <x v="2"/>
    <x v="2"/>
    <n v="7"/>
    <n v="24875"/>
    <x v="1735"/>
    <n v="2043"/>
    <n v="172082"/>
    <n v="40524.996500000001"/>
    <x v="1"/>
    <x v="10"/>
  </r>
  <r>
    <n v="11745"/>
    <d v="2024-07-17T00:00:00"/>
    <x v="0"/>
    <x v="2"/>
    <x v="1"/>
    <x v="2"/>
    <n v="7"/>
    <n v="73833"/>
    <x v="1736"/>
    <n v="3376"/>
    <n v="513455"/>
    <n v="81577.738930000007"/>
    <x v="0"/>
    <x v="10"/>
  </r>
  <r>
    <n v="11746"/>
    <d v="2025-01-21T00:00:00"/>
    <x v="2"/>
    <x v="0"/>
    <x v="0"/>
    <x v="0"/>
    <n v="9"/>
    <n v="57129"/>
    <x v="1737"/>
    <n v="516"/>
    <n v="513645"/>
    <n v="116398.4938"/>
    <x v="1"/>
    <x v="4"/>
  </r>
  <r>
    <n v="11747"/>
    <d v="2024-12-14T00:00:00"/>
    <x v="4"/>
    <x v="1"/>
    <x v="0"/>
    <x v="1"/>
    <n v="6"/>
    <n v="70744"/>
    <x v="1738"/>
    <n v="834"/>
    <n v="423630"/>
    <n v="76828.268150000004"/>
    <x v="0"/>
    <x v="3"/>
  </r>
  <r>
    <n v="11748"/>
    <d v="2025-11-23T00:00:00"/>
    <x v="3"/>
    <x v="0"/>
    <x v="2"/>
    <x v="0"/>
    <n v="7"/>
    <n v="24700"/>
    <x v="1739"/>
    <n v="623"/>
    <n v="172277"/>
    <n v="29388.271919999999"/>
    <x v="1"/>
    <x v="7"/>
  </r>
  <r>
    <n v="11749"/>
    <d v="2025-06-19T00:00:00"/>
    <x v="0"/>
    <x v="3"/>
    <x v="0"/>
    <x v="0"/>
    <n v="1"/>
    <n v="77769"/>
    <x v="1740"/>
    <n v="1047"/>
    <n v="76722"/>
    <n v="15716.16389"/>
    <x v="1"/>
    <x v="11"/>
  </r>
  <r>
    <n v="11750"/>
    <d v="2025-01-12T00:00:00"/>
    <x v="2"/>
    <x v="2"/>
    <x v="0"/>
    <x v="2"/>
    <n v="7"/>
    <n v="6891"/>
    <x v="1741"/>
    <n v="1564"/>
    <n v="46673"/>
    <n v="5389.7627650000004"/>
    <x v="1"/>
    <x v="4"/>
  </r>
  <r>
    <n v="11751"/>
    <d v="2025-07-11T00:00:00"/>
    <x v="0"/>
    <x v="3"/>
    <x v="1"/>
    <x v="2"/>
    <n v="2"/>
    <n v="63520"/>
    <x v="1742"/>
    <n v="3982"/>
    <n v="123058"/>
    <n v="17204.489890000001"/>
    <x v="1"/>
    <x v="10"/>
  </r>
  <r>
    <n v="11752"/>
    <d v="2025-06-10T00:00:00"/>
    <x v="3"/>
    <x v="4"/>
    <x v="1"/>
    <x v="3"/>
    <n v="7"/>
    <n v="52594"/>
    <x v="1743"/>
    <n v="496"/>
    <n v="367662"/>
    <n v="81810.090370000005"/>
    <x v="1"/>
    <x v="11"/>
  </r>
  <r>
    <n v="11753"/>
    <d v="2024-06-01T00:00:00"/>
    <x v="2"/>
    <x v="3"/>
    <x v="1"/>
    <x v="2"/>
    <n v="3"/>
    <n v="69190"/>
    <x v="1744"/>
    <n v="2429"/>
    <n v="205141"/>
    <n v="36025.185550000002"/>
    <x v="0"/>
    <x v="11"/>
  </r>
  <r>
    <n v="11754"/>
    <d v="2024-07-24T00:00:00"/>
    <x v="2"/>
    <x v="1"/>
    <x v="1"/>
    <x v="3"/>
    <n v="9"/>
    <n v="7039"/>
    <x v="1745"/>
    <n v="2263"/>
    <n v="61088"/>
    <n v="14429.383620000001"/>
    <x v="0"/>
    <x v="10"/>
  </r>
  <r>
    <n v="11755"/>
    <d v="2025-03-30T00:00:00"/>
    <x v="0"/>
    <x v="1"/>
    <x v="0"/>
    <x v="0"/>
    <n v="5"/>
    <n v="24673"/>
    <x v="1746"/>
    <n v="542"/>
    <n v="122823"/>
    <n v="13916.52881"/>
    <x v="1"/>
    <x v="1"/>
  </r>
  <r>
    <n v="11756"/>
    <d v="2024-09-29T00:00:00"/>
    <x v="0"/>
    <x v="3"/>
    <x v="2"/>
    <x v="2"/>
    <n v="7"/>
    <n v="47412"/>
    <x v="1747"/>
    <n v="915"/>
    <n v="330969"/>
    <n v="48656.388700000003"/>
    <x v="0"/>
    <x v="2"/>
  </r>
  <r>
    <n v="11757"/>
    <d v="2024-08-23T00:00:00"/>
    <x v="4"/>
    <x v="4"/>
    <x v="1"/>
    <x v="1"/>
    <n v="8"/>
    <n v="33436"/>
    <x v="1748"/>
    <n v="1801"/>
    <n v="265687"/>
    <n v="40738.447659999998"/>
    <x v="0"/>
    <x v="6"/>
  </r>
  <r>
    <n v="11758"/>
    <d v="2025-06-04T00:00:00"/>
    <x v="3"/>
    <x v="0"/>
    <x v="0"/>
    <x v="1"/>
    <n v="2"/>
    <n v="13186"/>
    <x v="1749"/>
    <n v="3082"/>
    <n v="23290"/>
    <n v="3805.773447"/>
    <x v="1"/>
    <x v="11"/>
  </r>
  <r>
    <n v="11759"/>
    <d v="2025-11-08T00:00:00"/>
    <x v="4"/>
    <x v="1"/>
    <x v="1"/>
    <x v="0"/>
    <n v="1"/>
    <n v="68708"/>
    <x v="1750"/>
    <n v="81"/>
    <n v="68627"/>
    <n v="17021.074949999998"/>
    <x v="1"/>
    <x v="7"/>
  </r>
  <r>
    <n v="11760"/>
    <d v="2025-12-26T00:00:00"/>
    <x v="2"/>
    <x v="3"/>
    <x v="0"/>
    <x v="0"/>
    <n v="7"/>
    <n v="5434"/>
    <x v="1751"/>
    <n v="1179"/>
    <n v="36859"/>
    <n v="5403.5075470000002"/>
    <x v="1"/>
    <x v="3"/>
  </r>
  <r>
    <n v="11761"/>
    <d v="2025-05-15T00:00:00"/>
    <x v="0"/>
    <x v="3"/>
    <x v="1"/>
    <x v="2"/>
    <n v="6"/>
    <n v="15519"/>
    <x v="1752"/>
    <n v="165"/>
    <n v="92949"/>
    <n v="16526.552299999999"/>
    <x v="1"/>
    <x v="5"/>
  </r>
  <r>
    <n v="11762"/>
    <d v="2024-04-26T00:00:00"/>
    <x v="2"/>
    <x v="3"/>
    <x v="2"/>
    <x v="3"/>
    <n v="6"/>
    <n v="23030"/>
    <x v="1753"/>
    <n v="2255"/>
    <n v="135925"/>
    <n v="24522.324199999999"/>
    <x v="0"/>
    <x v="0"/>
  </r>
  <r>
    <n v="11763"/>
    <d v="2025-01-20T00:00:00"/>
    <x v="2"/>
    <x v="0"/>
    <x v="1"/>
    <x v="2"/>
    <n v="2"/>
    <n v="60819"/>
    <x v="1754"/>
    <n v="2071"/>
    <n v="119567"/>
    <n v="25780.99957"/>
    <x v="1"/>
    <x v="4"/>
  </r>
  <r>
    <n v="11764"/>
    <d v="2024-12-09T00:00:00"/>
    <x v="1"/>
    <x v="2"/>
    <x v="2"/>
    <x v="3"/>
    <n v="3"/>
    <n v="10258"/>
    <x v="1755"/>
    <n v="806"/>
    <n v="29968"/>
    <n v="5324.7247020000004"/>
    <x v="0"/>
    <x v="3"/>
  </r>
  <r>
    <n v="11765"/>
    <d v="2025-08-06T00:00:00"/>
    <x v="1"/>
    <x v="4"/>
    <x v="1"/>
    <x v="2"/>
    <n v="4"/>
    <n v="77726"/>
    <x v="1756"/>
    <n v="2738"/>
    <n v="308166"/>
    <n v="58816.750769999999"/>
    <x v="1"/>
    <x v="6"/>
  </r>
  <r>
    <n v="11766"/>
    <d v="2025-01-29T00:00:00"/>
    <x v="2"/>
    <x v="2"/>
    <x v="1"/>
    <x v="1"/>
    <n v="3"/>
    <n v="63277"/>
    <x v="1757"/>
    <n v="331"/>
    <n v="189500"/>
    <n v="40363.349840000003"/>
    <x v="1"/>
    <x v="4"/>
  </r>
  <r>
    <n v="11767"/>
    <d v="2024-03-04T00:00:00"/>
    <x v="0"/>
    <x v="4"/>
    <x v="1"/>
    <x v="1"/>
    <n v="2"/>
    <n v="50238"/>
    <x v="1758"/>
    <n v="3590"/>
    <n v="96886"/>
    <n v="11158.34131"/>
    <x v="0"/>
    <x v="1"/>
  </r>
  <r>
    <n v="11768"/>
    <d v="2025-12-17T00:00:00"/>
    <x v="2"/>
    <x v="4"/>
    <x v="0"/>
    <x v="3"/>
    <n v="3"/>
    <n v="15747"/>
    <x v="1759"/>
    <n v="1534"/>
    <n v="45707"/>
    <n v="11176.313050000001"/>
    <x v="1"/>
    <x v="3"/>
  </r>
  <r>
    <n v="11769"/>
    <d v="2025-12-21T00:00:00"/>
    <x v="1"/>
    <x v="3"/>
    <x v="0"/>
    <x v="2"/>
    <n v="6"/>
    <n v="35917"/>
    <x v="1760"/>
    <n v="180"/>
    <n v="215322"/>
    <n v="48866.386169999998"/>
    <x v="1"/>
    <x v="3"/>
  </r>
  <r>
    <n v="11770"/>
    <d v="2024-03-12T00:00:00"/>
    <x v="0"/>
    <x v="1"/>
    <x v="2"/>
    <x v="0"/>
    <n v="9"/>
    <n v="35377"/>
    <x v="1761"/>
    <n v="1316"/>
    <n v="317077"/>
    <n v="50198.328099999999"/>
    <x v="0"/>
    <x v="1"/>
  </r>
  <r>
    <n v="11771"/>
    <d v="2024-09-30T00:00:00"/>
    <x v="2"/>
    <x v="3"/>
    <x v="2"/>
    <x v="3"/>
    <n v="4"/>
    <n v="49956"/>
    <x v="1762"/>
    <n v="1106"/>
    <n v="198718"/>
    <n v="41584.252970000001"/>
    <x v="0"/>
    <x v="2"/>
  </r>
  <r>
    <n v="11772"/>
    <d v="2024-11-15T00:00:00"/>
    <x v="3"/>
    <x v="0"/>
    <x v="0"/>
    <x v="1"/>
    <n v="6"/>
    <n v="28557"/>
    <x v="1763"/>
    <n v="1589"/>
    <n v="169753"/>
    <n v="36386.346019999997"/>
    <x v="0"/>
    <x v="7"/>
  </r>
  <r>
    <n v="11773"/>
    <d v="2024-12-03T00:00:00"/>
    <x v="3"/>
    <x v="4"/>
    <x v="2"/>
    <x v="3"/>
    <n v="1"/>
    <n v="49335"/>
    <x v="1764"/>
    <n v="2486"/>
    <n v="46849"/>
    <n v="10659.87939"/>
    <x v="0"/>
    <x v="3"/>
  </r>
  <r>
    <n v="11774"/>
    <d v="2024-12-31T00:00:00"/>
    <x v="2"/>
    <x v="1"/>
    <x v="2"/>
    <x v="2"/>
    <n v="6"/>
    <n v="38292"/>
    <x v="1765"/>
    <n v="2590"/>
    <n v="227162"/>
    <n v="29132.96399"/>
    <x v="0"/>
    <x v="3"/>
  </r>
  <r>
    <n v="11775"/>
    <d v="2025-05-09T00:00:00"/>
    <x v="0"/>
    <x v="4"/>
    <x v="0"/>
    <x v="0"/>
    <n v="3"/>
    <n v="24491"/>
    <x v="1766"/>
    <n v="2240"/>
    <n v="71233"/>
    <n v="14642.328729999999"/>
    <x v="1"/>
    <x v="5"/>
  </r>
  <r>
    <n v="11776"/>
    <d v="2025-08-29T00:00:00"/>
    <x v="2"/>
    <x v="4"/>
    <x v="0"/>
    <x v="0"/>
    <n v="9"/>
    <n v="62294"/>
    <x v="1767"/>
    <n v="487"/>
    <n v="560159"/>
    <n v="58817.299740000002"/>
    <x v="1"/>
    <x v="6"/>
  </r>
  <r>
    <n v="11777"/>
    <d v="2024-06-14T00:00:00"/>
    <x v="2"/>
    <x v="3"/>
    <x v="0"/>
    <x v="3"/>
    <n v="4"/>
    <n v="71629"/>
    <x v="1768"/>
    <n v="611"/>
    <n v="285905"/>
    <n v="33547.197419999997"/>
    <x v="0"/>
    <x v="11"/>
  </r>
  <r>
    <n v="11778"/>
    <d v="2025-06-27T00:00:00"/>
    <x v="1"/>
    <x v="1"/>
    <x v="0"/>
    <x v="2"/>
    <n v="7"/>
    <n v="70640"/>
    <x v="1769"/>
    <n v="3420"/>
    <n v="491060"/>
    <n v="106270.3162"/>
    <x v="1"/>
    <x v="11"/>
  </r>
  <r>
    <n v="11779"/>
    <d v="2024-01-11T00:00:00"/>
    <x v="3"/>
    <x v="1"/>
    <x v="1"/>
    <x v="2"/>
    <n v="4"/>
    <n v="23123"/>
    <x v="1770"/>
    <n v="3194"/>
    <n v="89298"/>
    <n v="19819.731339999998"/>
    <x v="0"/>
    <x v="4"/>
  </r>
  <r>
    <n v="11780"/>
    <d v="2024-10-27T00:00:00"/>
    <x v="1"/>
    <x v="4"/>
    <x v="0"/>
    <x v="0"/>
    <n v="6"/>
    <n v="69618"/>
    <x v="1771"/>
    <n v="1397"/>
    <n v="416311"/>
    <n v="78626.771770000007"/>
    <x v="0"/>
    <x v="8"/>
  </r>
  <r>
    <n v="11781"/>
    <d v="2025-12-29T00:00:00"/>
    <x v="1"/>
    <x v="1"/>
    <x v="2"/>
    <x v="1"/>
    <n v="7"/>
    <n v="29288"/>
    <x v="1772"/>
    <n v="1456"/>
    <n v="203560"/>
    <n v="38117.199540000001"/>
    <x v="1"/>
    <x v="3"/>
  </r>
  <r>
    <n v="11782"/>
    <d v="2024-04-11T00:00:00"/>
    <x v="2"/>
    <x v="1"/>
    <x v="1"/>
    <x v="2"/>
    <n v="2"/>
    <n v="50091"/>
    <x v="1773"/>
    <n v="2193"/>
    <n v="97989"/>
    <n v="20815.481299999999"/>
    <x v="0"/>
    <x v="0"/>
  </r>
  <r>
    <n v="11783"/>
    <d v="2025-02-28T00:00:00"/>
    <x v="1"/>
    <x v="3"/>
    <x v="1"/>
    <x v="0"/>
    <n v="6"/>
    <n v="64216"/>
    <x v="1774"/>
    <n v="3074"/>
    <n v="382222"/>
    <n v="90171.032930000001"/>
    <x v="1"/>
    <x v="9"/>
  </r>
  <r>
    <n v="11784"/>
    <d v="2025-01-26T00:00:00"/>
    <x v="3"/>
    <x v="2"/>
    <x v="2"/>
    <x v="0"/>
    <n v="8"/>
    <n v="63785"/>
    <x v="1775"/>
    <n v="1337"/>
    <n v="508943"/>
    <n v="83042.84276"/>
    <x v="1"/>
    <x v="4"/>
  </r>
  <r>
    <n v="11785"/>
    <d v="2024-08-01T00:00:00"/>
    <x v="1"/>
    <x v="0"/>
    <x v="1"/>
    <x v="2"/>
    <n v="6"/>
    <n v="55997"/>
    <x v="1776"/>
    <n v="4422"/>
    <n v="331560"/>
    <n v="38866.513509999997"/>
    <x v="0"/>
    <x v="6"/>
  </r>
  <r>
    <n v="11786"/>
    <d v="2025-11-21T00:00:00"/>
    <x v="3"/>
    <x v="2"/>
    <x v="2"/>
    <x v="2"/>
    <n v="2"/>
    <n v="74037"/>
    <x v="1777"/>
    <n v="2200"/>
    <n v="145874"/>
    <n v="32945.629430000001"/>
    <x v="1"/>
    <x v="7"/>
  </r>
  <r>
    <n v="11787"/>
    <d v="2024-03-28T00:00:00"/>
    <x v="1"/>
    <x v="1"/>
    <x v="1"/>
    <x v="3"/>
    <n v="4"/>
    <n v="55693"/>
    <x v="1778"/>
    <n v="4497"/>
    <n v="218275"/>
    <n v="33013.356390000001"/>
    <x v="0"/>
    <x v="1"/>
  </r>
  <r>
    <n v="11788"/>
    <d v="2025-07-06T00:00:00"/>
    <x v="3"/>
    <x v="4"/>
    <x v="1"/>
    <x v="1"/>
    <n v="1"/>
    <n v="40712"/>
    <x v="1779"/>
    <n v="2867"/>
    <n v="37845"/>
    <n v="4543.9683880000002"/>
    <x v="1"/>
    <x v="10"/>
  </r>
  <r>
    <n v="11789"/>
    <d v="2025-02-04T00:00:00"/>
    <x v="1"/>
    <x v="0"/>
    <x v="2"/>
    <x v="3"/>
    <n v="7"/>
    <n v="20905"/>
    <x v="1780"/>
    <n v="4583"/>
    <n v="141752"/>
    <n v="27243.665590000001"/>
    <x v="1"/>
    <x v="9"/>
  </r>
  <r>
    <n v="11790"/>
    <d v="2025-08-10T00:00:00"/>
    <x v="1"/>
    <x v="0"/>
    <x v="2"/>
    <x v="3"/>
    <n v="8"/>
    <n v="6591"/>
    <x v="1781"/>
    <n v="3882"/>
    <n v="48846"/>
    <n v="9120.1631120000002"/>
    <x v="1"/>
    <x v="6"/>
  </r>
  <r>
    <n v="11791"/>
    <d v="2024-02-15T00:00:00"/>
    <x v="0"/>
    <x v="4"/>
    <x v="2"/>
    <x v="0"/>
    <n v="2"/>
    <n v="65159"/>
    <x v="286"/>
    <n v="2114"/>
    <n v="128204"/>
    <n v="21940.4391"/>
    <x v="0"/>
    <x v="9"/>
  </r>
  <r>
    <n v="11792"/>
    <d v="2025-11-02T00:00:00"/>
    <x v="3"/>
    <x v="0"/>
    <x v="2"/>
    <x v="0"/>
    <n v="5"/>
    <n v="18522"/>
    <x v="1782"/>
    <n v="2136"/>
    <n v="90474"/>
    <n v="20715.794379999999"/>
    <x v="1"/>
    <x v="7"/>
  </r>
  <r>
    <n v="11793"/>
    <d v="2025-04-07T00:00:00"/>
    <x v="3"/>
    <x v="4"/>
    <x v="0"/>
    <x v="1"/>
    <n v="8"/>
    <n v="8572"/>
    <x v="1783"/>
    <n v="78"/>
    <n v="68498"/>
    <n v="9646.8387910000001"/>
    <x v="1"/>
    <x v="0"/>
  </r>
  <r>
    <n v="11794"/>
    <d v="2025-08-14T00:00:00"/>
    <x v="3"/>
    <x v="0"/>
    <x v="0"/>
    <x v="3"/>
    <n v="8"/>
    <n v="66680"/>
    <x v="1784"/>
    <n v="377"/>
    <n v="533063"/>
    <n v="54364.58453"/>
    <x v="1"/>
    <x v="6"/>
  </r>
  <r>
    <n v="11795"/>
    <d v="2024-11-05T00:00:00"/>
    <x v="4"/>
    <x v="2"/>
    <x v="2"/>
    <x v="3"/>
    <n v="5"/>
    <n v="63537"/>
    <x v="1785"/>
    <n v="164"/>
    <n v="317521"/>
    <n v="47158.31667"/>
    <x v="0"/>
    <x v="7"/>
  </r>
  <r>
    <n v="11796"/>
    <d v="2024-03-26T00:00:00"/>
    <x v="1"/>
    <x v="0"/>
    <x v="0"/>
    <x v="0"/>
    <n v="8"/>
    <n v="38061"/>
    <x v="1786"/>
    <n v="4844"/>
    <n v="299644"/>
    <n v="30400.64992"/>
    <x v="0"/>
    <x v="1"/>
  </r>
  <r>
    <n v="11797"/>
    <d v="2024-04-01T00:00:00"/>
    <x v="3"/>
    <x v="3"/>
    <x v="2"/>
    <x v="0"/>
    <n v="6"/>
    <n v="71874"/>
    <x v="1787"/>
    <n v="1720"/>
    <n v="429524"/>
    <n v="77975.220690000002"/>
    <x v="0"/>
    <x v="0"/>
  </r>
  <r>
    <n v="11798"/>
    <d v="2025-10-21T00:00:00"/>
    <x v="4"/>
    <x v="4"/>
    <x v="2"/>
    <x v="2"/>
    <n v="5"/>
    <n v="65542"/>
    <x v="1788"/>
    <n v="2984"/>
    <n v="324726"/>
    <n v="50896.65827"/>
    <x v="1"/>
    <x v="8"/>
  </r>
  <r>
    <n v="11799"/>
    <d v="2025-11-03T00:00:00"/>
    <x v="0"/>
    <x v="0"/>
    <x v="1"/>
    <x v="3"/>
    <n v="4"/>
    <n v="66907"/>
    <x v="1789"/>
    <n v="154"/>
    <n v="267474"/>
    <n v="59403.678099999997"/>
    <x v="1"/>
    <x v="7"/>
  </r>
  <r>
    <n v="11800"/>
    <d v="2025-12-14T00:00:00"/>
    <x v="3"/>
    <x v="4"/>
    <x v="2"/>
    <x v="1"/>
    <n v="5"/>
    <n v="21151"/>
    <x v="1790"/>
    <n v="1146"/>
    <n v="104609"/>
    <n v="22976.090919999999"/>
    <x v="1"/>
    <x v="3"/>
  </r>
  <r>
    <n v="11801"/>
    <d v="2024-08-29T00:00:00"/>
    <x v="3"/>
    <x v="3"/>
    <x v="2"/>
    <x v="3"/>
    <n v="4"/>
    <n v="50813"/>
    <x v="1791"/>
    <n v="1063"/>
    <n v="202189"/>
    <n v="33400.768349999998"/>
    <x v="0"/>
    <x v="6"/>
  </r>
  <r>
    <n v="11802"/>
    <d v="2024-01-02T00:00:00"/>
    <x v="4"/>
    <x v="0"/>
    <x v="2"/>
    <x v="0"/>
    <n v="1"/>
    <n v="57627"/>
    <x v="1792"/>
    <n v="2216"/>
    <n v="55411"/>
    <n v="7340.4498240000003"/>
    <x v="0"/>
    <x v="4"/>
  </r>
  <r>
    <n v="11803"/>
    <d v="2024-08-12T00:00:00"/>
    <x v="1"/>
    <x v="0"/>
    <x v="2"/>
    <x v="2"/>
    <n v="3"/>
    <n v="31117"/>
    <x v="1793"/>
    <n v="2839"/>
    <n v="90512"/>
    <n v="14786.4458"/>
    <x v="0"/>
    <x v="6"/>
  </r>
  <r>
    <n v="11804"/>
    <d v="2025-08-11T00:00:00"/>
    <x v="0"/>
    <x v="3"/>
    <x v="1"/>
    <x v="3"/>
    <n v="8"/>
    <n v="73034"/>
    <x v="1794"/>
    <n v="1463"/>
    <n v="582809"/>
    <n v="114345.762"/>
    <x v="1"/>
    <x v="6"/>
  </r>
  <r>
    <n v="11805"/>
    <d v="2024-04-25T00:00:00"/>
    <x v="3"/>
    <x v="3"/>
    <x v="2"/>
    <x v="1"/>
    <n v="7"/>
    <n v="30483"/>
    <x v="1795"/>
    <n v="3470"/>
    <n v="209911"/>
    <n v="26980.049169999998"/>
    <x v="0"/>
    <x v="0"/>
  </r>
  <r>
    <n v="11806"/>
    <d v="2025-10-27T00:00:00"/>
    <x v="1"/>
    <x v="3"/>
    <x v="1"/>
    <x v="0"/>
    <n v="7"/>
    <n v="76264"/>
    <x v="1796"/>
    <n v="1516"/>
    <n v="532332"/>
    <n v="114960.81759999999"/>
    <x v="1"/>
    <x v="8"/>
  </r>
  <r>
    <n v="11807"/>
    <d v="2024-04-12T00:00:00"/>
    <x v="0"/>
    <x v="4"/>
    <x v="2"/>
    <x v="2"/>
    <n v="3"/>
    <n v="61469"/>
    <x v="1797"/>
    <n v="3050"/>
    <n v="181357"/>
    <n v="27128.111209999999"/>
    <x v="0"/>
    <x v="0"/>
  </r>
  <r>
    <n v="11808"/>
    <d v="2024-07-12T00:00:00"/>
    <x v="2"/>
    <x v="3"/>
    <x v="1"/>
    <x v="3"/>
    <n v="9"/>
    <n v="23877"/>
    <x v="1798"/>
    <n v="4423"/>
    <n v="210470"/>
    <n v="50476.293819999999"/>
    <x v="0"/>
    <x v="10"/>
  </r>
  <r>
    <n v="11809"/>
    <d v="2024-06-14T00:00:00"/>
    <x v="2"/>
    <x v="4"/>
    <x v="0"/>
    <x v="1"/>
    <n v="6"/>
    <n v="67396"/>
    <x v="1799"/>
    <n v="1526"/>
    <n v="402850"/>
    <n v="71216.056469999996"/>
    <x v="0"/>
    <x v="11"/>
  </r>
  <r>
    <n v="11810"/>
    <d v="2024-03-30T00:00:00"/>
    <x v="0"/>
    <x v="2"/>
    <x v="1"/>
    <x v="0"/>
    <n v="8"/>
    <n v="8088"/>
    <x v="1800"/>
    <n v="3610"/>
    <n v="61094"/>
    <n v="13872.55227"/>
    <x v="0"/>
    <x v="1"/>
  </r>
  <r>
    <n v="11811"/>
    <d v="2025-11-16T00:00:00"/>
    <x v="4"/>
    <x v="0"/>
    <x v="1"/>
    <x v="1"/>
    <n v="8"/>
    <n v="28179"/>
    <x v="1801"/>
    <n v="2392"/>
    <n v="223040"/>
    <n v="42909.302170000003"/>
    <x v="1"/>
    <x v="7"/>
  </r>
  <r>
    <n v="11812"/>
    <d v="2024-05-01T00:00:00"/>
    <x v="0"/>
    <x v="0"/>
    <x v="2"/>
    <x v="3"/>
    <n v="3"/>
    <n v="52954"/>
    <x v="1802"/>
    <n v="788"/>
    <n v="158074"/>
    <n v="28957.619780000001"/>
    <x v="0"/>
    <x v="5"/>
  </r>
  <r>
    <n v="11813"/>
    <d v="2024-05-22T00:00:00"/>
    <x v="0"/>
    <x v="1"/>
    <x v="1"/>
    <x v="0"/>
    <n v="4"/>
    <n v="27011"/>
    <x v="1803"/>
    <n v="2548"/>
    <n v="105496"/>
    <n v="21343.900079999999"/>
    <x v="0"/>
    <x v="5"/>
  </r>
  <r>
    <n v="11814"/>
    <d v="2024-04-15T00:00:00"/>
    <x v="4"/>
    <x v="2"/>
    <x v="1"/>
    <x v="3"/>
    <n v="6"/>
    <n v="17839"/>
    <x v="1804"/>
    <n v="4657"/>
    <n v="102377"/>
    <n v="22699.404020000002"/>
    <x v="0"/>
    <x v="0"/>
  </r>
  <r>
    <n v="11815"/>
    <d v="2025-03-03T00:00:00"/>
    <x v="4"/>
    <x v="3"/>
    <x v="2"/>
    <x v="2"/>
    <n v="2"/>
    <n v="57903"/>
    <x v="1805"/>
    <n v="4608"/>
    <n v="111198"/>
    <n v="21869.991819999999"/>
    <x v="1"/>
    <x v="1"/>
  </r>
  <r>
    <n v="11816"/>
    <d v="2024-10-31T00:00:00"/>
    <x v="1"/>
    <x v="3"/>
    <x v="0"/>
    <x v="3"/>
    <n v="7"/>
    <n v="68561"/>
    <x v="1806"/>
    <n v="515"/>
    <n v="479412"/>
    <n v="105272.21279999999"/>
    <x v="0"/>
    <x v="8"/>
  </r>
  <r>
    <n v="11817"/>
    <d v="2024-11-12T00:00:00"/>
    <x v="1"/>
    <x v="2"/>
    <x v="0"/>
    <x v="2"/>
    <n v="2"/>
    <n v="28625"/>
    <x v="1807"/>
    <n v="3062"/>
    <n v="54188"/>
    <n v="6966.9389499999997"/>
    <x v="0"/>
    <x v="7"/>
  </r>
  <r>
    <n v="11818"/>
    <d v="2025-09-26T00:00:00"/>
    <x v="4"/>
    <x v="3"/>
    <x v="0"/>
    <x v="3"/>
    <n v="5"/>
    <n v="23481"/>
    <x v="1808"/>
    <n v="4762"/>
    <n v="112643"/>
    <n v="15953.344349999999"/>
    <x v="1"/>
    <x v="2"/>
  </r>
  <r>
    <n v="11819"/>
    <d v="2024-01-09T00:00:00"/>
    <x v="2"/>
    <x v="1"/>
    <x v="1"/>
    <x v="1"/>
    <n v="4"/>
    <n v="24558"/>
    <x v="1809"/>
    <n v="1567"/>
    <n v="96665"/>
    <n v="12997.423479999999"/>
    <x v="0"/>
    <x v="4"/>
  </r>
  <r>
    <n v="11820"/>
    <d v="2024-03-13T00:00:00"/>
    <x v="2"/>
    <x v="4"/>
    <x v="2"/>
    <x v="1"/>
    <n v="9"/>
    <n v="36104"/>
    <x v="1810"/>
    <n v="1448"/>
    <n v="323488"/>
    <n v="71085.025240000003"/>
    <x v="0"/>
    <x v="1"/>
  </r>
  <r>
    <n v="11821"/>
    <d v="2024-12-24T00:00:00"/>
    <x v="0"/>
    <x v="0"/>
    <x v="0"/>
    <x v="0"/>
    <n v="2"/>
    <n v="58586"/>
    <x v="1811"/>
    <n v="966"/>
    <n v="116206"/>
    <n v="13121.898300000001"/>
    <x v="0"/>
    <x v="3"/>
  </r>
  <r>
    <n v="11822"/>
    <d v="2024-08-10T00:00:00"/>
    <x v="3"/>
    <x v="2"/>
    <x v="0"/>
    <x v="1"/>
    <n v="7"/>
    <n v="49420"/>
    <x v="1812"/>
    <n v="363"/>
    <n v="345577"/>
    <n v="75812.502429999993"/>
    <x v="0"/>
    <x v="6"/>
  </r>
  <r>
    <n v="11823"/>
    <d v="2025-02-19T00:00:00"/>
    <x v="0"/>
    <x v="0"/>
    <x v="0"/>
    <x v="1"/>
    <n v="7"/>
    <n v="9061"/>
    <x v="1813"/>
    <n v="107"/>
    <n v="63320"/>
    <n v="10027.12376"/>
    <x v="1"/>
    <x v="9"/>
  </r>
  <r>
    <n v="11824"/>
    <d v="2025-07-06T00:00:00"/>
    <x v="0"/>
    <x v="4"/>
    <x v="0"/>
    <x v="2"/>
    <n v="7"/>
    <n v="38241"/>
    <x v="1814"/>
    <n v="3094"/>
    <n v="264593"/>
    <n v="29614.855780000002"/>
    <x v="1"/>
    <x v="10"/>
  </r>
  <r>
    <n v="11825"/>
    <d v="2025-01-04T00:00:00"/>
    <x v="3"/>
    <x v="2"/>
    <x v="2"/>
    <x v="1"/>
    <n v="1"/>
    <n v="67055"/>
    <x v="1815"/>
    <n v="622"/>
    <n v="66433"/>
    <n v="10872.686470000001"/>
    <x v="1"/>
    <x v="4"/>
  </r>
  <r>
    <n v="11826"/>
    <d v="2025-12-16T00:00:00"/>
    <x v="4"/>
    <x v="4"/>
    <x v="0"/>
    <x v="2"/>
    <n v="8"/>
    <n v="75593"/>
    <x v="1816"/>
    <n v="4416"/>
    <n v="600328"/>
    <n v="87092.791759999993"/>
    <x v="1"/>
    <x v="3"/>
  </r>
  <r>
    <n v="11827"/>
    <d v="2024-09-20T00:00:00"/>
    <x v="2"/>
    <x v="3"/>
    <x v="1"/>
    <x v="2"/>
    <n v="2"/>
    <n v="49173"/>
    <x v="1817"/>
    <n v="509"/>
    <n v="97837"/>
    <n v="18470.923859999999"/>
    <x v="0"/>
    <x v="2"/>
  </r>
  <r>
    <n v="11828"/>
    <d v="2025-11-20T00:00:00"/>
    <x v="0"/>
    <x v="3"/>
    <x v="1"/>
    <x v="2"/>
    <n v="5"/>
    <n v="10289"/>
    <x v="1818"/>
    <n v="1064"/>
    <n v="50381"/>
    <n v="8609.0546450000002"/>
    <x v="1"/>
    <x v="7"/>
  </r>
  <r>
    <n v="11829"/>
    <d v="2024-11-13T00:00:00"/>
    <x v="3"/>
    <x v="3"/>
    <x v="2"/>
    <x v="3"/>
    <n v="2"/>
    <n v="70180"/>
    <x v="1819"/>
    <n v="3865"/>
    <n v="136495"/>
    <n v="19725.7945"/>
    <x v="0"/>
    <x v="7"/>
  </r>
  <r>
    <n v="11830"/>
    <d v="2024-03-24T00:00:00"/>
    <x v="1"/>
    <x v="4"/>
    <x v="0"/>
    <x v="2"/>
    <n v="5"/>
    <n v="7221"/>
    <x v="1820"/>
    <n v="303"/>
    <n v="35802"/>
    <n v="8210.8268009999993"/>
    <x v="0"/>
    <x v="1"/>
  </r>
  <r>
    <n v="11831"/>
    <d v="2024-11-13T00:00:00"/>
    <x v="0"/>
    <x v="4"/>
    <x v="0"/>
    <x v="3"/>
    <n v="7"/>
    <n v="68137"/>
    <x v="1821"/>
    <n v="968"/>
    <n v="475991"/>
    <n v="76645.600529999996"/>
    <x v="0"/>
    <x v="7"/>
  </r>
  <r>
    <n v="11832"/>
    <d v="2024-04-20T00:00:00"/>
    <x v="2"/>
    <x v="4"/>
    <x v="1"/>
    <x v="2"/>
    <n v="6"/>
    <n v="47942"/>
    <x v="1822"/>
    <n v="1438"/>
    <n v="286214"/>
    <n v="48829.109799999998"/>
    <x v="0"/>
    <x v="0"/>
  </r>
  <r>
    <n v="11833"/>
    <d v="2024-09-07T00:00:00"/>
    <x v="4"/>
    <x v="0"/>
    <x v="2"/>
    <x v="3"/>
    <n v="5"/>
    <n v="26635"/>
    <x v="1823"/>
    <n v="3521"/>
    <n v="129654"/>
    <n v="29430.716209999999"/>
    <x v="0"/>
    <x v="2"/>
  </r>
  <r>
    <n v="11834"/>
    <d v="2025-01-17T00:00:00"/>
    <x v="0"/>
    <x v="4"/>
    <x v="1"/>
    <x v="0"/>
    <n v="4"/>
    <n v="57763"/>
    <x v="1824"/>
    <n v="3871"/>
    <n v="227181"/>
    <n v="25752.895400000001"/>
    <x v="1"/>
    <x v="4"/>
  </r>
  <r>
    <n v="11835"/>
    <d v="2024-01-07T00:00:00"/>
    <x v="0"/>
    <x v="3"/>
    <x v="2"/>
    <x v="0"/>
    <n v="8"/>
    <n v="56072"/>
    <x v="1825"/>
    <n v="3500"/>
    <n v="445076"/>
    <n v="70537.411999999997"/>
    <x v="0"/>
    <x v="4"/>
  </r>
  <r>
    <n v="11836"/>
    <d v="2025-04-03T00:00:00"/>
    <x v="3"/>
    <x v="1"/>
    <x v="2"/>
    <x v="3"/>
    <n v="8"/>
    <n v="12075"/>
    <x v="1826"/>
    <n v="2199"/>
    <n v="94401"/>
    <n v="15144.61111"/>
    <x v="1"/>
    <x v="0"/>
  </r>
  <r>
    <n v="11837"/>
    <d v="2024-03-24T00:00:00"/>
    <x v="1"/>
    <x v="4"/>
    <x v="2"/>
    <x v="0"/>
    <n v="1"/>
    <n v="27378"/>
    <x v="1827"/>
    <n v="4354"/>
    <n v="23024"/>
    <n v="4014.7834830000002"/>
    <x v="0"/>
    <x v="1"/>
  </r>
  <r>
    <n v="11838"/>
    <d v="2024-07-26T00:00:00"/>
    <x v="1"/>
    <x v="1"/>
    <x v="1"/>
    <x v="1"/>
    <n v="2"/>
    <n v="40084"/>
    <x v="1828"/>
    <n v="3901"/>
    <n v="76267"/>
    <n v="8840.7248830000008"/>
    <x v="0"/>
    <x v="10"/>
  </r>
  <r>
    <n v="11839"/>
    <d v="2025-01-24T00:00:00"/>
    <x v="4"/>
    <x v="3"/>
    <x v="2"/>
    <x v="2"/>
    <n v="3"/>
    <n v="55426"/>
    <x v="1829"/>
    <n v="2270"/>
    <n v="164008"/>
    <n v="18926.36217"/>
    <x v="1"/>
    <x v="4"/>
  </r>
  <r>
    <n v="11840"/>
    <d v="2024-11-09T00:00:00"/>
    <x v="2"/>
    <x v="4"/>
    <x v="1"/>
    <x v="3"/>
    <n v="1"/>
    <n v="36584"/>
    <x v="1830"/>
    <n v="229"/>
    <n v="36355"/>
    <n v="5906.3203110000004"/>
    <x v="0"/>
    <x v="7"/>
  </r>
  <r>
    <n v="11841"/>
    <d v="2024-01-22T00:00:00"/>
    <x v="4"/>
    <x v="0"/>
    <x v="1"/>
    <x v="0"/>
    <n v="3"/>
    <n v="36245"/>
    <x v="1831"/>
    <n v="2486"/>
    <n v="106249"/>
    <n v="11151.29487"/>
    <x v="0"/>
    <x v="4"/>
  </r>
  <r>
    <n v="11842"/>
    <d v="2025-02-13T00:00:00"/>
    <x v="0"/>
    <x v="0"/>
    <x v="0"/>
    <x v="0"/>
    <n v="8"/>
    <n v="63959"/>
    <x v="1832"/>
    <n v="149"/>
    <n v="511523"/>
    <n v="70716.854640000005"/>
    <x v="1"/>
    <x v="9"/>
  </r>
  <r>
    <n v="11843"/>
    <d v="2025-05-29T00:00:00"/>
    <x v="0"/>
    <x v="1"/>
    <x v="1"/>
    <x v="1"/>
    <n v="4"/>
    <n v="9983"/>
    <x v="1833"/>
    <n v="909"/>
    <n v="39023"/>
    <n v="5079.8780690000003"/>
    <x v="1"/>
    <x v="5"/>
  </r>
  <r>
    <n v="11844"/>
    <d v="2024-05-06T00:00:00"/>
    <x v="1"/>
    <x v="0"/>
    <x v="1"/>
    <x v="2"/>
    <n v="7"/>
    <n v="35897"/>
    <x v="1834"/>
    <n v="3528"/>
    <n v="247751"/>
    <n v="42961.990339999997"/>
    <x v="0"/>
    <x v="5"/>
  </r>
  <r>
    <n v="11845"/>
    <d v="2025-11-30T00:00:00"/>
    <x v="2"/>
    <x v="0"/>
    <x v="0"/>
    <x v="1"/>
    <n v="7"/>
    <n v="45602"/>
    <x v="1835"/>
    <n v="977"/>
    <n v="318237"/>
    <n v="32356.407599999999"/>
    <x v="1"/>
    <x v="7"/>
  </r>
  <r>
    <n v="11846"/>
    <d v="2024-01-14T00:00:00"/>
    <x v="3"/>
    <x v="0"/>
    <x v="0"/>
    <x v="3"/>
    <n v="5"/>
    <n v="54411"/>
    <x v="1836"/>
    <n v="634"/>
    <n v="271421"/>
    <n v="54653.337319999999"/>
    <x v="0"/>
    <x v="4"/>
  </r>
  <r>
    <n v="11847"/>
    <d v="2024-01-12T00:00:00"/>
    <x v="2"/>
    <x v="3"/>
    <x v="0"/>
    <x v="0"/>
    <n v="1"/>
    <n v="73742"/>
    <x v="1837"/>
    <n v="4717"/>
    <n v="69025"/>
    <n v="15761.03708"/>
    <x v="0"/>
    <x v="4"/>
  </r>
  <r>
    <n v="11848"/>
    <d v="2024-03-27T00:00:00"/>
    <x v="0"/>
    <x v="0"/>
    <x v="2"/>
    <x v="0"/>
    <n v="4"/>
    <n v="43126"/>
    <x v="1838"/>
    <n v="2190"/>
    <n v="170314"/>
    <n v="35086.596239999999"/>
    <x v="0"/>
    <x v="1"/>
  </r>
  <r>
    <n v="11849"/>
    <d v="2025-06-07T00:00:00"/>
    <x v="3"/>
    <x v="2"/>
    <x v="2"/>
    <x v="0"/>
    <n v="7"/>
    <n v="75043"/>
    <x v="1839"/>
    <n v="4149"/>
    <n v="521152"/>
    <n v="116066.6611"/>
    <x v="1"/>
    <x v="11"/>
  </r>
  <r>
    <n v="11850"/>
    <d v="2025-06-20T00:00:00"/>
    <x v="2"/>
    <x v="4"/>
    <x v="0"/>
    <x v="1"/>
    <n v="5"/>
    <n v="60610"/>
    <x v="1840"/>
    <n v="4939"/>
    <n v="298111"/>
    <n v="58578.054470000003"/>
    <x v="1"/>
    <x v="11"/>
  </r>
  <r>
    <n v="11851"/>
    <d v="2024-10-27T00:00:00"/>
    <x v="2"/>
    <x v="0"/>
    <x v="2"/>
    <x v="1"/>
    <n v="2"/>
    <n v="28925"/>
    <x v="1841"/>
    <n v="3474"/>
    <n v="54376"/>
    <n v="9575.8884789999993"/>
    <x v="0"/>
    <x v="8"/>
  </r>
  <r>
    <n v="11852"/>
    <d v="2024-08-30T00:00:00"/>
    <x v="3"/>
    <x v="0"/>
    <x v="0"/>
    <x v="2"/>
    <n v="8"/>
    <n v="41276"/>
    <x v="1842"/>
    <n v="3780"/>
    <n v="326428"/>
    <n v="43367.017290000003"/>
    <x v="0"/>
    <x v="6"/>
  </r>
  <r>
    <n v="11853"/>
    <d v="2024-05-01T00:00:00"/>
    <x v="0"/>
    <x v="0"/>
    <x v="2"/>
    <x v="3"/>
    <n v="2"/>
    <n v="28689"/>
    <x v="1843"/>
    <n v="1865"/>
    <n v="55513"/>
    <n v="7879.7346159999997"/>
    <x v="0"/>
    <x v="5"/>
  </r>
  <r>
    <n v="11854"/>
    <d v="2024-05-26T00:00:00"/>
    <x v="2"/>
    <x v="2"/>
    <x v="1"/>
    <x v="2"/>
    <n v="8"/>
    <n v="68942"/>
    <x v="1844"/>
    <n v="298"/>
    <n v="551238"/>
    <n v="81393.708679999996"/>
    <x v="0"/>
    <x v="5"/>
  </r>
  <r>
    <n v="11855"/>
    <d v="2025-07-20T00:00:00"/>
    <x v="3"/>
    <x v="0"/>
    <x v="2"/>
    <x v="2"/>
    <n v="2"/>
    <n v="59146"/>
    <x v="1845"/>
    <n v="2739"/>
    <n v="115553"/>
    <n v="12214.25836"/>
    <x v="1"/>
    <x v="10"/>
  </r>
  <r>
    <n v="11856"/>
    <d v="2024-12-21T00:00:00"/>
    <x v="0"/>
    <x v="0"/>
    <x v="2"/>
    <x v="0"/>
    <n v="5"/>
    <n v="20238"/>
    <x v="1846"/>
    <n v="3725"/>
    <n v="97465"/>
    <n v="23095.629570000001"/>
    <x v="0"/>
    <x v="3"/>
  </r>
  <r>
    <n v="11857"/>
    <d v="2025-11-15T00:00:00"/>
    <x v="3"/>
    <x v="4"/>
    <x v="1"/>
    <x v="1"/>
    <n v="4"/>
    <n v="65424"/>
    <x v="1847"/>
    <n v="3391"/>
    <n v="258305"/>
    <n v="60713.403440000002"/>
    <x v="1"/>
    <x v="7"/>
  </r>
  <r>
    <n v="11858"/>
    <d v="2025-09-22T00:00:00"/>
    <x v="3"/>
    <x v="2"/>
    <x v="0"/>
    <x v="3"/>
    <n v="1"/>
    <n v="29807"/>
    <x v="1848"/>
    <n v="4540"/>
    <n v="25267"/>
    <n v="2935.1834389999999"/>
    <x v="1"/>
    <x v="2"/>
  </r>
  <r>
    <n v="11859"/>
    <d v="2024-11-04T00:00:00"/>
    <x v="2"/>
    <x v="2"/>
    <x v="2"/>
    <x v="2"/>
    <n v="8"/>
    <n v="79457"/>
    <x v="1849"/>
    <n v="97"/>
    <n v="635559"/>
    <n v="116627.6409"/>
    <x v="0"/>
    <x v="7"/>
  </r>
  <r>
    <n v="11860"/>
    <d v="2025-11-25T00:00:00"/>
    <x v="0"/>
    <x v="0"/>
    <x v="2"/>
    <x v="3"/>
    <n v="3"/>
    <n v="16204"/>
    <x v="1850"/>
    <n v="3197"/>
    <n v="45415"/>
    <n v="7727.1894060000004"/>
    <x v="1"/>
    <x v="7"/>
  </r>
  <r>
    <n v="11861"/>
    <d v="2024-10-14T00:00:00"/>
    <x v="2"/>
    <x v="2"/>
    <x v="1"/>
    <x v="0"/>
    <n v="4"/>
    <n v="70245"/>
    <x v="1851"/>
    <n v="2105"/>
    <n v="278875"/>
    <n v="56475.561759999997"/>
    <x v="0"/>
    <x v="8"/>
  </r>
  <r>
    <n v="11862"/>
    <d v="2024-11-02T00:00:00"/>
    <x v="4"/>
    <x v="1"/>
    <x v="1"/>
    <x v="2"/>
    <n v="4"/>
    <n v="43567"/>
    <x v="1852"/>
    <n v="4272"/>
    <n v="169996"/>
    <n v="32376.188529999999"/>
    <x v="0"/>
    <x v="7"/>
  </r>
  <r>
    <n v="11863"/>
    <d v="2025-08-16T00:00:00"/>
    <x v="4"/>
    <x v="2"/>
    <x v="1"/>
    <x v="1"/>
    <n v="5"/>
    <n v="40697"/>
    <x v="1853"/>
    <n v="4814"/>
    <n v="198671"/>
    <n v="23571.97048"/>
    <x v="1"/>
    <x v="6"/>
  </r>
  <r>
    <n v="11864"/>
    <d v="2025-12-23T00:00:00"/>
    <x v="0"/>
    <x v="2"/>
    <x v="1"/>
    <x v="2"/>
    <n v="3"/>
    <n v="6530"/>
    <x v="1854"/>
    <n v="3522"/>
    <n v="16068"/>
    <n v="3197.7191400000002"/>
    <x v="1"/>
    <x v="3"/>
  </r>
  <r>
    <n v="11865"/>
    <d v="2025-10-23T00:00:00"/>
    <x v="3"/>
    <x v="2"/>
    <x v="0"/>
    <x v="0"/>
    <n v="9"/>
    <n v="29297"/>
    <x v="1855"/>
    <n v="4418"/>
    <n v="259255"/>
    <n v="49603.478369999997"/>
    <x v="1"/>
    <x v="8"/>
  </r>
  <r>
    <n v="11866"/>
    <d v="2025-07-02T00:00:00"/>
    <x v="2"/>
    <x v="3"/>
    <x v="2"/>
    <x v="2"/>
    <n v="4"/>
    <n v="79838"/>
    <x v="1856"/>
    <n v="845"/>
    <n v="318507"/>
    <n v="57230.467089999998"/>
    <x v="1"/>
    <x v="10"/>
  </r>
  <r>
    <n v="11867"/>
    <d v="2024-12-17T00:00:00"/>
    <x v="2"/>
    <x v="3"/>
    <x v="2"/>
    <x v="0"/>
    <n v="4"/>
    <n v="53906"/>
    <x v="1857"/>
    <n v="4185"/>
    <n v="211439"/>
    <n v="33906.556790000002"/>
    <x v="0"/>
    <x v="3"/>
  </r>
  <r>
    <n v="11868"/>
    <d v="2024-11-07T00:00:00"/>
    <x v="0"/>
    <x v="3"/>
    <x v="2"/>
    <x v="2"/>
    <n v="6"/>
    <n v="71251"/>
    <x v="1858"/>
    <n v="4226"/>
    <n v="423280"/>
    <n v="102957.8438"/>
    <x v="0"/>
    <x v="7"/>
  </r>
  <r>
    <n v="11869"/>
    <d v="2024-02-28T00:00:00"/>
    <x v="0"/>
    <x v="2"/>
    <x v="2"/>
    <x v="3"/>
    <n v="8"/>
    <n v="65748"/>
    <x v="1859"/>
    <n v="3881"/>
    <n v="522103"/>
    <n v="118734.54150000001"/>
    <x v="0"/>
    <x v="9"/>
  </r>
  <r>
    <n v="11870"/>
    <d v="2025-10-04T00:00:00"/>
    <x v="4"/>
    <x v="1"/>
    <x v="0"/>
    <x v="1"/>
    <n v="7"/>
    <n v="45295"/>
    <x v="1860"/>
    <n v="1052"/>
    <n v="316013"/>
    <n v="59335.468730000001"/>
    <x v="1"/>
    <x v="8"/>
  </r>
  <r>
    <n v="11871"/>
    <d v="2025-12-14T00:00:00"/>
    <x v="1"/>
    <x v="2"/>
    <x v="2"/>
    <x v="0"/>
    <n v="4"/>
    <n v="57464"/>
    <x v="1861"/>
    <n v="3848"/>
    <n v="226008"/>
    <n v="22817.015930000001"/>
    <x v="1"/>
    <x v="3"/>
  </r>
  <r>
    <n v="11872"/>
    <d v="2024-02-04T00:00:00"/>
    <x v="0"/>
    <x v="0"/>
    <x v="0"/>
    <x v="3"/>
    <n v="4"/>
    <n v="12223"/>
    <x v="1862"/>
    <n v="3615"/>
    <n v="45277"/>
    <n v="7462.4866050000001"/>
    <x v="0"/>
    <x v="9"/>
  </r>
  <r>
    <n v="11873"/>
    <d v="2025-03-20T00:00:00"/>
    <x v="1"/>
    <x v="1"/>
    <x v="0"/>
    <x v="0"/>
    <n v="5"/>
    <n v="18421"/>
    <x v="1863"/>
    <n v="3157"/>
    <n v="88948"/>
    <n v="18238.872729999999"/>
    <x v="1"/>
    <x v="1"/>
  </r>
  <r>
    <n v="11874"/>
    <d v="2024-04-02T00:00:00"/>
    <x v="0"/>
    <x v="3"/>
    <x v="1"/>
    <x v="2"/>
    <n v="5"/>
    <n v="19066"/>
    <x v="1864"/>
    <n v="2105"/>
    <n v="93225"/>
    <n v="10962.71326"/>
    <x v="0"/>
    <x v="0"/>
  </r>
  <r>
    <n v="11875"/>
    <d v="2024-07-25T00:00:00"/>
    <x v="3"/>
    <x v="4"/>
    <x v="1"/>
    <x v="0"/>
    <n v="1"/>
    <n v="26576"/>
    <x v="1865"/>
    <n v="993"/>
    <n v="25583"/>
    <n v="4118.413826"/>
    <x v="0"/>
    <x v="10"/>
  </r>
  <r>
    <n v="11876"/>
    <d v="2024-12-18T00:00:00"/>
    <x v="3"/>
    <x v="1"/>
    <x v="2"/>
    <x v="0"/>
    <n v="8"/>
    <n v="7140"/>
    <x v="1866"/>
    <n v="3096"/>
    <n v="54024"/>
    <n v="6956.0645249999998"/>
    <x v="0"/>
    <x v="3"/>
  </r>
  <r>
    <n v="11877"/>
    <d v="2024-11-27T00:00:00"/>
    <x v="4"/>
    <x v="3"/>
    <x v="0"/>
    <x v="1"/>
    <n v="5"/>
    <n v="64016"/>
    <x v="1867"/>
    <n v="189"/>
    <n v="319891"/>
    <n v="48214.43475"/>
    <x v="0"/>
    <x v="7"/>
  </r>
  <r>
    <n v="11878"/>
    <d v="2025-12-25T00:00:00"/>
    <x v="4"/>
    <x v="1"/>
    <x v="1"/>
    <x v="3"/>
    <n v="3"/>
    <n v="46378"/>
    <x v="1868"/>
    <n v="2123"/>
    <n v="137011"/>
    <n v="14249.19615"/>
    <x v="1"/>
    <x v="3"/>
  </r>
  <r>
    <n v="11879"/>
    <d v="2024-06-07T00:00:00"/>
    <x v="1"/>
    <x v="1"/>
    <x v="0"/>
    <x v="2"/>
    <n v="3"/>
    <n v="12370"/>
    <x v="1869"/>
    <n v="2418"/>
    <n v="34692"/>
    <n v="4128.6899709999998"/>
    <x v="0"/>
    <x v="11"/>
  </r>
  <r>
    <n v="11880"/>
    <d v="2024-01-24T00:00:00"/>
    <x v="0"/>
    <x v="2"/>
    <x v="1"/>
    <x v="1"/>
    <n v="4"/>
    <n v="56750"/>
    <x v="1870"/>
    <n v="4994"/>
    <n v="222006"/>
    <n v="37344.412389999998"/>
    <x v="0"/>
    <x v="4"/>
  </r>
  <r>
    <n v="11881"/>
    <d v="2025-02-07T00:00:00"/>
    <x v="2"/>
    <x v="0"/>
    <x v="0"/>
    <x v="0"/>
    <n v="7"/>
    <n v="17022"/>
    <x v="1871"/>
    <n v="2898"/>
    <n v="116256"/>
    <n v="27288.595120000002"/>
    <x v="1"/>
    <x v="9"/>
  </r>
  <r>
    <n v="11882"/>
    <d v="2025-05-30T00:00:00"/>
    <x v="4"/>
    <x v="4"/>
    <x v="2"/>
    <x v="1"/>
    <n v="5"/>
    <n v="64222"/>
    <x v="1872"/>
    <n v="4601"/>
    <n v="316509"/>
    <n v="54941.924769999998"/>
    <x v="1"/>
    <x v="5"/>
  </r>
  <r>
    <n v="11883"/>
    <d v="2024-12-29T00:00:00"/>
    <x v="2"/>
    <x v="3"/>
    <x v="2"/>
    <x v="0"/>
    <n v="1"/>
    <n v="23328"/>
    <x v="1873"/>
    <n v="1966"/>
    <n v="21362"/>
    <n v="3587.9961330000001"/>
    <x v="0"/>
    <x v="3"/>
  </r>
  <r>
    <n v="11884"/>
    <d v="2025-01-16T00:00:00"/>
    <x v="2"/>
    <x v="1"/>
    <x v="0"/>
    <x v="2"/>
    <n v="5"/>
    <n v="7929"/>
    <x v="1874"/>
    <n v="4278"/>
    <n v="35367"/>
    <n v="7714.7950080000001"/>
    <x v="1"/>
    <x v="4"/>
  </r>
  <r>
    <n v="11885"/>
    <d v="2025-06-15T00:00:00"/>
    <x v="0"/>
    <x v="4"/>
    <x v="1"/>
    <x v="0"/>
    <n v="5"/>
    <n v="48727"/>
    <x v="1875"/>
    <n v="4249"/>
    <n v="239386"/>
    <n v="33555.815620000001"/>
    <x v="1"/>
    <x v="11"/>
  </r>
  <r>
    <n v="11886"/>
    <d v="2024-05-31T00:00:00"/>
    <x v="1"/>
    <x v="1"/>
    <x v="1"/>
    <x v="1"/>
    <n v="6"/>
    <n v="73919"/>
    <x v="1876"/>
    <n v="3411"/>
    <n v="440103"/>
    <n v="50286.306259999998"/>
    <x v="0"/>
    <x v="5"/>
  </r>
  <r>
    <n v="11887"/>
    <d v="2025-07-15T00:00:00"/>
    <x v="0"/>
    <x v="0"/>
    <x v="2"/>
    <x v="1"/>
    <n v="7"/>
    <n v="57692"/>
    <x v="1877"/>
    <n v="3946"/>
    <n v="399898"/>
    <n v="52560.95076"/>
    <x v="1"/>
    <x v="10"/>
  </r>
  <r>
    <n v="11888"/>
    <d v="2025-11-19T00:00:00"/>
    <x v="4"/>
    <x v="4"/>
    <x v="2"/>
    <x v="0"/>
    <n v="5"/>
    <n v="54545"/>
    <x v="1878"/>
    <n v="1046"/>
    <n v="271679"/>
    <n v="59414.873010000003"/>
    <x v="1"/>
    <x v="7"/>
  </r>
  <r>
    <n v="11889"/>
    <d v="2025-08-30T00:00:00"/>
    <x v="2"/>
    <x v="3"/>
    <x v="2"/>
    <x v="3"/>
    <n v="2"/>
    <n v="53338"/>
    <x v="1879"/>
    <n v="2573"/>
    <n v="104103"/>
    <n v="20982.708019999998"/>
    <x v="1"/>
    <x v="6"/>
  </r>
  <r>
    <n v="11890"/>
    <d v="2025-09-08T00:00:00"/>
    <x v="0"/>
    <x v="1"/>
    <x v="1"/>
    <x v="1"/>
    <n v="2"/>
    <n v="64962"/>
    <x v="1880"/>
    <n v="605"/>
    <n v="129319"/>
    <n v="14707.44694"/>
    <x v="1"/>
    <x v="2"/>
  </r>
  <r>
    <n v="11891"/>
    <d v="2025-02-23T00:00:00"/>
    <x v="0"/>
    <x v="0"/>
    <x v="1"/>
    <x v="3"/>
    <n v="4"/>
    <n v="28161"/>
    <x v="1881"/>
    <n v="1366"/>
    <n v="111278"/>
    <n v="22262.7189"/>
    <x v="1"/>
    <x v="9"/>
  </r>
  <r>
    <n v="11892"/>
    <d v="2024-09-06T00:00:00"/>
    <x v="0"/>
    <x v="4"/>
    <x v="2"/>
    <x v="3"/>
    <n v="1"/>
    <n v="13823"/>
    <x v="1882"/>
    <n v="2926"/>
    <n v="10897"/>
    <n v="2612.3674799999999"/>
    <x v="0"/>
    <x v="2"/>
  </r>
  <r>
    <n v="11893"/>
    <d v="2024-04-26T00:00:00"/>
    <x v="4"/>
    <x v="1"/>
    <x v="0"/>
    <x v="3"/>
    <n v="7"/>
    <n v="38089"/>
    <x v="1883"/>
    <n v="1958"/>
    <n v="264665"/>
    <n v="28251.200509999999"/>
    <x v="0"/>
    <x v="0"/>
  </r>
  <r>
    <n v="11894"/>
    <d v="2025-05-26T00:00:00"/>
    <x v="1"/>
    <x v="1"/>
    <x v="1"/>
    <x v="3"/>
    <n v="1"/>
    <n v="65850"/>
    <x v="1884"/>
    <n v="1064"/>
    <n v="64786"/>
    <n v="12468.88941"/>
    <x v="1"/>
    <x v="5"/>
  </r>
  <r>
    <n v="11895"/>
    <d v="2025-07-31T00:00:00"/>
    <x v="0"/>
    <x v="3"/>
    <x v="2"/>
    <x v="1"/>
    <n v="3"/>
    <n v="26053"/>
    <x v="1885"/>
    <n v="517"/>
    <n v="77642"/>
    <n v="12180.064329999999"/>
    <x v="1"/>
    <x v="10"/>
  </r>
  <r>
    <n v="11896"/>
    <d v="2024-11-30T00:00:00"/>
    <x v="4"/>
    <x v="0"/>
    <x v="0"/>
    <x v="1"/>
    <n v="7"/>
    <n v="22447"/>
    <x v="1886"/>
    <n v="2454"/>
    <n v="154675"/>
    <n v="27092.056140000001"/>
    <x v="0"/>
    <x v="7"/>
  </r>
  <r>
    <n v="11897"/>
    <d v="2025-02-21T00:00:00"/>
    <x v="2"/>
    <x v="2"/>
    <x v="1"/>
    <x v="3"/>
    <n v="6"/>
    <n v="8111"/>
    <x v="1887"/>
    <n v="4233"/>
    <n v="44433"/>
    <n v="7963.5853999999999"/>
    <x v="1"/>
    <x v="9"/>
  </r>
  <r>
    <n v="11898"/>
    <d v="2024-10-21T00:00:00"/>
    <x v="3"/>
    <x v="1"/>
    <x v="0"/>
    <x v="1"/>
    <n v="7"/>
    <n v="63820"/>
    <x v="1888"/>
    <n v="3807"/>
    <n v="442933"/>
    <n v="95521.564159999994"/>
    <x v="0"/>
    <x v="8"/>
  </r>
  <r>
    <n v="11899"/>
    <d v="2025-01-05T00:00:00"/>
    <x v="4"/>
    <x v="4"/>
    <x v="0"/>
    <x v="3"/>
    <n v="5"/>
    <n v="73622"/>
    <x v="1889"/>
    <n v="2589"/>
    <n v="365521"/>
    <n v="67092.065990000003"/>
    <x v="1"/>
    <x v="4"/>
  </r>
  <r>
    <n v="11900"/>
    <d v="2024-07-04T00:00:00"/>
    <x v="3"/>
    <x v="3"/>
    <x v="1"/>
    <x v="3"/>
    <n v="8"/>
    <n v="57963"/>
    <x v="1890"/>
    <n v="2272"/>
    <n v="461432"/>
    <n v="87193.503129999997"/>
    <x v="0"/>
    <x v="10"/>
  </r>
  <r>
    <n v="11901"/>
    <d v="2024-09-02T00:00:00"/>
    <x v="0"/>
    <x v="3"/>
    <x v="2"/>
    <x v="3"/>
    <n v="6"/>
    <n v="57503"/>
    <x v="1891"/>
    <n v="2308"/>
    <n v="342710"/>
    <n v="51384.832699999999"/>
    <x v="0"/>
    <x v="2"/>
  </r>
  <r>
    <n v="11902"/>
    <d v="2025-09-28T00:00:00"/>
    <x v="0"/>
    <x v="1"/>
    <x v="0"/>
    <x v="0"/>
    <n v="4"/>
    <n v="46918"/>
    <x v="1892"/>
    <n v="1102"/>
    <n v="186570"/>
    <n v="22181.64213"/>
    <x v="1"/>
    <x v="2"/>
  </r>
  <r>
    <n v="11903"/>
    <d v="2024-09-24T00:00:00"/>
    <x v="4"/>
    <x v="1"/>
    <x v="2"/>
    <x v="2"/>
    <n v="1"/>
    <n v="76868"/>
    <x v="1893"/>
    <n v="4792"/>
    <n v="72076"/>
    <n v="14588.89235"/>
    <x v="0"/>
    <x v="2"/>
  </r>
  <r>
    <n v="11904"/>
    <d v="2025-10-04T00:00:00"/>
    <x v="3"/>
    <x v="1"/>
    <x v="1"/>
    <x v="1"/>
    <n v="2"/>
    <n v="47542"/>
    <x v="1894"/>
    <n v="810"/>
    <n v="94274"/>
    <n v="9434.2179969999997"/>
    <x v="1"/>
    <x v="8"/>
  </r>
  <r>
    <n v="11905"/>
    <d v="2024-08-24T00:00:00"/>
    <x v="0"/>
    <x v="2"/>
    <x v="0"/>
    <x v="1"/>
    <n v="6"/>
    <n v="73712"/>
    <x v="1895"/>
    <n v="3763"/>
    <n v="438509"/>
    <n v="65472.71559"/>
    <x v="0"/>
    <x v="6"/>
  </r>
  <r>
    <n v="11906"/>
    <d v="2025-06-13T00:00:00"/>
    <x v="2"/>
    <x v="1"/>
    <x v="0"/>
    <x v="3"/>
    <n v="4"/>
    <n v="7416"/>
    <x v="1896"/>
    <n v="4568"/>
    <n v="25096"/>
    <n v="3330.4046619999999"/>
    <x v="1"/>
    <x v="11"/>
  </r>
  <r>
    <n v="11907"/>
    <d v="2025-07-05T00:00:00"/>
    <x v="1"/>
    <x v="0"/>
    <x v="0"/>
    <x v="0"/>
    <n v="3"/>
    <n v="45436"/>
    <x v="1897"/>
    <n v="76"/>
    <n v="136232"/>
    <n v="21562.803159999999"/>
    <x v="1"/>
    <x v="10"/>
  </r>
  <r>
    <n v="11908"/>
    <d v="2024-01-21T00:00:00"/>
    <x v="1"/>
    <x v="4"/>
    <x v="0"/>
    <x v="0"/>
    <n v="7"/>
    <n v="79187"/>
    <x v="1898"/>
    <n v="2309"/>
    <n v="552000"/>
    <n v="80972.992639999997"/>
    <x v="0"/>
    <x v="4"/>
  </r>
  <r>
    <n v="11909"/>
    <d v="2025-06-03T00:00:00"/>
    <x v="0"/>
    <x v="1"/>
    <x v="0"/>
    <x v="1"/>
    <n v="7"/>
    <n v="15486"/>
    <x v="1899"/>
    <n v="1025"/>
    <n v="107377"/>
    <n v="22080.207610000001"/>
    <x v="1"/>
    <x v="11"/>
  </r>
  <r>
    <n v="11910"/>
    <d v="2024-04-09T00:00:00"/>
    <x v="3"/>
    <x v="2"/>
    <x v="1"/>
    <x v="3"/>
    <n v="2"/>
    <n v="23695"/>
    <x v="1900"/>
    <n v="2064"/>
    <n v="45326"/>
    <n v="6301.7149170000002"/>
    <x v="0"/>
    <x v="0"/>
  </r>
  <r>
    <n v="11911"/>
    <d v="2025-04-22T00:00:00"/>
    <x v="0"/>
    <x v="4"/>
    <x v="0"/>
    <x v="1"/>
    <n v="8"/>
    <n v="6229"/>
    <x v="1901"/>
    <n v="4439"/>
    <n v="45393"/>
    <n v="8357.4210660000008"/>
    <x v="1"/>
    <x v="0"/>
  </r>
  <r>
    <n v="11912"/>
    <d v="2025-08-21T00:00:00"/>
    <x v="3"/>
    <x v="3"/>
    <x v="1"/>
    <x v="3"/>
    <n v="1"/>
    <n v="72066"/>
    <x v="1902"/>
    <n v="2741"/>
    <n v="69325"/>
    <n v="11671.94276"/>
    <x v="1"/>
    <x v="6"/>
  </r>
  <r>
    <n v="11913"/>
    <d v="2024-10-24T00:00:00"/>
    <x v="2"/>
    <x v="1"/>
    <x v="2"/>
    <x v="3"/>
    <n v="7"/>
    <n v="47347"/>
    <x v="1903"/>
    <n v="4941"/>
    <n v="326488"/>
    <n v="71879.149420000002"/>
    <x v="0"/>
    <x v="8"/>
  </r>
  <r>
    <n v="11914"/>
    <d v="2025-06-09T00:00:00"/>
    <x v="3"/>
    <x v="4"/>
    <x v="1"/>
    <x v="2"/>
    <n v="1"/>
    <n v="6363"/>
    <x v="1904"/>
    <n v="3999"/>
    <n v="2364"/>
    <n v="388.20159619999998"/>
    <x v="1"/>
    <x v="11"/>
  </r>
  <r>
    <n v="11915"/>
    <d v="2024-11-29T00:00:00"/>
    <x v="0"/>
    <x v="3"/>
    <x v="0"/>
    <x v="3"/>
    <n v="3"/>
    <n v="50869"/>
    <x v="1905"/>
    <n v="3228"/>
    <n v="149379"/>
    <n v="34294.6417"/>
    <x v="0"/>
    <x v="7"/>
  </r>
  <r>
    <n v="11916"/>
    <d v="2024-01-02T00:00:00"/>
    <x v="2"/>
    <x v="2"/>
    <x v="2"/>
    <x v="2"/>
    <n v="3"/>
    <n v="54729"/>
    <x v="1906"/>
    <n v="4269"/>
    <n v="159918"/>
    <n v="15995.296630000001"/>
    <x v="0"/>
    <x v="4"/>
  </r>
  <r>
    <n v="11917"/>
    <d v="2025-01-09T00:00:00"/>
    <x v="4"/>
    <x v="0"/>
    <x v="1"/>
    <x v="1"/>
    <n v="2"/>
    <n v="25303"/>
    <x v="1907"/>
    <n v="3558"/>
    <n v="47048"/>
    <n v="8973.2511259999992"/>
    <x v="1"/>
    <x v="4"/>
  </r>
  <r>
    <n v="11918"/>
    <d v="2024-10-19T00:00:00"/>
    <x v="1"/>
    <x v="1"/>
    <x v="1"/>
    <x v="1"/>
    <n v="5"/>
    <n v="77853"/>
    <x v="1908"/>
    <n v="845"/>
    <n v="388420"/>
    <n v="39413.384859999998"/>
    <x v="0"/>
    <x v="8"/>
  </r>
  <r>
    <n v="11919"/>
    <d v="2025-07-06T00:00:00"/>
    <x v="0"/>
    <x v="0"/>
    <x v="1"/>
    <x v="0"/>
    <n v="4"/>
    <n v="8264"/>
    <x v="1909"/>
    <n v="692"/>
    <n v="32364"/>
    <n v="6702.265566"/>
    <x v="1"/>
    <x v="10"/>
  </r>
  <r>
    <n v="11920"/>
    <d v="2024-11-13T00:00:00"/>
    <x v="0"/>
    <x v="2"/>
    <x v="0"/>
    <x v="2"/>
    <n v="6"/>
    <n v="23315"/>
    <x v="1910"/>
    <n v="4048"/>
    <n v="135842"/>
    <n v="18371.049340000001"/>
    <x v="0"/>
    <x v="7"/>
  </r>
  <r>
    <n v="11921"/>
    <d v="2025-05-16T00:00:00"/>
    <x v="0"/>
    <x v="4"/>
    <x v="0"/>
    <x v="1"/>
    <n v="2"/>
    <n v="65521"/>
    <x v="1911"/>
    <n v="1332"/>
    <n v="129710"/>
    <n v="20364.105230000001"/>
    <x v="1"/>
    <x v="5"/>
  </r>
  <r>
    <n v="11922"/>
    <d v="2025-01-15T00:00:00"/>
    <x v="2"/>
    <x v="4"/>
    <x v="1"/>
    <x v="2"/>
    <n v="4"/>
    <n v="29811"/>
    <x v="1912"/>
    <n v="3037"/>
    <n v="116207"/>
    <n v="18252.125329999999"/>
    <x v="1"/>
    <x v="4"/>
  </r>
  <r>
    <n v="11923"/>
    <d v="2025-09-14T00:00:00"/>
    <x v="4"/>
    <x v="2"/>
    <x v="1"/>
    <x v="1"/>
    <n v="7"/>
    <n v="38405"/>
    <x v="1913"/>
    <n v="4332"/>
    <n v="264503"/>
    <n v="60032.490339999997"/>
    <x v="1"/>
    <x v="2"/>
  </r>
  <r>
    <n v="11924"/>
    <d v="2024-01-14T00:00:00"/>
    <x v="3"/>
    <x v="2"/>
    <x v="2"/>
    <x v="2"/>
    <n v="1"/>
    <n v="57157"/>
    <x v="1914"/>
    <n v="1274"/>
    <n v="55883"/>
    <n v="6444.0874640000002"/>
    <x v="0"/>
    <x v="4"/>
  </r>
  <r>
    <n v="11925"/>
    <d v="2025-05-18T00:00:00"/>
    <x v="4"/>
    <x v="1"/>
    <x v="0"/>
    <x v="2"/>
    <n v="3"/>
    <n v="64823"/>
    <x v="1915"/>
    <n v="1244"/>
    <n v="193225"/>
    <n v="38651.674570000003"/>
    <x v="1"/>
    <x v="5"/>
  </r>
  <r>
    <n v="11926"/>
    <d v="2024-08-18T00:00:00"/>
    <x v="2"/>
    <x v="3"/>
    <x v="0"/>
    <x v="3"/>
    <n v="1"/>
    <n v="24856"/>
    <x v="1916"/>
    <n v="337"/>
    <n v="24519"/>
    <n v="6060.8154290000002"/>
    <x v="0"/>
    <x v="6"/>
  </r>
  <r>
    <n v="11927"/>
    <d v="2024-03-24T00:00:00"/>
    <x v="0"/>
    <x v="0"/>
    <x v="2"/>
    <x v="1"/>
    <n v="2"/>
    <n v="51970"/>
    <x v="1917"/>
    <n v="3294"/>
    <n v="100646"/>
    <n v="10402.53549"/>
    <x v="0"/>
    <x v="1"/>
  </r>
  <r>
    <n v="11928"/>
    <d v="2024-05-09T00:00:00"/>
    <x v="1"/>
    <x v="0"/>
    <x v="1"/>
    <x v="0"/>
    <n v="9"/>
    <n v="55787"/>
    <x v="1918"/>
    <n v="336"/>
    <n v="501747"/>
    <n v="122869.8775"/>
    <x v="0"/>
    <x v="5"/>
  </r>
  <r>
    <n v="11929"/>
    <d v="2024-05-24T00:00:00"/>
    <x v="0"/>
    <x v="4"/>
    <x v="1"/>
    <x v="3"/>
    <n v="5"/>
    <n v="25598"/>
    <x v="1919"/>
    <n v="1867"/>
    <n v="126123"/>
    <n v="12960.488939999999"/>
    <x v="0"/>
    <x v="5"/>
  </r>
  <r>
    <n v="11930"/>
    <d v="2024-01-28T00:00:00"/>
    <x v="3"/>
    <x v="4"/>
    <x v="2"/>
    <x v="0"/>
    <n v="4"/>
    <n v="47541"/>
    <x v="1920"/>
    <n v="4005"/>
    <n v="186159"/>
    <n v="42104.031309999998"/>
    <x v="0"/>
    <x v="4"/>
  </r>
  <r>
    <n v="11931"/>
    <d v="2024-03-06T00:00:00"/>
    <x v="1"/>
    <x v="1"/>
    <x v="1"/>
    <x v="2"/>
    <n v="4"/>
    <n v="15652"/>
    <x v="1921"/>
    <n v="494"/>
    <n v="62114"/>
    <n v="15167.410379999999"/>
    <x v="0"/>
    <x v="1"/>
  </r>
  <r>
    <n v="11932"/>
    <d v="2024-06-11T00:00:00"/>
    <x v="0"/>
    <x v="2"/>
    <x v="1"/>
    <x v="3"/>
    <n v="8"/>
    <n v="21963"/>
    <x v="1922"/>
    <n v="4642"/>
    <n v="171062"/>
    <n v="42586.587509999998"/>
    <x v="0"/>
    <x v="11"/>
  </r>
  <r>
    <n v="11933"/>
    <d v="2024-08-16T00:00:00"/>
    <x v="1"/>
    <x v="0"/>
    <x v="2"/>
    <x v="2"/>
    <n v="3"/>
    <n v="37223"/>
    <x v="1923"/>
    <n v="3886"/>
    <n v="107783"/>
    <n v="18201.121319999998"/>
    <x v="0"/>
    <x v="6"/>
  </r>
  <r>
    <n v="11934"/>
    <d v="2024-09-17T00:00:00"/>
    <x v="4"/>
    <x v="1"/>
    <x v="2"/>
    <x v="1"/>
    <n v="4"/>
    <n v="36024"/>
    <x v="1924"/>
    <n v="160"/>
    <n v="143936"/>
    <n v="33111.55934"/>
    <x v="0"/>
    <x v="2"/>
  </r>
  <r>
    <n v="11935"/>
    <d v="2025-03-24T00:00:00"/>
    <x v="2"/>
    <x v="4"/>
    <x v="2"/>
    <x v="1"/>
    <n v="2"/>
    <n v="8941"/>
    <x v="1925"/>
    <n v="2036"/>
    <n v="15846"/>
    <n v="1875.38886"/>
    <x v="1"/>
    <x v="1"/>
  </r>
  <r>
    <n v="11936"/>
    <d v="2025-02-27T00:00:00"/>
    <x v="0"/>
    <x v="4"/>
    <x v="1"/>
    <x v="0"/>
    <n v="6"/>
    <n v="78923"/>
    <x v="1926"/>
    <n v="1741"/>
    <n v="471797"/>
    <n v="77283.95822"/>
    <x v="1"/>
    <x v="9"/>
  </r>
  <r>
    <n v="11937"/>
    <d v="2025-04-04T00:00:00"/>
    <x v="3"/>
    <x v="0"/>
    <x v="2"/>
    <x v="1"/>
    <n v="9"/>
    <n v="79060"/>
    <x v="1927"/>
    <n v="1507"/>
    <n v="710033"/>
    <n v="103804.1594"/>
    <x v="1"/>
    <x v="0"/>
  </r>
  <r>
    <n v="11938"/>
    <d v="2025-11-06T00:00:00"/>
    <x v="4"/>
    <x v="4"/>
    <x v="1"/>
    <x v="0"/>
    <n v="4"/>
    <n v="46617"/>
    <x v="1928"/>
    <n v="3560"/>
    <n v="182908"/>
    <n v="29132.956600000001"/>
    <x v="1"/>
    <x v="7"/>
  </r>
  <r>
    <n v="11939"/>
    <d v="2024-10-27T00:00:00"/>
    <x v="0"/>
    <x v="4"/>
    <x v="0"/>
    <x v="2"/>
    <n v="6"/>
    <n v="59704"/>
    <x v="1929"/>
    <n v="1375"/>
    <n v="356849"/>
    <n v="73260.074770000007"/>
    <x v="0"/>
    <x v="8"/>
  </r>
  <r>
    <n v="11940"/>
    <d v="2024-10-29T00:00:00"/>
    <x v="4"/>
    <x v="3"/>
    <x v="0"/>
    <x v="3"/>
    <n v="4"/>
    <n v="31025"/>
    <x v="1930"/>
    <n v="1553"/>
    <n v="122547"/>
    <n v="13862.76541"/>
    <x v="0"/>
    <x v="8"/>
  </r>
  <r>
    <n v="11941"/>
    <d v="2024-10-13T00:00:00"/>
    <x v="3"/>
    <x v="2"/>
    <x v="2"/>
    <x v="1"/>
    <n v="2"/>
    <n v="48224"/>
    <x v="1931"/>
    <n v="2281"/>
    <n v="94167"/>
    <n v="23515.815849999999"/>
    <x v="0"/>
    <x v="8"/>
  </r>
  <r>
    <n v="11942"/>
    <d v="2025-01-29T00:00:00"/>
    <x v="0"/>
    <x v="4"/>
    <x v="1"/>
    <x v="2"/>
    <n v="6"/>
    <n v="18277"/>
    <x v="1932"/>
    <n v="1868"/>
    <n v="107794"/>
    <n v="21047.864399999999"/>
    <x v="1"/>
    <x v="4"/>
  </r>
  <r>
    <n v="11943"/>
    <d v="2024-01-10T00:00:00"/>
    <x v="3"/>
    <x v="3"/>
    <x v="1"/>
    <x v="3"/>
    <n v="7"/>
    <n v="53718"/>
    <x v="1933"/>
    <n v="1601"/>
    <n v="374425"/>
    <n v="86502.523350000003"/>
    <x v="0"/>
    <x v="4"/>
  </r>
  <r>
    <n v="11944"/>
    <d v="2025-12-07T00:00:00"/>
    <x v="1"/>
    <x v="1"/>
    <x v="1"/>
    <x v="2"/>
    <n v="4"/>
    <n v="45995"/>
    <x v="1934"/>
    <n v="3827"/>
    <n v="180153"/>
    <n v="40436.121769999998"/>
    <x v="1"/>
    <x v="3"/>
  </r>
  <r>
    <n v="11945"/>
    <d v="2025-09-21T00:00:00"/>
    <x v="3"/>
    <x v="4"/>
    <x v="2"/>
    <x v="0"/>
    <n v="7"/>
    <n v="12539"/>
    <x v="1935"/>
    <n v="3480"/>
    <n v="84293"/>
    <n v="18114.534650000001"/>
    <x v="1"/>
    <x v="2"/>
  </r>
  <r>
    <n v="11946"/>
    <d v="2024-09-26T00:00:00"/>
    <x v="1"/>
    <x v="1"/>
    <x v="1"/>
    <x v="2"/>
    <n v="8"/>
    <n v="37853"/>
    <x v="1936"/>
    <n v="1299"/>
    <n v="301525"/>
    <n v="31926.531279999999"/>
    <x v="0"/>
    <x v="2"/>
  </r>
  <r>
    <n v="11947"/>
    <d v="2025-08-14T00:00:00"/>
    <x v="0"/>
    <x v="4"/>
    <x v="1"/>
    <x v="0"/>
    <n v="3"/>
    <n v="31811"/>
    <x v="1937"/>
    <n v="710"/>
    <n v="94723"/>
    <n v="16810.496630000001"/>
    <x v="1"/>
    <x v="6"/>
  </r>
  <r>
    <n v="11948"/>
    <d v="2025-08-27T00:00:00"/>
    <x v="1"/>
    <x v="0"/>
    <x v="1"/>
    <x v="0"/>
    <n v="2"/>
    <n v="11909"/>
    <x v="1938"/>
    <n v="4167"/>
    <n v="19651"/>
    <n v="2932.3665609999998"/>
    <x v="1"/>
    <x v="6"/>
  </r>
  <r>
    <n v="11949"/>
    <d v="2024-12-26T00:00:00"/>
    <x v="0"/>
    <x v="3"/>
    <x v="0"/>
    <x v="1"/>
    <n v="5"/>
    <n v="58433"/>
    <x v="1939"/>
    <n v="2046"/>
    <n v="290119"/>
    <n v="33926.767500000002"/>
    <x v="0"/>
    <x v="3"/>
  </r>
  <r>
    <n v="11950"/>
    <d v="2024-09-13T00:00:00"/>
    <x v="0"/>
    <x v="3"/>
    <x v="1"/>
    <x v="0"/>
    <n v="2"/>
    <n v="51084"/>
    <x v="1940"/>
    <n v="2881"/>
    <n v="99287"/>
    <n v="15036.870290000001"/>
    <x v="0"/>
    <x v="2"/>
  </r>
  <r>
    <n v="11951"/>
    <d v="2024-05-12T00:00:00"/>
    <x v="2"/>
    <x v="0"/>
    <x v="0"/>
    <x v="0"/>
    <n v="5"/>
    <n v="78569"/>
    <x v="1941"/>
    <n v="1817"/>
    <n v="391028"/>
    <n v="76923.206309999994"/>
    <x v="0"/>
    <x v="5"/>
  </r>
  <r>
    <n v="11952"/>
    <d v="2024-10-02T00:00:00"/>
    <x v="0"/>
    <x v="2"/>
    <x v="1"/>
    <x v="2"/>
    <n v="6"/>
    <n v="61816"/>
    <x v="1942"/>
    <n v="2198"/>
    <n v="368698"/>
    <n v="49624.525450000001"/>
    <x v="0"/>
    <x v="8"/>
  </r>
  <r>
    <n v="11953"/>
    <d v="2025-11-13T00:00:00"/>
    <x v="1"/>
    <x v="3"/>
    <x v="1"/>
    <x v="0"/>
    <n v="8"/>
    <n v="15748"/>
    <x v="1943"/>
    <n v="3332"/>
    <n v="122652"/>
    <n v="20444.77779"/>
    <x v="1"/>
    <x v="7"/>
  </r>
  <r>
    <n v="11954"/>
    <d v="2025-05-27T00:00:00"/>
    <x v="2"/>
    <x v="1"/>
    <x v="1"/>
    <x v="0"/>
    <n v="6"/>
    <n v="75602"/>
    <x v="1944"/>
    <n v="1103"/>
    <n v="452509"/>
    <n v="72706.492849999995"/>
    <x v="1"/>
    <x v="5"/>
  </r>
  <r>
    <n v="11955"/>
    <d v="2024-11-08T00:00:00"/>
    <x v="2"/>
    <x v="3"/>
    <x v="0"/>
    <x v="2"/>
    <n v="4"/>
    <n v="67465"/>
    <x v="1945"/>
    <n v="3177"/>
    <n v="266683"/>
    <n v="28766.947049999999"/>
    <x v="0"/>
    <x v="7"/>
  </r>
  <r>
    <n v="11956"/>
    <d v="2025-07-29T00:00:00"/>
    <x v="0"/>
    <x v="2"/>
    <x v="1"/>
    <x v="3"/>
    <n v="3"/>
    <n v="54408"/>
    <x v="1946"/>
    <n v="3594"/>
    <n v="159630"/>
    <n v="31002.12212"/>
    <x v="1"/>
    <x v="10"/>
  </r>
  <r>
    <n v="11957"/>
    <d v="2024-10-10T00:00:00"/>
    <x v="3"/>
    <x v="1"/>
    <x v="2"/>
    <x v="1"/>
    <n v="2"/>
    <n v="16998"/>
    <x v="1947"/>
    <n v="3474"/>
    <n v="30522"/>
    <n v="5885.4667730000001"/>
    <x v="0"/>
    <x v="8"/>
  </r>
  <r>
    <n v="11958"/>
    <d v="2024-04-30T00:00:00"/>
    <x v="3"/>
    <x v="1"/>
    <x v="1"/>
    <x v="2"/>
    <n v="1"/>
    <n v="18764"/>
    <x v="1948"/>
    <n v="4815"/>
    <n v="13949"/>
    <n v="3416.97739"/>
    <x v="0"/>
    <x v="0"/>
  </r>
  <r>
    <n v="11959"/>
    <d v="2024-04-16T00:00:00"/>
    <x v="2"/>
    <x v="0"/>
    <x v="0"/>
    <x v="0"/>
    <n v="2"/>
    <n v="50379"/>
    <x v="1949"/>
    <n v="2177"/>
    <n v="98581"/>
    <n v="14264.74784"/>
    <x v="0"/>
    <x v="0"/>
  </r>
  <r>
    <n v="11960"/>
    <d v="2025-11-17T00:00:00"/>
    <x v="0"/>
    <x v="4"/>
    <x v="0"/>
    <x v="2"/>
    <n v="2"/>
    <n v="64588"/>
    <x v="1950"/>
    <n v="1194"/>
    <n v="127982"/>
    <n v="20840.92858"/>
    <x v="1"/>
    <x v="7"/>
  </r>
  <r>
    <n v="11961"/>
    <d v="2024-07-22T00:00:00"/>
    <x v="3"/>
    <x v="0"/>
    <x v="2"/>
    <x v="3"/>
    <n v="5"/>
    <n v="67398"/>
    <x v="1951"/>
    <n v="4501"/>
    <n v="332489"/>
    <n v="53379.660409999997"/>
    <x v="0"/>
    <x v="10"/>
  </r>
  <r>
    <n v="11962"/>
    <d v="2024-06-13T00:00:00"/>
    <x v="0"/>
    <x v="4"/>
    <x v="2"/>
    <x v="2"/>
    <n v="9"/>
    <n v="52210"/>
    <x v="1952"/>
    <n v="535"/>
    <n v="469355"/>
    <n v="111688.4598"/>
    <x v="0"/>
    <x v="11"/>
  </r>
  <r>
    <n v="11963"/>
    <d v="2024-10-31T00:00:00"/>
    <x v="0"/>
    <x v="0"/>
    <x v="2"/>
    <x v="2"/>
    <n v="1"/>
    <n v="49560"/>
    <x v="1953"/>
    <n v="1069"/>
    <n v="48491"/>
    <n v="7821.4720930000003"/>
    <x v="0"/>
    <x v="8"/>
  </r>
  <r>
    <n v="11964"/>
    <d v="2025-05-11T00:00:00"/>
    <x v="2"/>
    <x v="4"/>
    <x v="0"/>
    <x v="2"/>
    <n v="4"/>
    <n v="74201"/>
    <x v="1954"/>
    <n v="4369"/>
    <n v="292435"/>
    <n v="48665.459880000002"/>
    <x v="1"/>
    <x v="5"/>
  </r>
  <r>
    <n v="11965"/>
    <d v="2025-09-23T00:00:00"/>
    <x v="2"/>
    <x v="3"/>
    <x v="1"/>
    <x v="2"/>
    <n v="7"/>
    <n v="21734"/>
    <x v="1955"/>
    <n v="132"/>
    <n v="152006"/>
    <n v="20954.282490000001"/>
    <x v="1"/>
    <x v="2"/>
  </r>
  <r>
    <n v="11966"/>
    <d v="2025-07-09T00:00:00"/>
    <x v="4"/>
    <x v="1"/>
    <x v="1"/>
    <x v="0"/>
    <n v="3"/>
    <n v="79376"/>
    <x v="1956"/>
    <n v="263"/>
    <n v="237865"/>
    <n v="23828.179169999999"/>
    <x v="1"/>
    <x v="10"/>
  </r>
  <r>
    <n v="11967"/>
    <d v="2024-06-04T00:00:00"/>
    <x v="3"/>
    <x v="4"/>
    <x v="2"/>
    <x v="2"/>
    <n v="8"/>
    <n v="77580"/>
    <x v="1957"/>
    <n v="4462"/>
    <n v="616178"/>
    <n v="71826.391069999998"/>
    <x v="0"/>
    <x v="11"/>
  </r>
  <r>
    <n v="11968"/>
    <d v="2025-01-01T00:00:00"/>
    <x v="3"/>
    <x v="3"/>
    <x v="2"/>
    <x v="3"/>
    <n v="3"/>
    <n v="7063"/>
    <x v="1958"/>
    <n v="2052"/>
    <n v="19137"/>
    <n v="3934.2490039999998"/>
    <x v="1"/>
    <x v="4"/>
  </r>
  <r>
    <n v="11969"/>
    <d v="2025-12-19T00:00:00"/>
    <x v="3"/>
    <x v="2"/>
    <x v="1"/>
    <x v="2"/>
    <n v="8"/>
    <n v="27313"/>
    <x v="1959"/>
    <n v="4946"/>
    <n v="213558"/>
    <n v="43218.659090000001"/>
    <x v="1"/>
    <x v="3"/>
  </r>
  <r>
    <n v="11970"/>
    <d v="2025-09-11T00:00:00"/>
    <x v="1"/>
    <x v="0"/>
    <x v="2"/>
    <x v="2"/>
    <n v="2"/>
    <n v="32087"/>
    <x v="1960"/>
    <n v="4089"/>
    <n v="60085"/>
    <n v="8915.3874199999991"/>
    <x v="1"/>
    <x v="2"/>
  </r>
  <r>
    <n v="11971"/>
    <d v="2024-09-07T00:00:00"/>
    <x v="0"/>
    <x v="2"/>
    <x v="1"/>
    <x v="0"/>
    <n v="5"/>
    <n v="50779"/>
    <x v="1961"/>
    <n v="2847"/>
    <n v="251048"/>
    <n v="42916.890119999996"/>
    <x v="0"/>
    <x v="2"/>
  </r>
  <r>
    <n v="11972"/>
    <d v="2024-11-29T00:00:00"/>
    <x v="2"/>
    <x v="3"/>
    <x v="1"/>
    <x v="0"/>
    <n v="4"/>
    <n v="45181"/>
    <x v="1962"/>
    <n v="357"/>
    <n v="180367"/>
    <n v="26082.2873"/>
    <x v="0"/>
    <x v="7"/>
  </r>
  <r>
    <n v="11973"/>
    <d v="2025-10-03T00:00:00"/>
    <x v="3"/>
    <x v="2"/>
    <x v="1"/>
    <x v="2"/>
    <n v="9"/>
    <n v="23205"/>
    <x v="1963"/>
    <n v="4420"/>
    <n v="204425"/>
    <n v="42855.137410000003"/>
    <x v="1"/>
    <x v="8"/>
  </r>
  <r>
    <n v="11974"/>
    <d v="2025-05-25T00:00:00"/>
    <x v="4"/>
    <x v="2"/>
    <x v="1"/>
    <x v="0"/>
    <n v="3"/>
    <n v="17464"/>
    <x v="1964"/>
    <n v="750"/>
    <n v="51642"/>
    <n v="11690.452719999999"/>
    <x v="1"/>
    <x v="5"/>
  </r>
  <r>
    <n v="11975"/>
    <d v="2024-10-19T00:00:00"/>
    <x v="3"/>
    <x v="3"/>
    <x v="0"/>
    <x v="0"/>
    <n v="5"/>
    <n v="32132"/>
    <x v="1965"/>
    <n v="3250"/>
    <n v="157410"/>
    <n v="36970.224620000001"/>
    <x v="0"/>
    <x v="8"/>
  </r>
  <r>
    <n v="11976"/>
    <d v="2024-01-20T00:00:00"/>
    <x v="0"/>
    <x v="1"/>
    <x v="1"/>
    <x v="2"/>
    <n v="9"/>
    <n v="55737"/>
    <x v="1966"/>
    <n v="4351"/>
    <n v="497282"/>
    <n v="62697.661769999999"/>
    <x v="0"/>
    <x v="4"/>
  </r>
  <r>
    <n v="11977"/>
    <d v="2024-10-08T00:00:00"/>
    <x v="0"/>
    <x v="4"/>
    <x v="2"/>
    <x v="0"/>
    <n v="6"/>
    <n v="74285"/>
    <x v="1967"/>
    <n v="2258"/>
    <n v="443452"/>
    <n v="90576.184630000003"/>
    <x v="0"/>
    <x v="8"/>
  </r>
  <r>
    <n v="11978"/>
    <d v="2024-01-01T00:00:00"/>
    <x v="2"/>
    <x v="0"/>
    <x v="2"/>
    <x v="1"/>
    <n v="2"/>
    <n v="69549"/>
    <x v="1968"/>
    <n v="910"/>
    <n v="138188"/>
    <n v="33780.153550000003"/>
    <x v="0"/>
    <x v="4"/>
  </r>
  <r>
    <n v="11979"/>
    <d v="2024-04-28T00:00:00"/>
    <x v="1"/>
    <x v="4"/>
    <x v="2"/>
    <x v="1"/>
    <n v="1"/>
    <n v="40306"/>
    <x v="1969"/>
    <n v="3810"/>
    <n v="36496"/>
    <n v="7211.3087130000004"/>
    <x v="0"/>
    <x v="0"/>
  </r>
  <r>
    <n v="11980"/>
    <d v="2024-02-04T00:00:00"/>
    <x v="2"/>
    <x v="0"/>
    <x v="2"/>
    <x v="1"/>
    <n v="1"/>
    <n v="30592"/>
    <x v="1970"/>
    <n v="583"/>
    <n v="30009"/>
    <n v="4580.7574610000001"/>
    <x v="0"/>
    <x v="9"/>
  </r>
  <r>
    <n v="11981"/>
    <d v="2024-07-16T00:00:00"/>
    <x v="3"/>
    <x v="4"/>
    <x v="0"/>
    <x v="0"/>
    <n v="7"/>
    <n v="49758"/>
    <x v="1971"/>
    <n v="3438"/>
    <n v="344868"/>
    <n v="67384.432690000001"/>
    <x v="0"/>
    <x v="10"/>
  </r>
  <r>
    <n v="11982"/>
    <d v="2025-04-29T00:00:00"/>
    <x v="4"/>
    <x v="2"/>
    <x v="1"/>
    <x v="1"/>
    <n v="2"/>
    <n v="11577"/>
    <x v="1972"/>
    <n v="576"/>
    <n v="22578"/>
    <n v="4589.2925109999996"/>
    <x v="1"/>
    <x v="0"/>
  </r>
  <r>
    <n v="11983"/>
    <d v="2024-02-28T00:00:00"/>
    <x v="2"/>
    <x v="1"/>
    <x v="1"/>
    <x v="3"/>
    <n v="7"/>
    <n v="13263"/>
    <x v="1973"/>
    <n v="2576"/>
    <n v="90265"/>
    <n v="14402.421179999999"/>
    <x v="0"/>
    <x v="9"/>
  </r>
  <r>
    <n v="11984"/>
    <d v="2024-06-09T00:00:00"/>
    <x v="1"/>
    <x v="2"/>
    <x v="2"/>
    <x v="1"/>
    <n v="1"/>
    <n v="13072"/>
    <x v="1974"/>
    <n v="1871"/>
    <n v="11201"/>
    <n v="1294.8203960000001"/>
    <x v="0"/>
    <x v="11"/>
  </r>
  <r>
    <n v="11985"/>
    <d v="2025-11-21T00:00:00"/>
    <x v="2"/>
    <x v="1"/>
    <x v="2"/>
    <x v="3"/>
    <n v="4"/>
    <n v="65814"/>
    <x v="1975"/>
    <n v="1152"/>
    <n v="262104"/>
    <n v="50061.596689999998"/>
    <x v="1"/>
    <x v="7"/>
  </r>
  <r>
    <n v="11986"/>
    <d v="2024-07-24T00:00:00"/>
    <x v="0"/>
    <x v="3"/>
    <x v="2"/>
    <x v="0"/>
    <n v="4"/>
    <n v="50306"/>
    <x v="1976"/>
    <n v="4990"/>
    <n v="196234"/>
    <n v="43234.494680000003"/>
    <x v="0"/>
    <x v="10"/>
  </r>
  <r>
    <n v="11987"/>
    <d v="2024-01-12T00:00:00"/>
    <x v="3"/>
    <x v="0"/>
    <x v="1"/>
    <x v="1"/>
    <n v="5"/>
    <n v="10691"/>
    <x v="1977"/>
    <n v="1783"/>
    <n v="51672"/>
    <n v="12899.21581"/>
    <x v="0"/>
    <x v="4"/>
  </r>
  <r>
    <n v="11988"/>
    <d v="2025-05-04T00:00:00"/>
    <x v="3"/>
    <x v="0"/>
    <x v="0"/>
    <x v="3"/>
    <n v="1"/>
    <n v="6953"/>
    <x v="1978"/>
    <n v="1093"/>
    <n v="5860"/>
    <n v="782.06825179999998"/>
    <x v="1"/>
    <x v="5"/>
  </r>
  <r>
    <n v="11989"/>
    <d v="2024-10-02T00:00:00"/>
    <x v="3"/>
    <x v="3"/>
    <x v="0"/>
    <x v="0"/>
    <n v="7"/>
    <n v="75499"/>
    <x v="1979"/>
    <n v="2099"/>
    <n v="526394"/>
    <n v="107941.4831"/>
    <x v="0"/>
    <x v="8"/>
  </r>
  <r>
    <n v="11990"/>
    <d v="2025-11-23T00:00:00"/>
    <x v="3"/>
    <x v="4"/>
    <x v="0"/>
    <x v="1"/>
    <n v="2"/>
    <n v="42759"/>
    <x v="1980"/>
    <n v="4532"/>
    <n v="80986"/>
    <n v="8439.2659910000002"/>
    <x v="1"/>
    <x v="7"/>
  </r>
  <r>
    <n v="11991"/>
    <d v="2024-08-29T00:00:00"/>
    <x v="3"/>
    <x v="3"/>
    <x v="0"/>
    <x v="2"/>
    <n v="2"/>
    <n v="25185"/>
    <x v="1981"/>
    <n v="2141"/>
    <n v="48229"/>
    <n v="11838.95551"/>
    <x v="0"/>
    <x v="6"/>
  </r>
  <r>
    <n v="11992"/>
    <d v="2024-08-03T00:00:00"/>
    <x v="3"/>
    <x v="3"/>
    <x v="2"/>
    <x v="1"/>
    <n v="8"/>
    <n v="78983"/>
    <x v="1982"/>
    <n v="2133"/>
    <n v="629731"/>
    <n v="64159.934639999999"/>
    <x v="0"/>
    <x v="6"/>
  </r>
  <r>
    <n v="11993"/>
    <d v="2024-09-07T00:00:00"/>
    <x v="4"/>
    <x v="1"/>
    <x v="1"/>
    <x v="1"/>
    <n v="9"/>
    <n v="39699"/>
    <x v="1983"/>
    <n v="517"/>
    <n v="356774"/>
    <n v="54878.707049999997"/>
    <x v="0"/>
    <x v="2"/>
  </r>
  <r>
    <n v="11994"/>
    <d v="2024-05-05T00:00:00"/>
    <x v="1"/>
    <x v="3"/>
    <x v="2"/>
    <x v="1"/>
    <n v="6"/>
    <n v="78490"/>
    <x v="1984"/>
    <n v="741"/>
    <n v="470199"/>
    <n v="52408.576119999998"/>
    <x v="0"/>
    <x v="5"/>
  </r>
  <r>
    <n v="11995"/>
    <d v="2024-08-04T00:00:00"/>
    <x v="3"/>
    <x v="0"/>
    <x v="0"/>
    <x v="2"/>
    <n v="1"/>
    <n v="58739"/>
    <x v="1985"/>
    <n v="2477"/>
    <n v="56262"/>
    <n v="10866.734920000001"/>
    <x v="0"/>
    <x v="6"/>
  </r>
  <r>
    <n v="11996"/>
    <d v="2024-11-01T00:00:00"/>
    <x v="1"/>
    <x v="2"/>
    <x v="2"/>
    <x v="3"/>
    <n v="1"/>
    <n v="60631"/>
    <x v="1986"/>
    <n v="4958"/>
    <n v="55673"/>
    <n v="8402.4458180000001"/>
    <x v="0"/>
    <x v="7"/>
  </r>
  <r>
    <n v="11997"/>
    <d v="2024-07-03T00:00:00"/>
    <x v="3"/>
    <x v="1"/>
    <x v="0"/>
    <x v="3"/>
    <n v="7"/>
    <n v="22945"/>
    <x v="1987"/>
    <n v="2876"/>
    <n v="157739"/>
    <n v="33115.976419999999"/>
    <x v="0"/>
    <x v="10"/>
  </r>
  <r>
    <n v="11998"/>
    <d v="2024-02-08T00:00:00"/>
    <x v="2"/>
    <x v="1"/>
    <x v="1"/>
    <x v="2"/>
    <n v="8"/>
    <n v="43294"/>
    <x v="1988"/>
    <n v="42"/>
    <n v="346310"/>
    <n v="59896.63824"/>
    <x v="0"/>
    <x v="9"/>
  </r>
  <r>
    <n v="11999"/>
    <d v="2024-08-10T00:00:00"/>
    <x v="3"/>
    <x v="4"/>
    <x v="0"/>
    <x v="1"/>
    <n v="3"/>
    <n v="17920"/>
    <x v="1989"/>
    <n v="3441"/>
    <n v="50319"/>
    <n v="8197.4940760000009"/>
    <x v="0"/>
    <x v="6"/>
  </r>
  <r>
    <n v="12000"/>
    <d v="2024-07-02T00:00:00"/>
    <x v="0"/>
    <x v="2"/>
    <x v="2"/>
    <x v="1"/>
    <n v="9"/>
    <n v="58609"/>
    <x v="1990"/>
    <n v="403"/>
    <n v="527078"/>
    <n v="80262.09504"/>
    <x v="0"/>
    <x v="10"/>
  </r>
  <r>
    <n v="12001"/>
    <d v="2025-05-09T00:00:00"/>
    <x v="4"/>
    <x v="1"/>
    <x v="1"/>
    <x v="1"/>
    <n v="4"/>
    <n v="76096"/>
    <x v="1991"/>
    <n v="1326"/>
    <n v="303058"/>
    <n v="34221.119960000004"/>
    <x v="1"/>
    <x v="5"/>
  </r>
  <r>
    <n v="12002"/>
    <d v="2025-03-02T00:00:00"/>
    <x v="2"/>
    <x v="3"/>
    <x v="0"/>
    <x v="3"/>
    <n v="4"/>
    <n v="67358"/>
    <x v="450"/>
    <n v="2216"/>
    <n v="267216"/>
    <n v="34931.471680000002"/>
    <x v="1"/>
    <x v="1"/>
  </r>
  <r>
    <n v="12003"/>
    <d v="2024-06-26T00:00:00"/>
    <x v="2"/>
    <x v="1"/>
    <x v="0"/>
    <x v="3"/>
    <n v="3"/>
    <n v="29265"/>
    <x v="1992"/>
    <n v="2149"/>
    <n v="85646"/>
    <n v="16775.08597"/>
    <x v="0"/>
    <x v="11"/>
  </r>
  <r>
    <n v="12004"/>
    <d v="2025-03-03T00:00:00"/>
    <x v="0"/>
    <x v="1"/>
    <x v="1"/>
    <x v="2"/>
    <n v="8"/>
    <n v="78251"/>
    <x v="1993"/>
    <n v="2393"/>
    <n v="623615"/>
    <n v="108828.76880000001"/>
    <x v="1"/>
    <x v="1"/>
  </r>
  <r>
    <n v="12005"/>
    <d v="2024-10-20T00:00:00"/>
    <x v="3"/>
    <x v="1"/>
    <x v="2"/>
    <x v="0"/>
    <n v="9"/>
    <n v="14438"/>
    <x v="1994"/>
    <n v="2650"/>
    <n v="127292"/>
    <n v="14067.473969999999"/>
    <x v="0"/>
    <x v="8"/>
  </r>
  <r>
    <n v="12006"/>
    <d v="2024-05-30T00:00:00"/>
    <x v="4"/>
    <x v="4"/>
    <x v="1"/>
    <x v="2"/>
    <n v="1"/>
    <n v="75779"/>
    <x v="1995"/>
    <n v="4537"/>
    <n v="71242"/>
    <n v="12937.03124"/>
    <x v="0"/>
    <x v="5"/>
  </r>
  <r>
    <n v="12007"/>
    <d v="2025-01-18T00:00:00"/>
    <x v="2"/>
    <x v="1"/>
    <x v="2"/>
    <x v="3"/>
    <n v="2"/>
    <n v="33629"/>
    <x v="1996"/>
    <n v="4345"/>
    <n v="62913"/>
    <n v="6802.2415890000002"/>
    <x v="1"/>
    <x v="4"/>
  </r>
  <r>
    <n v="12008"/>
    <d v="2025-09-29T00:00:00"/>
    <x v="4"/>
    <x v="1"/>
    <x v="0"/>
    <x v="1"/>
    <n v="1"/>
    <n v="67442"/>
    <x v="1997"/>
    <n v="877"/>
    <n v="66565"/>
    <n v="11765.96564"/>
    <x v="1"/>
    <x v="2"/>
  </r>
  <r>
    <n v="12009"/>
    <d v="2024-11-03T00:00:00"/>
    <x v="2"/>
    <x v="4"/>
    <x v="0"/>
    <x v="1"/>
    <n v="4"/>
    <n v="9085"/>
    <x v="1998"/>
    <n v="1886"/>
    <n v="34454"/>
    <n v="8432.417254"/>
    <x v="0"/>
    <x v="7"/>
  </r>
  <r>
    <n v="12010"/>
    <d v="2024-12-01T00:00:00"/>
    <x v="3"/>
    <x v="2"/>
    <x v="1"/>
    <x v="1"/>
    <n v="7"/>
    <n v="29513"/>
    <x v="1999"/>
    <n v="1303"/>
    <n v="205288"/>
    <n v="29992.922310000002"/>
    <x v="0"/>
    <x v="3"/>
  </r>
  <r>
    <n v="12011"/>
    <d v="2025-01-09T00:00:00"/>
    <x v="2"/>
    <x v="0"/>
    <x v="0"/>
    <x v="1"/>
    <n v="7"/>
    <n v="65084"/>
    <x v="2000"/>
    <n v="1740"/>
    <n v="453848"/>
    <n v="94638.867870000002"/>
    <x v="1"/>
    <x v="4"/>
  </r>
  <r>
    <n v="12012"/>
    <d v="2024-01-08T00:00:00"/>
    <x v="2"/>
    <x v="4"/>
    <x v="1"/>
    <x v="0"/>
    <n v="6"/>
    <n v="68605"/>
    <x v="2001"/>
    <n v="1112"/>
    <n v="410518"/>
    <n v="86961.179889999999"/>
    <x v="0"/>
    <x v="4"/>
  </r>
  <r>
    <n v="12013"/>
    <d v="2024-12-06T00:00:00"/>
    <x v="1"/>
    <x v="4"/>
    <x v="0"/>
    <x v="2"/>
    <n v="5"/>
    <n v="66666"/>
    <x v="2002"/>
    <n v="3876"/>
    <n v="329454"/>
    <n v="52952.788910000003"/>
    <x v="0"/>
    <x v="3"/>
  </r>
  <r>
    <n v="12014"/>
    <d v="2024-05-08T00:00:00"/>
    <x v="3"/>
    <x v="1"/>
    <x v="0"/>
    <x v="2"/>
    <n v="4"/>
    <n v="73412"/>
    <x v="2003"/>
    <n v="1898"/>
    <n v="291750"/>
    <n v="55138.947749999999"/>
    <x v="0"/>
    <x v="5"/>
  </r>
  <r>
    <n v="12015"/>
    <d v="2025-10-30T00:00:00"/>
    <x v="0"/>
    <x v="1"/>
    <x v="2"/>
    <x v="3"/>
    <n v="8"/>
    <n v="56178"/>
    <x v="2004"/>
    <n v="247"/>
    <n v="449177"/>
    <n v="76722.537030000007"/>
    <x v="1"/>
    <x v="8"/>
  </r>
  <r>
    <n v="12016"/>
    <d v="2024-12-17T00:00:00"/>
    <x v="0"/>
    <x v="0"/>
    <x v="1"/>
    <x v="2"/>
    <n v="7"/>
    <n v="76092"/>
    <x v="2005"/>
    <n v="3260"/>
    <n v="529384"/>
    <n v="75439.577319999997"/>
    <x v="0"/>
    <x v="3"/>
  </r>
  <r>
    <n v="12017"/>
    <d v="2024-12-23T00:00:00"/>
    <x v="3"/>
    <x v="1"/>
    <x v="1"/>
    <x v="0"/>
    <n v="1"/>
    <n v="43009"/>
    <x v="2006"/>
    <n v="567"/>
    <n v="42442"/>
    <n v="9049.1146009999993"/>
    <x v="0"/>
    <x v="3"/>
  </r>
  <r>
    <n v="12018"/>
    <d v="2025-05-31T00:00:00"/>
    <x v="0"/>
    <x v="3"/>
    <x v="0"/>
    <x v="0"/>
    <n v="6"/>
    <n v="68976"/>
    <x v="2007"/>
    <n v="3809"/>
    <n v="410047"/>
    <n v="84233.49179"/>
    <x v="1"/>
    <x v="5"/>
  </r>
  <r>
    <n v="12019"/>
    <d v="2025-05-09T00:00:00"/>
    <x v="3"/>
    <x v="1"/>
    <x v="2"/>
    <x v="0"/>
    <n v="2"/>
    <n v="37225"/>
    <x v="2008"/>
    <n v="1188"/>
    <n v="73262"/>
    <n v="17222.601640000001"/>
    <x v="1"/>
    <x v="5"/>
  </r>
  <r>
    <n v="12020"/>
    <d v="2024-03-26T00:00:00"/>
    <x v="0"/>
    <x v="1"/>
    <x v="2"/>
    <x v="1"/>
    <n v="4"/>
    <n v="43437"/>
    <x v="2009"/>
    <n v="2595"/>
    <n v="171153"/>
    <n v="32984.422500000001"/>
    <x v="0"/>
    <x v="1"/>
  </r>
  <r>
    <n v="12021"/>
    <d v="2024-06-23T00:00:00"/>
    <x v="1"/>
    <x v="3"/>
    <x v="1"/>
    <x v="3"/>
    <n v="5"/>
    <n v="75935"/>
    <x v="2010"/>
    <n v="1353"/>
    <n v="378322"/>
    <n v="59891.407189999998"/>
    <x v="0"/>
    <x v="11"/>
  </r>
  <r>
    <n v="12022"/>
    <d v="2024-07-11T00:00:00"/>
    <x v="0"/>
    <x v="0"/>
    <x v="1"/>
    <x v="0"/>
    <n v="8"/>
    <n v="18648"/>
    <x v="2011"/>
    <n v="3612"/>
    <n v="145572"/>
    <n v="30148.126240000001"/>
    <x v="0"/>
    <x v="10"/>
  </r>
  <r>
    <n v="12023"/>
    <d v="2024-11-06T00:00:00"/>
    <x v="2"/>
    <x v="3"/>
    <x v="0"/>
    <x v="2"/>
    <n v="6"/>
    <n v="47936"/>
    <x v="2012"/>
    <n v="980"/>
    <n v="286636"/>
    <n v="55279.310299999997"/>
    <x v="0"/>
    <x v="7"/>
  </r>
  <r>
    <n v="12024"/>
    <d v="2024-04-28T00:00:00"/>
    <x v="3"/>
    <x v="4"/>
    <x v="1"/>
    <x v="2"/>
    <n v="2"/>
    <n v="45263"/>
    <x v="2013"/>
    <n v="4965"/>
    <n v="85561"/>
    <n v="16469.819039999998"/>
    <x v="0"/>
    <x v="0"/>
  </r>
  <r>
    <n v="12025"/>
    <d v="2024-08-05T00:00:00"/>
    <x v="4"/>
    <x v="3"/>
    <x v="0"/>
    <x v="2"/>
    <n v="5"/>
    <n v="53373"/>
    <x v="2014"/>
    <n v="168"/>
    <n v="266697"/>
    <n v="60667.077039999996"/>
    <x v="0"/>
    <x v="6"/>
  </r>
  <r>
    <n v="12026"/>
    <d v="2025-03-02T00:00:00"/>
    <x v="4"/>
    <x v="2"/>
    <x v="2"/>
    <x v="0"/>
    <n v="5"/>
    <n v="57814"/>
    <x v="2015"/>
    <n v="3164"/>
    <n v="285906"/>
    <n v="67636.862710000001"/>
    <x v="1"/>
    <x v="1"/>
  </r>
  <r>
    <n v="12027"/>
    <d v="2025-02-17T00:00:00"/>
    <x v="3"/>
    <x v="4"/>
    <x v="1"/>
    <x v="0"/>
    <n v="6"/>
    <n v="70137"/>
    <x v="2016"/>
    <n v="2671"/>
    <n v="418151"/>
    <n v="53120.33483"/>
    <x v="1"/>
    <x v="9"/>
  </r>
  <r>
    <n v="12028"/>
    <d v="2024-04-23T00:00:00"/>
    <x v="1"/>
    <x v="1"/>
    <x v="2"/>
    <x v="2"/>
    <n v="1"/>
    <n v="51972"/>
    <x v="2017"/>
    <n v="378"/>
    <n v="51594"/>
    <n v="7589.8660900000004"/>
    <x v="0"/>
    <x v="0"/>
  </r>
  <r>
    <n v="12029"/>
    <d v="2024-05-24T00:00:00"/>
    <x v="0"/>
    <x v="4"/>
    <x v="2"/>
    <x v="0"/>
    <n v="8"/>
    <n v="33147"/>
    <x v="2018"/>
    <n v="1932"/>
    <n v="263244"/>
    <n v="52002.76109"/>
    <x v="0"/>
    <x v="5"/>
  </r>
  <r>
    <n v="12030"/>
    <d v="2025-06-21T00:00:00"/>
    <x v="1"/>
    <x v="0"/>
    <x v="0"/>
    <x v="2"/>
    <n v="3"/>
    <n v="24295"/>
    <x v="2019"/>
    <n v="193"/>
    <n v="72692"/>
    <n v="13345.02889"/>
    <x v="1"/>
    <x v="11"/>
  </r>
  <r>
    <n v="12031"/>
    <d v="2025-10-09T00:00:00"/>
    <x v="4"/>
    <x v="0"/>
    <x v="2"/>
    <x v="1"/>
    <n v="5"/>
    <n v="11897"/>
    <x v="2020"/>
    <n v="263"/>
    <n v="59222"/>
    <n v="11717.00906"/>
    <x v="1"/>
    <x v="8"/>
  </r>
  <r>
    <n v="12032"/>
    <d v="2024-10-29T00:00:00"/>
    <x v="3"/>
    <x v="3"/>
    <x v="0"/>
    <x v="0"/>
    <n v="7"/>
    <n v="43253"/>
    <x v="2021"/>
    <n v="1471"/>
    <n v="301300"/>
    <n v="49700.094819999998"/>
    <x v="0"/>
    <x v="8"/>
  </r>
  <r>
    <n v="12033"/>
    <d v="2025-08-10T00:00:00"/>
    <x v="3"/>
    <x v="4"/>
    <x v="0"/>
    <x v="1"/>
    <n v="3"/>
    <n v="10838"/>
    <x v="2022"/>
    <n v="2015"/>
    <n v="30499"/>
    <n v="4936.7466219999997"/>
    <x v="1"/>
    <x v="6"/>
  </r>
  <r>
    <n v="12034"/>
    <d v="2024-12-10T00:00:00"/>
    <x v="1"/>
    <x v="1"/>
    <x v="2"/>
    <x v="1"/>
    <n v="6"/>
    <n v="72680"/>
    <x v="2023"/>
    <n v="4616"/>
    <n v="431464"/>
    <n v="50760.913690000001"/>
    <x v="0"/>
    <x v="3"/>
  </r>
  <r>
    <n v="12035"/>
    <d v="2024-01-01T00:00:00"/>
    <x v="1"/>
    <x v="0"/>
    <x v="2"/>
    <x v="0"/>
    <n v="5"/>
    <n v="31414"/>
    <x v="2024"/>
    <n v="1300"/>
    <n v="155770"/>
    <n v="30148.85295"/>
    <x v="0"/>
    <x v="4"/>
  </r>
  <r>
    <n v="12036"/>
    <d v="2024-05-26T00:00:00"/>
    <x v="0"/>
    <x v="1"/>
    <x v="0"/>
    <x v="2"/>
    <n v="7"/>
    <n v="43748"/>
    <x v="2025"/>
    <n v="3200"/>
    <n v="303036"/>
    <n v="38294.007149999998"/>
    <x v="0"/>
    <x v="5"/>
  </r>
  <r>
    <n v="12037"/>
    <d v="2024-10-13T00:00:00"/>
    <x v="2"/>
    <x v="2"/>
    <x v="0"/>
    <x v="3"/>
    <n v="3"/>
    <n v="66157"/>
    <x v="2026"/>
    <n v="3373"/>
    <n v="195098"/>
    <n v="39147.045689999999"/>
    <x v="0"/>
    <x v="8"/>
  </r>
  <r>
    <n v="12038"/>
    <d v="2025-10-15T00:00:00"/>
    <x v="2"/>
    <x v="0"/>
    <x v="2"/>
    <x v="1"/>
    <n v="2"/>
    <n v="34483"/>
    <x v="2027"/>
    <n v="573"/>
    <n v="68393"/>
    <n v="16760.445790000002"/>
    <x v="1"/>
    <x v="8"/>
  </r>
  <r>
    <n v="12039"/>
    <d v="2024-02-22T00:00:00"/>
    <x v="0"/>
    <x v="3"/>
    <x v="0"/>
    <x v="0"/>
    <n v="4"/>
    <n v="16513"/>
    <x v="2028"/>
    <n v="1537"/>
    <n v="64515"/>
    <n v="8932.8710350000001"/>
    <x v="0"/>
    <x v="9"/>
  </r>
  <r>
    <n v="12040"/>
    <d v="2024-10-30T00:00:00"/>
    <x v="2"/>
    <x v="2"/>
    <x v="0"/>
    <x v="1"/>
    <n v="3"/>
    <n v="60549"/>
    <x v="2029"/>
    <n v="1383"/>
    <n v="180264"/>
    <n v="21870.141479999998"/>
    <x v="0"/>
    <x v="8"/>
  </r>
  <r>
    <n v="12041"/>
    <d v="2024-03-09T00:00:00"/>
    <x v="4"/>
    <x v="4"/>
    <x v="1"/>
    <x v="2"/>
    <n v="4"/>
    <n v="49802"/>
    <x v="2030"/>
    <n v="1380"/>
    <n v="197828"/>
    <n v="20500.181059999999"/>
    <x v="0"/>
    <x v="1"/>
  </r>
  <r>
    <n v="12042"/>
    <d v="2024-12-26T00:00:00"/>
    <x v="2"/>
    <x v="1"/>
    <x v="1"/>
    <x v="0"/>
    <n v="7"/>
    <n v="31451"/>
    <x v="2031"/>
    <n v="3537"/>
    <n v="216620"/>
    <n v="33971.231769999999"/>
    <x v="0"/>
    <x v="3"/>
  </r>
  <r>
    <n v="12043"/>
    <d v="2025-08-24T00:00:00"/>
    <x v="0"/>
    <x v="0"/>
    <x v="1"/>
    <x v="3"/>
    <n v="5"/>
    <n v="45909"/>
    <x v="2032"/>
    <n v="3159"/>
    <n v="226386"/>
    <n v="29926.34088"/>
    <x v="1"/>
    <x v="6"/>
  </r>
  <r>
    <n v="12044"/>
    <d v="2024-08-07T00:00:00"/>
    <x v="2"/>
    <x v="2"/>
    <x v="1"/>
    <x v="0"/>
    <n v="4"/>
    <n v="53091"/>
    <x v="2033"/>
    <n v="1523"/>
    <n v="210841"/>
    <n v="36639.719899999996"/>
    <x v="0"/>
    <x v="6"/>
  </r>
  <r>
    <n v="12045"/>
    <d v="2025-12-04T00:00:00"/>
    <x v="3"/>
    <x v="2"/>
    <x v="1"/>
    <x v="1"/>
    <n v="6"/>
    <n v="57389"/>
    <x v="2034"/>
    <n v="4991"/>
    <n v="339343"/>
    <n v="60622.237070000003"/>
    <x v="1"/>
    <x v="3"/>
  </r>
  <r>
    <n v="12046"/>
    <d v="2025-07-28T00:00:00"/>
    <x v="1"/>
    <x v="0"/>
    <x v="0"/>
    <x v="0"/>
    <n v="7"/>
    <n v="45963"/>
    <x v="2035"/>
    <n v="4612"/>
    <n v="317129"/>
    <n v="48330.193740000002"/>
    <x v="1"/>
    <x v="10"/>
  </r>
  <r>
    <n v="12047"/>
    <d v="2025-08-07T00:00:00"/>
    <x v="4"/>
    <x v="4"/>
    <x v="0"/>
    <x v="0"/>
    <n v="5"/>
    <n v="59734"/>
    <x v="2036"/>
    <n v="3932"/>
    <n v="294738"/>
    <n v="62627.679020000003"/>
    <x v="1"/>
    <x v="6"/>
  </r>
  <r>
    <n v="12048"/>
    <d v="2024-06-09T00:00:00"/>
    <x v="3"/>
    <x v="4"/>
    <x v="1"/>
    <x v="1"/>
    <n v="7"/>
    <n v="70509"/>
    <x v="2037"/>
    <n v="3622"/>
    <n v="489941"/>
    <n v="115489.38280000001"/>
    <x v="0"/>
    <x v="11"/>
  </r>
  <r>
    <n v="12049"/>
    <d v="2025-11-11T00:00:00"/>
    <x v="3"/>
    <x v="3"/>
    <x v="2"/>
    <x v="3"/>
    <n v="3"/>
    <n v="37291"/>
    <x v="2038"/>
    <n v="895"/>
    <n v="110978"/>
    <n v="14618.96155"/>
    <x v="1"/>
    <x v="7"/>
  </r>
  <r>
    <n v="12050"/>
    <d v="2024-03-29T00:00:00"/>
    <x v="0"/>
    <x v="4"/>
    <x v="1"/>
    <x v="2"/>
    <n v="7"/>
    <n v="26817"/>
    <x v="2039"/>
    <n v="3393"/>
    <n v="184326"/>
    <n v="41555.31351"/>
    <x v="0"/>
    <x v="1"/>
  </r>
  <r>
    <n v="12051"/>
    <d v="2025-11-18T00:00:00"/>
    <x v="1"/>
    <x v="3"/>
    <x v="2"/>
    <x v="0"/>
    <n v="3"/>
    <n v="78666"/>
    <x v="2040"/>
    <n v="464"/>
    <n v="235534"/>
    <n v="28188.281620000002"/>
    <x v="1"/>
    <x v="7"/>
  </r>
  <r>
    <n v="12052"/>
    <d v="2025-08-07T00:00:00"/>
    <x v="1"/>
    <x v="2"/>
    <x v="0"/>
    <x v="3"/>
    <n v="6"/>
    <n v="7559"/>
    <x v="2041"/>
    <n v="1610"/>
    <n v="43744"/>
    <n v="5875.0522540000002"/>
    <x v="1"/>
    <x v="6"/>
  </r>
  <r>
    <n v="12053"/>
    <d v="2025-08-11T00:00:00"/>
    <x v="4"/>
    <x v="0"/>
    <x v="2"/>
    <x v="2"/>
    <n v="8"/>
    <n v="19744"/>
    <x v="2042"/>
    <n v="612"/>
    <n v="157340"/>
    <n v="28983.971610000001"/>
    <x v="1"/>
    <x v="6"/>
  </r>
  <r>
    <n v="12054"/>
    <d v="2024-06-07T00:00:00"/>
    <x v="0"/>
    <x v="4"/>
    <x v="0"/>
    <x v="1"/>
    <n v="6"/>
    <n v="36155"/>
    <x v="2043"/>
    <n v="3212"/>
    <n v="213718"/>
    <n v="31200.097389999999"/>
    <x v="0"/>
    <x v="11"/>
  </r>
  <r>
    <n v="12055"/>
    <d v="2025-05-03T00:00:00"/>
    <x v="4"/>
    <x v="3"/>
    <x v="2"/>
    <x v="3"/>
    <n v="3"/>
    <n v="26021"/>
    <x v="2044"/>
    <n v="604"/>
    <n v="77459"/>
    <n v="8230.5314190000008"/>
    <x v="1"/>
    <x v="5"/>
  </r>
  <r>
    <n v="12056"/>
    <d v="2024-11-19T00:00:00"/>
    <x v="2"/>
    <x v="2"/>
    <x v="0"/>
    <x v="3"/>
    <n v="5"/>
    <n v="61898"/>
    <x v="2045"/>
    <n v="620"/>
    <n v="308870"/>
    <n v="44548.573759999999"/>
    <x v="0"/>
    <x v="7"/>
  </r>
  <r>
    <n v="12057"/>
    <d v="2025-09-01T00:00:00"/>
    <x v="3"/>
    <x v="4"/>
    <x v="0"/>
    <x v="0"/>
    <n v="9"/>
    <n v="56036"/>
    <x v="2046"/>
    <n v="2602"/>
    <n v="501722"/>
    <n v="118271.1921"/>
    <x v="1"/>
    <x v="2"/>
  </r>
  <r>
    <n v="12058"/>
    <d v="2025-01-15T00:00:00"/>
    <x v="4"/>
    <x v="1"/>
    <x v="1"/>
    <x v="1"/>
    <n v="8"/>
    <n v="58176"/>
    <x v="2047"/>
    <n v="2183"/>
    <n v="463225"/>
    <n v="58428.178630000002"/>
    <x v="1"/>
    <x v="4"/>
  </r>
  <r>
    <n v="12059"/>
    <d v="2024-04-11T00:00:00"/>
    <x v="3"/>
    <x v="2"/>
    <x v="0"/>
    <x v="0"/>
    <n v="6"/>
    <n v="63399"/>
    <x v="2048"/>
    <n v="3800"/>
    <n v="376594"/>
    <n v="80802.999830000001"/>
    <x v="0"/>
    <x v="0"/>
  </r>
  <r>
    <n v="12060"/>
    <d v="2025-05-08T00:00:00"/>
    <x v="0"/>
    <x v="4"/>
    <x v="1"/>
    <x v="1"/>
    <n v="9"/>
    <n v="23006"/>
    <x v="2049"/>
    <n v="155"/>
    <n v="206899"/>
    <n v="43105.813710000002"/>
    <x v="1"/>
    <x v="5"/>
  </r>
  <r>
    <n v="12061"/>
    <d v="2025-10-05T00:00:00"/>
    <x v="2"/>
    <x v="2"/>
    <x v="1"/>
    <x v="2"/>
    <n v="2"/>
    <n v="57434"/>
    <x v="2050"/>
    <n v="3353"/>
    <n v="111515"/>
    <n v="12928.349050000001"/>
    <x v="1"/>
    <x v="8"/>
  </r>
  <r>
    <n v="12062"/>
    <d v="2025-09-05T00:00:00"/>
    <x v="0"/>
    <x v="0"/>
    <x v="1"/>
    <x v="0"/>
    <n v="9"/>
    <n v="69591"/>
    <x v="2051"/>
    <n v="3911"/>
    <n v="622408"/>
    <n v="92997.990510000003"/>
    <x v="1"/>
    <x v="2"/>
  </r>
  <r>
    <n v="12063"/>
    <d v="2024-01-19T00:00:00"/>
    <x v="2"/>
    <x v="0"/>
    <x v="2"/>
    <x v="1"/>
    <n v="6"/>
    <n v="8069"/>
    <x v="2052"/>
    <n v="2917"/>
    <n v="45497"/>
    <n v="5841.9714629999999"/>
    <x v="0"/>
    <x v="4"/>
  </r>
  <r>
    <n v="12064"/>
    <d v="2025-03-29T00:00:00"/>
    <x v="2"/>
    <x v="0"/>
    <x v="2"/>
    <x v="1"/>
    <n v="9"/>
    <n v="11486"/>
    <x v="2053"/>
    <n v="3117"/>
    <n v="100257"/>
    <n v="10373.845160000001"/>
    <x v="1"/>
    <x v="1"/>
  </r>
  <r>
    <n v="12065"/>
    <d v="2025-04-26T00:00:00"/>
    <x v="3"/>
    <x v="1"/>
    <x v="0"/>
    <x v="3"/>
    <n v="4"/>
    <n v="70389"/>
    <x v="2054"/>
    <n v="2715"/>
    <n v="278841"/>
    <n v="35121.72524"/>
    <x v="1"/>
    <x v="0"/>
  </r>
  <r>
    <n v="12066"/>
    <d v="2025-08-16T00:00:00"/>
    <x v="0"/>
    <x v="0"/>
    <x v="1"/>
    <x v="0"/>
    <n v="5"/>
    <n v="40428"/>
    <x v="2055"/>
    <n v="4339"/>
    <n v="197801"/>
    <n v="25760.947759999999"/>
    <x v="1"/>
    <x v="6"/>
  </r>
  <r>
    <n v="12067"/>
    <d v="2025-01-31T00:00:00"/>
    <x v="0"/>
    <x v="1"/>
    <x v="1"/>
    <x v="0"/>
    <n v="2"/>
    <n v="33800"/>
    <x v="2056"/>
    <n v="449"/>
    <n v="67151"/>
    <n v="8386.9609380000002"/>
    <x v="1"/>
    <x v="4"/>
  </r>
  <r>
    <n v="12068"/>
    <d v="2024-10-05T00:00:00"/>
    <x v="4"/>
    <x v="0"/>
    <x v="0"/>
    <x v="2"/>
    <n v="3"/>
    <n v="42220"/>
    <x v="2057"/>
    <n v="4849"/>
    <n v="121811"/>
    <n v="13845.59633"/>
    <x v="0"/>
    <x v="8"/>
  </r>
  <r>
    <n v="12069"/>
    <d v="2024-12-30T00:00:00"/>
    <x v="0"/>
    <x v="2"/>
    <x v="1"/>
    <x v="1"/>
    <n v="1"/>
    <n v="61254"/>
    <x v="2058"/>
    <n v="4501"/>
    <n v="56753"/>
    <n v="10155.709279999999"/>
    <x v="0"/>
    <x v="3"/>
  </r>
  <r>
    <n v="12070"/>
    <d v="2024-11-26T00:00:00"/>
    <x v="4"/>
    <x v="4"/>
    <x v="0"/>
    <x v="3"/>
    <n v="4"/>
    <n v="16869"/>
    <x v="2059"/>
    <n v="3961"/>
    <n v="63515"/>
    <n v="9425.3628100000005"/>
    <x v="0"/>
    <x v="7"/>
  </r>
  <r>
    <n v="12071"/>
    <d v="2025-10-02T00:00:00"/>
    <x v="1"/>
    <x v="4"/>
    <x v="1"/>
    <x v="1"/>
    <n v="2"/>
    <n v="9176"/>
    <x v="2060"/>
    <n v="1069"/>
    <n v="17283"/>
    <n v="4082.8910569999998"/>
    <x v="1"/>
    <x v="8"/>
  </r>
  <r>
    <n v="12072"/>
    <d v="2024-12-09T00:00:00"/>
    <x v="1"/>
    <x v="0"/>
    <x v="2"/>
    <x v="1"/>
    <n v="2"/>
    <n v="41454"/>
    <x v="1191"/>
    <n v="4017"/>
    <n v="78891"/>
    <n v="10104.51866"/>
    <x v="0"/>
    <x v="3"/>
  </r>
  <r>
    <n v="12073"/>
    <d v="2025-03-30T00:00:00"/>
    <x v="1"/>
    <x v="4"/>
    <x v="0"/>
    <x v="1"/>
    <n v="1"/>
    <n v="75773"/>
    <x v="2061"/>
    <n v="4844"/>
    <n v="70929"/>
    <n v="13506.96652"/>
    <x v="1"/>
    <x v="1"/>
  </r>
  <r>
    <n v="12074"/>
    <d v="2025-08-23T00:00:00"/>
    <x v="0"/>
    <x v="0"/>
    <x v="0"/>
    <x v="0"/>
    <n v="2"/>
    <n v="31453"/>
    <x v="2062"/>
    <n v="3591"/>
    <n v="59315"/>
    <n v="13944.54471"/>
    <x v="1"/>
    <x v="6"/>
  </r>
  <r>
    <n v="12075"/>
    <d v="2025-12-25T00:00:00"/>
    <x v="0"/>
    <x v="0"/>
    <x v="2"/>
    <x v="1"/>
    <n v="4"/>
    <n v="61813"/>
    <x v="2063"/>
    <n v="2819"/>
    <n v="244433"/>
    <n v="26173.5062"/>
    <x v="1"/>
    <x v="3"/>
  </r>
  <r>
    <n v="12076"/>
    <d v="2025-10-16T00:00:00"/>
    <x v="4"/>
    <x v="3"/>
    <x v="0"/>
    <x v="2"/>
    <n v="6"/>
    <n v="71326"/>
    <x v="2064"/>
    <n v="2285"/>
    <n v="425671"/>
    <n v="75531.752099999998"/>
    <x v="1"/>
    <x v="8"/>
  </r>
  <r>
    <n v="12077"/>
    <d v="2024-03-05T00:00:00"/>
    <x v="2"/>
    <x v="3"/>
    <x v="2"/>
    <x v="3"/>
    <n v="7"/>
    <n v="52595"/>
    <x v="2065"/>
    <n v="2035"/>
    <n v="366130"/>
    <n v="61363.505850000001"/>
    <x v="0"/>
    <x v="1"/>
  </r>
  <r>
    <n v="12078"/>
    <d v="2024-03-16T00:00:00"/>
    <x v="4"/>
    <x v="3"/>
    <x v="1"/>
    <x v="3"/>
    <n v="7"/>
    <n v="46184"/>
    <x v="2066"/>
    <n v="1190"/>
    <n v="322098"/>
    <n v="77083.459820000004"/>
    <x v="0"/>
    <x v="1"/>
  </r>
  <r>
    <n v="12079"/>
    <d v="2025-12-11T00:00:00"/>
    <x v="1"/>
    <x v="1"/>
    <x v="2"/>
    <x v="1"/>
    <n v="7"/>
    <n v="57186"/>
    <x v="2067"/>
    <n v="1399"/>
    <n v="398903"/>
    <n v="79606.963879999996"/>
    <x v="1"/>
    <x v="3"/>
  </r>
  <r>
    <n v="12080"/>
    <d v="2024-05-22T00:00:00"/>
    <x v="4"/>
    <x v="3"/>
    <x v="2"/>
    <x v="3"/>
    <n v="4"/>
    <n v="21609"/>
    <x v="2068"/>
    <n v="3740"/>
    <n v="82696"/>
    <n v="12600.737789999999"/>
    <x v="0"/>
    <x v="5"/>
  </r>
  <r>
    <n v="12081"/>
    <d v="2025-08-27T00:00:00"/>
    <x v="2"/>
    <x v="0"/>
    <x v="0"/>
    <x v="1"/>
    <n v="5"/>
    <n v="79539"/>
    <x v="2069"/>
    <n v="2248"/>
    <n v="395447"/>
    <n v="81750.039690000005"/>
    <x v="1"/>
    <x v="6"/>
  </r>
  <r>
    <n v="12082"/>
    <d v="2025-04-17T00:00:00"/>
    <x v="0"/>
    <x v="2"/>
    <x v="1"/>
    <x v="0"/>
    <n v="3"/>
    <n v="32068"/>
    <x v="2070"/>
    <n v="2793"/>
    <n v="93411"/>
    <n v="17505.04421"/>
    <x v="1"/>
    <x v="0"/>
  </r>
  <r>
    <n v="12083"/>
    <d v="2025-02-20T00:00:00"/>
    <x v="4"/>
    <x v="3"/>
    <x v="2"/>
    <x v="3"/>
    <n v="1"/>
    <n v="51996"/>
    <x v="2071"/>
    <n v="723"/>
    <n v="51273"/>
    <n v="7797.3663269999997"/>
    <x v="1"/>
    <x v="9"/>
  </r>
  <r>
    <n v="12084"/>
    <d v="2024-10-31T00:00:00"/>
    <x v="1"/>
    <x v="3"/>
    <x v="1"/>
    <x v="0"/>
    <n v="8"/>
    <n v="66446"/>
    <x v="2072"/>
    <n v="1441"/>
    <n v="530127"/>
    <n v="115454.9289"/>
    <x v="0"/>
    <x v="8"/>
  </r>
  <r>
    <n v="12085"/>
    <d v="2025-05-11T00:00:00"/>
    <x v="1"/>
    <x v="2"/>
    <x v="2"/>
    <x v="0"/>
    <n v="7"/>
    <n v="74759"/>
    <x v="2073"/>
    <n v="4820"/>
    <n v="518493"/>
    <n v="103815.5015"/>
    <x v="1"/>
    <x v="5"/>
  </r>
  <r>
    <n v="12086"/>
    <d v="2024-10-17T00:00:00"/>
    <x v="0"/>
    <x v="0"/>
    <x v="0"/>
    <x v="2"/>
    <n v="9"/>
    <n v="41834"/>
    <x v="2074"/>
    <n v="86"/>
    <n v="376420"/>
    <n v="37947.820449999999"/>
    <x v="0"/>
    <x v="8"/>
  </r>
  <r>
    <n v="12087"/>
    <d v="2024-04-11T00:00:00"/>
    <x v="4"/>
    <x v="1"/>
    <x v="2"/>
    <x v="2"/>
    <n v="4"/>
    <n v="25746"/>
    <x v="2075"/>
    <n v="4149"/>
    <n v="98835"/>
    <n v="22709.33682"/>
    <x v="0"/>
    <x v="0"/>
  </r>
  <r>
    <n v="12088"/>
    <d v="2024-09-23T00:00:00"/>
    <x v="2"/>
    <x v="3"/>
    <x v="2"/>
    <x v="3"/>
    <n v="5"/>
    <n v="26407"/>
    <x v="2076"/>
    <n v="1751"/>
    <n v="130284"/>
    <n v="20788.607820000001"/>
    <x v="0"/>
    <x v="2"/>
  </r>
  <r>
    <n v="12089"/>
    <d v="2025-09-13T00:00:00"/>
    <x v="0"/>
    <x v="2"/>
    <x v="1"/>
    <x v="1"/>
    <n v="5"/>
    <n v="31403"/>
    <x v="2077"/>
    <n v="3420"/>
    <n v="153595"/>
    <n v="30230.128629999999"/>
    <x v="1"/>
    <x v="2"/>
  </r>
  <r>
    <n v="12090"/>
    <d v="2024-01-03T00:00:00"/>
    <x v="4"/>
    <x v="0"/>
    <x v="2"/>
    <x v="1"/>
    <n v="7"/>
    <n v="16637"/>
    <x v="2078"/>
    <n v="4837"/>
    <n v="111622"/>
    <n v="17805.411029999999"/>
    <x v="0"/>
    <x v="4"/>
  </r>
  <r>
    <n v="12091"/>
    <d v="2024-03-25T00:00:00"/>
    <x v="3"/>
    <x v="4"/>
    <x v="0"/>
    <x v="1"/>
    <n v="9"/>
    <n v="13612"/>
    <x v="2079"/>
    <n v="2483"/>
    <n v="120025"/>
    <n v="27870.321899999999"/>
    <x v="0"/>
    <x v="1"/>
  </r>
  <r>
    <n v="12092"/>
    <d v="2024-11-23T00:00:00"/>
    <x v="1"/>
    <x v="1"/>
    <x v="0"/>
    <x v="1"/>
    <n v="8"/>
    <n v="35410"/>
    <x v="2080"/>
    <n v="3212"/>
    <n v="280068"/>
    <n v="55348.527260000003"/>
    <x v="0"/>
    <x v="7"/>
  </r>
  <r>
    <n v="12093"/>
    <d v="2025-03-25T00:00:00"/>
    <x v="2"/>
    <x v="2"/>
    <x v="2"/>
    <x v="2"/>
    <n v="7"/>
    <n v="10160"/>
    <x v="2081"/>
    <n v="3922"/>
    <n v="67198"/>
    <n v="12559.839169999999"/>
    <x v="1"/>
    <x v="1"/>
  </r>
  <r>
    <n v="12094"/>
    <d v="2025-03-29T00:00:00"/>
    <x v="2"/>
    <x v="2"/>
    <x v="2"/>
    <x v="1"/>
    <n v="1"/>
    <n v="65108"/>
    <x v="2082"/>
    <n v="2489"/>
    <n v="62619"/>
    <n v="15469.37976"/>
    <x v="1"/>
    <x v="1"/>
  </r>
  <r>
    <n v="12095"/>
    <d v="2025-09-20T00:00:00"/>
    <x v="2"/>
    <x v="2"/>
    <x v="1"/>
    <x v="1"/>
    <n v="6"/>
    <n v="12728"/>
    <x v="2083"/>
    <n v="1486"/>
    <n v="74882"/>
    <n v="10640.43851"/>
    <x v="1"/>
    <x v="2"/>
  </r>
  <r>
    <n v="12096"/>
    <d v="2024-08-08T00:00:00"/>
    <x v="1"/>
    <x v="3"/>
    <x v="1"/>
    <x v="0"/>
    <n v="9"/>
    <n v="74774"/>
    <x v="2084"/>
    <n v="3527"/>
    <n v="669439"/>
    <n v="73496.465060000002"/>
    <x v="0"/>
    <x v="6"/>
  </r>
  <r>
    <n v="12097"/>
    <d v="2024-06-02T00:00:00"/>
    <x v="4"/>
    <x v="4"/>
    <x v="0"/>
    <x v="1"/>
    <n v="7"/>
    <n v="68594"/>
    <x v="2085"/>
    <n v="72"/>
    <n v="480086"/>
    <n v="85168.007700000002"/>
    <x v="0"/>
    <x v="11"/>
  </r>
  <r>
    <n v="12098"/>
    <d v="2025-10-26T00:00:00"/>
    <x v="0"/>
    <x v="1"/>
    <x v="1"/>
    <x v="1"/>
    <n v="1"/>
    <n v="23464"/>
    <x v="2086"/>
    <n v="724"/>
    <n v="22740"/>
    <n v="3720.3248309999999"/>
    <x v="1"/>
    <x v="8"/>
  </r>
  <r>
    <n v="12099"/>
    <d v="2024-01-12T00:00:00"/>
    <x v="4"/>
    <x v="0"/>
    <x v="2"/>
    <x v="2"/>
    <n v="9"/>
    <n v="36943"/>
    <x v="2087"/>
    <n v="3754"/>
    <n v="328733"/>
    <n v="55274.319609999999"/>
    <x v="0"/>
    <x v="4"/>
  </r>
  <r>
    <n v="12100"/>
    <d v="2024-05-12T00:00:00"/>
    <x v="0"/>
    <x v="0"/>
    <x v="0"/>
    <x v="3"/>
    <n v="3"/>
    <n v="35838"/>
    <x v="2088"/>
    <n v="2995"/>
    <n v="104519"/>
    <n v="20173.81064"/>
    <x v="0"/>
    <x v="5"/>
  </r>
  <r>
    <n v="12101"/>
    <d v="2024-10-30T00:00:00"/>
    <x v="2"/>
    <x v="4"/>
    <x v="1"/>
    <x v="0"/>
    <n v="9"/>
    <n v="10919"/>
    <x v="2089"/>
    <n v="4365"/>
    <n v="93906"/>
    <n v="18055.14186"/>
    <x v="0"/>
    <x v="8"/>
  </r>
  <r>
    <n v="12102"/>
    <d v="2024-10-19T00:00:00"/>
    <x v="4"/>
    <x v="2"/>
    <x v="0"/>
    <x v="0"/>
    <n v="4"/>
    <n v="42092"/>
    <x v="2090"/>
    <n v="218"/>
    <n v="168150"/>
    <n v="26708.886139999999"/>
    <x v="0"/>
    <x v="8"/>
  </r>
  <r>
    <n v="12103"/>
    <d v="2024-10-26T00:00:00"/>
    <x v="2"/>
    <x v="2"/>
    <x v="2"/>
    <x v="3"/>
    <n v="9"/>
    <n v="12797"/>
    <x v="2091"/>
    <n v="546"/>
    <n v="114627"/>
    <n v="26299.05069"/>
    <x v="0"/>
    <x v="8"/>
  </r>
  <r>
    <n v="12104"/>
    <d v="2024-02-12T00:00:00"/>
    <x v="3"/>
    <x v="2"/>
    <x v="1"/>
    <x v="0"/>
    <n v="8"/>
    <n v="56887"/>
    <x v="2092"/>
    <n v="3729"/>
    <n v="451367"/>
    <n v="89243.730960000001"/>
    <x v="0"/>
    <x v="9"/>
  </r>
  <r>
    <n v="12105"/>
    <d v="2024-12-08T00:00:00"/>
    <x v="2"/>
    <x v="2"/>
    <x v="2"/>
    <x v="1"/>
    <n v="7"/>
    <n v="79557"/>
    <x v="2093"/>
    <n v="1968"/>
    <n v="554931"/>
    <n v="129569.0367"/>
    <x v="0"/>
    <x v="3"/>
  </r>
  <r>
    <n v="12106"/>
    <d v="2024-11-21T00:00:00"/>
    <x v="2"/>
    <x v="2"/>
    <x v="2"/>
    <x v="1"/>
    <n v="4"/>
    <n v="8058"/>
    <x v="2094"/>
    <n v="4516"/>
    <n v="27716"/>
    <n v="6567.9460449999997"/>
    <x v="0"/>
    <x v="7"/>
  </r>
  <r>
    <n v="12107"/>
    <d v="2025-05-12T00:00:00"/>
    <x v="0"/>
    <x v="4"/>
    <x v="0"/>
    <x v="3"/>
    <n v="9"/>
    <n v="79577"/>
    <x v="2095"/>
    <n v="1259"/>
    <n v="714934"/>
    <n v="89435.963749999995"/>
    <x v="1"/>
    <x v="5"/>
  </r>
  <r>
    <n v="12108"/>
    <d v="2024-12-29T00:00:00"/>
    <x v="3"/>
    <x v="3"/>
    <x v="0"/>
    <x v="2"/>
    <n v="4"/>
    <n v="71689"/>
    <x v="2096"/>
    <n v="2933"/>
    <n v="283823"/>
    <n v="57356.16691"/>
    <x v="0"/>
    <x v="3"/>
  </r>
  <r>
    <n v="12109"/>
    <d v="2025-03-02T00:00:00"/>
    <x v="2"/>
    <x v="1"/>
    <x v="0"/>
    <x v="2"/>
    <n v="1"/>
    <n v="32258"/>
    <x v="2097"/>
    <n v="2509"/>
    <n v="29749"/>
    <n v="4391.7490660000003"/>
    <x v="1"/>
    <x v="1"/>
  </r>
  <r>
    <n v="12110"/>
    <d v="2024-01-21T00:00:00"/>
    <x v="2"/>
    <x v="2"/>
    <x v="1"/>
    <x v="0"/>
    <n v="6"/>
    <n v="24359"/>
    <x v="2098"/>
    <n v="4008"/>
    <n v="142146"/>
    <n v="32048.856660000001"/>
    <x v="0"/>
    <x v="4"/>
  </r>
  <r>
    <n v="12111"/>
    <d v="2025-02-10T00:00:00"/>
    <x v="3"/>
    <x v="3"/>
    <x v="1"/>
    <x v="2"/>
    <n v="4"/>
    <n v="17914"/>
    <x v="2099"/>
    <n v="4072"/>
    <n v="67584"/>
    <n v="14187.756170000001"/>
    <x v="1"/>
    <x v="9"/>
  </r>
  <r>
    <n v="12112"/>
    <d v="2025-09-10T00:00:00"/>
    <x v="3"/>
    <x v="0"/>
    <x v="0"/>
    <x v="2"/>
    <n v="3"/>
    <n v="12536"/>
    <x v="2100"/>
    <n v="4680"/>
    <n v="32928"/>
    <n v="4274.4545779999999"/>
    <x v="1"/>
    <x v="2"/>
  </r>
  <r>
    <n v="12113"/>
    <d v="2024-12-01T00:00:00"/>
    <x v="4"/>
    <x v="4"/>
    <x v="1"/>
    <x v="2"/>
    <n v="5"/>
    <n v="60071"/>
    <x v="2101"/>
    <n v="1562"/>
    <n v="298793"/>
    <n v="71952.227289999995"/>
    <x v="0"/>
    <x v="3"/>
  </r>
  <r>
    <n v="12114"/>
    <d v="2024-04-26T00:00:00"/>
    <x v="0"/>
    <x v="3"/>
    <x v="1"/>
    <x v="2"/>
    <n v="3"/>
    <n v="38748"/>
    <x v="2102"/>
    <n v="2085"/>
    <n v="114159"/>
    <n v="23119.691989999999"/>
    <x v="0"/>
    <x v="0"/>
  </r>
  <r>
    <n v="12115"/>
    <d v="2024-05-03T00:00:00"/>
    <x v="3"/>
    <x v="2"/>
    <x v="0"/>
    <x v="2"/>
    <n v="9"/>
    <n v="44448"/>
    <x v="2103"/>
    <n v="1789"/>
    <n v="398243"/>
    <n v="96492.273939999999"/>
    <x v="0"/>
    <x v="5"/>
  </r>
  <r>
    <n v="12116"/>
    <d v="2025-02-02T00:00:00"/>
    <x v="3"/>
    <x v="2"/>
    <x v="2"/>
    <x v="2"/>
    <n v="6"/>
    <n v="51132"/>
    <x v="1640"/>
    <n v="3669"/>
    <n v="303123"/>
    <n v="39492.888039999998"/>
    <x v="1"/>
    <x v="9"/>
  </r>
  <r>
    <n v="12117"/>
    <d v="2025-12-15T00:00:00"/>
    <x v="1"/>
    <x v="2"/>
    <x v="1"/>
    <x v="2"/>
    <n v="3"/>
    <n v="7384"/>
    <x v="2104"/>
    <n v="2481"/>
    <n v="19671"/>
    <n v="4533.2953369999996"/>
    <x v="1"/>
    <x v="3"/>
  </r>
  <r>
    <n v="12118"/>
    <d v="2024-02-20T00:00:00"/>
    <x v="3"/>
    <x v="3"/>
    <x v="1"/>
    <x v="0"/>
    <n v="5"/>
    <n v="49312"/>
    <x v="2105"/>
    <n v="3430"/>
    <n v="243130"/>
    <n v="48677.281719999999"/>
    <x v="0"/>
    <x v="9"/>
  </r>
  <r>
    <n v="12119"/>
    <d v="2024-11-19T00:00:00"/>
    <x v="0"/>
    <x v="2"/>
    <x v="2"/>
    <x v="1"/>
    <n v="8"/>
    <n v="39134"/>
    <x v="2106"/>
    <n v="204"/>
    <n v="312868"/>
    <n v="57205.720300000001"/>
    <x v="0"/>
    <x v="7"/>
  </r>
  <r>
    <n v="12120"/>
    <d v="2024-05-20T00:00:00"/>
    <x v="2"/>
    <x v="3"/>
    <x v="2"/>
    <x v="2"/>
    <n v="8"/>
    <n v="65120"/>
    <x v="2107"/>
    <n v="741"/>
    <n v="520219"/>
    <n v="116048.86"/>
    <x v="0"/>
    <x v="5"/>
  </r>
  <r>
    <n v="12121"/>
    <d v="2025-04-14T00:00:00"/>
    <x v="2"/>
    <x v="2"/>
    <x v="2"/>
    <x v="1"/>
    <n v="6"/>
    <n v="65592"/>
    <x v="2108"/>
    <n v="2888"/>
    <n v="390664"/>
    <n v="76151.970619999993"/>
    <x v="1"/>
    <x v="0"/>
  </r>
  <r>
    <n v="12122"/>
    <d v="2024-11-29T00:00:00"/>
    <x v="2"/>
    <x v="0"/>
    <x v="0"/>
    <x v="3"/>
    <n v="5"/>
    <n v="76723"/>
    <x v="2109"/>
    <n v="3494"/>
    <n v="380121"/>
    <n v="76191.462390000001"/>
    <x v="0"/>
    <x v="7"/>
  </r>
  <r>
    <n v="12123"/>
    <d v="2025-01-07T00:00:00"/>
    <x v="2"/>
    <x v="0"/>
    <x v="2"/>
    <x v="1"/>
    <n v="5"/>
    <n v="79031"/>
    <x v="2110"/>
    <n v="4263"/>
    <n v="390892"/>
    <n v="53962.870300000002"/>
    <x v="1"/>
    <x v="4"/>
  </r>
  <r>
    <n v="12124"/>
    <d v="2025-07-17T00:00:00"/>
    <x v="1"/>
    <x v="1"/>
    <x v="0"/>
    <x v="3"/>
    <n v="1"/>
    <n v="14885"/>
    <x v="2111"/>
    <n v="4737"/>
    <n v="10148"/>
    <n v="2258.5191249999998"/>
    <x v="1"/>
    <x v="10"/>
  </r>
  <r>
    <n v="12125"/>
    <d v="2025-05-08T00:00:00"/>
    <x v="3"/>
    <x v="2"/>
    <x v="2"/>
    <x v="0"/>
    <n v="2"/>
    <n v="23700"/>
    <x v="2112"/>
    <n v="1105"/>
    <n v="46295"/>
    <n v="9145.3645410000008"/>
    <x v="1"/>
    <x v="5"/>
  </r>
  <r>
    <n v="12126"/>
    <d v="2025-06-22T00:00:00"/>
    <x v="2"/>
    <x v="2"/>
    <x v="2"/>
    <x v="1"/>
    <n v="4"/>
    <n v="20018"/>
    <x v="2113"/>
    <n v="1823"/>
    <n v="78249"/>
    <n v="17735.79133"/>
    <x v="1"/>
    <x v="11"/>
  </r>
  <r>
    <n v="12127"/>
    <d v="2025-10-30T00:00:00"/>
    <x v="4"/>
    <x v="3"/>
    <x v="0"/>
    <x v="3"/>
    <n v="6"/>
    <n v="62061"/>
    <x v="2114"/>
    <n v="2647"/>
    <n v="369719"/>
    <n v="56466.829729999998"/>
    <x v="1"/>
    <x v="8"/>
  </r>
  <r>
    <n v="12128"/>
    <d v="2024-06-04T00:00:00"/>
    <x v="2"/>
    <x v="3"/>
    <x v="0"/>
    <x v="1"/>
    <n v="7"/>
    <n v="36322"/>
    <x v="2115"/>
    <n v="4197"/>
    <n v="250057"/>
    <n v="37447.665710000001"/>
    <x v="0"/>
    <x v="11"/>
  </r>
  <r>
    <n v="12129"/>
    <d v="2024-10-17T00:00:00"/>
    <x v="3"/>
    <x v="2"/>
    <x v="2"/>
    <x v="0"/>
    <n v="1"/>
    <n v="55073"/>
    <x v="2116"/>
    <n v="88"/>
    <n v="54985"/>
    <n v="5695.6456760000001"/>
    <x v="0"/>
    <x v="8"/>
  </r>
  <r>
    <n v="12130"/>
    <d v="2025-10-09T00:00:00"/>
    <x v="2"/>
    <x v="1"/>
    <x v="2"/>
    <x v="1"/>
    <n v="8"/>
    <n v="77650"/>
    <x v="2117"/>
    <n v="3381"/>
    <n v="617819"/>
    <n v="133010.74619999999"/>
    <x v="1"/>
    <x v="8"/>
  </r>
  <r>
    <n v="12131"/>
    <d v="2024-05-23T00:00:00"/>
    <x v="1"/>
    <x v="2"/>
    <x v="2"/>
    <x v="3"/>
    <n v="1"/>
    <n v="77110"/>
    <x v="2118"/>
    <n v="4703"/>
    <n v="72407"/>
    <n v="10828.26107"/>
    <x v="0"/>
    <x v="5"/>
  </r>
  <r>
    <n v="12132"/>
    <d v="2024-04-15T00:00:00"/>
    <x v="0"/>
    <x v="3"/>
    <x v="1"/>
    <x v="2"/>
    <n v="9"/>
    <n v="29996"/>
    <x v="2119"/>
    <n v="3511"/>
    <n v="266453"/>
    <n v="39723.305229999998"/>
    <x v="0"/>
    <x v="0"/>
  </r>
  <r>
    <n v="12133"/>
    <d v="2025-02-23T00:00:00"/>
    <x v="0"/>
    <x v="2"/>
    <x v="2"/>
    <x v="2"/>
    <n v="4"/>
    <n v="74345"/>
    <x v="2120"/>
    <n v="2206"/>
    <n v="295174"/>
    <n v="60009.664479999999"/>
    <x v="1"/>
    <x v="9"/>
  </r>
  <r>
    <n v="12134"/>
    <d v="2025-10-31T00:00:00"/>
    <x v="3"/>
    <x v="3"/>
    <x v="0"/>
    <x v="2"/>
    <n v="7"/>
    <n v="51304"/>
    <x v="2121"/>
    <n v="3185"/>
    <n v="355943"/>
    <n v="49095.341330000003"/>
    <x v="1"/>
    <x v="8"/>
  </r>
  <r>
    <n v="12135"/>
    <d v="2025-10-19T00:00:00"/>
    <x v="0"/>
    <x v="2"/>
    <x v="1"/>
    <x v="0"/>
    <n v="6"/>
    <n v="34249"/>
    <x v="2122"/>
    <n v="4381"/>
    <n v="201113"/>
    <n v="47533.675569999999"/>
    <x v="1"/>
    <x v="8"/>
  </r>
  <r>
    <n v="12136"/>
    <d v="2024-01-02T00:00:00"/>
    <x v="0"/>
    <x v="4"/>
    <x v="0"/>
    <x v="2"/>
    <n v="9"/>
    <n v="75223"/>
    <x v="2123"/>
    <n v="864"/>
    <n v="676143"/>
    <n v="122185.73299999999"/>
    <x v="0"/>
    <x v="4"/>
  </r>
  <r>
    <n v="12137"/>
    <d v="2025-08-11T00:00:00"/>
    <x v="4"/>
    <x v="3"/>
    <x v="1"/>
    <x v="0"/>
    <n v="2"/>
    <n v="26123"/>
    <x v="2124"/>
    <n v="54"/>
    <n v="52192"/>
    <n v="12809.043390000001"/>
    <x v="1"/>
    <x v="6"/>
  </r>
  <r>
    <n v="12138"/>
    <d v="2025-10-05T00:00:00"/>
    <x v="3"/>
    <x v="1"/>
    <x v="1"/>
    <x v="2"/>
    <n v="7"/>
    <n v="38095"/>
    <x v="2125"/>
    <n v="4671"/>
    <n v="261994"/>
    <n v="29212.416590000001"/>
    <x v="1"/>
    <x v="8"/>
  </r>
  <r>
    <n v="12139"/>
    <d v="2024-03-30T00:00:00"/>
    <x v="3"/>
    <x v="4"/>
    <x v="0"/>
    <x v="0"/>
    <n v="5"/>
    <n v="65185"/>
    <x v="2126"/>
    <n v="2080"/>
    <n v="323845"/>
    <n v="48746.381679999999"/>
    <x v="0"/>
    <x v="1"/>
  </r>
  <r>
    <n v="12140"/>
    <d v="2024-12-10T00:00:00"/>
    <x v="0"/>
    <x v="2"/>
    <x v="1"/>
    <x v="0"/>
    <n v="7"/>
    <n v="58884"/>
    <x v="2127"/>
    <n v="557"/>
    <n v="411631"/>
    <n v="64716.85284"/>
    <x v="0"/>
    <x v="3"/>
  </r>
  <r>
    <n v="12141"/>
    <d v="2024-12-15T00:00:00"/>
    <x v="0"/>
    <x v="3"/>
    <x v="0"/>
    <x v="1"/>
    <n v="1"/>
    <n v="10291"/>
    <x v="2128"/>
    <n v="4826"/>
    <n v="5465"/>
    <n v="1145.262385"/>
    <x v="0"/>
    <x v="3"/>
  </r>
  <r>
    <n v="12142"/>
    <d v="2025-04-03T00:00:00"/>
    <x v="0"/>
    <x v="4"/>
    <x v="2"/>
    <x v="2"/>
    <n v="9"/>
    <n v="46193"/>
    <x v="2129"/>
    <n v="992"/>
    <n v="414745"/>
    <n v="54723.25475"/>
    <x v="1"/>
    <x v="0"/>
  </r>
  <r>
    <n v="12143"/>
    <d v="2024-09-19T00:00:00"/>
    <x v="1"/>
    <x v="1"/>
    <x v="1"/>
    <x v="1"/>
    <n v="1"/>
    <n v="8122"/>
    <x v="2130"/>
    <n v="4896"/>
    <n v="3226"/>
    <n v="504.22985849999998"/>
    <x v="0"/>
    <x v="2"/>
  </r>
  <r>
    <n v="12144"/>
    <d v="2024-12-16T00:00:00"/>
    <x v="2"/>
    <x v="3"/>
    <x v="0"/>
    <x v="3"/>
    <n v="5"/>
    <n v="9876"/>
    <x v="2131"/>
    <n v="4291"/>
    <n v="45089"/>
    <n v="10667.894249999999"/>
    <x v="0"/>
    <x v="3"/>
  </r>
  <r>
    <n v="12145"/>
    <d v="2024-04-17T00:00:00"/>
    <x v="1"/>
    <x v="4"/>
    <x v="1"/>
    <x v="2"/>
    <n v="8"/>
    <n v="79660"/>
    <x v="2132"/>
    <n v="447"/>
    <n v="636833"/>
    <n v="74625.767439999996"/>
    <x v="0"/>
    <x v="0"/>
  </r>
  <r>
    <n v="12146"/>
    <d v="2025-08-08T00:00:00"/>
    <x v="3"/>
    <x v="4"/>
    <x v="0"/>
    <x v="2"/>
    <n v="1"/>
    <n v="62147"/>
    <x v="2133"/>
    <n v="1821"/>
    <n v="60326"/>
    <n v="12776.96235"/>
    <x v="1"/>
    <x v="6"/>
  </r>
  <r>
    <n v="12147"/>
    <d v="2024-02-08T00:00:00"/>
    <x v="4"/>
    <x v="4"/>
    <x v="2"/>
    <x v="2"/>
    <n v="7"/>
    <n v="6823"/>
    <x v="2134"/>
    <n v="3819"/>
    <n v="43942"/>
    <n v="9024.4901160000009"/>
    <x v="0"/>
    <x v="9"/>
  </r>
  <r>
    <n v="12148"/>
    <d v="2024-06-07T00:00:00"/>
    <x v="2"/>
    <x v="0"/>
    <x v="2"/>
    <x v="2"/>
    <n v="2"/>
    <n v="57652"/>
    <x v="2135"/>
    <n v="2972"/>
    <n v="112332"/>
    <n v="13432.184440000001"/>
    <x v="0"/>
    <x v="11"/>
  </r>
  <r>
    <n v="12149"/>
    <d v="2025-08-05T00:00:00"/>
    <x v="4"/>
    <x v="2"/>
    <x v="1"/>
    <x v="1"/>
    <n v="7"/>
    <n v="63204"/>
    <x v="2136"/>
    <n v="91"/>
    <n v="442337"/>
    <n v="89915.43578"/>
    <x v="1"/>
    <x v="6"/>
  </r>
  <r>
    <n v="12150"/>
    <d v="2024-11-07T00:00:00"/>
    <x v="3"/>
    <x v="3"/>
    <x v="1"/>
    <x v="1"/>
    <n v="7"/>
    <n v="55382"/>
    <x v="2137"/>
    <n v="607"/>
    <n v="387067"/>
    <n v="71788.3753"/>
    <x v="0"/>
    <x v="7"/>
  </r>
  <r>
    <n v="12151"/>
    <d v="2024-08-28T00:00:00"/>
    <x v="3"/>
    <x v="3"/>
    <x v="0"/>
    <x v="0"/>
    <n v="9"/>
    <n v="15387"/>
    <x v="2138"/>
    <n v="1251"/>
    <n v="137232"/>
    <n v="19641.789809999998"/>
    <x v="0"/>
    <x v="6"/>
  </r>
  <r>
    <n v="12152"/>
    <d v="2025-03-20T00:00:00"/>
    <x v="4"/>
    <x v="3"/>
    <x v="0"/>
    <x v="1"/>
    <n v="6"/>
    <n v="56175"/>
    <x v="2139"/>
    <n v="285"/>
    <n v="336765"/>
    <n v="49393.719680000002"/>
    <x v="1"/>
    <x v="1"/>
  </r>
  <r>
    <n v="12153"/>
    <d v="2024-10-24T00:00:00"/>
    <x v="4"/>
    <x v="4"/>
    <x v="1"/>
    <x v="0"/>
    <n v="4"/>
    <n v="23980"/>
    <x v="2140"/>
    <n v="2921"/>
    <n v="92999"/>
    <n v="20920.01729"/>
    <x v="0"/>
    <x v="8"/>
  </r>
  <r>
    <n v="12154"/>
    <d v="2024-02-05T00:00:00"/>
    <x v="4"/>
    <x v="2"/>
    <x v="0"/>
    <x v="3"/>
    <n v="7"/>
    <n v="29224"/>
    <x v="2141"/>
    <n v="3306"/>
    <n v="201262"/>
    <n v="27100.380720000001"/>
    <x v="0"/>
    <x v="9"/>
  </r>
  <r>
    <n v="12155"/>
    <d v="2024-03-24T00:00:00"/>
    <x v="3"/>
    <x v="1"/>
    <x v="0"/>
    <x v="1"/>
    <n v="7"/>
    <n v="12121"/>
    <x v="2142"/>
    <n v="101"/>
    <n v="84746"/>
    <n v="14993.014810000001"/>
    <x v="0"/>
    <x v="1"/>
  </r>
  <r>
    <n v="12156"/>
    <d v="2025-03-27T00:00:00"/>
    <x v="0"/>
    <x v="3"/>
    <x v="0"/>
    <x v="0"/>
    <n v="4"/>
    <n v="72966"/>
    <x v="2143"/>
    <n v="3835"/>
    <n v="288029"/>
    <n v="58231.531649999997"/>
    <x v="1"/>
    <x v="1"/>
  </r>
  <r>
    <n v="12157"/>
    <d v="2025-01-19T00:00:00"/>
    <x v="4"/>
    <x v="2"/>
    <x v="1"/>
    <x v="2"/>
    <n v="2"/>
    <n v="78490"/>
    <x v="2144"/>
    <n v="4235"/>
    <n v="152745"/>
    <n v="18250.775150000001"/>
    <x v="1"/>
    <x v="4"/>
  </r>
  <r>
    <n v="12158"/>
    <d v="2024-06-20T00:00:00"/>
    <x v="2"/>
    <x v="2"/>
    <x v="2"/>
    <x v="3"/>
    <n v="9"/>
    <n v="16881"/>
    <x v="2145"/>
    <n v="4930"/>
    <n v="146999"/>
    <n v="35258.163009999997"/>
    <x v="0"/>
    <x v="11"/>
  </r>
  <r>
    <n v="12159"/>
    <d v="2025-01-10T00:00:00"/>
    <x v="3"/>
    <x v="0"/>
    <x v="2"/>
    <x v="0"/>
    <n v="8"/>
    <n v="55809"/>
    <x v="2146"/>
    <n v="1678"/>
    <n v="444794"/>
    <n v="61868.686930000003"/>
    <x v="1"/>
    <x v="4"/>
  </r>
  <r>
    <n v="12160"/>
    <d v="2025-11-15T00:00:00"/>
    <x v="1"/>
    <x v="3"/>
    <x v="0"/>
    <x v="3"/>
    <n v="5"/>
    <n v="28097"/>
    <x v="2147"/>
    <n v="3823"/>
    <n v="136662"/>
    <n v="20202.09274"/>
    <x v="1"/>
    <x v="7"/>
  </r>
  <r>
    <n v="12161"/>
    <d v="2024-12-27T00:00:00"/>
    <x v="1"/>
    <x v="4"/>
    <x v="1"/>
    <x v="2"/>
    <n v="5"/>
    <n v="7978"/>
    <x v="2148"/>
    <n v="534"/>
    <n v="39356"/>
    <n v="7867.9476480000003"/>
    <x v="0"/>
    <x v="3"/>
  </r>
  <r>
    <n v="12162"/>
    <d v="2025-07-12T00:00:00"/>
    <x v="2"/>
    <x v="2"/>
    <x v="0"/>
    <x v="2"/>
    <n v="1"/>
    <n v="9332"/>
    <x v="2149"/>
    <n v="15"/>
    <n v="9317"/>
    <n v="1040.9767360000001"/>
    <x v="1"/>
    <x v="10"/>
  </r>
  <r>
    <n v="12163"/>
    <d v="2024-05-20T00:00:00"/>
    <x v="0"/>
    <x v="2"/>
    <x v="2"/>
    <x v="0"/>
    <n v="9"/>
    <n v="20089"/>
    <x v="2150"/>
    <n v="560"/>
    <n v="180241"/>
    <n v="34992.330829999999"/>
    <x v="0"/>
    <x v="5"/>
  </r>
  <r>
    <n v="12164"/>
    <d v="2024-04-27T00:00:00"/>
    <x v="4"/>
    <x v="1"/>
    <x v="0"/>
    <x v="0"/>
    <n v="8"/>
    <n v="61804"/>
    <x v="2151"/>
    <n v="2925"/>
    <n v="491507"/>
    <n v="116685.9706"/>
    <x v="0"/>
    <x v="0"/>
  </r>
  <r>
    <n v="12165"/>
    <d v="2024-10-03T00:00:00"/>
    <x v="3"/>
    <x v="0"/>
    <x v="2"/>
    <x v="2"/>
    <n v="5"/>
    <n v="69752"/>
    <x v="2152"/>
    <n v="2383"/>
    <n v="346377"/>
    <n v="47579.585890000002"/>
    <x v="0"/>
    <x v="8"/>
  </r>
  <r>
    <n v="12166"/>
    <d v="2025-12-26T00:00:00"/>
    <x v="4"/>
    <x v="2"/>
    <x v="1"/>
    <x v="0"/>
    <n v="6"/>
    <n v="28484"/>
    <x v="2153"/>
    <n v="909"/>
    <n v="169995"/>
    <n v="26227.875599999999"/>
    <x v="1"/>
    <x v="3"/>
  </r>
  <r>
    <n v="12167"/>
    <d v="2024-08-07T00:00:00"/>
    <x v="3"/>
    <x v="2"/>
    <x v="0"/>
    <x v="2"/>
    <n v="8"/>
    <n v="65408"/>
    <x v="2154"/>
    <n v="1413"/>
    <n v="521851"/>
    <n v="70371.656210000001"/>
    <x v="0"/>
    <x v="6"/>
  </r>
  <r>
    <n v="12168"/>
    <d v="2024-01-26T00:00:00"/>
    <x v="1"/>
    <x v="4"/>
    <x v="1"/>
    <x v="1"/>
    <n v="6"/>
    <n v="59018"/>
    <x v="2155"/>
    <n v="118"/>
    <n v="353990"/>
    <n v="78874.39241"/>
    <x v="0"/>
    <x v="4"/>
  </r>
  <r>
    <n v="12169"/>
    <d v="2025-06-04T00:00:00"/>
    <x v="4"/>
    <x v="4"/>
    <x v="0"/>
    <x v="0"/>
    <n v="4"/>
    <n v="23148"/>
    <x v="2156"/>
    <n v="4062"/>
    <n v="88530"/>
    <n v="11078.748089999999"/>
    <x v="1"/>
    <x v="11"/>
  </r>
  <r>
    <n v="12170"/>
    <d v="2024-01-10T00:00:00"/>
    <x v="2"/>
    <x v="1"/>
    <x v="0"/>
    <x v="3"/>
    <n v="3"/>
    <n v="8830"/>
    <x v="2157"/>
    <n v="3113"/>
    <n v="23377"/>
    <n v="3553.1692389999998"/>
    <x v="0"/>
    <x v="4"/>
  </r>
  <r>
    <n v="12171"/>
    <d v="2025-01-12T00:00:00"/>
    <x v="0"/>
    <x v="1"/>
    <x v="0"/>
    <x v="2"/>
    <n v="7"/>
    <n v="73494"/>
    <x v="2158"/>
    <n v="3060"/>
    <n v="511398"/>
    <n v="97244.00361"/>
    <x v="1"/>
    <x v="4"/>
  </r>
  <r>
    <n v="12172"/>
    <d v="2025-09-24T00:00:00"/>
    <x v="2"/>
    <x v="1"/>
    <x v="0"/>
    <x v="1"/>
    <n v="2"/>
    <n v="30998"/>
    <x v="2159"/>
    <n v="1491"/>
    <n v="60505"/>
    <n v="9722.134892"/>
    <x v="1"/>
    <x v="2"/>
  </r>
  <r>
    <n v="12173"/>
    <d v="2025-09-28T00:00:00"/>
    <x v="0"/>
    <x v="4"/>
    <x v="0"/>
    <x v="0"/>
    <n v="7"/>
    <n v="72076"/>
    <x v="2160"/>
    <n v="2096"/>
    <n v="502436"/>
    <n v="55177.721080000003"/>
    <x v="1"/>
    <x v="2"/>
  </r>
  <r>
    <n v="12174"/>
    <d v="2025-11-12T00:00:00"/>
    <x v="4"/>
    <x v="4"/>
    <x v="1"/>
    <x v="2"/>
    <n v="1"/>
    <n v="35677"/>
    <x v="2161"/>
    <n v="2254"/>
    <n v="33423"/>
    <n v="8093.650181"/>
    <x v="1"/>
    <x v="7"/>
  </r>
  <r>
    <n v="12175"/>
    <d v="2025-08-06T00:00:00"/>
    <x v="4"/>
    <x v="0"/>
    <x v="1"/>
    <x v="1"/>
    <n v="5"/>
    <n v="34101"/>
    <x v="2162"/>
    <n v="513"/>
    <n v="169992"/>
    <n v="25615.25578"/>
    <x v="1"/>
    <x v="6"/>
  </r>
  <r>
    <n v="12176"/>
    <d v="2024-05-31T00:00:00"/>
    <x v="0"/>
    <x v="3"/>
    <x v="2"/>
    <x v="0"/>
    <n v="9"/>
    <n v="12053"/>
    <x v="2163"/>
    <n v="1233"/>
    <n v="107244"/>
    <n v="17893.412799999998"/>
    <x v="0"/>
    <x v="5"/>
  </r>
  <r>
    <n v="12177"/>
    <d v="2025-12-20T00:00:00"/>
    <x v="1"/>
    <x v="3"/>
    <x v="0"/>
    <x v="2"/>
    <n v="1"/>
    <n v="10670"/>
    <x v="2164"/>
    <n v="4132"/>
    <n v="6538"/>
    <n v="818.11171019999995"/>
    <x v="1"/>
    <x v="3"/>
  </r>
  <r>
    <n v="12178"/>
    <d v="2024-02-18T00:00:00"/>
    <x v="3"/>
    <x v="0"/>
    <x v="2"/>
    <x v="2"/>
    <n v="8"/>
    <n v="15281"/>
    <x v="2165"/>
    <n v="1479"/>
    <n v="120769"/>
    <n v="27753.02245"/>
    <x v="0"/>
    <x v="9"/>
  </r>
  <r>
    <n v="12179"/>
    <d v="2024-06-02T00:00:00"/>
    <x v="2"/>
    <x v="3"/>
    <x v="1"/>
    <x v="2"/>
    <n v="9"/>
    <n v="58341"/>
    <x v="2166"/>
    <n v="3349"/>
    <n v="521720"/>
    <n v="74978.634080000003"/>
    <x v="0"/>
    <x v="11"/>
  </r>
  <r>
    <n v="12180"/>
    <d v="2024-10-19T00:00:00"/>
    <x v="2"/>
    <x v="4"/>
    <x v="2"/>
    <x v="0"/>
    <n v="9"/>
    <n v="73069"/>
    <x v="2167"/>
    <n v="1540"/>
    <n v="656081"/>
    <n v="67558.928320000006"/>
    <x v="0"/>
    <x v="8"/>
  </r>
  <r>
    <n v="12181"/>
    <d v="2025-08-02T00:00:00"/>
    <x v="2"/>
    <x v="3"/>
    <x v="1"/>
    <x v="1"/>
    <n v="8"/>
    <n v="15756"/>
    <x v="2168"/>
    <n v="129"/>
    <n v="125919"/>
    <n v="18568.06452"/>
    <x v="1"/>
    <x v="6"/>
  </r>
  <r>
    <n v="12182"/>
    <d v="2024-02-19T00:00:00"/>
    <x v="4"/>
    <x v="4"/>
    <x v="0"/>
    <x v="2"/>
    <n v="4"/>
    <n v="70075"/>
    <x v="2169"/>
    <n v="3716"/>
    <n v="276584"/>
    <n v="68484.674570000003"/>
    <x v="0"/>
    <x v="9"/>
  </r>
  <r>
    <n v="12183"/>
    <d v="2025-10-25T00:00:00"/>
    <x v="2"/>
    <x v="0"/>
    <x v="2"/>
    <x v="1"/>
    <n v="7"/>
    <n v="59421"/>
    <x v="2170"/>
    <n v="3743"/>
    <n v="412204"/>
    <n v="50299.782930000001"/>
    <x v="1"/>
    <x v="8"/>
  </r>
  <r>
    <n v="12184"/>
    <d v="2025-06-14T00:00:00"/>
    <x v="3"/>
    <x v="1"/>
    <x v="2"/>
    <x v="1"/>
    <n v="1"/>
    <n v="65108"/>
    <x v="2082"/>
    <n v="1771"/>
    <n v="63337"/>
    <n v="6630.140797"/>
    <x v="1"/>
    <x v="11"/>
  </r>
  <r>
    <n v="12185"/>
    <d v="2025-09-03T00:00:00"/>
    <x v="3"/>
    <x v="0"/>
    <x v="2"/>
    <x v="3"/>
    <n v="7"/>
    <n v="70323"/>
    <x v="2171"/>
    <n v="4454"/>
    <n v="487807"/>
    <n v="91086.41502"/>
    <x v="1"/>
    <x v="2"/>
  </r>
  <r>
    <n v="12186"/>
    <d v="2024-02-29T00:00:00"/>
    <x v="0"/>
    <x v="3"/>
    <x v="2"/>
    <x v="1"/>
    <n v="6"/>
    <n v="22048"/>
    <x v="2172"/>
    <n v="3075"/>
    <n v="129213"/>
    <n v="20124.922419999999"/>
    <x v="0"/>
    <x v="9"/>
  </r>
  <r>
    <n v="12187"/>
    <d v="2024-06-15T00:00:00"/>
    <x v="4"/>
    <x v="4"/>
    <x v="0"/>
    <x v="1"/>
    <n v="5"/>
    <n v="57606"/>
    <x v="2173"/>
    <n v="505"/>
    <n v="287525"/>
    <n v="63038.790939999999"/>
    <x v="0"/>
    <x v="11"/>
  </r>
  <r>
    <n v="12188"/>
    <d v="2024-07-20T00:00:00"/>
    <x v="3"/>
    <x v="3"/>
    <x v="1"/>
    <x v="1"/>
    <n v="1"/>
    <n v="14876"/>
    <x v="2174"/>
    <n v="4913"/>
    <n v="9963"/>
    <n v="2090.069669"/>
    <x v="0"/>
    <x v="10"/>
  </r>
  <r>
    <n v="12189"/>
    <d v="2024-05-25T00:00:00"/>
    <x v="1"/>
    <x v="3"/>
    <x v="1"/>
    <x v="1"/>
    <n v="8"/>
    <n v="63075"/>
    <x v="2175"/>
    <n v="4889"/>
    <n v="499711"/>
    <n v="63869.48919"/>
    <x v="0"/>
    <x v="5"/>
  </r>
  <r>
    <n v="12190"/>
    <d v="2025-11-06T00:00:00"/>
    <x v="4"/>
    <x v="1"/>
    <x v="0"/>
    <x v="1"/>
    <n v="1"/>
    <n v="20171"/>
    <x v="2176"/>
    <n v="838"/>
    <n v="19333"/>
    <n v="3570.705453"/>
    <x v="1"/>
    <x v="7"/>
  </r>
  <r>
    <n v="12191"/>
    <d v="2025-03-14T00:00:00"/>
    <x v="4"/>
    <x v="3"/>
    <x v="1"/>
    <x v="0"/>
    <n v="1"/>
    <n v="47204"/>
    <x v="2177"/>
    <n v="3871"/>
    <n v="43333"/>
    <n v="4544.1324269999996"/>
    <x v="1"/>
    <x v="1"/>
  </r>
  <r>
    <n v="12192"/>
    <d v="2024-08-29T00:00:00"/>
    <x v="3"/>
    <x v="1"/>
    <x v="2"/>
    <x v="3"/>
    <n v="3"/>
    <n v="10166"/>
    <x v="2178"/>
    <n v="4718"/>
    <n v="25780"/>
    <n v="4277.4623080000001"/>
    <x v="0"/>
    <x v="6"/>
  </r>
  <r>
    <n v="12193"/>
    <d v="2025-08-03T00:00:00"/>
    <x v="1"/>
    <x v="4"/>
    <x v="0"/>
    <x v="2"/>
    <n v="8"/>
    <n v="48734"/>
    <x v="2179"/>
    <n v="2676"/>
    <n v="387196"/>
    <n v="80191.382700000002"/>
    <x v="1"/>
    <x v="6"/>
  </r>
  <r>
    <n v="12194"/>
    <d v="2025-11-17T00:00:00"/>
    <x v="0"/>
    <x v="4"/>
    <x v="1"/>
    <x v="3"/>
    <n v="8"/>
    <n v="69441"/>
    <x v="2180"/>
    <n v="96"/>
    <n v="555432"/>
    <n v="90115.408769999995"/>
    <x v="1"/>
    <x v="7"/>
  </r>
  <r>
    <n v="12195"/>
    <d v="2025-07-14T00:00:00"/>
    <x v="3"/>
    <x v="1"/>
    <x v="0"/>
    <x v="3"/>
    <n v="7"/>
    <n v="50078"/>
    <x v="2181"/>
    <n v="1963"/>
    <n v="348583"/>
    <n v="41025.821609999999"/>
    <x v="1"/>
    <x v="10"/>
  </r>
  <r>
    <n v="12196"/>
    <d v="2025-04-27T00:00:00"/>
    <x v="1"/>
    <x v="0"/>
    <x v="0"/>
    <x v="2"/>
    <n v="5"/>
    <n v="32778"/>
    <x v="2182"/>
    <n v="2866"/>
    <n v="161024"/>
    <n v="17588.657650000001"/>
    <x v="1"/>
    <x v="0"/>
  </r>
  <r>
    <n v="12197"/>
    <d v="2024-04-17T00:00:00"/>
    <x v="4"/>
    <x v="4"/>
    <x v="1"/>
    <x v="1"/>
    <n v="8"/>
    <n v="25924"/>
    <x v="2183"/>
    <n v="4026"/>
    <n v="203366"/>
    <n v="46377.39615"/>
    <x v="0"/>
    <x v="0"/>
  </r>
  <r>
    <n v="12198"/>
    <d v="2024-08-13T00:00:00"/>
    <x v="1"/>
    <x v="0"/>
    <x v="1"/>
    <x v="2"/>
    <n v="2"/>
    <n v="50832"/>
    <x v="2184"/>
    <n v="598"/>
    <n v="101066"/>
    <n v="23619.027580000002"/>
    <x v="0"/>
    <x v="6"/>
  </r>
  <r>
    <n v="12199"/>
    <d v="2025-11-03T00:00:00"/>
    <x v="4"/>
    <x v="4"/>
    <x v="0"/>
    <x v="1"/>
    <n v="8"/>
    <n v="71243"/>
    <x v="2185"/>
    <n v="2981"/>
    <n v="566963"/>
    <n v="85874.411359999998"/>
    <x v="1"/>
    <x v="7"/>
  </r>
  <r>
    <n v="12200"/>
    <d v="2025-09-22T00:00:00"/>
    <x v="3"/>
    <x v="4"/>
    <x v="0"/>
    <x v="2"/>
    <n v="2"/>
    <n v="30048"/>
    <x v="2186"/>
    <n v="3963"/>
    <n v="56133"/>
    <n v="6995.6227650000001"/>
    <x v="1"/>
    <x v="2"/>
  </r>
  <r>
    <n v="12201"/>
    <d v="2025-10-22T00:00:00"/>
    <x v="3"/>
    <x v="2"/>
    <x v="1"/>
    <x v="0"/>
    <n v="5"/>
    <n v="37815"/>
    <x v="2187"/>
    <n v="428"/>
    <n v="188647"/>
    <n v="46556.65191"/>
    <x v="1"/>
    <x v="8"/>
  </r>
  <r>
    <n v="12202"/>
    <d v="2025-10-23T00:00:00"/>
    <x v="2"/>
    <x v="3"/>
    <x v="0"/>
    <x v="3"/>
    <n v="4"/>
    <n v="39682"/>
    <x v="2188"/>
    <n v="3781"/>
    <n v="154947"/>
    <n v="28181.69382"/>
    <x v="1"/>
    <x v="8"/>
  </r>
  <r>
    <n v="12203"/>
    <d v="2025-03-07T00:00:00"/>
    <x v="2"/>
    <x v="3"/>
    <x v="1"/>
    <x v="1"/>
    <n v="1"/>
    <n v="22489"/>
    <x v="2189"/>
    <n v="1324"/>
    <n v="21165"/>
    <n v="3629.7606000000001"/>
    <x v="1"/>
    <x v="1"/>
  </r>
  <r>
    <n v="12204"/>
    <d v="2025-10-16T00:00:00"/>
    <x v="2"/>
    <x v="0"/>
    <x v="0"/>
    <x v="3"/>
    <n v="5"/>
    <n v="64234"/>
    <x v="2190"/>
    <n v="2590"/>
    <n v="318580"/>
    <n v="67297.209419999999"/>
    <x v="1"/>
    <x v="8"/>
  </r>
  <r>
    <n v="12205"/>
    <d v="2025-02-22T00:00:00"/>
    <x v="3"/>
    <x v="3"/>
    <x v="0"/>
    <x v="1"/>
    <n v="7"/>
    <n v="62701"/>
    <x v="2191"/>
    <n v="2414"/>
    <n v="436493"/>
    <n v="54705.842689999998"/>
    <x v="1"/>
    <x v="9"/>
  </r>
  <r>
    <n v="12206"/>
    <d v="2025-03-30T00:00:00"/>
    <x v="0"/>
    <x v="0"/>
    <x v="0"/>
    <x v="2"/>
    <n v="1"/>
    <n v="21951"/>
    <x v="2192"/>
    <n v="1767"/>
    <n v="20184"/>
    <n v="3774.3768869999999"/>
    <x v="1"/>
    <x v="1"/>
  </r>
  <r>
    <n v="12207"/>
    <d v="2024-06-08T00:00:00"/>
    <x v="3"/>
    <x v="4"/>
    <x v="1"/>
    <x v="2"/>
    <n v="2"/>
    <n v="55018"/>
    <x v="2193"/>
    <n v="1516"/>
    <n v="108520"/>
    <n v="25342.062839999999"/>
    <x v="0"/>
    <x v="11"/>
  </r>
  <r>
    <n v="12208"/>
    <d v="2025-06-06T00:00:00"/>
    <x v="1"/>
    <x v="2"/>
    <x v="2"/>
    <x v="2"/>
    <n v="9"/>
    <n v="16452"/>
    <x v="2194"/>
    <n v="1339"/>
    <n v="146729"/>
    <n v="15180.622380000001"/>
    <x v="1"/>
    <x v="11"/>
  </r>
  <r>
    <n v="12209"/>
    <d v="2025-10-11T00:00:00"/>
    <x v="3"/>
    <x v="2"/>
    <x v="1"/>
    <x v="0"/>
    <n v="5"/>
    <n v="33635"/>
    <x v="2195"/>
    <n v="4094"/>
    <n v="164081"/>
    <n v="32970.593009999997"/>
    <x v="1"/>
    <x v="8"/>
  </r>
  <r>
    <n v="12210"/>
    <d v="2025-08-12T00:00:00"/>
    <x v="3"/>
    <x v="4"/>
    <x v="0"/>
    <x v="2"/>
    <n v="7"/>
    <n v="32933"/>
    <x v="2196"/>
    <n v="4659"/>
    <n v="225872"/>
    <n v="41269.884760000001"/>
    <x v="1"/>
    <x v="6"/>
  </r>
  <r>
    <n v="12211"/>
    <d v="2024-03-17T00:00:00"/>
    <x v="4"/>
    <x v="1"/>
    <x v="2"/>
    <x v="2"/>
    <n v="2"/>
    <n v="39581"/>
    <x v="128"/>
    <n v="3403"/>
    <n v="75759"/>
    <n v="18380.657490000001"/>
    <x v="0"/>
    <x v="1"/>
  </r>
  <r>
    <n v="12212"/>
    <d v="2025-05-23T00:00:00"/>
    <x v="4"/>
    <x v="1"/>
    <x v="2"/>
    <x v="0"/>
    <n v="7"/>
    <n v="43281"/>
    <x v="2197"/>
    <n v="2546"/>
    <n v="300421"/>
    <n v="41699.869760000001"/>
    <x v="1"/>
    <x v="5"/>
  </r>
  <r>
    <n v="12213"/>
    <d v="2025-03-16T00:00:00"/>
    <x v="4"/>
    <x v="3"/>
    <x v="0"/>
    <x v="3"/>
    <n v="7"/>
    <n v="26187"/>
    <x v="2198"/>
    <n v="976"/>
    <n v="182333"/>
    <n v="41723.943460000002"/>
    <x v="1"/>
    <x v="1"/>
  </r>
  <r>
    <n v="12214"/>
    <d v="2024-09-10T00:00:00"/>
    <x v="3"/>
    <x v="0"/>
    <x v="1"/>
    <x v="3"/>
    <n v="7"/>
    <n v="27953"/>
    <x v="2199"/>
    <n v="1614"/>
    <n v="194057"/>
    <n v="28399.82575"/>
    <x v="0"/>
    <x v="2"/>
  </r>
  <r>
    <n v="12215"/>
    <d v="2024-11-15T00:00:00"/>
    <x v="0"/>
    <x v="2"/>
    <x v="2"/>
    <x v="1"/>
    <n v="5"/>
    <n v="38818"/>
    <x v="2200"/>
    <n v="1584"/>
    <n v="192506"/>
    <n v="31663.297640000001"/>
    <x v="0"/>
    <x v="7"/>
  </r>
  <r>
    <n v="12216"/>
    <d v="2024-09-19T00:00:00"/>
    <x v="1"/>
    <x v="3"/>
    <x v="2"/>
    <x v="3"/>
    <n v="9"/>
    <n v="29702"/>
    <x v="2201"/>
    <n v="4061"/>
    <n v="263257"/>
    <n v="34748.116670000003"/>
    <x v="0"/>
    <x v="2"/>
  </r>
  <r>
    <n v="12217"/>
    <d v="2025-08-19T00:00:00"/>
    <x v="1"/>
    <x v="4"/>
    <x v="1"/>
    <x v="1"/>
    <n v="2"/>
    <n v="11278"/>
    <x v="2202"/>
    <n v="4651"/>
    <n v="17905"/>
    <n v="4109.8895709999997"/>
    <x v="1"/>
    <x v="6"/>
  </r>
  <r>
    <n v="12218"/>
    <d v="2025-10-19T00:00:00"/>
    <x v="0"/>
    <x v="2"/>
    <x v="1"/>
    <x v="1"/>
    <n v="4"/>
    <n v="49566"/>
    <x v="2203"/>
    <n v="1270"/>
    <n v="196994"/>
    <n v="25473.579600000001"/>
    <x v="1"/>
    <x v="8"/>
  </r>
  <r>
    <n v="12219"/>
    <d v="2025-07-07T00:00:00"/>
    <x v="0"/>
    <x v="0"/>
    <x v="2"/>
    <x v="3"/>
    <n v="2"/>
    <n v="64722"/>
    <x v="1476"/>
    <n v="218"/>
    <n v="129226"/>
    <n v="29573.62196"/>
    <x v="1"/>
    <x v="10"/>
  </r>
  <r>
    <n v="12220"/>
    <d v="2025-01-08T00:00:00"/>
    <x v="1"/>
    <x v="0"/>
    <x v="1"/>
    <x v="3"/>
    <n v="8"/>
    <n v="23036"/>
    <x v="2204"/>
    <n v="533"/>
    <n v="183755"/>
    <n v="30933.685570000001"/>
    <x v="1"/>
    <x v="4"/>
  </r>
  <r>
    <n v="12221"/>
    <d v="2025-09-28T00:00:00"/>
    <x v="2"/>
    <x v="1"/>
    <x v="2"/>
    <x v="0"/>
    <n v="1"/>
    <n v="29583"/>
    <x v="2205"/>
    <n v="1495"/>
    <n v="28088"/>
    <n v="6327.1822030000003"/>
    <x v="1"/>
    <x v="2"/>
  </r>
  <r>
    <n v="12222"/>
    <d v="2024-06-15T00:00:00"/>
    <x v="4"/>
    <x v="3"/>
    <x v="0"/>
    <x v="1"/>
    <n v="9"/>
    <n v="75244"/>
    <x v="2206"/>
    <n v="1373"/>
    <n v="675823"/>
    <n v="94394.417719999998"/>
    <x v="0"/>
    <x v="11"/>
  </r>
  <r>
    <n v="12223"/>
    <d v="2025-04-03T00:00:00"/>
    <x v="4"/>
    <x v="4"/>
    <x v="1"/>
    <x v="3"/>
    <n v="5"/>
    <n v="14476"/>
    <x v="2207"/>
    <n v="4139"/>
    <n v="68241"/>
    <n v="8182.745637"/>
    <x v="1"/>
    <x v="0"/>
  </r>
  <r>
    <n v="12224"/>
    <d v="2024-10-06T00:00:00"/>
    <x v="1"/>
    <x v="2"/>
    <x v="2"/>
    <x v="3"/>
    <n v="3"/>
    <n v="75854"/>
    <x v="2208"/>
    <n v="3823"/>
    <n v="223739"/>
    <n v="40998.871769999998"/>
    <x v="0"/>
    <x v="8"/>
  </r>
  <r>
    <n v="12225"/>
    <d v="2025-11-30T00:00:00"/>
    <x v="0"/>
    <x v="0"/>
    <x v="1"/>
    <x v="0"/>
    <n v="4"/>
    <n v="43627"/>
    <x v="2209"/>
    <n v="3949"/>
    <n v="170559"/>
    <n v="30089.26151"/>
    <x v="1"/>
    <x v="7"/>
  </r>
  <r>
    <n v="12226"/>
    <d v="2024-10-28T00:00:00"/>
    <x v="2"/>
    <x v="2"/>
    <x v="1"/>
    <x v="3"/>
    <n v="1"/>
    <n v="50441"/>
    <x v="2210"/>
    <n v="64"/>
    <n v="50377"/>
    <n v="7732.4214819999997"/>
    <x v="0"/>
    <x v="8"/>
  </r>
  <r>
    <n v="12227"/>
    <d v="2025-06-14T00:00:00"/>
    <x v="1"/>
    <x v="4"/>
    <x v="2"/>
    <x v="2"/>
    <n v="3"/>
    <n v="29754"/>
    <x v="2211"/>
    <n v="4341"/>
    <n v="84921"/>
    <n v="16935.218649999999"/>
    <x v="1"/>
    <x v="11"/>
  </r>
  <r>
    <n v="12228"/>
    <d v="2025-08-02T00:00:00"/>
    <x v="4"/>
    <x v="2"/>
    <x v="0"/>
    <x v="2"/>
    <n v="8"/>
    <n v="69751"/>
    <x v="2212"/>
    <n v="3142"/>
    <n v="554866"/>
    <n v="63405.328119999998"/>
    <x v="1"/>
    <x v="6"/>
  </r>
  <r>
    <n v="12229"/>
    <d v="2024-08-05T00:00:00"/>
    <x v="3"/>
    <x v="3"/>
    <x v="2"/>
    <x v="1"/>
    <n v="2"/>
    <n v="24979"/>
    <x v="2213"/>
    <n v="1724"/>
    <n v="48234"/>
    <n v="9323.6399770000007"/>
    <x v="0"/>
    <x v="6"/>
  </r>
  <r>
    <n v="12230"/>
    <d v="2024-04-11T00:00:00"/>
    <x v="0"/>
    <x v="1"/>
    <x v="1"/>
    <x v="0"/>
    <n v="2"/>
    <n v="75446"/>
    <x v="2214"/>
    <n v="2205"/>
    <n v="148687"/>
    <n v="19591.506740000001"/>
    <x v="0"/>
    <x v="0"/>
  </r>
  <r>
    <n v="12231"/>
    <d v="2025-07-07T00:00:00"/>
    <x v="3"/>
    <x v="2"/>
    <x v="2"/>
    <x v="3"/>
    <n v="9"/>
    <n v="66161"/>
    <x v="2215"/>
    <n v="2985"/>
    <n v="592464"/>
    <n v="70706.539810000002"/>
    <x v="1"/>
    <x v="10"/>
  </r>
  <r>
    <n v="12232"/>
    <d v="2024-10-14T00:00:00"/>
    <x v="1"/>
    <x v="1"/>
    <x v="1"/>
    <x v="1"/>
    <n v="5"/>
    <n v="41022"/>
    <x v="2216"/>
    <n v="3913"/>
    <n v="201197"/>
    <n v="47571.265549999996"/>
    <x v="0"/>
    <x v="8"/>
  </r>
  <r>
    <n v="12233"/>
    <d v="2024-06-15T00:00:00"/>
    <x v="4"/>
    <x v="4"/>
    <x v="2"/>
    <x v="3"/>
    <n v="5"/>
    <n v="68257"/>
    <x v="2217"/>
    <n v="1048"/>
    <n v="340237"/>
    <n v="57489.629560000001"/>
    <x v="0"/>
    <x v="11"/>
  </r>
  <r>
    <n v="12234"/>
    <d v="2025-09-12T00:00:00"/>
    <x v="2"/>
    <x v="1"/>
    <x v="0"/>
    <x v="2"/>
    <n v="1"/>
    <n v="9453"/>
    <x v="2218"/>
    <n v="3654"/>
    <n v="5799"/>
    <n v="1243.9581659999999"/>
    <x v="1"/>
    <x v="2"/>
  </r>
  <r>
    <n v="12235"/>
    <d v="2024-02-05T00:00:00"/>
    <x v="3"/>
    <x v="2"/>
    <x v="0"/>
    <x v="3"/>
    <n v="6"/>
    <n v="56575"/>
    <x v="2219"/>
    <n v="2872"/>
    <n v="336578"/>
    <n v="38157.019630000003"/>
    <x v="0"/>
    <x v="9"/>
  </r>
  <r>
    <n v="12236"/>
    <d v="2024-12-18T00:00:00"/>
    <x v="2"/>
    <x v="2"/>
    <x v="0"/>
    <x v="3"/>
    <n v="8"/>
    <n v="62260"/>
    <x v="2220"/>
    <n v="4255"/>
    <n v="493825"/>
    <n v="53639.139009999999"/>
    <x v="0"/>
    <x v="3"/>
  </r>
  <r>
    <n v="12237"/>
    <d v="2025-11-06T00:00:00"/>
    <x v="4"/>
    <x v="0"/>
    <x v="0"/>
    <x v="3"/>
    <n v="6"/>
    <n v="45705"/>
    <x v="2221"/>
    <n v="1004"/>
    <n v="273226"/>
    <n v="47603.573609999999"/>
    <x v="1"/>
    <x v="7"/>
  </r>
  <r>
    <n v="12238"/>
    <d v="2024-03-13T00:00:00"/>
    <x v="3"/>
    <x v="2"/>
    <x v="2"/>
    <x v="2"/>
    <n v="7"/>
    <n v="60833"/>
    <x v="2222"/>
    <n v="2122"/>
    <n v="423709"/>
    <n v="62426.179429999997"/>
    <x v="0"/>
    <x v="1"/>
  </r>
  <r>
    <n v="12239"/>
    <d v="2025-10-09T00:00:00"/>
    <x v="2"/>
    <x v="1"/>
    <x v="0"/>
    <x v="2"/>
    <n v="4"/>
    <n v="59029"/>
    <x v="2223"/>
    <n v="4574"/>
    <n v="231542"/>
    <n v="23324.63665"/>
    <x v="1"/>
    <x v="8"/>
  </r>
  <r>
    <n v="12240"/>
    <d v="2024-12-18T00:00:00"/>
    <x v="2"/>
    <x v="0"/>
    <x v="2"/>
    <x v="0"/>
    <n v="2"/>
    <n v="9177"/>
    <x v="2224"/>
    <n v="3981"/>
    <n v="14373"/>
    <n v="1832.4740899999999"/>
    <x v="0"/>
    <x v="3"/>
  </r>
  <r>
    <n v="12241"/>
    <d v="2024-03-10T00:00:00"/>
    <x v="3"/>
    <x v="2"/>
    <x v="1"/>
    <x v="2"/>
    <n v="1"/>
    <n v="73965"/>
    <x v="2225"/>
    <n v="4482"/>
    <n v="69483"/>
    <n v="9228.4768710000008"/>
    <x v="0"/>
    <x v="1"/>
  </r>
  <r>
    <n v="12242"/>
    <d v="2025-02-28T00:00:00"/>
    <x v="4"/>
    <x v="2"/>
    <x v="1"/>
    <x v="1"/>
    <n v="6"/>
    <n v="37952"/>
    <x v="2226"/>
    <n v="471"/>
    <n v="227241"/>
    <n v="32558.170880000001"/>
    <x v="1"/>
    <x v="9"/>
  </r>
  <r>
    <n v="12243"/>
    <d v="2025-12-08T00:00:00"/>
    <x v="2"/>
    <x v="4"/>
    <x v="1"/>
    <x v="3"/>
    <n v="9"/>
    <n v="75514"/>
    <x v="2227"/>
    <n v="3405"/>
    <n v="676221"/>
    <n v="156633.2978"/>
    <x v="1"/>
    <x v="3"/>
  </r>
  <r>
    <n v="12244"/>
    <d v="2025-07-14T00:00:00"/>
    <x v="1"/>
    <x v="0"/>
    <x v="0"/>
    <x v="2"/>
    <n v="5"/>
    <n v="56084"/>
    <x v="2228"/>
    <n v="308"/>
    <n v="280112"/>
    <n v="45683.57243"/>
    <x v="1"/>
    <x v="10"/>
  </r>
  <r>
    <n v="12245"/>
    <d v="2025-10-03T00:00:00"/>
    <x v="3"/>
    <x v="4"/>
    <x v="0"/>
    <x v="1"/>
    <n v="2"/>
    <n v="76710"/>
    <x v="2229"/>
    <n v="2934"/>
    <n v="150486"/>
    <n v="30385.359410000001"/>
    <x v="1"/>
    <x v="8"/>
  </r>
  <r>
    <n v="12246"/>
    <d v="2025-05-31T00:00:00"/>
    <x v="0"/>
    <x v="4"/>
    <x v="0"/>
    <x v="2"/>
    <n v="1"/>
    <n v="26796"/>
    <x v="2230"/>
    <n v="4796"/>
    <n v="22000"/>
    <n v="2260.7071059999998"/>
    <x v="1"/>
    <x v="5"/>
  </r>
  <r>
    <n v="12247"/>
    <d v="2025-03-03T00:00:00"/>
    <x v="0"/>
    <x v="4"/>
    <x v="1"/>
    <x v="3"/>
    <n v="3"/>
    <n v="55348"/>
    <x v="2231"/>
    <n v="3047"/>
    <n v="162997"/>
    <n v="36199.816559999999"/>
    <x v="1"/>
    <x v="1"/>
  </r>
  <r>
    <n v="12248"/>
    <d v="2025-06-22T00:00:00"/>
    <x v="4"/>
    <x v="3"/>
    <x v="1"/>
    <x v="1"/>
    <n v="4"/>
    <n v="58333"/>
    <x v="2232"/>
    <n v="1921"/>
    <n v="231411"/>
    <n v="31483.314200000001"/>
    <x v="1"/>
    <x v="11"/>
  </r>
  <r>
    <n v="12249"/>
    <d v="2024-06-08T00:00:00"/>
    <x v="1"/>
    <x v="4"/>
    <x v="1"/>
    <x v="2"/>
    <n v="7"/>
    <n v="22722"/>
    <x v="2233"/>
    <n v="2999"/>
    <n v="156055"/>
    <n v="22839.569869999999"/>
    <x v="0"/>
    <x v="11"/>
  </r>
  <r>
    <n v="12250"/>
    <d v="2024-05-28T00:00:00"/>
    <x v="2"/>
    <x v="1"/>
    <x v="1"/>
    <x v="2"/>
    <n v="9"/>
    <n v="77082"/>
    <x v="2234"/>
    <n v="2017"/>
    <n v="691721"/>
    <n v="73867.823659999995"/>
    <x v="0"/>
    <x v="5"/>
  </r>
  <r>
    <n v="12251"/>
    <d v="2024-08-17T00:00:00"/>
    <x v="0"/>
    <x v="2"/>
    <x v="2"/>
    <x v="1"/>
    <n v="8"/>
    <n v="30258"/>
    <x v="2235"/>
    <n v="4881"/>
    <n v="237183"/>
    <n v="38294.128879999997"/>
    <x v="0"/>
    <x v="6"/>
  </r>
  <r>
    <n v="12252"/>
    <d v="2025-12-12T00:00:00"/>
    <x v="4"/>
    <x v="3"/>
    <x v="2"/>
    <x v="0"/>
    <n v="9"/>
    <n v="16706"/>
    <x v="2236"/>
    <n v="1478"/>
    <n v="148876"/>
    <n v="33926.83294"/>
    <x v="1"/>
    <x v="3"/>
  </r>
  <r>
    <n v="12253"/>
    <d v="2025-07-15T00:00:00"/>
    <x v="1"/>
    <x v="4"/>
    <x v="0"/>
    <x v="1"/>
    <n v="7"/>
    <n v="33943"/>
    <x v="2237"/>
    <n v="2352"/>
    <n v="235249"/>
    <n v="36889.428319999999"/>
    <x v="1"/>
    <x v="10"/>
  </r>
  <r>
    <n v="12254"/>
    <d v="2024-03-07T00:00:00"/>
    <x v="1"/>
    <x v="2"/>
    <x v="0"/>
    <x v="1"/>
    <n v="8"/>
    <n v="69324"/>
    <x v="2238"/>
    <n v="4197"/>
    <n v="550395"/>
    <n v="130053.2697"/>
    <x v="0"/>
    <x v="1"/>
  </r>
  <r>
    <n v="12255"/>
    <d v="2025-01-15T00:00:00"/>
    <x v="4"/>
    <x v="0"/>
    <x v="1"/>
    <x v="1"/>
    <n v="8"/>
    <n v="27315"/>
    <x v="2239"/>
    <n v="4870"/>
    <n v="213650"/>
    <n v="49164.52706"/>
    <x v="1"/>
    <x v="4"/>
  </r>
  <r>
    <n v="12256"/>
    <d v="2024-02-27T00:00:00"/>
    <x v="4"/>
    <x v="0"/>
    <x v="2"/>
    <x v="1"/>
    <n v="1"/>
    <n v="15352"/>
    <x v="2240"/>
    <n v="3459"/>
    <n v="11893"/>
    <n v="1299.8352239999999"/>
    <x v="0"/>
    <x v="9"/>
  </r>
  <r>
    <n v="12257"/>
    <d v="2024-09-15T00:00:00"/>
    <x v="2"/>
    <x v="2"/>
    <x v="2"/>
    <x v="2"/>
    <n v="9"/>
    <n v="39497"/>
    <x v="2241"/>
    <n v="3754"/>
    <n v="351719"/>
    <n v="51277.39142"/>
    <x v="0"/>
    <x v="2"/>
  </r>
  <r>
    <n v="12258"/>
    <d v="2024-12-07T00:00:00"/>
    <x v="4"/>
    <x v="1"/>
    <x v="0"/>
    <x v="1"/>
    <n v="2"/>
    <n v="49974"/>
    <x v="2242"/>
    <n v="1231"/>
    <n v="98717"/>
    <n v="23352.749800000001"/>
    <x v="0"/>
    <x v="3"/>
  </r>
  <r>
    <n v="12259"/>
    <d v="2024-05-09T00:00:00"/>
    <x v="2"/>
    <x v="2"/>
    <x v="2"/>
    <x v="1"/>
    <n v="7"/>
    <n v="32228"/>
    <x v="2243"/>
    <n v="3120"/>
    <n v="222476"/>
    <n v="23242.366139999998"/>
    <x v="0"/>
    <x v="5"/>
  </r>
  <r>
    <n v="12260"/>
    <d v="2025-12-27T00:00:00"/>
    <x v="2"/>
    <x v="2"/>
    <x v="0"/>
    <x v="3"/>
    <n v="5"/>
    <n v="13882"/>
    <x v="2244"/>
    <n v="571"/>
    <n v="68839"/>
    <n v="14791.521479999999"/>
    <x v="1"/>
    <x v="3"/>
  </r>
  <r>
    <n v="12261"/>
    <d v="2024-06-20T00:00:00"/>
    <x v="3"/>
    <x v="3"/>
    <x v="1"/>
    <x v="2"/>
    <n v="4"/>
    <n v="21268"/>
    <x v="2245"/>
    <n v="3589"/>
    <n v="81483"/>
    <n v="19227.070650000001"/>
    <x v="0"/>
    <x v="11"/>
  </r>
  <r>
    <n v="12262"/>
    <d v="2025-09-05T00:00:00"/>
    <x v="1"/>
    <x v="0"/>
    <x v="1"/>
    <x v="3"/>
    <n v="1"/>
    <n v="75846"/>
    <x v="2246"/>
    <n v="147"/>
    <n v="75699"/>
    <n v="16318.714250000001"/>
    <x v="1"/>
    <x v="2"/>
  </r>
  <r>
    <n v="12263"/>
    <d v="2024-07-27T00:00:00"/>
    <x v="1"/>
    <x v="0"/>
    <x v="0"/>
    <x v="2"/>
    <n v="1"/>
    <n v="29463"/>
    <x v="2247"/>
    <n v="3443"/>
    <n v="26020"/>
    <n v="5505.1072789999998"/>
    <x v="0"/>
    <x v="10"/>
  </r>
  <r>
    <n v="12264"/>
    <d v="2024-12-19T00:00:00"/>
    <x v="1"/>
    <x v="4"/>
    <x v="1"/>
    <x v="0"/>
    <n v="3"/>
    <n v="54314"/>
    <x v="2248"/>
    <n v="596"/>
    <n v="162346"/>
    <n v="36771.915509999999"/>
    <x v="0"/>
    <x v="3"/>
  </r>
  <r>
    <n v="12265"/>
    <d v="2025-04-15T00:00:00"/>
    <x v="3"/>
    <x v="2"/>
    <x v="1"/>
    <x v="0"/>
    <n v="1"/>
    <n v="14827"/>
    <x v="2249"/>
    <n v="1070"/>
    <n v="13757"/>
    <n v="2749.5900489999999"/>
    <x v="1"/>
    <x v="0"/>
  </r>
  <r>
    <n v="12266"/>
    <d v="2024-04-25T00:00:00"/>
    <x v="2"/>
    <x v="2"/>
    <x v="2"/>
    <x v="2"/>
    <n v="8"/>
    <n v="38062"/>
    <x v="2250"/>
    <n v="3745"/>
    <n v="300751"/>
    <n v="49162.090279999997"/>
    <x v="0"/>
    <x v="0"/>
  </r>
  <r>
    <n v="12267"/>
    <d v="2024-09-20T00:00:00"/>
    <x v="2"/>
    <x v="1"/>
    <x v="2"/>
    <x v="0"/>
    <n v="3"/>
    <n v="12240"/>
    <x v="2251"/>
    <n v="4250"/>
    <n v="32470"/>
    <n v="3552.6509129999999"/>
    <x v="0"/>
    <x v="2"/>
  </r>
  <r>
    <n v="12268"/>
    <d v="2025-10-23T00:00:00"/>
    <x v="4"/>
    <x v="0"/>
    <x v="2"/>
    <x v="0"/>
    <n v="2"/>
    <n v="6585"/>
    <x v="2252"/>
    <n v="4325"/>
    <n v="8845"/>
    <n v="1929.935808"/>
    <x v="1"/>
    <x v="8"/>
  </r>
  <r>
    <n v="12269"/>
    <d v="2025-03-17T00:00:00"/>
    <x v="3"/>
    <x v="1"/>
    <x v="2"/>
    <x v="2"/>
    <n v="6"/>
    <n v="57532"/>
    <x v="2253"/>
    <n v="3371"/>
    <n v="341821"/>
    <n v="80597.305619999999"/>
    <x v="1"/>
    <x v="1"/>
  </r>
  <r>
    <n v="12270"/>
    <d v="2025-07-01T00:00:00"/>
    <x v="4"/>
    <x v="3"/>
    <x v="2"/>
    <x v="1"/>
    <n v="4"/>
    <n v="15541"/>
    <x v="2254"/>
    <n v="157"/>
    <n v="62007"/>
    <n v="10958.991260000001"/>
    <x v="1"/>
    <x v="10"/>
  </r>
  <r>
    <n v="12271"/>
    <d v="2025-03-28T00:00:00"/>
    <x v="3"/>
    <x v="4"/>
    <x v="0"/>
    <x v="3"/>
    <n v="4"/>
    <n v="10427"/>
    <x v="2255"/>
    <n v="922"/>
    <n v="40786"/>
    <n v="7336.4458320000003"/>
    <x v="1"/>
    <x v="1"/>
  </r>
  <r>
    <n v="12272"/>
    <d v="2025-04-21T00:00:00"/>
    <x v="4"/>
    <x v="1"/>
    <x v="0"/>
    <x v="2"/>
    <n v="2"/>
    <n v="14033"/>
    <x v="2256"/>
    <n v="3318"/>
    <n v="24748"/>
    <n v="3971.8819429999999"/>
    <x v="1"/>
    <x v="0"/>
  </r>
  <r>
    <n v="12273"/>
    <d v="2024-10-13T00:00:00"/>
    <x v="0"/>
    <x v="0"/>
    <x v="2"/>
    <x v="2"/>
    <n v="2"/>
    <n v="36070"/>
    <x v="2257"/>
    <n v="2346"/>
    <n v="69794"/>
    <n v="15950.18974"/>
    <x v="0"/>
    <x v="8"/>
  </r>
  <r>
    <n v="12274"/>
    <d v="2024-10-29T00:00:00"/>
    <x v="1"/>
    <x v="3"/>
    <x v="1"/>
    <x v="2"/>
    <n v="6"/>
    <n v="54104"/>
    <x v="2258"/>
    <n v="4050"/>
    <n v="320574"/>
    <n v="32769.23315"/>
    <x v="0"/>
    <x v="8"/>
  </r>
  <r>
    <n v="12275"/>
    <d v="2024-11-06T00:00:00"/>
    <x v="1"/>
    <x v="2"/>
    <x v="1"/>
    <x v="3"/>
    <n v="5"/>
    <n v="17199"/>
    <x v="2259"/>
    <n v="1246"/>
    <n v="84749"/>
    <n v="16414.37975"/>
    <x v="0"/>
    <x v="7"/>
  </r>
  <r>
    <n v="12276"/>
    <d v="2024-07-26T00:00:00"/>
    <x v="2"/>
    <x v="3"/>
    <x v="0"/>
    <x v="2"/>
    <n v="9"/>
    <n v="17776"/>
    <x v="2260"/>
    <n v="765"/>
    <n v="159219"/>
    <n v="37593.510900000001"/>
    <x v="0"/>
    <x v="10"/>
  </r>
  <r>
    <n v="12277"/>
    <d v="2025-09-09T00:00:00"/>
    <x v="0"/>
    <x v="1"/>
    <x v="0"/>
    <x v="3"/>
    <n v="4"/>
    <n v="27727"/>
    <x v="2261"/>
    <n v="3651"/>
    <n v="107257"/>
    <n v="12386.39755"/>
    <x v="1"/>
    <x v="2"/>
  </r>
  <r>
    <n v="12278"/>
    <d v="2025-03-21T00:00:00"/>
    <x v="1"/>
    <x v="0"/>
    <x v="0"/>
    <x v="3"/>
    <n v="5"/>
    <n v="7931"/>
    <x v="2262"/>
    <n v="2612"/>
    <n v="37043"/>
    <n v="9033.8497939999997"/>
    <x v="1"/>
    <x v="1"/>
  </r>
  <r>
    <n v="12279"/>
    <d v="2025-10-31T00:00:00"/>
    <x v="2"/>
    <x v="1"/>
    <x v="1"/>
    <x v="0"/>
    <n v="1"/>
    <n v="61193"/>
    <x v="2263"/>
    <n v="4562"/>
    <n v="56631"/>
    <n v="13883.187320000001"/>
    <x v="1"/>
    <x v="8"/>
  </r>
  <r>
    <n v="12280"/>
    <d v="2025-09-24T00:00:00"/>
    <x v="0"/>
    <x v="2"/>
    <x v="0"/>
    <x v="1"/>
    <n v="2"/>
    <n v="10699"/>
    <x v="2264"/>
    <n v="3828"/>
    <n v="17570"/>
    <n v="4207.4588180000001"/>
    <x v="1"/>
    <x v="2"/>
  </r>
  <r>
    <n v="12281"/>
    <d v="2024-02-24T00:00:00"/>
    <x v="1"/>
    <x v="2"/>
    <x v="1"/>
    <x v="0"/>
    <n v="3"/>
    <n v="62789"/>
    <x v="2265"/>
    <n v="4581"/>
    <n v="183786"/>
    <n v="31130.024519999999"/>
    <x v="0"/>
    <x v="9"/>
  </r>
  <r>
    <n v="12282"/>
    <d v="2024-01-12T00:00:00"/>
    <x v="4"/>
    <x v="0"/>
    <x v="0"/>
    <x v="2"/>
    <n v="5"/>
    <n v="32321"/>
    <x v="2266"/>
    <n v="443"/>
    <n v="161162"/>
    <n v="25374.231739999999"/>
    <x v="0"/>
    <x v="4"/>
  </r>
  <r>
    <n v="12283"/>
    <d v="2025-10-18T00:00:00"/>
    <x v="3"/>
    <x v="4"/>
    <x v="1"/>
    <x v="2"/>
    <n v="5"/>
    <n v="66032"/>
    <x v="2267"/>
    <n v="904"/>
    <n v="329256"/>
    <n v="67791.229189999998"/>
    <x v="1"/>
    <x v="8"/>
  </r>
  <r>
    <n v="12284"/>
    <d v="2025-02-03T00:00:00"/>
    <x v="0"/>
    <x v="3"/>
    <x v="0"/>
    <x v="3"/>
    <n v="4"/>
    <n v="12636"/>
    <x v="2268"/>
    <n v="2910"/>
    <n v="47634"/>
    <n v="7040.4734760000001"/>
    <x v="1"/>
    <x v="9"/>
  </r>
  <r>
    <n v="12285"/>
    <d v="2025-10-09T00:00:00"/>
    <x v="2"/>
    <x v="3"/>
    <x v="0"/>
    <x v="0"/>
    <n v="3"/>
    <n v="72396"/>
    <x v="2269"/>
    <n v="3209"/>
    <n v="213979"/>
    <n v="23591.532029999998"/>
    <x v="1"/>
    <x v="8"/>
  </r>
  <r>
    <n v="12286"/>
    <d v="2025-05-29T00:00:00"/>
    <x v="0"/>
    <x v="2"/>
    <x v="1"/>
    <x v="3"/>
    <n v="9"/>
    <n v="19989"/>
    <x v="2270"/>
    <n v="1801"/>
    <n v="178100"/>
    <n v="41891.493090000004"/>
    <x v="1"/>
    <x v="5"/>
  </r>
  <r>
    <n v="12287"/>
    <d v="2025-10-17T00:00:00"/>
    <x v="2"/>
    <x v="1"/>
    <x v="0"/>
    <x v="0"/>
    <n v="1"/>
    <n v="56086"/>
    <x v="2271"/>
    <n v="925"/>
    <n v="55161"/>
    <n v="10768.994269999999"/>
    <x v="1"/>
    <x v="8"/>
  </r>
  <r>
    <n v="12288"/>
    <d v="2025-06-25T00:00:00"/>
    <x v="0"/>
    <x v="1"/>
    <x v="2"/>
    <x v="0"/>
    <n v="6"/>
    <n v="41062"/>
    <x v="2272"/>
    <n v="3721"/>
    <n v="242651"/>
    <n v="31805.036919999999"/>
    <x v="1"/>
    <x v="11"/>
  </r>
  <r>
    <n v="12289"/>
    <d v="2024-08-24T00:00:00"/>
    <x v="2"/>
    <x v="4"/>
    <x v="1"/>
    <x v="0"/>
    <n v="7"/>
    <n v="67125"/>
    <x v="2273"/>
    <n v="4387"/>
    <n v="465488"/>
    <n v="47834.144659999998"/>
    <x v="0"/>
    <x v="6"/>
  </r>
  <r>
    <n v="12290"/>
    <d v="2024-10-05T00:00:00"/>
    <x v="1"/>
    <x v="1"/>
    <x v="0"/>
    <x v="0"/>
    <n v="4"/>
    <n v="35398"/>
    <x v="2274"/>
    <n v="751"/>
    <n v="140841"/>
    <n v="29369.206839999999"/>
    <x v="0"/>
    <x v="8"/>
  </r>
  <r>
    <n v="12291"/>
    <d v="2024-12-13T00:00:00"/>
    <x v="4"/>
    <x v="3"/>
    <x v="1"/>
    <x v="0"/>
    <n v="3"/>
    <n v="75283"/>
    <x v="2275"/>
    <n v="1234"/>
    <n v="224615"/>
    <n v="51194.248200000002"/>
    <x v="0"/>
    <x v="3"/>
  </r>
  <r>
    <n v="12292"/>
    <d v="2025-09-18T00:00:00"/>
    <x v="1"/>
    <x v="1"/>
    <x v="0"/>
    <x v="1"/>
    <n v="8"/>
    <n v="75774"/>
    <x v="2276"/>
    <n v="2922"/>
    <n v="603270"/>
    <n v="97034.251940000002"/>
    <x v="1"/>
    <x v="2"/>
  </r>
  <r>
    <n v="12293"/>
    <d v="2024-04-13T00:00:00"/>
    <x v="4"/>
    <x v="4"/>
    <x v="2"/>
    <x v="2"/>
    <n v="9"/>
    <n v="7834"/>
    <x v="2277"/>
    <n v="662"/>
    <n v="69844"/>
    <n v="7831.9381960000001"/>
    <x v="0"/>
    <x v="0"/>
  </r>
  <r>
    <n v="12294"/>
    <d v="2025-09-21T00:00:00"/>
    <x v="1"/>
    <x v="3"/>
    <x v="0"/>
    <x v="0"/>
    <n v="1"/>
    <n v="53203"/>
    <x v="2278"/>
    <n v="3195"/>
    <n v="50008"/>
    <n v="9866.2376280000008"/>
    <x v="1"/>
    <x v="2"/>
  </r>
  <r>
    <n v="12295"/>
    <d v="2025-05-31T00:00:00"/>
    <x v="1"/>
    <x v="1"/>
    <x v="0"/>
    <x v="0"/>
    <n v="9"/>
    <n v="50676"/>
    <x v="2279"/>
    <n v="1584"/>
    <n v="454500"/>
    <n v="65693.138139999995"/>
    <x v="1"/>
    <x v="5"/>
  </r>
  <r>
    <n v="12296"/>
    <d v="2024-09-04T00:00:00"/>
    <x v="0"/>
    <x v="3"/>
    <x v="2"/>
    <x v="3"/>
    <n v="7"/>
    <n v="31230"/>
    <x v="2280"/>
    <n v="919"/>
    <n v="217691"/>
    <n v="26469.485980000001"/>
    <x v="0"/>
    <x v="2"/>
  </r>
  <r>
    <n v="12297"/>
    <d v="2024-12-29T00:00:00"/>
    <x v="3"/>
    <x v="2"/>
    <x v="1"/>
    <x v="2"/>
    <n v="1"/>
    <n v="77652"/>
    <x v="2281"/>
    <n v="4219"/>
    <n v="73433"/>
    <n v="12965.29254"/>
    <x v="0"/>
    <x v="3"/>
  </r>
  <r>
    <n v="12298"/>
    <d v="2024-11-16T00:00:00"/>
    <x v="2"/>
    <x v="2"/>
    <x v="0"/>
    <x v="2"/>
    <n v="7"/>
    <n v="73464"/>
    <x v="2282"/>
    <n v="67"/>
    <n v="514181"/>
    <n v="88581.333249999996"/>
    <x v="0"/>
    <x v="7"/>
  </r>
  <r>
    <n v="12299"/>
    <d v="2025-09-24T00:00:00"/>
    <x v="2"/>
    <x v="2"/>
    <x v="0"/>
    <x v="2"/>
    <n v="5"/>
    <n v="27134"/>
    <x v="2283"/>
    <n v="4570"/>
    <n v="131100"/>
    <n v="23272.290089999999"/>
    <x v="1"/>
    <x v="2"/>
  </r>
  <r>
    <n v="12300"/>
    <d v="2024-10-12T00:00:00"/>
    <x v="2"/>
    <x v="1"/>
    <x v="2"/>
    <x v="0"/>
    <n v="7"/>
    <n v="13190"/>
    <x v="2284"/>
    <n v="4453"/>
    <n v="87877"/>
    <n v="19648.405119999999"/>
    <x v="0"/>
    <x v="8"/>
  </r>
  <r>
    <n v="12301"/>
    <d v="2024-05-28T00:00:00"/>
    <x v="4"/>
    <x v="4"/>
    <x v="1"/>
    <x v="3"/>
    <n v="9"/>
    <n v="9350"/>
    <x v="2285"/>
    <n v="1766"/>
    <n v="82384"/>
    <n v="14226.224200000001"/>
    <x v="0"/>
    <x v="5"/>
  </r>
  <r>
    <n v="12302"/>
    <d v="2024-03-24T00:00:00"/>
    <x v="2"/>
    <x v="3"/>
    <x v="1"/>
    <x v="2"/>
    <n v="8"/>
    <n v="39055"/>
    <x v="2286"/>
    <n v="1953"/>
    <n v="310487"/>
    <n v="72989.621450000006"/>
    <x v="0"/>
    <x v="1"/>
  </r>
  <r>
    <n v="12303"/>
    <d v="2025-02-09T00:00:00"/>
    <x v="2"/>
    <x v="0"/>
    <x v="2"/>
    <x v="3"/>
    <n v="6"/>
    <n v="48686"/>
    <x v="2287"/>
    <n v="2568"/>
    <n v="289548"/>
    <n v="65516.48719"/>
    <x v="1"/>
    <x v="9"/>
  </r>
  <r>
    <n v="12304"/>
    <d v="2025-03-31T00:00:00"/>
    <x v="0"/>
    <x v="2"/>
    <x v="2"/>
    <x v="1"/>
    <n v="2"/>
    <n v="33700"/>
    <x v="2288"/>
    <n v="3708"/>
    <n v="63692"/>
    <n v="12589.831560000001"/>
    <x v="1"/>
    <x v="1"/>
  </r>
  <r>
    <n v="12305"/>
    <d v="2024-06-09T00:00:00"/>
    <x v="1"/>
    <x v="2"/>
    <x v="0"/>
    <x v="1"/>
    <n v="8"/>
    <n v="77146"/>
    <x v="2289"/>
    <n v="4928"/>
    <n v="612240"/>
    <n v="66445.047200000001"/>
    <x v="0"/>
    <x v="11"/>
  </r>
  <r>
    <n v="12306"/>
    <d v="2025-04-04T00:00:00"/>
    <x v="2"/>
    <x v="0"/>
    <x v="2"/>
    <x v="3"/>
    <n v="4"/>
    <n v="34420"/>
    <x v="2290"/>
    <n v="2671"/>
    <n v="135009"/>
    <n v="31017.191559999999"/>
    <x v="1"/>
    <x v="0"/>
  </r>
  <r>
    <n v="12307"/>
    <d v="2025-07-03T00:00:00"/>
    <x v="3"/>
    <x v="0"/>
    <x v="2"/>
    <x v="0"/>
    <n v="8"/>
    <n v="30177"/>
    <x v="2291"/>
    <n v="3399"/>
    <n v="238017"/>
    <n v="56132.930659999998"/>
    <x v="1"/>
    <x v="10"/>
  </r>
  <r>
    <n v="12308"/>
    <d v="2025-05-14T00:00:00"/>
    <x v="2"/>
    <x v="1"/>
    <x v="2"/>
    <x v="2"/>
    <n v="7"/>
    <n v="44651"/>
    <x v="2292"/>
    <n v="1353"/>
    <n v="311204"/>
    <n v="48627.825270000001"/>
    <x v="1"/>
    <x v="5"/>
  </r>
  <r>
    <n v="12309"/>
    <d v="2025-05-23T00:00:00"/>
    <x v="4"/>
    <x v="3"/>
    <x v="1"/>
    <x v="1"/>
    <n v="4"/>
    <n v="59339"/>
    <x v="2293"/>
    <n v="442"/>
    <n v="236914"/>
    <n v="42389.307699999998"/>
    <x v="1"/>
    <x v="5"/>
  </r>
  <r>
    <n v="12310"/>
    <d v="2025-10-15T00:00:00"/>
    <x v="4"/>
    <x v="2"/>
    <x v="2"/>
    <x v="1"/>
    <n v="8"/>
    <n v="54282"/>
    <x v="2294"/>
    <n v="600"/>
    <n v="433656"/>
    <n v="61645.544990000002"/>
    <x v="1"/>
    <x v="8"/>
  </r>
  <r>
    <n v="12311"/>
    <d v="2025-04-25T00:00:00"/>
    <x v="4"/>
    <x v="4"/>
    <x v="0"/>
    <x v="3"/>
    <n v="2"/>
    <n v="46070"/>
    <x v="2295"/>
    <n v="3166"/>
    <n v="88974"/>
    <n v="9093.8056649999999"/>
    <x v="1"/>
    <x v="0"/>
  </r>
  <r>
    <n v="12312"/>
    <d v="2025-10-24T00:00:00"/>
    <x v="2"/>
    <x v="1"/>
    <x v="0"/>
    <x v="0"/>
    <n v="9"/>
    <n v="65703"/>
    <x v="2296"/>
    <n v="3942"/>
    <n v="587385"/>
    <n v="100981.8542"/>
    <x v="1"/>
    <x v="8"/>
  </r>
  <r>
    <n v="12313"/>
    <d v="2024-04-23T00:00:00"/>
    <x v="0"/>
    <x v="1"/>
    <x v="0"/>
    <x v="3"/>
    <n v="6"/>
    <n v="30406"/>
    <x v="2297"/>
    <n v="2809"/>
    <n v="179627"/>
    <n v="21448.15465"/>
    <x v="0"/>
    <x v="0"/>
  </r>
  <r>
    <n v="12314"/>
    <d v="2025-07-31T00:00:00"/>
    <x v="3"/>
    <x v="4"/>
    <x v="2"/>
    <x v="3"/>
    <n v="7"/>
    <n v="63009"/>
    <x v="2298"/>
    <n v="3388"/>
    <n v="437675"/>
    <n v="55802.996379999997"/>
    <x v="1"/>
    <x v="10"/>
  </r>
  <r>
    <n v="12315"/>
    <d v="2024-12-26T00:00:00"/>
    <x v="2"/>
    <x v="4"/>
    <x v="1"/>
    <x v="3"/>
    <n v="1"/>
    <n v="6066"/>
    <x v="2299"/>
    <n v="4582"/>
    <n v="1484"/>
    <n v="255.40622669999999"/>
    <x v="0"/>
    <x v="3"/>
  </r>
  <r>
    <n v="12316"/>
    <d v="2024-12-06T00:00:00"/>
    <x v="0"/>
    <x v="4"/>
    <x v="2"/>
    <x v="3"/>
    <n v="3"/>
    <n v="75506"/>
    <x v="2300"/>
    <n v="2786"/>
    <n v="223732"/>
    <n v="51470.833319999998"/>
    <x v="0"/>
    <x v="3"/>
  </r>
  <r>
    <n v="12317"/>
    <d v="2025-03-24T00:00:00"/>
    <x v="0"/>
    <x v="0"/>
    <x v="2"/>
    <x v="3"/>
    <n v="5"/>
    <n v="57940"/>
    <x v="2301"/>
    <n v="2695"/>
    <n v="287005"/>
    <n v="65062.569990000004"/>
    <x v="1"/>
    <x v="1"/>
  </r>
  <r>
    <n v="12318"/>
    <d v="2024-06-28T00:00:00"/>
    <x v="2"/>
    <x v="2"/>
    <x v="0"/>
    <x v="0"/>
    <n v="7"/>
    <n v="55469"/>
    <x v="2302"/>
    <n v="3648"/>
    <n v="384635"/>
    <n v="94143.363840000005"/>
    <x v="0"/>
    <x v="11"/>
  </r>
  <r>
    <n v="12319"/>
    <d v="2025-12-02T00:00:00"/>
    <x v="2"/>
    <x v="0"/>
    <x v="2"/>
    <x v="3"/>
    <n v="1"/>
    <n v="28350"/>
    <x v="2303"/>
    <n v="2052"/>
    <n v="26298"/>
    <n v="4533.8302359999998"/>
    <x v="1"/>
    <x v="3"/>
  </r>
  <r>
    <n v="12320"/>
    <d v="2025-02-10T00:00:00"/>
    <x v="0"/>
    <x v="2"/>
    <x v="1"/>
    <x v="0"/>
    <n v="9"/>
    <n v="9114"/>
    <x v="2304"/>
    <n v="631"/>
    <n v="81395"/>
    <n v="14879.11478"/>
    <x v="1"/>
    <x v="9"/>
  </r>
  <r>
    <n v="12321"/>
    <d v="2025-10-27T00:00:00"/>
    <x v="0"/>
    <x v="0"/>
    <x v="0"/>
    <x v="2"/>
    <n v="5"/>
    <n v="54199"/>
    <x v="2305"/>
    <n v="3442"/>
    <n v="267553"/>
    <n v="59749.249730000003"/>
    <x v="1"/>
    <x v="8"/>
  </r>
  <r>
    <n v="12322"/>
    <d v="2024-07-14T00:00:00"/>
    <x v="0"/>
    <x v="3"/>
    <x v="1"/>
    <x v="2"/>
    <n v="3"/>
    <n v="70133"/>
    <x v="2306"/>
    <n v="1754"/>
    <n v="208645"/>
    <n v="42762.003810000002"/>
    <x v="0"/>
    <x v="10"/>
  </r>
  <r>
    <n v="12323"/>
    <d v="2025-04-10T00:00:00"/>
    <x v="2"/>
    <x v="2"/>
    <x v="1"/>
    <x v="2"/>
    <n v="7"/>
    <n v="26245"/>
    <x v="2307"/>
    <n v="3033"/>
    <n v="180682"/>
    <n v="23023.099590000002"/>
    <x v="1"/>
    <x v="0"/>
  </r>
  <r>
    <n v="12324"/>
    <d v="2024-11-06T00:00:00"/>
    <x v="0"/>
    <x v="1"/>
    <x v="1"/>
    <x v="2"/>
    <n v="8"/>
    <n v="48266"/>
    <x v="2308"/>
    <n v="1578"/>
    <n v="384550"/>
    <n v="61422.71514"/>
    <x v="0"/>
    <x v="7"/>
  </r>
  <r>
    <n v="12325"/>
    <d v="2024-09-18T00:00:00"/>
    <x v="4"/>
    <x v="2"/>
    <x v="2"/>
    <x v="1"/>
    <n v="3"/>
    <n v="17595"/>
    <x v="2309"/>
    <n v="25"/>
    <n v="52760"/>
    <n v="12629.36664"/>
    <x v="0"/>
    <x v="2"/>
  </r>
  <r>
    <n v="12326"/>
    <d v="2025-02-22T00:00:00"/>
    <x v="2"/>
    <x v="2"/>
    <x v="2"/>
    <x v="0"/>
    <n v="7"/>
    <n v="44218"/>
    <x v="2310"/>
    <n v="2209"/>
    <n v="307317"/>
    <n v="37467.803290000003"/>
    <x v="1"/>
    <x v="9"/>
  </r>
  <r>
    <n v="12327"/>
    <d v="2025-02-09T00:00:00"/>
    <x v="4"/>
    <x v="2"/>
    <x v="2"/>
    <x v="2"/>
    <n v="7"/>
    <n v="30143"/>
    <x v="2311"/>
    <n v="2902"/>
    <n v="208099"/>
    <n v="27344.927810000001"/>
    <x v="1"/>
    <x v="9"/>
  </r>
  <r>
    <n v="12328"/>
    <d v="2024-05-22T00:00:00"/>
    <x v="1"/>
    <x v="3"/>
    <x v="2"/>
    <x v="1"/>
    <n v="4"/>
    <n v="51178"/>
    <x v="2312"/>
    <n v="1129"/>
    <n v="203583"/>
    <n v="32593.436000000002"/>
    <x v="0"/>
    <x v="5"/>
  </r>
  <r>
    <n v="12329"/>
    <d v="2024-12-07T00:00:00"/>
    <x v="2"/>
    <x v="0"/>
    <x v="0"/>
    <x v="0"/>
    <n v="9"/>
    <n v="76700"/>
    <x v="2313"/>
    <n v="4996"/>
    <n v="685304"/>
    <n v="165145.3254"/>
    <x v="0"/>
    <x v="3"/>
  </r>
  <r>
    <n v="12330"/>
    <d v="2024-11-11T00:00:00"/>
    <x v="1"/>
    <x v="1"/>
    <x v="2"/>
    <x v="1"/>
    <n v="1"/>
    <n v="12787"/>
    <x v="2314"/>
    <n v="4104"/>
    <n v="8683"/>
    <n v="1016.5424389999999"/>
    <x v="0"/>
    <x v="7"/>
  </r>
  <r>
    <n v="12331"/>
    <d v="2024-04-10T00:00:00"/>
    <x v="0"/>
    <x v="0"/>
    <x v="0"/>
    <x v="1"/>
    <n v="1"/>
    <n v="69517"/>
    <x v="2315"/>
    <n v="4145"/>
    <n v="65372"/>
    <n v="13135.938260000001"/>
    <x v="0"/>
    <x v="0"/>
  </r>
  <r>
    <n v="12332"/>
    <d v="2024-08-31T00:00:00"/>
    <x v="0"/>
    <x v="0"/>
    <x v="1"/>
    <x v="3"/>
    <n v="5"/>
    <n v="50286"/>
    <x v="2316"/>
    <n v="441"/>
    <n v="250989"/>
    <n v="30073.095020000001"/>
    <x v="0"/>
    <x v="6"/>
  </r>
  <r>
    <n v="12333"/>
    <d v="2025-05-04T00:00:00"/>
    <x v="3"/>
    <x v="4"/>
    <x v="0"/>
    <x v="1"/>
    <n v="3"/>
    <n v="5081"/>
    <x v="2317"/>
    <n v="3895"/>
    <n v="11348"/>
    <n v="2027.605663"/>
    <x v="1"/>
    <x v="5"/>
  </r>
  <r>
    <n v="12334"/>
    <d v="2024-01-12T00:00:00"/>
    <x v="0"/>
    <x v="3"/>
    <x v="2"/>
    <x v="1"/>
    <n v="9"/>
    <n v="8005"/>
    <x v="2318"/>
    <n v="4797"/>
    <n v="67248"/>
    <n v="12137.223470000001"/>
    <x v="0"/>
    <x v="4"/>
  </r>
  <r>
    <n v="12335"/>
    <d v="2024-08-26T00:00:00"/>
    <x v="1"/>
    <x v="4"/>
    <x v="0"/>
    <x v="0"/>
    <n v="5"/>
    <n v="78944"/>
    <x v="2319"/>
    <n v="4849"/>
    <n v="389871"/>
    <n v="41479.902419999999"/>
    <x v="0"/>
    <x v="6"/>
  </r>
  <r>
    <n v="12336"/>
    <d v="2025-07-14T00:00:00"/>
    <x v="0"/>
    <x v="3"/>
    <x v="2"/>
    <x v="1"/>
    <n v="7"/>
    <n v="5334"/>
    <x v="2320"/>
    <n v="1828"/>
    <n v="35510"/>
    <n v="8633.1084129999999"/>
    <x v="1"/>
    <x v="10"/>
  </r>
  <r>
    <n v="12337"/>
    <d v="2024-02-11T00:00:00"/>
    <x v="2"/>
    <x v="0"/>
    <x v="2"/>
    <x v="3"/>
    <n v="1"/>
    <n v="63217"/>
    <x v="2321"/>
    <n v="1535"/>
    <n v="61682"/>
    <n v="13631.314560000001"/>
    <x v="0"/>
    <x v="9"/>
  </r>
  <r>
    <n v="12338"/>
    <d v="2025-11-08T00:00:00"/>
    <x v="0"/>
    <x v="0"/>
    <x v="0"/>
    <x v="2"/>
    <n v="2"/>
    <n v="30169"/>
    <x v="2322"/>
    <n v="4325"/>
    <n v="56013"/>
    <n v="8145.8658589999995"/>
    <x v="1"/>
    <x v="7"/>
  </r>
  <r>
    <n v="12339"/>
    <d v="2025-08-16T00:00:00"/>
    <x v="3"/>
    <x v="3"/>
    <x v="0"/>
    <x v="2"/>
    <n v="4"/>
    <n v="28452"/>
    <x v="2323"/>
    <n v="559"/>
    <n v="113249"/>
    <n v="13543.860559999999"/>
    <x v="1"/>
    <x v="6"/>
  </r>
  <r>
    <n v="12340"/>
    <d v="2025-03-04T00:00:00"/>
    <x v="0"/>
    <x v="0"/>
    <x v="1"/>
    <x v="0"/>
    <n v="9"/>
    <n v="31254"/>
    <x v="2324"/>
    <n v="1173"/>
    <n v="280113"/>
    <n v="42533.480320000002"/>
    <x v="1"/>
    <x v="1"/>
  </r>
  <r>
    <n v="12341"/>
    <d v="2024-06-06T00:00:00"/>
    <x v="1"/>
    <x v="0"/>
    <x v="1"/>
    <x v="0"/>
    <n v="5"/>
    <n v="74433"/>
    <x v="2325"/>
    <n v="1878"/>
    <n v="370287"/>
    <n v="86699.546919999993"/>
    <x v="0"/>
    <x v="11"/>
  </r>
  <r>
    <n v="12342"/>
    <d v="2024-08-03T00:00:00"/>
    <x v="1"/>
    <x v="1"/>
    <x v="1"/>
    <x v="1"/>
    <n v="5"/>
    <n v="62110"/>
    <x v="2326"/>
    <n v="2255"/>
    <n v="308295"/>
    <n v="36965.353419999999"/>
    <x v="0"/>
    <x v="6"/>
  </r>
  <r>
    <n v="12343"/>
    <d v="2025-10-31T00:00:00"/>
    <x v="0"/>
    <x v="4"/>
    <x v="1"/>
    <x v="0"/>
    <n v="9"/>
    <n v="62253"/>
    <x v="2327"/>
    <n v="1084"/>
    <n v="559193"/>
    <n v="85219.651419999995"/>
    <x v="1"/>
    <x v="8"/>
  </r>
  <r>
    <n v="12344"/>
    <d v="2025-04-06T00:00:00"/>
    <x v="1"/>
    <x v="4"/>
    <x v="1"/>
    <x v="1"/>
    <n v="8"/>
    <n v="75184"/>
    <x v="2328"/>
    <n v="3914"/>
    <n v="597558"/>
    <n v="104062.1345"/>
    <x v="1"/>
    <x v="0"/>
  </r>
  <r>
    <n v="12345"/>
    <d v="2024-05-13T00:00:00"/>
    <x v="1"/>
    <x v="4"/>
    <x v="0"/>
    <x v="0"/>
    <n v="2"/>
    <n v="24970"/>
    <x v="2329"/>
    <n v="238"/>
    <n v="49702"/>
    <n v="5215.3624470000004"/>
    <x v="0"/>
    <x v="5"/>
  </r>
  <r>
    <n v="12346"/>
    <d v="2024-03-07T00:00:00"/>
    <x v="3"/>
    <x v="2"/>
    <x v="1"/>
    <x v="2"/>
    <n v="7"/>
    <n v="8794"/>
    <x v="2330"/>
    <n v="2914"/>
    <n v="58644"/>
    <n v="8222.1853570000003"/>
    <x v="0"/>
    <x v="1"/>
  </r>
  <r>
    <n v="12347"/>
    <d v="2024-01-07T00:00:00"/>
    <x v="2"/>
    <x v="1"/>
    <x v="0"/>
    <x v="2"/>
    <n v="1"/>
    <n v="34184"/>
    <x v="2331"/>
    <n v="2095"/>
    <n v="32089"/>
    <n v="6075.8944019999999"/>
    <x v="0"/>
    <x v="4"/>
  </r>
  <r>
    <n v="12348"/>
    <d v="2025-06-09T00:00:00"/>
    <x v="3"/>
    <x v="4"/>
    <x v="1"/>
    <x v="2"/>
    <n v="9"/>
    <n v="43365"/>
    <x v="2332"/>
    <n v="1471"/>
    <n v="388814"/>
    <n v="57775.6947"/>
    <x v="1"/>
    <x v="11"/>
  </r>
  <r>
    <n v="12349"/>
    <d v="2024-03-13T00:00:00"/>
    <x v="4"/>
    <x v="4"/>
    <x v="2"/>
    <x v="2"/>
    <n v="3"/>
    <n v="36217"/>
    <x v="2333"/>
    <n v="2045"/>
    <n v="106606"/>
    <n v="24581.08526"/>
    <x v="0"/>
    <x v="1"/>
  </r>
  <r>
    <n v="12350"/>
    <d v="2025-02-02T00:00:00"/>
    <x v="3"/>
    <x v="1"/>
    <x v="1"/>
    <x v="1"/>
    <n v="2"/>
    <n v="10051"/>
    <x v="2334"/>
    <n v="4612"/>
    <n v="15490"/>
    <n v="3725.5744500000001"/>
    <x v="1"/>
    <x v="9"/>
  </r>
  <r>
    <n v="12351"/>
    <d v="2025-02-08T00:00:00"/>
    <x v="0"/>
    <x v="0"/>
    <x v="2"/>
    <x v="1"/>
    <n v="4"/>
    <n v="75080"/>
    <x v="2335"/>
    <n v="3683"/>
    <n v="296637"/>
    <n v="49310.392650000002"/>
    <x v="1"/>
    <x v="9"/>
  </r>
  <r>
    <n v="12352"/>
    <d v="2025-11-05T00:00:00"/>
    <x v="2"/>
    <x v="4"/>
    <x v="0"/>
    <x v="1"/>
    <n v="4"/>
    <n v="17875"/>
    <x v="2336"/>
    <n v="204"/>
    <n v="71296"/>
    <n v="12819.23977"/>
    <x v="1"/>
    <x v="7"/>
  </r>
  <r>
    <n v="12353"/>
    <d v="2025-07-31T00:00:00"/>
    <x v="0"/>
    <x v="0"/>
    <x v="1"/>
    <x v="2"/>
    <n v="3"/>
    <n v="74891"/>
    <x v="2337"/>
    <n v="3600"/>
    <n v="221073"/>
    <n v="43025.501450000003"/>
    <x v="1"/>
    <x v="10"/>
  </r>
  <r>
    <n v="12354"/>
    <d v="2024-05-09T00:00:00"/>
    <x v="4"/>
    <x v="4"/>
    <x v="0"/>
    <x v="3"/>
    <n v="2"/>
    <n v="24992"/>
    <x v="2338"/>
    <n v="2137"/>
    <n v="47847"/>
    <n v="9554.1006780000007"/>
    <x v="0"/>
    <x v="5"/>
  </r>
  <r>
    <n v="12355"/>
    <d v="2025-04-10T00:00:00"/>
    <x v="2"/>
    <x v="3"/>
    <x v="1"/>
    <x v="2"/>
    <n v="5"/>
    <n v="56662"/>
    <x v="2339"/>
    <n v="1213"/>
    <n v="282097"/>
    <n v="30886.43145"/>
    <x v="1"/>
    <x v="0"/>
  </r>
  <r>
    <n v="12356"/>
    <d v="2024-07-24T00:00:00"/>
    <x v="1"/>
    <x v="2"/>
    <x v="0"/>
    <x v="2"/>
    <n v="4"/>
    <n v="63475"/>
    <x v="2340"/>
    <n v="3834"/>
    <n v="250066"/>
    <n v="27020.110059999999"/>
    <x v="0"/>
    <x v="10"/>
  </r>
  <r>
    <n v="12357"/>
    <d v="2024-09-22T00:00:00"/>
    <x v="3"/>
    <x v="4"/>
    <x v="1"/>
    <x v="3"/>
    <n v="5"/>
    <n v="36074"/>
    <x v="2341"/>
    <n v="3091"/>
    <n v="177279"/>
    <n v="40745.477599999998"/>
    <x v="0"/>
    <x v="2"/>
  </r>
  <r>
    <n v="12358"/>
    <d v="2025-06-20T00:00:00"/>
    <x v="0"/>
    <x v="3"/>
    <x v="1"/>
    <x v="3"/>
    <n v="8"/>
    <n v="73052"/>
    <x v="2342"/>
    <n v="1382"/>
    <n v="583034"/>
    <n v="77532.331839999999"/>
    <x v="1"/>
    <x v="11"/>
  </r>
  <r>
    <n v="12359"/>
    <d v="2024-09-09T00:00:00"/>
    <x v="4"/>
    <x v="1"/>
    <x v="2"/>
    <x v="0"/>
    <n v="2"/>
    <n v="27622"/>
    <x v="2343"/>
    <n v="3680"/>
    <n v="51564"/>
    <n v="9674.2224229999993"/>
    <x v="0"/>
    <x v="2"/>
  </r>
  <r>
    <n v="12360"/>
    <d v="2024-10-15T00:00:00"/>
    <x v="1"/>
    <x v="3"/>
    <x v="0"/>
    <x v="2"/>
    <n v="9"/>
    <n v="72015"/>
    <x v="2344"/>
    <n v="1679"/>
    <n v="646456"/>
    <n v="125219.0264"/>
    <x v="0"/>
    <x v="8"/>
  </r>
  <r>
    <n v="12361"/>
    <d v="2024-06-12T00:00:00"/>
    <x v="3"/>
    <x v="1"/>
    <x v="0"/>
    <x v="3"/>
    <n v="1"/>
    <n v="45982"/>
    <x v="2345"/>
    <n v="6"/>
    <n v="45976"/>
    <n v="5731.8114429999996"/>
    <x v="0"/>
    <x v="11"/>
  </r>
  <r>
    <n v="12362"/>
    <d v="2024-04-04T00:00:00"/>
    <x v="1"/>
    <x v="4"/>
    <x v="0"/>
    <x v="0"/>
    <n v="8"/>
    <n v="64069"/>
    <x v="2346"/>
    <n v="1885"/>
    <n v="510667"/>
    <n v="109405.03969999999"/>
    <x v="0"/>
    <x v="0"/>
  </r>
  <r>
    <n v="12363"/>
    <d v="2024-04-19T00:00:00"/>
    <x v="3"/>
    <x v="1"/>
    <x v="0"/>
    <x v="3"/>
    <n v="5"/>
    <n v="50078"/>
    <x v="2347"/>
    <n v="3498"/>
    <n v="246892"/>
    <n v="56758.456839999999"/>
    <x v="0"/>
    <x v="0"/>
  </r>
  <r>
    <n v="12364"/>
    <d v="2024-12-01T00:00:00"/>
    <x v="2"/>
    <x v="3"/>
    <x v="0"/>
    <x v="3"/>
    <n v="2"/>
    <n v="55873"/>
    <x v="2348"/>
    <n v="295"/>
    <n v="111451"/>
    <n v="15915.94419"/>
    <x v="0"/>
    <x v="3"/>
  </r>
  <r>
    <n v="12365"/>
    <d v="2024-08-25T00:00:00"/>
    <x v="1"/>
    <x v="2"/>
    <x v="2"/>
    <x v="0"/>
    <n v="8"/>
    <n v="68798"/>
    <x v="2349"/>
    <n v="263"/>
    <n v="550121"/>
    <n v="127449.8477"/>
    <x v="0"/>
    <x v="6"/>
  </r>
  <r>
    <n v="12366"/>
    <d v="2025-01-15T00:00:00"/>
    <x v="1"/>
    <x v="0"/>
    <x v="1"/>
    <x v="2"/>
    <n v="5"/>
    <n v="63784"/>
    <x v="2350"/>
    <n v="2137"/>
    <n v="316783"/>
    <n v="35528.979610000002"/>
    <x v="1"/>
    <x v="4"/>
  </r>
  <r>
    <n v="12367"/>
    <d v="2025-03-11T00:00:00"/>
    <x v="1"/>
    <x v="0"/>
    <x v="2"/>
    <x v="0"/>
    <n v="3"/>
    <n v="26836"/>
    <x v="2351"/>
    <n v="4948"/>
    <n v="75560"/>
    <n v="16628.458139999999"/>
    <x v="1"/>
    <x v="1"/>
  </r>
  <r>
    <n v="12368"/>
    <d v="2025-04-27T00:00:00"/>
    <x v="2"/>
    <x v="2"/>
    <x v="0"/>
    <x v="2"/>
    <n v="7"/>
    <n v="73083"/>
    <x v="2352"/>
    <n v="3865"/>
    <n v="507716"/>
    <n v="99520.801730000007"/>
    <x v="1"/>
    <x v="0"/>
  </r>
  <r>
    <n v="12369"/>
    <d v="2024-01-25T00:00:00"/>
    <x v="4"/>
    <x v="0"/>
    <x v="0"/>
    <x v="3"/>
    <n v="4"/>
    <n v="33130"/>
    <x v="2353"/>
    <n v="4496"/>
    <n v="128024"/>
    <n v="24000.226360000001"/>
    <x v="0"/>
    <x v="4"/>
  </r>
  <r>
    <n v="12370"/>
    <d v="2025-10-14T00:00:00"/>
    <x v="3"/>
    <x v="4"/>
    <x v="1"/>
    <x v="0"/>
    <n v="6"/>
    <n v="53975"/>
    <x v="2354"/>
    <n v="4452"/>
    <n v="319398"/>
    <n v="42965.390760000002"/>
    <x v="1"/>
    <x v="8"/>
  </r>
  <r>
    <n v="12371"/>
    <d v="2024-04-26T00:00:00"/>
    <x v="1"/>
    <x v="4"/>
    <x v="2"/>
    <x v="1"/>
    <n v="8"/>
    <n v="70995"/>
    <x v="2355"/>
    <n v="2546"/>
    <n v="565414"/>
    <n v="87229.963159999999"/>
    <x v="0"/>
    <x v="0"/>
  </r>
  <r>
    <n v="12372"/>
    <d v="2025-04-26T00:00:00"/>
    <x v="2"/>
    <x v="3"/>
    <x v="1"/>
    <x v="3"/>
    <n v="1"/>
    <n v="72772"/>
    <x v="2356"/>
    <n v="4929"/>
    <n v="67843"/>
    <n v="16047.967049999999"/>
    <x v="1"/>
    <x v="0"/>
  </r>
  <r>
    <n v="12373"/>
    <d v="2025-01-26T00:00:00"/>
    <x v="4"/>
    <x v="3"/>
    <x v="1"/>
    <x v="0"/>
    <n v="2"/>
    <n v="25830"/>
    <x v="2357"/>
    <n v="4530"/>
    <n v="47130"/>
    <n v="8005.5566099999996"/>
    <x v="1"/>
    <x v="4"/>
  </r>
  <r>
    <n v="12374"/>
    <d v="2025-06-20T00:00:00"/>
    <x v="3"/>
    <x v="1"/>
    <x v="2"/>
    <x v="3"/>
    <n v="8"/>
    <n v="71116"/>
    <x v="2358"/>
    <n v="118"/>
    <n v="568810"/>
    <n v="107594.4004"/>
    <x v="1"/>
    <x v="11"/>
  </r>
  <r>
    <n v="12375"/>
    <d v="2024-03-19T00:00:00"/>
    <x v="2"/>
    <x v="3"/>
    <x v="1"/>
    <x v="0"/>
    <n v="7"/>
    <n v="19439"/>
    <x v="2359"/>
    <n v="2395"/>
    <n v="133678"/>
    <n v="32133.214179999999"/>
    <x v="0"/>
    <x v="1"/>
  </r>
  <r>
    <n v="12376"/>
    <d v="2025-08-02T00:00:00"/>
    <x v="3"/>
    <x v="4"/>
    <x v="2"/>
    <x v="2"/>
    <n v="9"/>
    <n v="9715"/>
    <x v="2360"/>
    <n v="3367"/>
    <n v="84068"/>
    <n v="14289.312529999999"/>
    <x v="1"/>
    <x v="6"/>
  </r>
  <r>
    <n v="12377"/>
    <d v="2024-06-21T00:00:00"/>
    <x v="1"/>
    <x v="3"/>
    <x v="2"/>
    <x v="1"/>
    <n v="2"/>
    <n v="31107"/>
    <x v="2361"/>
    <n v="1702"/>
    <n v="60512"/>
    <n v="9575.442223"/>
    <x v="0"/>
    <x v="11"/>
  </r>
  <r>
    <n v="12378"/>
    <d v="2024-01-12T00:00:00"/>
    <x v="4"/>
    <x v="0"/>
    <x v="0"/>
    <x v="3"/>
    <n v="8"/>
    <n v="48394"/>
    <x v="2362"/>
    <n v="529"/>
    <n v="386623"/>
    <n v="90462.171969999996"/>
    <x v="0"/>
    <x v="4"/>
  </r>
  <r>
    <n v="12379"/>
    <d v="2024-05-07T00:00:00"/>
    <x v="2"/>
    <x v="1"/>
    <x v="1"/>
    <x v="1"/>
    <n v="6"/>
    <n v="43665"/>
    <x v="2363"/>
    <n v="3674"/>
    <n v="258316"/>
    <n v="61126.139929999998"/>
    <x v="0"/>
    <x v="5"/>
  </r>
  <r>
    <n v="12380"/>
    <d v="2025-08-30T00:00:00"/>
    <x v="4"/>
    <x v="1"/>
    <x v="0"/>
    <x v="2"/>
    <n v="1"/>
    <n v="37425"/>
    <x v="2364"/>
    <n v="302"/>
    <n v="37123"/>
    <n v="5687.0854149999996"/>
    <x v="1"/>
    <x v="6"/>
  </r>
  <r>
    <n v="12381"/>
    <d v="2024-04-01T00:00:00"/>
    <x v="1"/>
    <x v="4"/>
    <x v="1"/>
    <x v="0"/>
    <n v="4"/>
    <n v="64874"/>
    <x v="2365"/>
    <n v="4067"/>
    <n v="255429"/>
    <n v="48224.599889999998"/>
    <x v="0"/>
    <x v="0"/>
  </r>
  <r>
    <n v="12382"/>
    <d v="2025-10-14T00:00:00"/>
    <x v="4"/>
    <x v="3"/>
    <x v="1"/>
    <x v="1"/>
    <n v="2"/>
    <n v="46432"/>
    <x v="2366"/>
    <n v="4251"/>
    <n v="88613"/>
    <n v="21671.121370000001"/>
    <x v="1"/>
    <x v="8"/>
  </r>
  <r>
    <n v="12383"/>
    <d v="2025-06-26T00:00:00"/>
    <x v="4"/>
    <x v="0"/>
    <x v="0"/>
    <x v="0"/>
    <n v="7"/>
    <n v="48949"/>
    <x v="2367"/>
    <n v="3968"/>
    <n v="338675"/>
    <n v="36685.480649999998"/>
    <x v="1"/>
    <x v="11"/>
  </r>
  <r>
    <n v="12384"/>
    <d v="2025-06-15T00:00:00"/>
    <x v="0"/>
    <x v="3"/>
    <x v="0"/>
    <x v="2"/>
    <n v="9"/>
    <n v="8669"/>
    <x v="2368"/>
    <n v="13"/>
    <n v="78008"/>
    <n v="8266.5360710000004"/>
    <x v="1"/>
    <x v="11"/>
  </r>
  <r>
    <n v="12385"/>
    <d v="2025-10-19T00:00:00"/>
    <x v="4"/>
    <x v="2"/>
    <x v="0"/>
    <x v="3"/>
    <n v="6"/>
    <n v="20436"/>
    <x v="2369"/>
    <n v="2803"/>
    <n v="119813"/>
    <n v="21265.25908"/>
    <x v="1"/>
    <x v="8"/>
  </r>
  <r>
    <n v="12386"/>
    <d v="2025-03-22T00:00:00"/>
    <x v="3"/>
    <x v="3"/>
    <x v="2"/>
    <x v="2"/>
    <n v="4"/>
    <n v="41030"/>
    <x v="2370"/>
    <n v="888"/>
    <n v="163232"/>
    <n v="23454.15667"/>
    <x v="1"/>
    <x v="1"/>
  </r>
  <r>
    <n v="12387"/>
    <d v="2025-01-24T00:00:00"/>
    <x v="2"/>
    <x v="4"/>
    <x v="1"/>
    <x v="1"/>
    <n v="5"/>
    <n v="9638"/>
    <x v="2371"/>
    <n v="3528"/>
    <n v="44662"/>
    <n v="8364.1869339999994"/>
    <x v="1"/>
    <x v="4"/>
  </r>
  <r>
    <n v="12388"/>
    <d v="2025-11-02T00:00:00"/>
    <x v="0"/>
    <x v="3"/>
    <x v="2"/>
    <x v="1"/>
    <n v="1"/>
    <n v="73402"/>
    <x v="2372"/>
    <n v="1196"/>
    <n v="72206"/>
    <n v="15065.37054"/>
    <x v="1"/>
    <x v="7"/>
  </r>
  <r>
    <n v="12389"/>
    <d v="2024-02-12T00:00:00"/>
    <x v="2"/>
    <x v="1"/>
    <x v="1"/>
    <x v="1"/>
    <n v="4"/>
    <n v="62000"/>
    <x v="2373"/>
    <n v="4540"/>
    <n v="243460"/>
    <n v="26868.525730000001"/>
    <x v="0"/>
    <x v="9"/>
  </r>
  <r>
    <n v="12390"/>
    <d v="2024-09-10T00:00:00"/>
    <x v="2"/>
    <x v="0"/>
    <x v="1"/>
    <x v="0"/>
    <n v="3"/>
    <n v="14251"/>
    <x v="2374"/>
    <n v="2169"/>
    <n v="40584"/>
    <n v="9429.9002459999992"/>
    <x v="0"/>
    <x v="2"/>
  </r>
  <r>
    <n v="12391"/>
    <d v="2024-05-09T00:00:00"/>
    <x v="1"/>
    <x v="4"/>
    <x v="2"/>
    <x v="3"/>
    <n v="9"/>
    <n v="13948"/>
    <x v="2375"/>
    <n v="3568"/>
    <n v="121964"/>
    <n v="17261.93693"/>
    <x v="0"/>
    <x v="5"/>
  </r>
  <r>
    <n v="12392"/>
    <d v="2024-02-29T00:00:00"/>
    <x v="1"/>
    <x v="2"/>
    <x v="2"/>
    <x v="1"/>
    <n v="6"/>
    <n v="57647"/>
    <x v="2376"/>
    <n v="2231"/>
    <n v="343651"/>
    <n v="54022.666539999998"/>
    <x v="0"/>
    <x v="9"/>
  </r>
  <r>
    <n v="12393"/>
    <d v="2025-10-24T00:00:00"/>
    <x v="0"/>
    <x v="0"/>
    <x v="1"/>
    <x v="1"/>
    <n v="4"/>
    <n v="70723"/>
    <x v="2377"/>
    <n v="1843"/>
    <n v="281049"/>
    <n v="42313.476320000002"/>
    <x v="1"/>
    <x v="8"/>
  </r>
  <r>
    <n v="12394"/>
    <d v="2025-04-11T00:00:00"/>
    <x v="1"/>
    <x v="0"/>
    <x v="0"/>
    <x v="1"/>
    <n v="3"/>
    <n v="62245"/>
    <x v="2378"/>
    <n v="3651"/>
    <n v="183084"/>
    <n v="41372.448770000003"/>
    <x v="1"/>
    <x v="0"/>
  </r>
  <r>
    <n v="12395"/>
    <d v="2024-10-13T00:00:00"/>
    <x v="1"/>
    <x v="1"/>
    <x v="0"/>
    <x v="2"/>
    <n v="4"/>
    <n v="24098"/>
    <x v="2379"/>
    <n v="3876"/>
    <n v="92516"/>
    <n v="11619.80884"/>
    <x v="0"/>
    <x v="8"/>
  </r>
  <r>
    <n v="12396"/>
    <d v="2025-05-31T00:00:00"/>
    <x v="1"/>
    <x v="1"/>
    <x v="0"/>
    <x v="1"/>
    <n v="8"/>
    <n v="12408"/>
    <x v="2380"/>
    <n v="2718"/>
    <n v="96546"/>
    <n v="10069.84268"/>
    <x v="1"/>
    <x v="5"/>
  </r>
  <r>
    <n v="12397"/>
    <d v="2025-04-11T00:00:00"/>
    <x v="2"/>
    <x v="1"/>
    <x v="0"/>
    <x v="2"/>
    <n v="5"/>
    <n v="74069"/>
    <x v="2381"/>
    <n v="48"/>
    <n v="370297"/>
    <n v="91007.983210000006"/>
    <x v="1"/>
    <x v="0"/>
  </r>
  <r>
    <n v="12398"/>
    <d v="2024-12-10T00:00:00"/>
    <x v="0"/>
    <x v="4"/>
    <x v="1"/>
    <x v="1"/>
    <n v="1"/>
    <n v="74676"/>
    <x v="2382"/>
    <n v="180"/>
    <n v="74496"/>
    <n v="18407.579529999999"/>
    <x v="0"/>
    <x v="3"/>
  </r>
  <r>
    <n v="12399"/>
    <d v="2025-10-03T00:00:00"/>
    <x v="2"/>
    <x v="3"/>
    <x v="0"/>
    <x v="2"/>
    <n v="5"/>
    <n v="68982"/>
    <x v="2383"/>
    <n v="3878"/>
    <n v="341032"/>
    <n v="47285.425170000002"/>
    <x v="1"/>
    <x v="8"/>
  </r>
  <r>
    <n v="12400"/>
    <d v="2025-01-16T00:00:00"/>
    <x v="3"/>
    <x v="0"/>
    <x v="0"/>
    <x v="0"/>
    <n v="8"/>
    <n v="57203"/>
    <x v="2384"/>
    <n v="1417"/>
    <n v="456207"/>
    <n v="46260.710639999998"/>
    <x v="1"/>
    <x v="4"/>
  </r>
  <r>
    <n v="12401"/>
    <d v="2025-11-20T00:00:00"/>
    <x v="2"/>
    <x v="3"/>
    <x v="0"/>
    <x v="0"/>
    <n v="4"/>
    <n v="59617"/>
    <x v="2385"/>
    <n v="3464"/>
    <n v="235004"/>
    <n v="46269.365400000002"/>
    <x v="1"/>
    <x v="7"/>
  </r>
  <r>
    <n v="12402"/>
    <d v="2024-09-09T00:00:00"/>
    <x v="3"/>
    <x v="3"/>
    <x v="1"/>
    <x v="2"/>
    <n v="2"/>
    <n v="11005"/>
    <x v="2386"/>
    <n v="3419"/>
    <n v="18591"/>
    <n v="3667.4371329999999"/>
    <x v="0"/>
    <x v="2"/>
  </r>
  <r>
    <n v="12403"/>
    <d v="2024-02-25T00:00:00"/>
    <x v="4"/>
    <x v="1"/>
    <x v="2"/>
    <x v="3"/>
    <n v="3"/>
    <n v="76406"/>
    <x v="2387"/>
    <n v="529"/>
    <n v="228689"/>
    <n v="55126.285499999998"/>
    <x v="0"/>
    <x v="9"/>
  </r>
  <r>
    <n v="12404"/>
    <d v="2025-04-07T00:00:00"/>
    <x v="4"/>
    <x v="3"/>
    <x v="0"/>
    <x v="3"/>
    <n v="9"/>
    <n v="74440"/>
    <x v="2388"/>
    <n v="4679"/>
    <n v="665281"/>
    <n v="96313.113979999995"/>
    <x v="1"/>
    <x v="0"/>
  </r>
  <r>
    <n v="12405"/>
    <d v="2025-04-01T00:00:00"/>
    <x v="3"/>
    <x v="0"/>
    <x v="1"/>
    <x v="2"/>
    <n v="7"/>
    <n v="53235"/>
    <x v="2389"/>
    <n v="1286"/>
    <n v="371359"/>
    <n v="47692.012300000002"/>
    <x v="1"/>
    <x v="0"/>
  </r>
  <r>
    <n v="12406"/>
    <d v="2024-03-23T00:00:00"/>
    <x v="3"/>
    <x v="0"/>
    <x v="1"/>
    <x v="0"/>
    <n v="3"/>
    <n v="16973"/>
    <x v="2390"/>
    <n v="2190"/>
    <n v="48729"/>
    <n v="9378.2543089999999"/>
    <x v="0"/>
    <x v="1"/>
  </r>
  <r>
    <n v="12407"/>
    <d v="2024-04-08T00:00:00"/>
    <x v="2"/>
    <x v="2"/>
    <x v="0"/>
    <x v="2"/>
    <n v="5"/>
    <n v="51976"/>
    <x v="2391"/>
    <n v="706"/>
    <n v="259174"/>
    <n v="47830.732709999997"/>
    <x v="0"/>
    <x v="0"/>
  </r>
  <r>
    <n v="12408"/>
    <d v="2024-05-28T00:00:00"/>
    <x v="3"/>
    <x v="4"/>
    <x v="2"/>
    <x v="3"/>
    <n v="3"/>
    <n v="72797"/>
    <x v="2392"/>
    <n v="3217"/>
    <n v="215174"/>
    <n v="44683.144529999998"/>
    <x v="0"/>
    <x v="5"/>
  </r>
  <r>
    <n v="12409"/>
    <d v="2024-11-24T00:00:00"/>
    <x v="0"/>
    <x v="3"/>
    <x v="2"/>
    <x v="2"/>
    <n v="4"/>
    <n v="63866"/>
    <x v="2393"/>
    <n v="293"/>
    <n v="255171"/>
    <n v="59395.92669"/>
    <x v="0"/>
    <x v="7"/>
  </r>
  <r>
    <n v="12410"/>
    <d v="2024-06-04T00:00:00"/>
    <x v="4"/>
    <x v="4"/>
    <x v="2"/>
    <x v="0"/>
    <n v="8"/>
    <n v="22804"/>
    <x v="2394"/>
    <n v="1561"/>
    <n v="180871"/>
    <n v="33273.350769999997"/>
    <x v="0"/>
    <x v="11"/>
  </r>
  <r>
    <n v="12411"/>
    <d v="2024-07-08T00:00:00"/>
    <x v="4"/>
    <x v="4"/>
    <x v="1"/>
    <x v="3"/>
    <n v="3"/>
    <n v="66936"/>
    <x v="2395"/>
    <n v="4517"/>
    <n v="196291"/>
    <n v="24047.863420000001"/>
    <x v="0"/>
    <x v="10"/>
  </r>
  <r>
    <n v="12412"/>
    <d v="2025-05-08T00:00:00"/>
    <x v="3"/>
    <x v="4"/>
    <x v="0"/>
    <x v="3"/>
    <n v="3"/>
    <n v="52276"/>
    <x v="2396"/>
    <n v="2611"/>
    <n v="154217"/>
    <n v="29257.947690000001"/>
    <x v="1"/>
    <x v="5"/>
  </r>
  <r>
    <n v="12413"/>
    <d v="2024-09-19T00:00:00"/>
    <x v="1"/>
    <x v="4"/>
    <x v="0"/>
    <x v="1"/>
    <n v="8"/>
    <n v="29680"/>
    <x v="2397"/>
    <n v="660"/>
    <n v="236780"/>
    <n v="36964.965369999998"/>
    <x v="0"/>
    <x v="2"/>
  </r>
  <r>
    <n v="12414"/>
    <d v="2024-03-20T00:00:00"/>
    <x v="1"/>
    <x v="0"/>
    <x v="1"/>
    <x v="1"/>
    <n v="7"/>
    <n v="65967"/>
    <x v="2398"/>
    <n v="3178"/>
    <n v="458591"/>
    <n v="77002.131429999994"/>
    <x v="0"/>
    <x v="1"/>
  </r>
  <r>
    <n v="12415"/>
    <d v="2025-02-03T00:00:00"/>
    <x v="3"/>
    <x v="3"/>
    <x v="0"/>
    <x v="3"/>
    <n v="7"/>
    <n v="21862"/>
    <x v="2399"/>
    <n v="3389"/>
    <n v="149645"/>
    <n v="36501.806250000001"/>
    <x v="1"/>
    <x v="9"/>
  </r>
  <r>
    <n v="12416"/>
    <d v="2025-08-31T00:00:00"/>
    <x v="0"/>
    <x v="2"/>
    <x v="0"/>
    <x v="3"/>
    <n v="2"/>
    <n v="44553"/>
    <x v="2400"/>
    <n v="2106"/>
    <n v="87000"/>
    <n v="15942.05906"/>
    <x v="1"/>
    <x v="6"/>
  </r>
  <r>
    <n v="12417"/>
    <d v="2024-09-16T00:00:00"/>
    <x v="1"/>
    <x v="4"/>
    <x v="2"/>
    <x v="2"/>
    <n v="7"/>
    <n v="13884"/>
    <x v="2401"/>
    <n v="3063"/>
    <n v="94125"/>
    <n v="11525.330819999999"/>
    <x v="0"/>
    <x v="2"/>
  </r>
  <r>
    <n v="12418"/>
    <d v="2025-09-06T00:00:00"/>
    <x v="3"/>
    <x v="2"/>
    <x v="0"/>
    <x v="0"/>
    <n v="3"/>
    <n v="73574"/>
    <x v="2402"/>
    <n v="2840"/>
    <n v="217882"/>
    <n v="36271.642549999997"/>
    <x v="1"/>
    <x v="2"/>
  </r>
  <r>
    <n v="12419"/>
    <d v="2025-07-05T00:00:00"/>
    <x v="0"/>
    <x v="0"/>
    <x v="0"/>
    <x v="3"/>
    <n v="7"/>
    <n v="65313"/>
    <x v="2403"/>
    <n v="3496"/>
    <n v="453695"/>
    <n v="60915.166530000002"/>
    <x v="1"/>
    <x v="10"/>
  </r>
  <r>
    <n v="12420"/>
    <d v="2024-04-10T00:00:00"/>
    <x v="0"/>
    <x v="0"/>
    <x v="1"/>
    <x v="0"/>
    <n v="4"/>
    <n v="37961"/>
    <x v="2404"/>
    <n v="2578"/>
    <n v="149266"/>
    <n v="17960.039499999999"/>
    <x v="0"/>
    <x v="0"/>
  </r>
  <r>
    <n v="12421"/>
    <d v="2024-12-24T00:00:00"/>
    <x v="2"/>
    <x v="1"/>
    <x v="1"/>
    <x v="3"/>
    <n v="8"/>
    <n v="36562"/>
    <x v="2405"/>
    <n v="2051"/>
    <n v="290445"/>
    <n v="60074.225509999997"/>
    <x v="0"/>
    <x v="3"/>
  </r>
  <r>
    <n v="12422"/>
    <d v="2025-01-14T00:00:00"/>
    <x v="0"/>
    <x v="4"/>
    <x v="2"/>
    <x v="0"/>
    <n v="8"/>
    <n v="31065"/>
    <x v="2406"/>
    <n v="2409"/>
    <n v="246111"/>
    <n v="47815.764329999998"/>
    <x v="1"/>
    <x v="4"/>
  </r>
  <r>
    <n v="12423"/>
    <d v="2024-08-08T00:00:00"/>
    <x v="1"/>
    <x v="1"/>
    <x v="1"/>
    <x v="1"/>
    <n v="6"/>
    <n v="37084"/>
    <x v="2407"/>
    <n v="2953"/>
    <n v="219551"/>
    <n v="38348.606509999998"/>
    <x v="0"/>
    <x v="6"/>
  </r>
  <r>
    <n v="12424"/>
    <d v="2025-02-23T00:00:00"/>
    <x v="1"/>
    <x v="2"/>
    <x v="2"/>
    <x v="3"/>
    <n v="3"/>
    <n v="56038"/>
    <x v="2408"/>
    <n v="368"/>
    <n v="167746"/>
    <n v="27424.079669999999"/>
    <x v="1"/>
    <x v="9"/>
  </r>
  <r>
    <n v="12425"/>
    <d v="2024-05-03T00:00:00"/>
    <x v="3"/>
    <x v="3"/>
    <x v="2"/>
    <x v="2"/>
    <n v="6"/>
    <n v="25957"/>
    <x v="2409"/>
    <n v="538"/>
    <n v="155204"/>
    <n v="23021.822100000001"/>
    <x v="0"/>
    <x v="5"/>
  </r>
  <r>
    <n v="12426"/>
    <d v="2025-02-25T00:00:00"/>
    <x v="3"/>
    <x v="1"/>
    <x v="0"/>
    <x v="0"/>
    <n v="6"/>
    <n v="73116"/>
    <x v="2410"/>
    <n v="2927"/>
    <n v="435769"/>
    <n v="49329.620280000003"/>
    <x v="1"/>
    <x v="9"/>
  </r>
  <r>
    <n v="12427"/>
    <d v="2024-08-18T00:00:00"/>
    <x v="0"/>
    <x v="0"/>
    <x v="2"/>
    <x v="3"/>
    <n v="3"/>
    <n v="67278"/>
    <x v="2411"/>
    <n v="2393"/>
    <n v="199441"/>
    <n v="28897.095669999999"/>
    <x v="0"/>
    <x v="6"/>
  </r>
  <r>
    <n v="12428"/>
    <d v="2025-11-20T00:00:00"/>
    <x v="4"/>
    <x v="4"/>
    <x v="0"/>
    <x v="1"/>
    <n v="4"/>
    <n v="37454"/>
    <x v="2412"/>
    <n v="730"/>
    <n v="149086"/>
    <n v="33657.535109999997"/>
    <x v="1"/>
    <x v="7"/>
  </r>
  <r>
    <n v="12429"/>
    <d v="2024-03-03T00:00:00"/>
    <x v="2"/>
    <x v="2"/>
    <x v="2"/>
    <x v="1"/>
    <n v="2"/>
    <n v="58796"/>
    <x v="2413"/>
    <n v="896"/>
    <n v="116696"/>
    <n v="25387.367579999998"/>
    <x v="0"/>
    <x v="1"/>
  </r>
  <r>
    <n v="12430"/>
    <d v="2025-04-29T00:00:00"/>
    <x v="4"/>
    <x v="0"/>
    <x v="1"/>
    <x v="1"/>
    <n v="1"/>
    <n v="16277"/>
    <x v="2414"/>
    <n v="4659"/>
    <n v="11618"/>
    <n v="2856.2580979999998"/>
    <x v="1"/>
    <x v="0"/>
  </r>
  <r>
    <n v="12431"/>
    <d v="2025-09-19T00:00:00"/>
    <x v="0"/>
    <x v="3"/>
    <x v="1"/>
    <x v="1"/>
    <n v="2"/>
    <n v="71411"/>
    <x v="2415"/>
    <n v="2368"/>
    <n v="140454"/>
    <n v="27867.487529999999"/>
    <x v="1"/>
    <x v="2"/>
  </r>
  <r>
    <n v="12432"/>
    <d v="2025-12-03T00:00:00"/>
    <x v="0"/>
    <x v="4"/>
    <x v="1"/>
    <x v="3"/>
    <n v="7"/>
    <n v="65069"/>
    <x v="2416"/>
    <n v="4559"/>
    <n v="450924"/>
    <n v="82539.818109999993"/>
    <x v="1"/>
    <x v="3"/>
  </r>
  <r>
    <n v="12433"/>
    <d v="2025-07-27T00:00:00"/>
    <x v="4"/>
    <x v="3"/>
    <x v="2"/>
    <x v="2"/>
    <n v="5"/>
    <n v="71732"/>
    <x v="2417"/>
    <n v="2680"/>
    <n v="355980"/>
    <n v="51405.887269999999"/>
    <x v="1"/>
    <x v="10"/>
  </r>
  <r>
    <n v="12434"/>
    <d v="2025-04-27T00:00:00"/>
    <x v="2"/>
    <x v="3"/>
    <x v="2"/>
    <x v="0"/>
    <n v="9"/>
    <n v="56861"/>
    <x v="2418"/>
    <n v="2380"/>
    <n v="509369"/>
    <n v="56809.433729999997"/>
    <x v="1"/>
    <x v="0"/>
  </r>
  <r>
    <n v="12435"/>
    <d v="2025-06-02T00:00:00"/>
    <x v="4"/>
    <x v="4"/>
    <x v="0"/>
    <x v="2"/>
    <n v="3"/>
    <n v="54487"/>
    <x v="2419"/>
    <n v="14"/>
    <n v="163447"/>
    <n v="31496.68651"/>
    <x v="1"/>
    <x v="11"/>
  </r>
  <r>
    <n v="12436"/>
    <d v="2024-06-03T00:00:00"/>
    <x v="3"/>
    <x v="4"/>
    <x v="0"/>
    <x v="0"/>
    <n v="2"/>
    <n v="46184"/>
    <x v="2420"/>
    <n v="3128"/>
    <n v="89240"/>
    <n v="15458.5391"/>
    <x v="0"/>
    <x v="11"/>
  </r>
  <r>
    <n v="12437"/>
    <d v="2024-04-01T00:00:00"/>
    <x v="1"/>
    <x v="3"/>
    <x v="0"/>
    <x v="2"/>
    <n v="4"/>
    <n v="28398"/>
    <x v="2421"/>
    <n v="1353"/>
    <n v="112239"/>
    <n v="24003.56465"/>
    <x v="0"/>
    <x v="0"/>
  </r>
  <r>
    <n v="12438"/>
    <d v="2025-06-09T00:00:00"/>
    <x v="3"/>
    <x v="2"/>
    <x v="0"/>
    <x v="3"/>
    <n v="2"/>
    <n v="33517"/>
    <x v="2422"/>
    <n v="3135"/>
    <n v="63899"/>
    <n v="10337.49647"/>
    <x v="1"/>
    <x v="11"/>
  </r>
  <r>
    <n v="12439"/>
    <d v="2025-03-30T00:00:00"/>
    <x v="1"/>
    <x v="4"/>
    <x v="2"/>
    <x v="3"/>
    <n v="7"/>
    <n v="71783"/>
    <x v="2423"/>
    <n v="2277"/>
    <n v="500204"/>
    <n v="123966.9097"/>
    <x v="1"/>
    <x v="1"/>
  </r>
  <r>
    <n v="12440"/>
    <d v="2025-08-20T00:00:00"/>
    <x v="0"/>
    <x v="0"/>
    <x v="2"/>
    <x v="0"/>
    <n v="6"/>
    <n v="29564"/>
    <x v="2424"/>
    <n v="10"/>
    <n v="177374"/>
    <n v="28316.306089999998"/>
    <x v="1"/>
    <x v="6"/>
  </r>
  <r>
    <n v="12441"/>
    <d v="2025-10-06T00:00:00"/>
    <x v="2"/>
    <x v="1"/>
    <x v="0"/>
    <x v="3"/>
    <n v="8"/>
    <n v="12111"/>
    <x v="2425"/>
    <n v="1656"/>
    <n v="95232"/>
    <n v="14281.06169"/>
    <x v="1"/>
    <x v="8"/>
  </r>
  <r>
    <n v="12442"/>
    <d v="2025-05-24T00:00:00"/>
    <x v="4"/>
    <x v="2"/>
    <x v="2"/>
    <x v="0"/>
    <n v="5"/>
    <n v="25973"/>
    <x v="2426"/>
    <n v="1247"/>
    <n v="128618"/>
    <n v="29665.478869999999"/>
    <x v="1"/>
    <x v="5"/>
  </r>
  <r>
    <n v="12443"/>
    <d v="2024-07-01T00:00:00"/>
    <x v="2"/>
    <x v="4"/>
    <x v="2"/>
    <x v="2"/>
    <n v="2"/>
    <n v="5310"/>
    <x v="2427"/>
    <n v="1660"/>
    <n v="8960"/>
    <n v="1427.5606330000001"/>
    <x v="0"/>
    <x v="10"/>
  </r>
  <r>
    <n v="12444"/>
    <d v="2025-01-20T00:00:00"/>
    <x v="4"/>
    <x v="4"/>
    <x v="2"/>
    <x v="3"/>
    <n v="4"/>
    <n v="22988"/>
    <x v="2428"/>
    <n v="1763"/>
    <n v="90189"/>
    <n v="20800.703750000001"/>
    <x v="1"/>
    <x v="4"/>
  </r>
  <r>
    <n v="12445"/>
    <d v="2025-07-27T00:00:00"/>
    <x v="3"/>
    <x v="2"/>
    <x v="2"/>
    <x v="3"/>
    <n v="1"/>
    <n v="27043"/>
    <x v="2429"/>
    <n v="541"/>
    <n v="26502"/>
    <n v="2758.9414919999999"/>
    <x v="1"/>
    <x v="10"/>
  </r>
  <r>
    <n v="12446"/>
    <d v="2025-12-31T00:00:00"/>
    <x v="3"/>
    <x v="1"/>
    <x v="0"/>
    <x v="0"/>
    <n v="2"/>
    <n v="58134"/>
    <x v="2430"/>
    <n v="1529"/>
    <n v="114739"/>
    <n v="23394.01959"/>
    <x v="1"/>
    <x v="3"/>
  </r>
  <r>
    <n v="12447"/>
    <d v="2025-02-08T00:00:00"/>
    <x v="4"/>
    <x v="3"/>
    <x v="0"/>
    <x v="0"/>
    <n v="4"/>
    <n v="60326"/>
    <x v="2431"/>
    <n v="1180"/>
    <n v="240124"/>
    <n v="26600.439910000001"/>
    <x v="1"/>
    <x v="9"/>
  </r>
  <r>
    <n v="12448"/>
    <d v="2024-09-02T00:00:00"/>
    <x v="2"/>
    <x v="0"/>
    <x v="2"/>
    <x v="0"/>
    <n v="6"/>
    <n v="22381"/>
    <x v="2432"/>
    <n v="2688"/>
    <n v="131598"/>
    <n v="16085.86435"/>
    <x v="0"/>
    <x v="2"/>
  </r>
  <r>
    <n v="12449"/>
    <d v="2025-08-13T00:00:00"/>
    <x v="4"/>
    <x v="4"/>
    <x v="1"/>
    <x v="0"/>
    <n v="4"/>
    <n v="38264"/>
    <x v="2433"/>
    <n v="2617"/>
    <n v="150439"/>
    <n v="30841.687890000001"/>
    <x v="1"/>
    <x v="6"/>
  </r>
  <r>
    <n v="12450"/>
    <d v="2025-10-22T00:00:00"/>
    <x v="0"/>
    <x v="1"/>
    <x v="0"/>
    <x v="1"/>
    <n v="4"/>
    <n v="27069"/>
    <x v="2434"/>
    <n v="2754"/>
    <n v="105522"/>
    <n v="15138.027959999999"/>
    <x v="1"/>
    <x v="8"/>
  </r>
  <r>
    <n v="12451"/>
    <d v="2025-10-11T00:00:00"/>
    <x v="3"/>
    <x v="0"/>
    <x v="0"/>
    <x v="0"/>
    <n v="2"/>
    <n v="47964"/>
    <x v="2435"/>
    <n v="928"/>
    <n v="95000"/>
    <n v="12498.67597"/>
    <x v="1"/>
    <x v="8"/>
  </r>
  <r>
    <n v="12452"/>
    <d v="2025-04-15T00:00:00"/>
    <x v="0"/>
    <x v="2"/>
    <x v="1"/>
    <x v="1"/>
    <n v="9"/>
    <n v="71734"/>
    <x v="2436"/>
    <n v="1426"/>
    <n v="644180"/>
    <n v="141867.0661"/>
    <x v="1"/>
    <x v="0"/>
  </r>
  <r>
    <n v="12453"/>
    <d v="2025-02-26T00:00:00"/>
    <x v="3"/>
    <x v="4"/>
    <x v="0"/>
    <x v="2"/>
    <n v="8"/>
    <n v="10910"/>
    <x v="2437"/>
    <n v="3659"/>
    <n v="83621"/>
    <n v="20231.016350000002"/>
    <x v="1"/>
    <x v="9"/>
  </r>
  <r>
    <n v="12454"/>
    <d v="2024-03-05T00:00:00"/>
    <x v="3"/>
    <x v="3"/>
    <x v="1"/>
    <x v="0"/>
    <n v="8"/>
    <n v="76020"/>
    <x v="2438"/>
    <n v="2233"/>
    <n v="605927"/>
    <n v="81713.556379999995"/>
    <x v="0"/>
    <x v="1"/>
  </r>
  <r>
    <n v="12455"/>
    <d v="2024-01-13T00:00:00"/>
    <x v="1"/>
    <x v="2"/>
    <x v="1"/>
    <x v="1"/>
    <n v="5"/>
    <n v="51165"/>
    <x v="2439"/>
    <n v="3909"/>
    <n v="251916"/>
    <n v="37177.610480000003"/>
    <x v="0"/>
    <x v="4"/>
  </r>
  <r>
    <n v="12456"/>
    <d v="2024-07-31T00:00:00"/>
    <x v="0"/>
    <x v="4"/>
    <x v="2"/>
    <x v="1"/>
    <n v="3"/>
    <n v="71112"/>
    <x v="2440"/>
    <n v="4990"/>
    <n v="208346"/>
    <n v="43150.74755"/>
    <x v="0"/>
    <x v="10"/>
  </r>
  <r>
    <n v="12457"/>
    <d v="2024-08-29T00:00:00"/>
    <x v="0"/>
    <x v="1"/>
    <x v="0"/>
    <x v="1"/>
    <n v="6"/>
    <n v="37821"/>
    <x v="2441"/>
    <n v="2061"/>
    <n v="224865"/>
    <n v="49986.1247"/>
    <x v="0"/>
    <x v="6"/>
  </r>
  <r>
    <n v="12458"/>
    <d v="2025-05-07T00:00:00"/>
    <x v="1"/>
    <x v="0"/>
    <x v="1"/>
    <x v="3"/>
    <n v="9"/>
    <n v="49392"/>
    <x v="2442"/>
    <n v="4097"/>
    <n v="440431"/>
    <n v="110052.4077"/>
    <x v="1"/>
    <x v="5"/>
  </r>
  <r>
    <n v="12459"/>
    <d v="2024-07-31T00:00:00"/>
    <x v="2"/>
    <x v="0"/>
    <x v="2"/>
    <x v="1"/>
    <n v="8"/>
    <n v="53603"/>
    <x v="2443"/>
    <n v="2563"/>
    <n v="426261"/>
    <n v="60105.191680000004"/>
    <x v="0"/>
    <x v="10"/>
  </r>
  <r>
    <n v="12460"/>
    <d v="2025-11-23T00:00:00"/>
    <x v="0"/>
    <x v="4"/>
    <x v="0"/>
    <x v="0"/>
    <n v="7"/>
    <n v="37996"/>
    <x v="2444"/>
    <n v="2803"/>
    <n v="263169"/>
    <n v="48289.61361"/>
    <x v="1"/>
    <x v="7"/>
  </r>
  <r>
    <n v="12461"/>
    <d v="2024-12-03T00:00:00"/>
    <x v="4"/>
    <x v="2"/>
    <x v="2"/>
    <x v="0"/>
    <n v="8"/>
    <n v="71520"/>
    <x v="2445"/>
    <n v="2293"/>
    <n v="569867"/>
    <n v="68442.645820000005"/>
    <x v="0"/>
    <x v="3"/>
  </r>
  <r>
    <n v="12462"/>
    <d v="2024-06-21T00:00:00"/>
    <x v="1"/>
    <x v="3"/>
    <x v="2"/>
    <x v="0"/>
    <n v="4"/>
    <n v="30044"/>
    <x v="2446"/>
    <n v="1625"/>
    <n v="118551"/>
    <n v="17738.31379"/>
    <x v="0"/>
    <x v="11"/>
  </r>
  <r>
    <n v="12463"/>
    <d v="2025-11-02T00:00:00"/>
    <x v="0"/>
    <x v="1"/>
    <x v="1"/>
    <x v="1"/>
    <n v="6"/>
    <n v="47809"/>
    <x v="2447"/>
    <n v="571"/>
    <n v="286283"/>
    <n v="30559.360619999999"/>
    <x v="1"/>
    <x v="7"/>
  </r>
  <r>
    <n v="12464"/>
    <d v="2024-06-12T00:00:00"/>
    <x v="2"/>
    <x v="4"/>
    <x v="0"/>
    <x v="1"/>
    <n v="5"/>
    <n v="38299"/>
    <x v="2448"/>
    <n v="4531"/>
    <n v="186964"/>
    <n v="24609.282599999999"/>
    <x v="0"/>
    <x v="11"/>
  </r>
  <r>
    <n v="12465"/>
    <d v="2025-04-09T00:00:00"/>
    <x v="0"/>
    <x v="1"/>
    <x v="2"/>
    <x v="3"/>
    <n v="2"/>
    <n v="67647"/>
    <x v="2449"/>
    <n v="2400"/>
    <n v="132894"/>
    <n v="23386.91822"/>
    <x v="1"/>
    <x v="0"/>
  </r>
  <r>
    <n v="12466"/>
    <d v="2025-05-11T00:00:00"/>
    <x v="3"/>
    <x v="0"/>
    <x v="1"/>
    <x v="2"/>
    <n v="8"/>
    <n v="78564"/>
    <x v="2450"/>
    <n v="1711"/>
    <n v="626801"/>
    <n v="78076.757289999994"/>
    <x v="1"/>
    <x v="5"/>
  </r>
  <r>
    <n v="12467"/>
    <d v="2025-11-30T00:00:00"/>
    <x v="4"/>
    <x v="3"/>
    <x v="1"/>
    <x v="3"/>
    <n v="3"/>
    <n v="37857"/>
    <x v="2451"/>
    <n v="382"/>
    <n v="113189"/>
    <n v="26419.161120000001"/>
    <x v="1"/>
    <x v="7"/>
  </r>
  <r>
    <n v="12468"/>
    <d v="2025-01-29T00:00:00"/>
    <x v="1"/>
    <x v="1"/>
    <x v="2"/>
    <x v="0"/>
    <n v="5"/>
    <n v="43503"/>
    <x v="2452"/>
    <n v="1083"/>
    <n v="216432"/>
    <n v="44703.239990000002"/>
    <x v="1"/>
    <x v="4"/>
  </r>
  <r>
    <n v="12469"/>
    <d v="2025-12-03T00:00:00"/>
    <x v="3"/>
    <x v="4"/>
    <x v="2"/>
    <x v="0"/>
    <n v="8"/>
    <n v="70217"/>
    <x v="2453"/>
    <n v="1949"/>
    <n v="559787"/>
    <n v="58307.638050000001"/>
    <x v="1"/>
    <x v="3"/>
  </r>
  <r>
    <n v="12470"/>
    <d v="2024-11-03T00:00:00"/>
    <x v="2"/>
    <x v="3"/>
    <x v="1"/>
    <x v="0"/>
    <n v="9"/>
    <n v="30982"/>
    <x v="2454"/>
    <n v="2517"/>
    <n v="276321"/>
    <n v="63969.757590000001"/>
    <x v="0"/>
    <x v="7"/>
  </r>
  <r>
    <n v="12471"/>
    <d v="2024-07-01T00:00:00"/>
    <x v="3"/>
    <x v="2"/>
    <x v="2"/>
    <x v="3"/>
    <n v="9"/>
    <n v="71828"/>
    <x v="2455"/>
    <n v="4169"/>
    <n v="642283"/>
    <n v="158385.799"/>
    <x v="0"/>
    <x v="10"/>
  </r>
  <r>
    <n v="12472"/>
    <d v="2025-09-20T00:00:00"/>
    <x v="3"/>
    <x v="4"/>
    <x v="2"/>
    <x v="0"/>
    <n v="5"/>
    <n v="58262"/>
    <x v="2456"/>
    <n v="3497"/>
    <n v="287813"/>
    <n v="50447.642599999999"/>
    <x v="1"/>
    <x v="2"/>
  </r>
  <r>
    <n v="12473"/>
    <d v="2025-05-24T00:00:00"/>
    <x v="2"/>
    <x v="1"/>
    <x v="0"/>
    <x v="0"/>
    <n v="2"/>
    <n v="28880"/>
    <x v="2457"/>
    <n v="3314"/>
    <n v="54446"/>
    <n v="8013.9939420000001"/>
    <x v="1"/>
    <x v="5"/>
  </r>
  <r>
    <n v="12474"/>
    <d v="2025-12-08T00:00:00"/>
    <x v="3"/>
    <x v="3"/>
    <x v="1"/>
    <x v="0"/>
    <n v="7"/>
    <n v="12559"/>
    <x v="2458"/>
    <n v="4930"/>
    <n v="82983"/>
    <n v="11577.760560000001"/>
    <x v="1"/>
    <x v="3"/>
  </r>
  <r>
    <n v="12475"/>
    <d v="2025-06-29T00:00:00"/>
    <x v="1"/>
    <x v="4"/>
    <x v="2"/>
    <x v="1"/>
    <n v="7"/>
    <n v="41549"/>
    <x v="2459"/>
    <n v="2675"/>
    <n v="288168"/>
    <n v="32595.525119999998"/>
    <x v="1"/>
    <x v="11"/>
  </r>
  <r>
    <n v="12476"/>
    <d v="2025-07-17T00:00:00"/>
    <x v="0"/>
    <x v="3"/>
    <x v="1"/>
    <x v="2"/>
    <n v="8"/>
    <n v="40159"/>
    <x v="2460"/>
    <n v="3394"/>
    <n v="317878"/>
    <n v="55228.570879999999"/>
    <x v="1"/>
    <x v="10"/>
  </r>
  <r>
    <n v="12477"/>
    <d v="2025-09-15T00:00:00"/>
    <x v="3"/>
    <x v="3"/>
    <x v="0"/>
    <x v="1"/>
    <n v="8"/>
    <n v="55370"/>
    <x v="2461"/>
    <n v="1203"/>
    <n v="441757"/>
    <n v="47498.155859999999"/>
    <x v="1"/>
    <x v="2"/>
  </r>
  <r>
    <n v="12478"/>
    <d v="2025-08-16T00:00:00"/>
    <x v="1"/>
    <x v="3"/>
    <x v="1"/>
    <x v="1"/>
    <n v="5"/>
    <n v="64289"/>
    <x v="2462"/>
    <n v="773"/>
    <n v="320672"/>
    <n v="56302.171970000003"/>
    <x v="1"/>
    <x v="6"/>
  </r>
  <r>
    <n v="12479"/>
    <d v="2024-08-14T00:00:00"/>
    <x v="0"/>
    <x v="1"/>
    <x v="1"/>
    <x v="2"/>
    <n v="1"/>
    <n v="7252"/>
    <x v="2463"/>
    <n v="3056"/>
    <n v="4196"/>
    <n v="578.55398860000003"/>
    <x v="0"/>
    <x v="6"/>
  </r>
  <r>
    <n v="12480"/>
    <d v="2025-03-11T00:00:00"/>
    <x v="0"/>
    <x v="4"/>
    <x v="1"/>
    <x v="2"/>
    <n v="4"/>
    <n v="14866"/>
    <x v="2464"/>
    <n v="2313"/>
    <n v="57151"/>
    <n v="9799.3844040000004"/>
    <x v="1"/>
    <x v="1"/>
  </r>
  <r>
    <n v="12481"/>
    <d v="2025-02-25T00:00:00"/>
    <x v="3"/>
    <x v="0"/>
    <x v="0"/>
    <x v="3"/>
    <n v="4"/>
    <n v="42997"/>
    <x v="2465"/>
    <n v="2597"/>
    <n v="169391"/>
    <n v="27569.67583"/>
    <x v="1"/>
    <x v="9"/>
  </r>
  <r>
    <n v="12482"/>
    <d v="2025-07-07T00:00:00"/>
    <x v="1"/>
    <x v="0"/>
    <x v="0"/>
    <x v="2"/>
    <n v="3"/>
    <n v="12553"/>
    <x v="2466"/>
    <n v="1403"/>
    <n v="36256"/>
    <n v="5284.9333479999996"/>
    <x v="1"/>
    <x v="10"/>
  </r>
  <r>
    <n v="12483"/>
    <d v="2024-01-21T00:00:00"/>
    <x v="3"/>
    <x v="1"/>
    <x v="1"/>
    <x v="3"/>
    <n v="8"/>
    <n v="37831"/>
    <x v="2467"/>
    <n v="4172"/>
    <n v="298476"/>
    <n v="49933.76208"/>
    <x v="0"/>
    <x v="4"/>
  </r>
  <r>
    <n v="12484"/>
    <d v="2025-07-07T00:00:00"/>
    <x v="2"/>
    <x v="1"/>
    <x v="1"/>
    <x v="3"/>
    <n v="3"/>
    <n v="72323"/>
    <x v="2468"/>
    <n v="3061"/>
    <n v="213908"/>
    <n v="36600.746180000002"/>
    <x v="1"/>
    <x v="10"/>
  </r>
  <r>
    <n v="12485"/>
    <d v="2025-01-31T00:00:00"/>
    <x v="0"/>
    <x v="3"/>
    <x v="0"/>
    <x v="1"/>
    <n v="5"/>
    <n v="49810"/>
    <x v="2469"/>
    <n v="3325"/>
    <n v="245725"/>
    <n v="55301.336219999997"/>
    <x v="1"/>
    <x v="4"/>
  </r>
  <r>
    <n v="12486"/>
    <d v="2025-09-16T00:00:00"/>
    <x v="3"/>
    <x v="4"/>
    <x v="2"/>
    <x v="0"/>
    <n v="2"/>
    <n v="63719"/>
    <x v="2470"/>
    <n v="1403"/>
    <n v="126035"/>
    <n v="25190.30055"/>
    <x v="1"/>
    <x v="2"/>
  </r>
  <r>
    <n v="12487"/>
    <d v="2024-04-14T00:00:00"/>
    <x v="0"/>
    <x v="4"/>
    <x v="0"/>
    <x v="1"/>
    <n v="6"/>
    <n v="16726"/>
    <x v="2471"/>
    <n v="3320"/>
    <n v="97036"/>
    <n v="16008.367539999999"/>
    <x v="0"/>
    <x v="0"/>
  </r>
  <r>
    <n v="12488"/>
    <d v="2024-07-10T00:00:00"/>
    <x v="1"/>
    <x v="2"/>
    <x v="1"/>
    <x v="1"/>
    <n v="6"/>
    <n v="74451"/>
    <x v="2472"/>
    <n v="869"/>
    <n v="445837"/>
    <n v="105122.2525"/>
    <x v="0"/>
    <x v="10"/>
  </r>
  <r>
    <n v="12489"/>
    <d v="2024-01-17T00:00:00"/>
    <x v="4"/>
    <x v="2"/>
    <x v="2"/>
    <x v="2"/>
    <n v="8"/>
    <n v="52423"/>
    <x v="2473"/>
    <n v="1083"/>
    <n v="418301"/>
    <n v="89249.168380000003"/>
    <x v="0"/>
    <x v="4"/>
  </r>
  <r>
    <n v="12490"/>
    <d v="2024-04-29T00:00:00"/>
    <x v="3"/>
    <x v="0"/>
    <x v="2"/>
    <x v="2"/>
    <n v="8"/>
    <n v="5092"/>
    <x v="2474"/>
    <n v="973"/>
    <n v="39763"/>
    <n v="4427.9096470000004"/>
    <x v="0"/>
    <x v="0"/>
  </r>
  <r>
    <n v="12491"/>
    <d v="2025-01-27T00:00:00"/>
    <x v="3"/>
    <x v="2"/>
    <x v="2"/>
    <x v="3"/>
    <n v="1"/>
    <n v="34995"/>
    <x v="2475"/>
    <n v="1225"/>
    <n v="33770"/>
    <n v="4155.7994980000003"/>
    <x v="1"/>
    <x v="4"/>
  </r>
  <r>
    <n v="12492"/>
    <d v="2025-02-28T00:00:00"/>
    <x v="0"/>
    <x v="2"/>
    <x v="0"/>
    <x v="3"/>
    <n v="5"/>
    <n v="67957"/>
    <x v="2476"/>
    <n v="1802"/>
    <n v="337983"/>
    <n v="37938.653449999998"/>
    <x v="1"/>
    <x v="9"/>
  </r>
  <r>
    <n v="12493"/>
    <d v="2024-05-08T00:00:00"/>
    <x v="1"/>
    <x v="0"/>
    <x v="0"/>
    <x v="3"/>
    <n v="2"/>
    <n v="6677"/>
    <x v="2477"/>
    <n v="2964"/>
    <n v="10390"/>
    <n v="1535.9485460000001"/>
    <x v="0"/>
    <x v="5"/>
  </r>
  <r>
    <n v="12494"/>
    <d v="2024-05-09T00:00:00"/>
    <x v="2"/>
    <x v="0"/>
    <x v="0"/>
    <x v="2"/>
    <n v="5"/>
    <n v="26892"/>
    <x v="2478"/>
    <n v="1188"/>
    <n v="133272"/>
    <n v="22036.124469999999"/>
    <x v="0"/>
    <x v="5"/>
  </r>
  <r>
    <n v="12495"/>
    <d v="2025-07-25T00:00:00"/>
    <x v="1"/>
    <x v="2"/>
    <x v="0"/>
    <x v="3"/>
    <n v="9"/>
    <n v="27114"/>
    <x v="2479"/>
    <n v="3443"/>
    <n v="240583"/>
    <n v="42255.249530000001"/>
    <x v="1"/>
    <x v="10"/>
  </r>
  <r>
    <n v="12496"/>
    <d v="2025-07-13T00:00:00"/>
    <x v="3"/>
    <x v="4"/>
    <x v="1"/>
    <x v="3"/>
    <n v="4"/>
    <n v="41632"/>
    <x v="2480"/>
    <n v="3934"/>
    <n v="162594"/>
    <n v="37024.577259999998"/>
    <x v="1"/>
    <x v="10"/>
  </r>
  <r>
    <n v="12497"/>
    <d v="2024-01-29T00:00:00"/>
    <x v="2"/>
    <x v="2"/>
    <x v="2"/>
    <x v="2"/>
    <n v="8"/>
    <n v="32057"/>
    <x v="2481"/>
    <n v="4409"/>
    <n v="252047"/>
    <n v="25883.574189999999"/>
    <x v="0"/>
    <x v="4"/>
  </r>
  <r>
    <n v="12498"/>
    <d v="2024-04-06T00:00:00"/>
    <x v="1"/>
    <x v="3"/>
    <x v="1"/>
    <x v="0"/>
    <n v="1"/>
    <n v="67565"/>
    <x v="791"/>
    <n v="1321"/>
    <n v="66244"/>
    <n v="10880.130569999999"/>
    <x v="0"/>
    <x v="0"/>
  </r>
  <r>
    <n v="12499"/>
    <d v="2024-01-10T00:00:00"/>
    <x v="4"/>
    <x v="3"/>
    <x v="0"/>
    <x v="1"/>
    <n v="8"/>
    <n v="65753"/>
    <x v="2482"/>
    <n v="2023"/>
    <n v="524001"/>
    <n v="84704.633820000003"/>
    <x v="0"/>
    <x v="4"/>
  </r>
  <r>
    <n v="12500"/>
    <d v="2024-08-29T00:00:00"/>
    <x v="0"/>
    <x v="3"/>
    <x v="0"/>
    <x v="2"/>
    <n v="6"/>
    <n v="49031"/>
    <x v="2483"/>
    <n v="4731"/>
    <n v="289455"/>
    <n v="70083.247090000004"/>
    <x v="0"/>
    <x v="6"/>
  </r>
  <r>
    <n v="12501"/>
    <d v="2024-08-19T00:00:00"/>
    <x v="1"/>
    <x v="1"/>
    <x v="1"/>
    <x v="3"/>
    <n v="8"/>
    <n v="55049"/>
    <x v="2484"/>
    <n v="4512"/>
    <n v="435880"/>
    <n v="59347.475749999998"/>
    <x v="0"/>
    <x v="6"/>
  </r>
  <r>
    <n v="12502"/>
    <d v="2024-10-10T00:00:00"/>
    <x v="1"/>
    <x v="3"/>
    <x v="2"/>
    <x v="1"/>
    <n v="6"/>
    <n v="65275"/>
    <x v="2485"/>
    <n v="438"/>
    <n v="391212"/>
    <n v="46304.193370000001"/>
    <x v="0"/>
    <x v="8"/>
  </r>
  <r>
    <n v="12503"/>
    <d v="2025-12-15T00:00:00"/>
    <x v="4"/>
    <x v="4"/>
    <x v="2"/>
    <x v="2"/>
    <n v="3"/>
    <n v="52881"/>
    <x v="2486"/>
    <n v="164"/>
    <n v="158479"/>
    <n v="19229.688429999998"/>
    <x v="1"/>
    <x v="3"/>
  </r>
  <r>
    <n v="12504"/>
    <d v="2025-12-26T00:00:00"/>
    <x v="3"/>
    <x v="1"/>
    <x v="0"/>
    <x v="1"/>
    <n v="8"/>
    <n v="57865"/>
    <x v="2487"/>
    <n v="3337"/>
    <n v="459583"/>
    <n v="81815.613020000004"/>
    <x v="1"/>
    <x v="3"/>
  </r>
  <r>
    <n v="12505"/>
    <d v="2024-07-18T00:00:00"/>
    <x v="0"/>
    <x v="1"/>
    <x v="0"/>
    <x v="1"/>
    <n v="5"/>
    <n v="55684"/>
    <x v="2488"/>
    <n v="3350"/>
    <n v="275070"/>
    <n v="43635.886380000004"/>
    <x v="0"/>
    <x v="10"/>
  </r>
  <r>
    <n v="12506"/>
    <d v="2024-03-19T00:00:00"/>
    <x v="1"/>
    <x v="3"/>
    <x v="0"/>
    <x v="0"/>
    <n v="5"/>
    <n v="60687"/>
    <x v="2489"/>
    <n v="987"/>
    <n v="302448"/>
    <n v="64458.112229999999"/>
    <x v="0"/>
    <x v="1"/>
  </r>
  <r>
    <n v="12507"/>
    <d v="2024-06-21T00:00:00"/>
    <x v="2"/>
    <x v="2"/>
    <x v="0"/>
    <x v="3"/>
    <n v="7"/>
    <n v="61438"/>
    <x v="2490"/>
    <n v="2529"/>
    <n v="427537"/>
    <n v="63479.563280000002"/>
    <x v="0"/>
    <x v="11"/>
  </r>
  <r>
    <n v="12508"/>
    <d v="2025-04-11T00:00:00"/>
    <x v="1"/>
    <x v="0"/>
    <x v="2"/>
    <x v="2"/>
    <n v="6"/>
    <n v="62314"/>
    <x v="2491"/>
    <n v="4612"/>
    <n v="369272"/>
    <n v="44015.103810000001"/>
    <x v="1"/>
    <x v="0"/>
  </r>
  <r>
    <n v="12509"/>
    <d v="2025-08-03T00:00:00"/>
    <x v="0"/>
    <x v="2"/>
    <x v="1"/>
    <x v="3"/>
    <n v="9"/>
    <n v="55503"/>
    <x v="2492"/>
    <n v="4177"/>
    <n v="495350"/>
    <n v="78280.838369999998"/>
    <x v="1"/>
    <x v="6"/>
  </r>
  <r>
    <n v="12510"/>
    <d v="2025-02-19T00:00:00"/>
    <x v="1"/>
    <x v="2"/>
    <x v="2"/>
    <x v="0"/>
    <n v="7"/>
    <n v="35740"/>
    <x v="2493"/>
    <n v="4214"/>
    <n v="245966"/>
    <n v="57176.110800000002"/>
    <x v="1"/>
    <x v="9"/>
  </r>
  <r>
    <n v="12511"/>
    <d v="2025-03-24T00:00:00"/>
    <x v="4"/>
    <x v="1"/>
    <x v="1"/>
    <x v="0"/>
    <n v="3"/>
    <n v="51176"/>
    <x v="2494"/>
    <n v="3845"/>
    <n v="149683"/>
    <n v="24073.364659999999"/>
    <x v="1"/>
    <x v="1"/>
  </r>
  <r>
    <n v="12512"/>
    <d v="2024-03-27T00:00:00"/>
    <x v="1"/>
    <x v="1"/>
    <x v="0"/>
    <x v="2"/>
    <n v="5"/>
    <n v="15030"/>
    <x v="2495"/>
    <n v="1326"/>
    <n v="73824"/>
    <n v="16613.659950000001"/>
    <x v="0"/>
    <x v="1"/>
  </r>
  <r>
    <n v="12513"/>
    <d v="2024-04-10T00:00:00"/>
    <x v="1"/>
    <x v="1"/>
    <x v="0"/>
    <x v="2"/>
    <n v="9"/>
    <n v="12051"/>
    <x v="2496"/>
    <n v="3286"/>
    <n v="105173"/>
    <n v="16378.540059999999"/>
    <x v="0"/>
    <x v="0"/>
  </r>
  <r>
    <n v="12514"/>
    <d v="2024-01-08T00:00:00"/>
    <x v="2"/>
    <x v="4"/>
    <x v="1"/>
    <x v="0"/>
    <n v="2"/>
    <n v="61010"/>
    <x v="2497"/>
    <n v="27"/>
    <n v="121993"/>
    <n v="17348.36146"/>
    <x v="0"/>
    <x v="4"/>
  </r>
  <r>
    <n v="12515"/>
    <d v="2024-07-18T00:00:00"/>
    <x v="4"/>
    <x v="4"/>
    <x v="0"/>
    <x v="2"/>
    <n v="1"/>
    <n v="15589"/>
    <x v="2498"/>
    <n v="2024"/>
    <n v="13565"/>
    <n v="2933.1519400000002"/>
    <x v="0"/>
    <x v="10"/>
  </r>
  <r>
    <n v="12516"/>
    <d v="2025-05-19T00:00:00"/>
    <x v="4"/>
    <x v="0"/>
    <x v="2"/>
    <x v="1"/>
    <n v="8"/>
    <n v="16395"/>
    <x v="2499"/>
    <n v="4593"/>
    <n v="126567"/>
    <n v="16629.027969999999"/>
    <x v="1"/>
    <x v="5"/>
  </r>
  <r>
    <n v="12517"/>
    <d v="2024-03-27T00:00:00"/>
    <x v="1"/>
    <x v="1"/>
    <x v="0"/>
    <x v="1"/>
    <n v="8"/>
    <n v="17833"/>
    <x v="2500"/>
    <n v="193"/>
    <n v="142471"/>
    <n v="19201.472880000001"/>
    <x v="0"/>
    <x v="1"/>
  </r>
  <r>
    <n v="12518"/>
    <d v="2024-02-12T00:00:00"/>
    <x v="2"/>
    <x v="3"/>
    <x v="0"/>
    <x v="0"/>
    <n v="2"/>
    <n v="71134"/>
    <x v="2501"/>
    <n v="591"/>
    <n v="141677"/>
    <n v="15226.300020000001"/>
    <x v="0"/>
    <x v="9"/>
  </r>
  <r>
    <n v="12519"/>
    <d v="2025-01-19T00:00:00"/>
    <x v="1"/>
    <x v="1"/>
    <x v="0"/>
    <x v="3"/>
    <n v="8"/>
    <n v="23428"/>
    <x v="2502"/>
    <n v="2489"/>
    <n v="184935"/>
    <n v="23704.386989999999"/>
    <x v="1"/>
    <x v="4"/>
  </r>
  <r>
    <n v="12520"/>
    <d v="2025-09-12T00:00:00"/>
    <x v="1"/>
    <x v="4"/>
    <x v="0"/>
    <x v="2"/>
    <n v="5"/>
    <n v="21642"/>
    <x v="2503"/>
    <n v="1857"/>
    <n v="106353"/>
    <n v="16678.52303"/>
    <x v="1"/>
    <x v="2"/>
  </r>
  <r>
    <n v="12521"/>
    <d v="2025-03-10T00:00:00"/>
    <x v="0"/>
    <x v="1"/>
    <x v="2"/>
    <x v="2"/>
    <n v="2"/>
    <n v="45771"/>
    <x v="2504"/>
    <n v="112"/>
    <n v="91430"/>
    <n v="14622.939780000001"/>
    <x v="1"/>
    <x v="1"/>
  </r>
  <r>
    <n v="12522"/>
    <d v="2025-02-11T00:00:00"/>
    <x v="0"/>
    <x v="4"/>
    <x v="1"/>
    <x v="1"/>
    <n v="7"/>
    <n v="15097"/>
    <x v="2505"/>
    <n v="1317"/>
    <n v="104362"/>
    <n v="17020.83826"/>
    <x v="1"/>
    <x v="9"/>
  </r>
  <r>
    <n v="12523"/>
    <d v="2025-04-27T00:00:00"/>
    <x v="2"/>
    <x v="1"/>
    <x v="0"/>
    <x v="2"/>
    <n v="7"/>
    <n v="28426"/>
    <x v="2506"/>
    <n v="1737"/>
    <n v="197245"/>
    <n v="33917.05528"/>
    <x v="1"/>
    <x v="0"/>
  </r>
  <r>
    <n v="12524"/>
    <d v="2025-10-25T00:00:00"/>
    <x v="3"/>
    <x v="3"/>
    <x v="0"/>
    <x v="3"/>
    <n v="3"/>
    <n v="71333"/>
    <x v="2507"/>
    <n v="2061"/>
    <n v="211938"/>
    <n v="39375.238810000003"/>
    <x v="1"/>
    <x v="8"/>
  </r>
  <r>
    <n v="12525"/>
    <d v="2024-01-17T00:00:00"/>
    <x v="0"/>
    <x v="0"/>
    <x v="2"/>
    <x v="2"/>
    <n v="1"/>
    <n v="48463"/>
    <x v="2508"/>
    <n v="1690"/>
    <n v="46773"/>
    <n v="6006.3245649999999"/>
    <x v="0"/>
    <x v="4"/>
  </r>
  <r>
    <n v="12526"/>
    <d v="2025-10-06T00:00:00"/>
    <x v="3"/>
    <x v="3"/>
    <x v="2"/>
    <x v="2"/>
    <n v="4"/>
    <n v="76249"/>
    <x v="2509"/>
    <n v="3668"/>
    <n v="301328"/>
    <n v="57882.585919999998"/>
    <x v="1"/>
    <x v="8"/>
  </r>
  <r>
    <n v="12527"/>
    <d v="2024-05-27T00:00:00"/>
    <x v="4"/>
    <x v="4"/>
    <x v="2"/>
    <x v="1"/>
    <n v="2"/>
    <n v="45079"/>
    <x v="2510"/>
    <n v="1394"/>
    <n v="88764"/>
    <n v="13357.48971"/>
    <x v="0"/>
    <x v="5"/>
  </r>
  <r>
    <n v="12528"/>
    <d v="2024-10-03T00:00:00"/>
    <x v="0"/>
    <x v="2"/>
    <x v="0"/>
    <x v="2"/>
    <n v="4"/>
    <n v="25404"/>
    <x v="2511"/>
    <n v="3168"/>
    <n v="98448"/>
    <n v="20684.083330000001"/>
    <x v="0"/>
    <x v="8"/>
  </r>
  <r>
    <n v="12529"/>
    <d v="2024-08-19T00:00:00"/>
    <x v="0"/>
    <x v="3"/>
    <x v="1"/>
    <x v="0"/>
    <n v="8"/>
    <n v="76447"/>
    <x v="2512"/>
    <n v="3559"/>
    <n v="608017"/>
    <n v="111620.1667"/>
    <x v="0"/>
    <x v="6"/>
  </r>
  <r>
    <n v="12530"/>
    <d v="2024-12-31T00:00:00"/>
    <x v="2"/>
    <x v="1"/>
    <x v="2"/>
    <x v="0"/>
    <n v="2"/>
    <n v="8954"/>
    <x v="2513"/>
    <n v="2236"/>
    <n v="15672"/>
    <n v="2870.1746880000001"/>
    <x v="0"/>
    <x v="3"/>
  </r>
  <r>
    <n v="12531"/>
    <d v="2024-08-15T00:00:00"/>
    <x v="3"/>
    <x v="0"/>
    <x v="2"/>
    <x v="3"/>
    <n v="1"/>
    <n v="74848"/>
    <x v="2514"/>
    <n v="3883"/>
    <n v="70965"/>
    <n v="14393.33762"/>
    <x v="0"/>
    <x v="6"/>
  </r>
  <r>
    <n v="12532"/>
    <d v="2025-10-12T00:00:00"/>
    <x v="0"/>
    <x v="1"/>
    <x v="2"/>
    <x v="3"/>
    <n v="3"/>
    <n v="60331"/>
    <x v="2515"/>
    <n v="3251"/>
    <n v="177742"/>
    <n v="26652.91922"/>
    <x v="1"/>
    <x v="8"/>
  </r>
  <r>
    <n v="12533"/>
    <d v="2025-03-11T00:00:00"/>
    <x v="0"/>
    <x v="1"/>
    <x v="1"/>
    <x v="3"/>
    <n v="7"/>
    <n v="60931"/>
    <x v="2516"/>
    <n v="3932"/>
    <n v="422585"/>
    <n v="69466.610329999996"/>
    <x v="1"/>
    <x v="1"/>
  </r>
  <r>
    <n v="12534"/>
    <d v="2025-02-02T00:00:00"/>
    <x v="2"/>
    <x v="3"/>
    <x v="0"/>
    <x v="3"/>
    <n v="6"/>
    <n v="23440"/>
    <x v="2517"/>
    <n v="3014"/>
    <n v="137626"/>
    <n v="25795.885310000001"/>
    <x v="1"/>
    <x v="9"/>
  </r>
  <r>
    <n v="12535"/>
    <d v="2024-07-29T00:00:00"/>
    <x v="2"/>
    <x v="0"/>
    <x v="0"/>
    <x v="1"/>
    <n v="6"/>
    <n v="63407"/>
    <x v="2518"/>
    <n v="3486"/>
    <n v="376956"/>
    <n v="61531.788070000002"/>
    <x v="0"/>
    <x v="10"/>
  </r>
  <r>
    <n v="12536"/>
    <d v="2025-01-25T00:00:00"/>
    <x v="3"/>
    <x v="2"/>
    <x v="0"/>
    <x v="2"/>
    <n v="7"/>
    <n v="35898"/>
    <x v="2519"/>
    <n v="1128"/>
    <n v="250158"/>
    <n v="41685.984190000003"/>
    <x v="1"/>
    <x v="4"/>
  </r>
  <r>
    <n v="12537"/>
    <d v="2025-05-13T00:00:00"/>
    <x v="4"/>
    <x v="1"/>
    <x v="2"/>
    <x v="1"/>
    <n v="8"/>
    <n v="51720"/>
    <x v="2520"/>
    <n v="1696"/>
    <n v="412064"/>
    <n v="58048.716970000001"/>
    <x v="1"/>
    <x v="5"/>
  </r>
  <r>
    <n v="12538"/>
    <d v="2025-06-23T00:00:00"/>
    <x v="4"/>
    <x v="0"/>
    <x v="0"/>
    <x v="3"/>
    <n v="3"/>
    <n v="50428"/>
    <x v="2521"/>
    <n v="132"/>
    <n v="151152"/>
    <n v="21631.023219999999"/>
    <x v="1"/>
    <x v="11"/>
  </r>
  <r>
    <n v="12539"/>
    <d v="2025-07-16T00:00:00"/>
    <x v="1"/>
    <x v="2"/>
    <x v="2"/>
    <x v="2"/>
    <n v="3"/>
    <n v="20427"/>
    <x v="2522"/>
    <n v="4665"/>
    <n v="56616"/>
    <n v="11597.425880000001"/>
    <x v="1"/>
    <x v="10"/>
  </r>
  <r>
    <n v="12540"/>
    <d v="2025-05-05T00:00:00"/>
    <x v="0"/>
    <x v="1"/>
    <x v="1"/>
    <x v="0"/>
    <n v="8"/>
    <n v="27169"/>
    <x v="2523"/>
    <n v="4220"/>
    <n v="213132"/>
    <n v="21450.06725"/>
    <x v="1"/>
    <x v="5"/>
  </r>
  <r>
    <n v="12541"/>
    <d v="2025-03-17T00:00:00"/>
    <x v="3"/>
    <x v="0"/>
    <x v="1"/>
    <x v="1"/>
    <n v="7"/>
    <n v="50419"/>
    <x v="2524"/>
    <n v="3539"/>
    <n v="349394"/>
    <n v="39933.485269999997"/>
    <x v="1"/>
    <x v="1"/>
  </r>
  <r>
    <n v="12542"/>
    <d v="2024-09-17T00:00:00"/>
    <x v="0"/>
    <x v="3"/>
    <x v="0"/>
    <x v="2"/>
    <n v="5"/>
    <n v="56065"/>
    <x v="2525"/>
    <n v="2988"/>
    <n v="277337"/>
    <n v="67204.713250000001"/>
    <x v="0"/>
    <x v="2"/>
  </r>
  <r>
    <n v="12543"/>
    <d v="2024-12-15T00:00:00"/>
    <x v="3"/>
    <x v="1"/>
    <x v="2"/>
    <x v="0"/>
    <n v="4"/>
    <n v="72487"/>
    <x v="2526"/>
    <n v="4302"/>
    <n v="285646"/>
    <n v="36577.745049999998"/>
    <x v="0"/>
    <x v="3"/>
  </r>
  <r>
    <n v="12544"/>
    <d v="2024-12-17T00:00:00"/>
    <x v="3"/>
    <x v="1"/>
    <x v="2"/>
    <x v="0"/>
    <n v="6"/>
    <n v="79501"/>
    <x v="2527"/>
    <n v="3293"/>
    <n v="473713"/>
    <n v="77081.695309999996"/>
    <x v="0"/>
    <x v="3"/>
  </r>
  <r>
    <n v="12545"/>
    <d v="2025-06-03T00:00:00"/>
    <x v="3"/>
    <x v="0"/>
    <x v="0"/>
    <x v="3"/>
    <n v="9"/>
    <n v="13985"/>
    <x v="2528"/>
    <n v="311"/>
    <n v="125554"/>
    <n v="28557.60514"/>
    <x v="1"/>
    <x v="11"/>
  </r>
  <r>
    <n v="12546"/>
    <d v="2024-11-15T00:00:00"/>
    <x v="0"/>
    <x v="1"/>
    <x v="1"/>
    <x v="0"/>
    <n v="6"/>
    <n v="37641"/>
    <x v="2529"/>
    <n v="2429"/>
    <n v="223417"/>
    <n v="22345.13076"/>
    <x v="0"/>
    <x v="7"/>
  </r>
  <r>
    <n v="12547"/>
    <d v="2024-05-17T00:00:00"/>
    <x v="2"/>
    <x v="2"/>
    <x v="1"/>
    <x v="0"/>
    <n v="8"/>
    <n v="27897"/>
    <x v="2530"/>
    <n v="1785"/>
    <n v="221391"/>
    <n v="52863.051890000002"/>
    <x v="0"/>
    <x v="5"/>
  </r>
  <r>
    <n v="12548"/>
    <d v="2025-07-03T00:00:00"/>
    <x v="0"/>
    <x v="1"/>
    <x v="1"/>
    <x v="3"/>
    <n v="1"/>
    <n v="50652"/>
    <x v="2531"/>
    <n v="4391"/>
    <n v="46261"/>
    <n v="4997.2655850000001"/>
    <x v="1"/>
    <x v="10"/>
  </r>
  <r>
    <n v="12549"/>
    <d v="2025-09-14T00:00:00"/>
    <x v="3"/>
    <x v="4"/>
    <x v="1"/>
    <x v="2"/>
    <n v="6"/>
    <n v="10973"/>
    <x v="2532"/>
    <n v="401"/>
    <n v="65437"/>
    <n v="8220.8736989999998"/>
    <x v="1"/>
    <x v="2"/>
  </r>
  <r>
    <n v="12550"/>
    <d v="2025-01-02T00:00:00"/>
    <x v="1"/>
    <x v="2"/>
    <x v="1"/>
    <x v="2"/>
    <n v="2"/>
    <n v="78250"/>
    <x v="2533"/>
    <n v="1596"/>
    <n v="154904"/>
    <n v="16166.638290000001"/>
    <x v="1"/>
    <x v="4"/>
  </r>
  <r>
    <n v="12551"/>
    <d v="2024-08-07T00:00:00"/>
    <x v="4"/>
    <x v="0"/>
    <x v="0"/>
    <x v="3"/>
    <n v="3"/>
    <n v="71673"/>
    <x v="2534"/>
    <n v="121"/>
    <n v="214898"/>
    <n v="38236.37283"/>
    <x v="0"/>
    <x v="6"/>
  </r>
  <r>
    <n v="12552"/>
    <d v="2024-12-02T00:00:00"/>
    <x v="3"/>
    <x v="2"/>
    <x v="0"/>
    <x v="1"/>
    <n v="6"/>
    <n v="59309"/>
    <x v="2535"/>
    <n v="750"/>
    <n v="355104"/>
    <n v="85744.884279999998"/>
    <x v="0"/>
    <x v="3"/>
  </r>
  <r>
    <n v="12553"/>
    <d v="2024-08-10T00:00:00"/>
    <x v="1"/>
    <x v="4"/>
    <x v="0"/>
    <x v="3"/>
    <n v="2"/>
    <n v="61718"/>
    <x v="2536"/>
    <n v="105"/>
    <n v="123331"/>
    <n v="27854.983649999998"/>
    <x v="0"/>
    <x v="6"/>
  </r>
  <r>
    <n v="12554"/>
    <d v="2025-10-09T00:00:00"/>
    <x v="2"/>
    <x v="4"/>
    <x v="1"/>
    <x v="2"/>
    <n v="4"/>
    <n v="73809"/>
    <x v="2537"/>
    <n v="1059"/>
    <n v="294177"/>
    <n v="57647.596210000003"/>
    <x v="1"/>
    <x v="8"/>
  </r>
  <r>
    <n v="12555"/>
    <d v="2024-12-25T00:00:00"/>
    <x v="3"/>
    <x v="1"/>
    <x v="1"/>
    <x v="1"/>
    <n v="6"/>
    <n v="27627"/>
    <x v="2538"/>
    <n v="4167"/>
    <n v="161595"/>
    <n v="20655.605459999999"/>
    <x v="0"/>
    <x v="3"/>
  </r>
  <r>
    <n v="12556"/>
    <d v="2024-11-24T00:00:00"/>
    <x v="1"/>
    <x v="1"/>
    <x v="0"/>
    <x v="3"/>
    <n v="5"/>
    <n v="57621"/>
    <x v="2539"/>
    <n v="4663"/>
    <n v="283442"/>
    <n v="65316.251120000001"/>
    <x v="0"/>
    <x v="7"/>
  </r>
  <r>
    <n v="12557"/>
    <d v="2025-04-07T00:00:00"/>
    <x v="3"/>
    <x v="3"/>
    <x v="0"/>
    <x v="2"/>
    <n v="6"/>
    <n v="60084"/>
    <x v="2540"/>
    <n v="3238"/>
    <n v="357266"/>
    <n v="76174.937730000005"/>
    <x v="1"/>
    <x v="0"/>
  </r>
  <r>
    <n v="12558"/>
    <d v="2025-07-14T00:00:00"/>
    <x v="0"/>
    <x v="2"/>
    <x v="1"/>
    <x v="2"/>
    <n v="6"/>
    <n v="20151"/>
    <x v="2541"/>
    <n v="1244"/>
    <n v="119662"/>
    <n v="16755.930560000001"/>
    <x v="1"/>
    <x v="10"/>
  </r>
  <r>
    <n v="12559"/>
    <d v="2025-01-16T00:00:00"/>
    <x v="1"/>
    <x v="3"/>
    <x v="2"/>
    <x v="2"/>
    <n v="8"/>
    <n v="31741"/>
    <x v="2542"/>
    <n v="75"/>
    <n v="253853"/>
    <n v="56041.444909999998"/>
    <x v="1"/>
    <x v="4"/>
  </r>
  <r>
    <n v="12560"/>
    <d v="2025-08-12T00:00:00"/>
    <x v="0"/>
    <x v="4"/>
    <x v="0"/>
    <x v="0"/>
    <n v="9"/>
    <n v="43130"/>
    <x v="2543"/>
    <n v="1009"/>
    <n v="387161"/>
    <n v="89655.918380000003"/>
    <x v="1"/>
    <x v="6"/>
  </r>
  <r>
    <n v="12561"/>
    <d v="2025-09-08T00:00:00"/>
    <x v="0"/>
    <x v="1"/>
    <x v="1"/>
    <x v="0"/>
    <n v="5"/>
    <n v="75172"/>
    <x v="2544"/>
    <n v="3282"/>
    <n v="372578"/>
    <n v="76279.347689999995"/>
    <x v="1"/>
    <x v="2"/>
  </r>
  <r>
    <n v="12562"/>
    <d v="2024-06-17T00:00:00"/>
    <x v="1"/>
    <x v="1"/>
    <x v="1"/>
    <x v="1"/>
    <n v="6"/>
    <n v="65916"/>
    <x v="2545"/>
    <n v="2275"/>
    <n v="393221"/>
    <n v="45243.073429999997"/>
    <x v="0"/>
    <x v="11"/>
  </r>
  <r>
    <n v="12563"/>
    <d v="2024-08-04T00:00:00"/>
    <x v="4"/>
    <x v="1"/>
    <x v="0"/>
    <x v="1"/>
    <n v="6"/>
    <n v="64219"/>
    <x v="2546"/>
    <n v="3808"/>
    <n v="381506"/>
    <n v="94475.011429999999"/>
    <x v="0"/>
    <x v="6"/>
  </r>
  <r>
    <n v="12564"/>
    <d v="2025-01-12T00:00:00"/>
    <x v="1"/>
    <x v="0"/>
    <x v="2"/>
    <x v="1"/>
    <n v="6"/>
    <n v="42236"/>
    <x v="2547"/>
    <n v="452"/>
    <n v="252964"/>
    <n v="28180.227129999999"/>
    <x v="1"/>
    <x v="4"/>
  </r>
  <r>
    <n v="12565"/>
    <d v="2024-04-28T00:00:00"/>
    <x v="4"/>
    <x v="4"/>
    <x v="1"/>
    <x v="0"/>
    <n v="2"/>
    <n v="72882"/>
    <x v="2548"/>
    <n v="765"/>
    <n v="144999"/>
    <n v="28734.611069999999"/>
    <x v="0"/>
    <x v="0"/>
  </r>
  <r>
    <n v="12566"/>
    <d v="2024-07-08T00:00:00"/>
    <x v="3"/>
    <x v="1"/>
    <x v="0"/>
    <x v="1"/>
    <n v="4"/>
    <n v="18984"/>
    <x v="2549"/>
    <n v="4582"/>
    <n v="71354"/>
    <n v="8318.3628590000008"/>
    <x v="0"/>
    <x v="10"/>
  </r>
  <r>
    <n v="12567"/>
    <d v="2025-01-04T00:00:00"/>
    <x v="3"/>
    <x v="4"/>
    <x v="1"/>
    <x v="2"/>
    <n v="1"/>
    <n v="6042"/>
    <x v="2550"/>
    <n v="2715"/>
    <n v="3327"/>
    <n v="784.54653659999997"/>
    <x v="1"/>
    <x v="4"/>
  </r>
  <r>
    <n v="12568"/>
    <d v="2024-05-28T00:00:00"/>
    <x v="1"/>
    <x v="1"/>
    <x v="1"/>
    <x v="2"/>
    <n v="1"/>
    <n v="18063"/>
    <x v="2551"/>
    <n v="1497"/>
    <n v="16566"/>
    <n v="2526.2595459999998"/>
    <x v="0"/>
    <x v="5"/>
  </r>
  <r>
    <n v="12569"/>
    <d v="2025-11-06T00:00:00"/>
    <x v="3"/>
    <x v="2"/>
    <x v="1"/>
    <x v="1"/>
    <n v="1"/>
    <n v="58918"/>
    <x v="2552"/>
    <n v="3946"/>
    <n v="54972"/>
    <n v="9714.9516220000005"/>
    <x v="1"/>
    <x v="7"/>
  </r>
  <r>
    <n v="12570"/>
    <d v="2025-10-13T00:00:00"/>
    <x v="2"/>
    <x v="4"/>
    <x v="1"/>
    <x v="1"/>
    <n v="7"/>
    <n v="25490"/>
    <x v="2553"/>
    <n v="3732"/>
    <n v="174698"/>
    <n v="22154.19369"/>
    <x v="1"/>
    <x v="8"/>
  </r>
  <r>
    <n v="12571"/>
    <d v="2025-05-02T00:00:00"/>
    <x v="0"/>
    <x v="3"/>
    <x v="2"/>
    <x v="0"/>
    <n v="1"/>
    <n v="45967"/>
    <x v="2554"/>
    <n v="4925"/>
    <n v="41042"/>
    <n v="7469.0008090000001"/>
    <x v="1"/>
    <x v="5"/>
  </r>
  <r>
    <n v="12572"/>
    <d v="2025-01-08T00:00:00"/>
    <x v="0"/>
    <x v="0"/>
    <x v="0"/>
    <x v="2"/>
    <n v="6"/>
    <n v="61472"/>
    <x v="2555"/>
    <n v="2838"/>
    <n v="365994"/>
    <n v="88140.865839999999"/>
    <x v="1"/>
    <x v="4"/>
  </r>
  <r>
    <n v="12573"/>
    <d v="2025-11-23T00:00:00"/>
    <x v="4"/>
    <x v="3"/>
    <x v="0"/>
    <x v="3"/>
    <n v="2"/>
    <n v="77838"/>
    <x v="2556"/>
    <n v="489"/>
    <n v="155187"/>
    <n v="36506.959699999999"/>
    <x v="1"/>
    <x v="7"/>
  </r>
  <r>
    <n v="12574"/>
    <d v="2024-06-08T00:00:00"/>
    <x v="3"/>
    <x v="4"/>
    <x v="0"/>
    <x v="3"/>
    <n v="6"/>
    <n v="26876"/>
    <x v="2557"/>
    <n v="2423"/>
    <n v="158833"/>
    <n v="17405.617099999999"/>
    <x v="0"/>
    <x v="11"/>
  </r>
  <r>
    <n v="12575"/>
    <d v="2024-12-16T00:00:00"/>
    <x v="4"/>
    <x v="1"/>
    <x v="0"/>
    <x v="0"/>
    <n v="6"/>
    <n v="65650"/>
    <x v="2558"/>
    <n v="1935"/>
    <n v="391965"/>
    <n v="61436.114320000001"/>
    <x v="0"/>
    <x v="3"/>
  </r>
  <r>
    <n v="12576"/>
    <d v="2024-10-14T00:00:00"/>
    <x v="0"/>
    <x v="4"/>
    <x v="0"/>
    <x v="0"/>
    <n v="3"/>
    <n v="7302"/>
    <x v="2559"/>
    <n v="2749"/>
    <n v="19157"/>
    <n v="2684.1773929999999"/>
    <x v="0"/>
    <x v="8"/>
  </r>
  <r>
    <n v="12577"/>
    <d v="2024-10-14T00:00:00"/>
    <x v="0"/>
    <x v="0"/>
    <x v="2"/>
    <x v="0"/>
    <n v="8"/>
    <n v="24017"/>
    <x v="2560"/>
    <n v="3296"/>
    <n v="188840"/>
    <n v="32519.0452"/>
    <x v="0"/>
    <x v="8"/>
  </r>
  <r>
    <n v="12578"/>
    <d v="2024-08-13T00:00:00"/>
    <x v="3"/>
    <x v="4"/>
    <x v="1"/>
    <x v="2"/>
    <n v="4"/>
    <n v="47311"/>
    <x v="2561"/>
    <n v="4570"/>
    <n v="184674"/>
    <n v="41562.6149"/>
    <x v="0"/>
    <x v="6"/>
  </r>
  <r>
    <n v="12579"/>
    <d v="2025-06-06T00:00:00"/>
    <x v="2"/>
    <x v="1"/>
    <x v="1"/>
    <x v="1"/>
    <n v="7"/>
    <n v="5361"/>
    <x v="2562"/>
    <n v="3691"/>
    <n v="33836"/>
    <n v="7133.5683529999997"/>
    <x v="1"/>
    <x v="11"/>
  </r>
  <r>
    <n v="12580"/>
    <d v="2025-06-05T00:00:00"/>
    <x v="2"/>
    <x v="3"/>
    <x v="0"/>
    <x v="1"/>
    <n v="4"/>
    <n v="43261"/>
    <x v="2563"/>
    <n v="1103"/>
    <n v="171941"/>
    <n v="26065.693149999999"/>
    <x v="1"/>
    <x v="11"/>
  </r>
  <r>
    <n v="12581"/>
    <d v="2024-09-29T00:00:00"/>
    <x v="3"/>
    <x v="2"/>
    <x v="1"/>
    <x v="0"/>
    <n v="1"/>
    <n v="22171"/>
    <x v="2564"/>
    <n v="1599"/>
    <n v="20572"/>
    <n v="3238.030217"/>
    <x v="0"/>
    <x v="2"/>
  </r>
  <r>
    <n v="12582"/>
    <d v="2025-02-05T00:00:00"/>
    <x v="3"/>
    <x v="3"/>
    <x v="1"/>
    <x v="2"/>
    <n v="6"/>
    <n v="46226"/>
    <x v="2565"/>
    <n v="3281"/>
    <n v="274075"/>
    <n v="54304.740539999999"/>
    <x v="1"/>
    <x v="9"/>
  </r>
  <r>
    <n v="12583"/>
    <d v="2024-07-01T00:00:00"/>
    <x v="4"/>
    <x v="1"/>
    <x v="1"/>
    <x v="3"/>
    <n v="5"/>
    <n v="34327"/>
    <x v="2566"/>
    <n v="3160"/>
    <n v="168475"/>
    <n v="21755.8128"/>
    <x v="0"/>
    <x v="10"/>
  </r>
  <r>
    <n v="12584"/>
    <d v="2025-10-26T00:00:00"/>
    <x v="3"/>
    <x v="1"/>
    <x v="0"/>
    <x v="0"/>
    <n v="9"/>
    <n v="75628"/>
    <x v="2567"/>
    <n v="3945"/>
    <n v="676707"/>
    <n v="78098.215549999994"/>
    <x v="1"/>
    <x v="8"/>
  </r>
  <r>
    <n v="12585"/>
    <d v="2025-05-02T00:00:00"/>
    <x v="2"/>
    <x v="0"/>
    <x v="0"/>
    <x v="2"/>
    <n v="9"/>
    <n v="69223"/>
    <x v="2568"/>
    <n v="225"/>
    <n v="622782"/>
    <n v="84940.159339999998"/>
    <x v="1"/>
    <x v="5"/>
  </r>
  <r>
    <n v="12586"/>
    <d v="2024-05-03T00:00:00"/>
    <x v="3"/>
    <x v="4"/>
    <x v="2"/>
    <x v="0"/>
    <n v="8"/>
    <n v="75052"/>
    <x v="2569"/>
    <n v="4803"/>
    <n v="595613"/>
    <n v="70642.599279999995"/>
    <x v="0"/>
    <x v="5"/>
  </r>
  <r>
    <n v="12587"/>
    <d v="2025-09-17T00:00:00"/>
    <x v="4"/>
    <x v="4"/>
    <x v="0"/>
    <x v="2"/>
    <n v="7"/>
    <n v="68624"/>
    <x v="2570"/>
    <n v="1714"/>
    <n v="478654"/>
    <n v="73137.199900000007"/>
    <x v="1"/>
    <x v="2"/>
  </r>
  <r>
    <n v="12588"/>
    <d v="2025-02-17T00:00:00"/>
    <x v="4"/>
    <x v="3"/>
    <x v="2"/>
    <x v="2"/>
    <n v="2"/>
    <n v="19530"/>
    <x v="2571"/>
    <n v="4149"/>
    <n v="34911"/>
    <n v="8400.8038629999992"/>
    <x v="1"/>
    <x v="9"/>
  </r>
  <r>
    <n v="12589"/>
    <d v="2025-12-25T00:00:00"/>
    <x v="4"/>
    <x v="2"/>
    <x v="0"/>
    <x v="0"/>
    <n v="8"/>
    <n v="14310"/>
    <x v="2572"/>
    <n v="2243"/>
    <n v="112237"/>
    <n v="13249.00784"/>
    <x v="1"/>
    <x v="3"/>
  </r>
  <r>
    <n v="12590"/>
    <d v="2024-06-20T00:00:00"/>
    <x v="4"/>
    <x v="2"/>
    <x v="1"/>
    <x v="1"/>
    <n v="3"/>
    <n v="39281"/>
    <x v="2573"/>
    <n v="2892"/>
    <n v="114951"/>
    <n v="25605.142309999999"/>
    <x v="0"/>
    <x v="11"/>
  </r>
  <r>
    <n v="12591"/>
    <d v="2024-10-14T00:00:00"/>
    <x v="1"/>
    <x v="0"/>
    <x v="2"/>
    <x v="0"/>
    <n v="6"/>
    <n v="64270"/>
    <x v="2574"/>
    <n v="2345"/>
    <n v="383275"/>
    <n v="69065.083639999997"/>
    <x v="0"/>
    <x v="8"/>
  </r>
  <r>
    <n v="12592"/>
    <d v="2025-03-10T00:00:00"/>
    <x v="3"/>
    <x v="1"/>
    <x v="2"/>
    <x v="1"/>
    <n v="7"/>
    <n v="51104"/>
    <x v="2575"/>
    <n v="578"/>
    <n v="357150"/>
    <n v="69621.200070000006"/>
    <x v="1"/>
    <x v="1"/>
  </r>
  <r>
    <n v="12593"/>
    <d v="2025-11-16T00:00:00"/>
    <x v="0"/>
    <x v="0"/>
    <x v="2"/>
    <x v="1"/>
    <n v="6"/>
    <n v="26735"/>
    <x v="2576"/>
    <n v="1698"/>
    <n v="158712"/>
    <n v="19920.316920000001"/>
    <x v="1"/>
    <x v="7"/>
  </r>
  <r>
    <n v="12594"/>
    <d v="2024-04-22T00:00:00"/>
    <x v="3"/>
    <x v="4"/>
    <x v="0"/>
    <x v="3"/>
    <n v="5"/>
    <n v="77285"/>
    <x v="2577"/>
    <n v="4595"/>
    <n v="381830"/>
    <n v="46852.830730000001"/>
    <x v="0"/>
    <x v="0"/>
  </r>
  <r>
    <n v="12595"/>
    <d v="2024-05-01T00:00:00"/>
    <x v="1"/>
    <x v="1"/>
    <x v="2"/>
    <x v="2"/>
    <n v="4"/>
    <n v="12005"/>
    <x v="2578"/>
    <n v="2671"/>
    <n v="45349"/>
    <n v="5641.9394499999999"/>
    <x v="0"/>
    <x v="5"/>
  </r>
  <r>
    <n v="12596"/>
    <d v="2025-06-27T00:00:00"/>
    <x v="4"/>
    <x v="0"/>
    <x v="0"/>
    <x v="0"/>
    <n v="2"/>
    <n v="62564"/>
    <x v="2579"/>
    <n v="4301"/>
    <n v="120827"/>
    <n v="24172.58092"/>
    <x v="1"/>
    <x v="11"/>
  </r>
  <r>
    <n v="12597"/>
    <d v="2024-08-09T00:00:00"/>
    <x v="1"/>
    <x v="3"/>
    <x v="2"/>
    <x v="2"/>
    <n v="9"/>
    <n v="56496"/>
    <x v="2580"/>
    <n v="2927"/>
    <n v="505537"/>
    <n v="107258.8956"/>
    <x v="0"/>
    <x v="6"/>
  </r>
  <r>
    <n v="12598"/>
    <d v="2025-09-22T00:00:00"/>
    <x v="2"/>
    <x v="4"/>
    <x v="0"/>
    <x v="3"/>
    <n v="7"/>
    <n v="34898"/>
    <x v="2581"/>
    <n v="278"/>
    <n v="244008"/>
    <n v="58082.869259999999"/>
    <x v="1"/>
    <x v="2"/>
  </r>
  <r>
    <n v="12599"/>
    <d v="2024-02-08T00:00:00"/>
    <x v="2"/>
    <x v="2"/>
    <x v="2"/>
    <x v="1"/>
    <n v="7"/>
    <n v="26708"/>
    <x v="2582"/>
    <n v="1468"/>
    <n v="185488"/>
    <n v="29627.785469999999"/>
    <x v="0"/>
    <x v="9"/>
  </r>
  <r>
    <n v="12600"/>
    <d v="2025-05-11T00:00:00"/>
    <x v="3"/>
    <x v="0"/>
    <x v="1"/>
    <x v="0"/>
    <n v="4"/>
    <n v="50024"/>
    <x v="2583"/>
    <n v="4772"/>
    <n v="195324"/>
    <n v="33067.456200000001"/>
    <x v="1"/>
    <x v="5"/>
  </r>
  <r>
    <n v="12601"/>
    <d v="2024-08-20T00:00:00"/>
    <x v="3"/>
    <x v="4"/>
    <x v="1"/>
    <x v="2"/>
    <n v="5"/>
    <n v="19412"/>
    <x v="2584"/>
    <n v="940"/>
    <n v="96120"/>
    <n v="16382.620940000001"/>
    <x v="0"/>
    <x v="6"/>
  </r>
  <r>
    <n v="12602"/>
    <d v="2025-06-13T00:00:00"/>
    <x v="0"/>
    <x v="4"/>
    <x v="2"/>
    <x v="3"/>
    <n v="6"/>
    <n v="59821"/>
    <x v="2585"/>
    <n v="2318"/>
    <n v="356608"/>
    <n v="50097.962699999996"/>
    <x v="1"/>
    <x v="11"/>
  </r>
  <r>
    <n v="12603"/>
    <d v="2024-05-28T00:00:00"/>
    <x v="0"/>
    <x v="2"/>
    <x v="0"/>
    <x v="1"/>
    <n v="2"/>
    <n v="34378"/>
    <x v="2586"/>
    <n v="4536"/>
    <n v="64220"/>
    <n v="9583.8651620000001"/>
    <x v="0"/>
    <x v="5"/>
  </r>
  <r>
    <n v="12604"/>
    <d v="2025-01-31T00:00:00"/>
    <x v="2"/>
    <x v="2"/>
    <x v="0"/>
    <x v="1"/>
    <n v="4"/>
    <n v="36309"/>
    <x v="2587"/>
    <n v="1783"/>
    <n v="143453"/>
    <n v="32567.1355"/>
    <x v="1"/>
    <x v="4"/>
  </r>
  <r>
    <n v="12605"/>
    <d v="2025-10-22T00:00:00"/>
    <x v="4"/>
    <x v="2"/>
    <x v="0"/>
    <x v="2"/>
    <n v="4"/>
    <n v="7435"/>
    <x v="2588"/>
    <n v="1875"/>
    <n v="27865"/>
    <n v="4223.1728009999997"/>
    <x v="1"/>
    <x v="8"/>
  </r>
  <r>
    <n v="12606"/>
    <d v="2025-09-29T00:00:00"/>
    <x v="1"/>
    <x v="0"/>
    <x v="1"/>
    <x v="1"/>
    <n v="4"/>
    <n v="8386"/>
    <x v="2589"/>
    <n v="4643"/>
    <n v="28901"/>
    <n v="6657.761966"/>
    <x v="1"/>
    <x v="2"/>
  </r>
  <r>
    <n v="12607"/>
    <d v="2024-10-28T00:00:00"/>
    <x v="0"/>
    <x v="2"/>
    <x v="1"/>
    <x v="3"/>
    <n v="7"/>
    <n v="75976"/>
    <x v="2590"/>
    <n v="3226"/>
    <n v="528606"/>
    <n v="77065.551579999999"/>
    <x v="0"/>
    <x v="8"/>
  </r>
  <r>
    <n v="12608"/>
    <d v="2024-12-25T00:00:00"/>
    <x v="0"/>
    <x v="3"/>
    <x v="1"/>
    <x v="1"/>
    <n v="7"/>
    <n v="50503"/>
    <x v="2591"/>
    <n v="3728"/>
    <n v="349793"/>
    <n v="52812.612659999999"/>
    <x v="0"/>
    <x v="3"/>
  </r>
  <r>
    <n v="12609"/>
    <d v="2024-08-25T00:00:00"/>
    <x v="4"/>
    <x v="4"/>
    <x v="0"/>
    <x v="0"/>
    <n v="7"/>
    <n v="76972"/>
    <x v="2592"/>
    <n v="985"/>
    <n v="537819"/>
    <n v="98981.354730000006"/>
    <x v="0"/>
    <x v="6"/>
  </r>
  <r>
    <n v="12610"/>
    <d v="2025-10-08T00:00:00"/>
    <x v="4"/>
    <x v="2"/>
    <x v="0"/>
    <x v="0"/>
    <n v="7"/>
    <n v="77939"/>
    <x v="2593"/>
    <n v="2819"/>
    <n v="542754"/>
    <n v="62671.276319999997"/>
    <x v="1"/>
    <x v="8"/>
  </r>
  <r>
    <n v="12611"/>
    <d v="2025-10-24T00:00:00"/>
    <x v="3"/>
    <x v="4"/>
    <x v="0"/>
    <x v="2"/>
    <n v="2"/>
    <n v="48464"/>
    <x v="2594"/>
    <n v="3970"/>
    <n v="92958"/>
    <n v="22152.75963"/>
    <x v="1"/>
    <x v="8"/>
  </r>
  <r>
    <n v="12612"/>
    <d v="2024-08-23T00:00:00"/>
    <x v="1"/>
    <x v="1"/>
    <x v="2"/>
    <x v="3"/>
    <n v="5"/>
    <n v="73475"/>
    <x v="2595"/>
    <n v="2066"/>
    <n v="365309"/>
    <n v="81485.816699999996"/>
    <x v="0"/>
    <x v="6"/>
  </r>
  <r>
    <n v="12613"/>
    <d v="2024-07-21T00:00:00"/>
    <x v="4"/>
    <x v="1"/>
    <x v="2"/>
    <x v="1"/>
    <n v="2"/>
    <n v="32277"/>
    <x v="2596"/>
    <n v="424"/>
    <n v="64130"/>
    <n v="12862.91157"/>
    <x v="0"/>
    <x v="10"/>
  </r>
  <r>
    <n v="12614"/>
    <d v="2024-09-12T00:00:00"/>
    <x v="0"/>
    <x v="2"/>
    <x v="2"/>
    <x v="1"/>
    <n v="5"/>
    <n v="59012"/>
    <x v="2597"/>
    <n v="2105"/>
    <n v="292955"/>
    <n v="72716.924509999997"/>
    <x v="0"/>
    <x v="2"/>
  </r>
  <r>
    <n v="12615"/>
    <d v="2025-08-20T00:00:00"/>
    <x v="0"/>
    <x v="4"/>
    <x v="1"/>
    <x v="1"/>
    <n v="6"/>
    <n v="8138"/>
    <x v="2598"/>
    <n v="2470"/>
    <n v="46358"/>
    <n v="4747.0547589999996"/>
    <x v="1"/>
    <x v="6"/>
  </r>
  <r>
    <n v="12616"/>
    <d v="2025-10-23T00:00:00"/>
    <x v="2"/>
    <x v="1"/>
    <x v="1"/>
    <x v="0"/>
    <n v="3"/>
    <n v="54327"/>
    <x v="2599"/>
    <n v="3794"/>
    <n v="159187"/>
    <n v="25734.018789999998"/>
    <x v="1"/>
    <x v="8"/>
  </r>
  <r>
    <n v="12617"/>
    <d v="2024-08-22T00:00:00"/>
    <x v="4"/>
    <x v="2"/>
    <x v="0"/>
    <x v="3"/>
    <n v="6"/>
    <n v="73698"/>
    <x v="2600"/>
    <n v="2891"/>
    <n v="439297"/>
    <n v="100489.8296"/>
    <x v="0"/>
    <x v="6"/>
  </r>
  <r>
    <n v="12618"/>
    <d v="2024-12-10T00:00:00"/>
    <x v="3"/>
    <x v="4"/>
    <x v="2"/>
    <x v="1"/>
    <n v="5"/>
    <n v="7752"/>
    <x v="2601"/>
    <n v="1683"/>
    <n v="37077"/>
    <n v="6115.9472519999999"/>
    <x v="0"/>
    <x v="3"/>
  </r>
  <r>
    <n v="12619"/>
    <d v="2025-06-17T00:00:00"/>
    <x v="1"/>
    <x v="2"/>
    <x v="0"/>
    <x v="2"/>
    <n v="4"/>
    <n v="30765"/>
    <x v="2602"/>
    <n v="3173"/>
    <n v="119887"/>
    <n v="12082.95522"/>
    <x v="1"/>
    <x v="11"/>
  </r>
  <r>
    <n v="12620"/>
    <d v="2025-04-10T00:00:00"/>
    <x v="3"/>
    <x v="4"/>
    <x v="2"/>
    <x v="3"/>
    <n v="9"/>
    <n v="5837"/>
    <x v="2603"/>
    <n v="3147"/>
    <n v="49386"/>
    <n v="6107.226713"/>
    <x v="1"/>
    <x v="0"/>
  </r>
  <r>
    <n v="12621"/>
    <d v="2025-06-24T00:00:00"/>
    <x v="0"/>
    <x v="1"/>
    <x v="2"/>
    <x v="3"/>
    <n v="8"/>
    <n v="61997"/>
    <x v="2604"/>
    <n v="4061"/>
    <n v="491915"/>
    <n v="81220.509609999994"/>
    <x v="1"/>
    <x v="11"/>
  </r>
  <r>
    <n v="12622"/>
    <d v="2024-07-31T00:00:00"/>
    <x v="3"/>
    <x v="2"/>
    <x v="0"/>
    <x v="1"/>
    <n v="7"/>
    <n v="40501"/>
    <x v="2605"/>
    <n v="4051"/>
    <n v="279456"/>
    <n v="55944.905610000002"/>
    <x v="0"/>
    <x v="10"/>
  </r>
  <r>
    <n v="12623"/>
    <d v="2025-04-07T00:00:00"/>
    <x v="0"/>
    <x v="1"/>
    <x v="0"/>
    <x v="0"/>
    <n v="1"/>
    <n v="49770"/>
    <x v="2606"/>
    <n v="3651"/>
    <n v="46119"/>
    <n v="5737.1178309999996"/>
    <x v="1"/>
    <x v="0"/>
  </r>
  <r>
    <n v="12624"/>
    <d v="2025-03-11T00:00:00"/>
    <x v="0"/>
    <x v="2"/>
    <x v="2"/>
    <x v="3"/>
    <n v="9"/>
    <n v="73189"/>
    <x v="2607"/>
    <n v="4161"/>
    <n v="654540"/>
    <n v="109443.31570000001"/>
    <x v="1"/>
    <x v="1"/>
  </r>
  <r>
    <n v="12625"/>
    <d v="2024-10-09T00:00:00"/>
    <x v="0"/>
    <x v="0"/>
    <x v="2"/>
    <x v="2"/>
    <n v="9"/>
    <n v="65594"/>
    <x v="2608"/>
    <n v="4910"/>
    <n v="585436"/>
    <n v="59666.630559999998"/>
    <x v="0"/>
    <x v="8"/>
  </r>
  <r>
    <n v="12626"/>
    <d v="2025-07-15T00:00:00"/>
    <x v="0"/>
    <x v="1"/>
    <x v="1"/>
    <x v="3"/>
    <n v="6"/>
    <n v="42448"/>
    <x v="2609"/>
    <n v="1174"/>
    <n v="253514"/>
    <n v="43509.360110000001"/>
    <x v="1"/>
    <x v="10"/>
  </r>
  <r>
    <n v="12627"/>
    <d v="2025-08-29T00:00:00"/>
    <x v="0"/>
    <x v="1"/>
    <x v="0"/>
    <x v="0"/>
    <n v="7"/>
    <n v="42959"/>
    <x v="2610"/>
    <n v="2949"/>
    <n v="297764"/>
    <n v="69792.508360000007"/>
    <x v="1"/>
    <x v="6"/>
  </r>
  <r>
    <n v="12628"/>
    <d v="2025-04-07T00:00:00"/>
    <x v="2"/>
    <x v="3"/>
    <x v="0"/>
    <x v="2"/>
    <n v="3"/>
    <n v="54525"/>
    <x v="2611"/>
    <n v="1809"/>
    <n v="161766"/>
    <n v="30657.116610000001"/>
    <x v="1"/>
    <x v="0"/>
  </r>
  <r>
    <n v="12629"/>
    <d v="2025-02-10T00:00:00"/>
    <x v="3"/>
    <x v="1"/>
    <x v="0"/>
    <x v="0"/>
    <n v="5"/>
    <n v="39029"/>
    <x v="2612"/>
    <n v="436"/>
    <n v="194709"/>
    <n v="32340.8426"/>
    <x v="1"/>
    <x v="9"/>
  </r>
  <r>
    <n v="12630"/>
    <d v="2024-03-28T00:00:00"/>
    <x v="2"/>
    <x v="4"/>
    <x v="0"/>
    <x v="1"/>
    <n v="7"/>
    <n v="78169"/>
    <x v="2613"/>
    <n v="4885"/>
    <n v="542298"/>
    <n v="67428.736980000001"/>
    <x v="0"/>
    <x v="1"/>
  </r>
  <r>
    <n v="12631"/>
    <d v="2024-02-13T00:00:00"/>
    <x v="2"/>
    <x v="2"/>
    <x v="2"/>
    <x v="3"/>
    <n v="1"/>
    <n v="13312"/>
    <x v="2614"/>
    <n v="234"/>
    <n v="13078"/>
    <n v="1704.8844959999999"/>
    <x v="0"/>
    <x v="9"/>
  </r>
  <r>
    <n v="12632"/>
    <d v="2025-04-05T00:00:00"/>
    <x v="4"/>
    <x v="0"/>
    <x v="1"/>
    <x v="2"/>
    <n v="1"/>
    <n v="43300"/>
    <x v="2615"/>
    <n v="4770"/>
    <n v="38530"/>
    <n v="4295.1892559999997"/>
    <x v="1"/>
    <x v="0"/>
  </r>
  <r>
    <n v="12633"/>
    <d v="2024-10-04T00:00:00"/>
    <x v="4"/>
    <x v="4"/>
    <x v="0"/>
    <x v="0"/>
    <n v="5"/>
    <n v="59994"/>
    <x v="2616"/>
    <n v="2145"/>
    <n v="297825"/>
    <n v="62948.785360000002"/>
    <x v="0"/>
    <x v="8"/>
  </r>
  <r>
    <n v="12634"/>
    <d v="2025-11-13T00:00:00"/>
    <x v="4"/>
    <x v="4"/>
    <x v="2"/>
    <x v="1"/>
    <n v="9"/>
    <n v="7884"/>
    <x v="2617"/>
    <n v="3575"/>
    <n v="67381"/>
    <n v="7517.7178210000002"/>
    <x v="1"/>
    <x v="7"/>
  </r>
  <r>
    <n v="12635"/>
    <d v="2025-02-24T00:00:00"/>
    <x v="1"/>
    <x v="4"/>
    <x v="2"/>
    <x v="2"/>
    <n v="7"/>
    <n v="25522"/>
    <x v="2618"/>
    <n v="4856"/>
    <n v="173798"/>
    <n v="27389.230780000002"/>
    <x v="1"/>
    <x v="9"/>
  </r>
  <r>
    <n v="12636"/>
    <d v="2025-12-01T00:00:00"/>
    <x v="4"/>
    <x v="4"/>
    <x v="2"/>
    <x v="3"/>
    <n v="1"/>
    <n v="10623"/>
    <x v="2619"/>
    <n v="3561"/>
    <n v="7062"/>
    <n v="1500.5104839999999"/>
    <x v="1"/>
    <x v="3"/>
  </r>
  <r>
    <n v="12637"/>
    <d v="2024-12-18T00:00:00"/>
    <x v="3"/>
    <x v="0"/>
    <x v="2"/>
    <x v="3"/>
    <n v="5"/>
    <n v="16460"/>
    <x v="2620"/>
    <n v="2474"/>
    <n v="79826"/>
    <n v="16517.867719999998"/>
    <x v="0"/>
    <x v="3"/>
  </r>
  <r>
    <n v="12638"/>
    <d v="2025-11-26T00:00:00"/>
    <x v="2"/>
    <x v="3"/>
    <x v="2"/>
    <x v="0"/>
    <n v="8"/>
    <n v="15234"/>
    <x v="2621"/>
    <n v="226"/>
    <n v="121646"/>
    <n v="22702.771690000001"/>
    <x v="1"/>
    <x v="7"/>
  </r>
  <r>
    <n v="12639"/>
    <d v="2025-05-29T00:00:00"/>
    <x v="3"/>
    <x v="1"/>
    <x v="0"/>
    <x v="2"/>
    <n v="8"/>
    <n v="68578"/>
    <x v="2622"/>
    <n v="2610"/>
    <n v="546014"/>
    <n v="101392.7032"/>
    <x v="1"/>
    <x v="5"/>
  </r>
  <r>
    <n v="12640"/>
    <d v="2025-12-03T00:00:00"/>
    <x v="4"/>
    <x v="4"/>
    <x v="0"/>
    <x v="1"/>
    <n v="2"/>
    <n v="51905"/>
    <x v="2623"/>
    <n v="2275"/>
    <n v="101535"/>
    <n v="11529.21924"/>
    <x v="1"/>
    <x v="3"/>
  </r>
  <r>
    <n v="12641"/>
    <d v="2025-09-21T00:00:00"/>
    <x v="1"/>
    <x v="1"/>
    <x v="1"/>
    <x v="1"/>
    <n v="7"/>
    <n v="34420"/>
    <x v="2624"/>
    <n v="4801"/>
    <n v="236139"/>
    <n v="29809.547600000002"/>
    <x v="1"/>
    <x v="2"/>
  </r>
  <r>
    <n v="12642"/>
    <d v="2024-01-19T00:00:00"/>
    <x v="1"/>
    <x v="1"/>
    <x v="0"/>
    <x v="1"/>
    <n v="5"/>
    <n v="40813"/>
    <x v="2625"/>
    <n v="1815"/>
    <n v="202250"/>
    <n v="36447.809970000002"/>
    <x v="0"/>
    <x v="4"/>
  </r>
  <r>
    <n v="12643"/>
    <d v="2024-01-23T00:00:00"/>
    <x v="2"/>
    <x v="4"/>
    <x v="2"/>
    <x v="0"/>
    <n v="9"/>
    <n v="5382"/>
    <x v="2626"/>
    <n v="3854"/>
    <n v="44584"/>
    <n v="6786.2220029999999"/>
    <x v="0"/>
    <x v="4"/>
  </r>
  <r>
    <n v="12644"/>
    <d v="2025-02-16T00:00:00"/>
    <x v="3"/>
    <x v="3"/>
    <x v="1"/>
    <x v="1"/>
    <n v="3"/>
    <n v="43353"/>
    <x v="2627"/>
    <n v="3995"/>
    <n v="126064"/>
    <n v="12964.49301"/>
    <x v="1"/>
    <x v="9"/>
  </r>
  <r>
    <n v="12645"/>
    <d v="2024-01-30T00:00:00"/>
    <x v="0"/>
    <x v="1"/>
    <x v="2"/>
    <x v="2"/>
    <n v="1"/>
    <n v="14369"/>
    <x v="2628"/>
    <n v="1410"/>
    <n v="12959"/>
    <n v="2847.4164040000001"/>
    <x v="0"/>
    <x v="4"/>
  </r>
  <r>
    <n v="12646"/>
    <d v="2024-04-17T00:00:00"/>
    <x v="3"/>
    <x v="2"/>
    <x v="2"/>
    <x v="0"/>
    <n v="4"/>
    <n v="39985"/>
    <x v="2629"/>
    <n v="4764"/>
    <n v="155176"/>
    <n v="30736.019130000001"/>
    <x v="0"/>
    <x v="0"/>
  </r>
  <r>
    <n v="12647"/>
    <d v="2025-01-01T00:00:00"/>
    <x v="4"/>
    <x v="1"/>
    <x v="0"/>
    <x v="3"/>
    <n v="7"/>
    <n v="47255"/>
    <x v="2630"/>
    <n v="3379"/>
    <n v="327406"/>
    <n v="48740.217479999999"/>
    <x v="1"/>
    <x v="4"/>
  </r>
  <r>
    <n v="12648"/>
    <d v="2024-10-07T00:00:00"/>
    <x v="0"/>
    <x v="4"/>
    <x v="2"/>
    <x v="0"/>
    <n v="1"/>
    <n v="63261"/>
    <x v="2631"/>
    <n v="1845"/>
    <n v="61416"/>
    <n v="7046.3055599999998"/>
    <x v="0"/>
    <x v="8"/>
  </r>
  <r>
    <n v="12649"/>
    <d v="2024-05-07T00:00:00"/>
    <x v="1"/>
    <x v="0"/>
    <x v="0"/>
    <x v="0"/>
    <n v="2"/>
    <n v="66590"/>
    <x v="2632"/>
    <n v="1337"/>
    <n v="131843"/>
    <n v="24876.152279999998"/>
    <x v="0"/>
    <x v="5"/>
  </r>
  <r>
    <n v="12650"/>
    <d v="2024-08-16T00:00:00"/>
    <x v="2"/>
    <x v="1"/>
    <x v="2"/>
    <x v="0"/>
    <n v="5"/>
    <n v="50486"/>
    <x v="2633"/>
    <n v="117"/>
    <n v="252313"/>
    <n v="38422.838089999997"/>
    <x v="0"/>
    <x v="6"/>
  </r>
  <r>
    <n v="12651"/>
    <d v="2024-04-20T00:00:00"/>
    <x v="2"/>
    <x v="3"/>
    <x v="1"/>
    <x v="2"/>
    <n v="9"/>
    <n v="52883"/>
    <x v="2634"/>
    <n v="1868"/>
    <n v="474079"/>
    <n v="65569.108219999995"/>
    <x v="0"/>
    <x v="0"/>
  </r>
  <r>
    <n v="12652"/>
    <d v="2024-05-15T00:00:00"/>
    <x v="1"/>
    <x v="2"/>
    <x v="2"/>
    <x v="3"/>
    <n v="1"/>
    <n v="60318"/>
    <x v="2635"/>
    <n v="2097"/>
    <n v="58221"/>
    <n v="12122.799209999999"/>
    <x v="0"/>
    <x v="5"/>
  </r>
  <r>
    <n v="12653"/>
    <d v="2024-12-27T00:00:00"/>
    <x v="4"/>
    <x v="2"/>
    <x v="0"/>
    <x v="3"/>
    <n v="4"/>
    <n v="56566"/>
    <x v="2636"/>
    <n v="1813"/>
    <n v="224451"/>
    <n v="33493.1414"/>
    <x v="0"/>
    <x v="3"/>
  </r>
  <r>
    <n v="12654"/>
    <d v="2024-07-04T00:00:00"/>
    <x v="1"/>
    <x v="0"/>
    <x v="2"/>
    <x v="0"/>
    <n v="3"/>
    <n v="5650"/>
    <x v="2637"/>
    <n v="1587"/>
    <n v="15363"/>
    <n v="1849.8169459999999"/>
    <x v="0"/>
    <x v="10"/>
  </r>
  <r>
    <n v="12655"/>
    <d v="2025-10-17T00:00:00"/>
    <x v="4"/>
    <x v="0"/>
    <x v="0"/>
    <x v="0"/>
    <n v="5"/>
    <n v="45937"/>
    <x v="2638"/>
    <n v="3252"/>
    <n v="226433"/>
    <n v="39002.64546"/>
    <x v="1"/>
    <x v="8"/>
  </r>
  <r>
    <n v="12656"/>
    <d v="2025-08-06T00:00:00"/>
    <x v="0"/>
    <x v="1"/>
    <x v="0"/>
    <x v="0"/>
    <n v="5"/>
    <n v="26299"/>
    <x v="2639"/>
    <n v="542"/>
    <n v="130953"/>
    <n v="29368.81206"/>
    <x v="1"/>
    <x v="6"/>
  </r>
  <r>
    <n v="12657"/>
    <d v="2024-05-08T00:00:00"/>
    <x v="1"/>
    <x v="4"/>
    <x v="1"/>
    <x v="2"/>
    <n v="2"/>
    <n v="31862"/>
    <x v="2640"/>
    <n v="2374"/>
    <n v="61350"/>
    <n v="13953.98496"/>
    <x v="0"/>
    <x v="5"/>
  </r>
  <r>
    <n v="12658"/>
    <d v="2024-09-17T00:00:00"/>
    <x v="4"/>
    <x v="3"/>
    <x v="0"/>
    <x v="2"/>
    <n v="5"/>
    <n v="21312"/>
    <x v="2641"/>
    <n v="1526"/>
    <n v="105034"/>
    <n v="23884.886500000001"/>
    <x v="0"/>
    <x v="2"/>
  </r>
  <r>
    <n v="12659"/>
    <d v="2025-05-29T00:00:00"/>
    <x v="0"/>
    <x v="2"/>
    <x v="1"/>
    <x v="1"/>
    <n v="9"/>
    <n v="15943"/>
    <x v="2642"/>
    <n v="3567"/>
    <n v="139920"/>
    <n v="22826.265589999999"/>
    <x v="1"/>
    <x v="5"/>
  </r>
  <r>
    <n v="12660"/>
    <d v="2025-03-24T00:00:00"/>
    <x v="1"/>
    <x v="0"/>
    <x v="1"/>
    <x v="3"/>
    <n v="5"/>
    <n v="73734"/>
    <x v="2643"/>
    <n v="1269"/>
    <n v="367401"/>
    <n v="80328.603019999995"/>
    <x v="1"/>
    <x v="1"/>
  </r>
  <r>
    <n v="12661"/>
    <d v="2024-04-13T00:00:00"/>
    <x v="2"/>
    <x v="3"/>
    <x v="2"/>
    <x v="1"/>
    <n v="2"/>
    <n v="22325"/>
    <x v="2644"/>
    <n v="601"/>
    <n v="44049"/>
    <n v="10022.672259999999"/>
    <x v="0"/>
    <x v="0"/>
  </r>
  <r>
    <n v="12662"/>
    <d v="2025-04-27T00:00:00"/>
    <x v="1"/>
    <x v="4"/>
    <x v="1"/>
    <x v="1"/>
    <n v="7"/>
    <n v="79268"/>
    <x v="2645"/>
    <n v="3614"/>
    <n v="551262"/>
    <n v="93125.092919999996"/>
    <x v="1"/>
    <x v="0"/>
  </r>
  <r>
    <n v="12663"/>
    <d v="2024-08-11T00:00:00"/>
    <x v="3"/>
    <x v="2"/>
    <x v="0"/>
    <x v="0"/>
    <n v="6"/>
    <n v="76341"/>
    <x v="2646"/>
    <n v="2149"/>
    <n v="455897"/>
    <n v="67386.549679999996"/>
    <x v="0"/>
    <x v="6"/>
  </r>
  <r>
    <n v="12664"/>
    <d v="2025-05-05T00:00:00"/>
    <x v="1"/>
    <x v="2"/>
    <x v="0"/>
    <x v="2"/>
    <n v="7"/>
    <n v="57879"/>
    <x v="2647"/>
    <n v="3301"/>
    <n v="401852"/>
    <n v="82498.078559999994"/>
    <x v="1"/>
    <x v="5"/>
  </r>
  <r>
    <n v="12665"/>
    <d v="2025-04-17T00:00:00"/>
    <x v="3"/>
    <x v="4"/>
    <x v="1"/>
    <x v="1"/>
    <n v="8"/>
    <n v="71738"/>
    <x v="2648"/>
    <n v="387"/>
    <n v="573517"/>
    <n v="135160.97560000001"/>
    <x v="1"/>
    <x v="0"/>
  </r>
  <r>
    <n v="12666"/>
    <d v="2024-01-10T00:00:00"/>
    <x v="0"/>
    <x v="2"/>
    <x v="2"/>
    <x v="1"/>
    <n v="5"/>
    <n v="69010"/>
    <x v="2649"/>
    <n v="3680"/>
    <n v="341370"/>
    <n v="83916.554080000002"/>
    <x v="0"/>
    <x v="4"/>
  </r>
  <r>
    <n v="12667"/>
    <d v="2025-02-08T00:00:00"/>
    <x v="1"/>
    <x v="4"/>
    <x v="1"/>
    <x v="1"/>
    <n v="2"/>
    <n v="8006"/>
    <x v="2650"/>
    <n v="1602"/>
    <n v="14410"/>
    <n v="2068.320917"/>
    <x v="1"/>
    <x v="9"/>
  </r>
  <r>
    <n v="12668"/>
    <d v="2024-10-28T00:00:00"/>
    <x v="0"/>
    <x v="2"/>
    <x v="1"/>
    <x v="0"/>
    <n v="7"/>
    <n v="66876"/>
    <x v="2651"/>
    <n v="3282"/>
    <n v="464850"/>
    <n v="113156.4173"/>
    <x v="0"/>
    <x v="8"/>
  </r>
  <r>
    <n v="12669"/>
    <d v="2024-08-18T00:00:00"/>
    <x v="0"/>
    <x v="1"/>
    <x v="0"/>
    <x v="0"/>
    <n v="7"/>
    <n v="68228"/>
    <x v="2652"/>
    <n v="2696"/>
    <n v="474900"/>
    <n v="83056.370840000003"/>
    <x v="0"/>
    <x v="6"/>
  </r>
  <r>
    <n v="12670"/>
    <d v="2025-12-31T00:00:00"/>
    <x v="4"/>
    <x v="4"/>
    <x v="2"/>
    <x v="2"/>
    <n v="8"/>
    <n v="57056"/>
    <x v="2653"/>
    <n v="4434"/>
    <n v="452014"/>
    <n v="65951.195619999999"/>
    <x v="1"/>
    <x v="3"/>
  </r>
  <r>
    <n v="12671"/>
    <d v="2024-03-06T00:00:00"/>
    <x v="0"/>
    <x v="3"/>
    <x v="2"/>
    <x v="1"/>
    <n v="7"/>
    <n v="13505"/>
    <x v="2654"/>
    <n v="4151"/>
    <n v="90384"/>
    <n v="22438.70622"/>
    <x v="0"/>
    <x v="1"/>
  </r>
  <r>
    <n v="12672"/>
    <d v="2024-04-21T00:00:00"/>
    <x v="0"/>
    <x v="1"/>
    <x v="2"/>
    <x v="1"/>
    <n v="7"/>
    <n v="25498"/>
    <x v="2655"/>
    <n v="3833"/>
    <n v="174653"/>
    <n v="40462.069439999999"/>
    <x v="0"/>
    <x v="0"/>
  </r>
  <r>
    <n v="12673"/>
    <d v="2024-01-13T00:00:00"/>
    <x v="1"/>
    <x v="3"/>
    <x v="2"/>
    <x v="2"/>
    <n v="9"/>
    <n v="21505"/>
    <x v="2656"/>
    <n v="1305"/>
    <n v="192240"/>
    <n v="39190.524770000004"/>
    <x v="0"/>
    <x v="4"/>
  </r>
  <r>
    <n v="12674"/>
    <d v="2025-01-27T00:00:00"/>
    <x v="1"/>
    <x v="2"/>
    <x v="0"/>
    <x v="2"/>
    <n v="8"/>
    <n v="67518"/>
    <x v="2657"/>
    <n v="716"/>
    <n v="539428"/>
    <n v="126356.3346"/>
    <x v="1"/>
    <x v="4"/>
  </r>
  <r>
    <n v="12675"/>
    <d v="2025-05-14T00:00:00"/>
    <x v="2"/>
    <x v="3"/>
    <x v="2"/>
    <x v="2"/>
    <n v="2"/>
    <n v="11603"/>
    <x v="2658"/>
    <n v="3655"/>
    <n v="19551"/>
    <n v="3953.6654100000001"/>
    <x v="1"/>
    <x v="5"/>
  </r>
  <r>
    <n v="12676"/>
    <d v="2025-08-20T00:00:00"/>
    <x v="4"/>
    <x v="1"/>
    <x v="2"/>
    <x v="3"/>
    <n v="2"/>
    <n v="29744"/>
    <x v="2659"/>
    <n v="2991"/>
    <n v="56497"/>
    <n v="9381.9240100000006"/>
    <x v="1"/>
    <x v="6"/>
  </r>
  <r>
    <n v="12677"/>
    <d v="2024-08-21T00:00:00"/>
    <x v="0"/>
    <x v="4"/>
    <x v="2"/>
    <x v="2"/>
    <n v="7"/>
    <n v="74218"/>
    <x v="2660"/>
    <n v="313"/>
    <n v="519213"/>
    <n v="125757.2482"/>
    <x v="0"/>
    <x v="6"/>
  </r>
  <r>
    <n v="12678"/>
    <d v="2025-08-24T00:00:00"/>
    <x v="4"/>
    <x v="0"/>
    <x v="0"/>
    <x v="0"/>
    <n v="3"/>
    <n v="18460"/>
    <x v="2661"/>
    <n v="2280"/>
    <n v="53100"/>
    <n v="12982.267750000001"/>
    <x v="1"/>
    <x v="6"/>
  </r>
  <r>
    <n v="12679"/>
    <d v="2024-11-09T00:00:00"/>
    <x v="3"/>
    <x v="3"/>
    <x v="0"/>
    <x v="3"/>
    <n v="1"/>
    <n v="58273"/>
    <x v="2662"/>
    <n v="2622"/>
    <n v="55651"/>
    <n v="8187.7237510000004"/>
    <x v="0"/>
    <x v="7"/>
  </r>
  <r>
    <n v="12680"/>
    <d v="2025-07-19T00:00:00"/>
    <x v="0"/>
    <x v="0"/>
    <x v="2"/>
    <x v="2"/>
    <n v="9"/>
    <n v="33544"/>
    <x v="2663"/>
    <n v="887"/>
    <n v="301009"/>
    <n v="46102.327790000003"/>
    <x v="1"/>
    <x v="10"/>
  </r>
  <r>
    <n v="12681"/>
    <d v="2024-01-12T00:00:00"/>
    <x v="4"/>
    <x v="3"/>
    <x v="0"/>
    <x v="0"/>
    <n v="3"/>
    <n v="11864"/>
    <x v="2664"/>
    <n v="4342"/>
    <n v="31250"/>
    <n v="4919.002066"/>
    <x v="0"/>
    <x v="4"/>
  </r>
  <r>
    <n v="12682"/>
    <d v="2024-07-27T00:00:00"/>
    <x v="2"/>
    <x v="3"/>
    <x v="1"/>
    <x v="2"/>
    <n v="1"/>
    <n v="33593"/>
    <x v="2665"/>
    <n v="2489"/>
    <n v="31104"/>
    <n v="6946.2041520000002"/>
    <x v="0"/>
    <x v="10"/>
  </r>
  <r>
    <n v="12683"/>
    <d v="2024-01-14T00:00:00"/>
    <x v="2"/>
    <x v="4"/>
    <x v="2"/>
    <x v="2"/>
    <n v="6"/>
    <n v="49657"/>
    <x v="2666"/>
    <n v="1922"/>
    <n v="296020"/>
    <n v="64731.240330000001"/>
    <x v="0"/>
    <x v="4"/>
  </r>
  <r>
    <n v="12684"/>
    <d v="2025-09-24T00:00:00"/>
    <x v="0"/>
    <x v="2"/>
    <x v="0"/>
    <x v="3"/>
    <n v="4"/>
    <n v="6729"/>
    <x v="2667"/>
    <n v="4029"/>
    <n v="22887"/>
    <n v="5663.7833099999998"/>
    <x v="1"/>
    <x v="2"/>
  </r>
  <r>
    <n v="12685"/>
    <d v="2025-02-21T00:00:00"/>
    <x v="3"/>
    <x v="1"/>
    <x v="2"/>
    <x v="0"/>
    <n v="1"/>
    <n v="49515"/>
    <x v="2668"/>
    <n v="3063"/>
    <n v="46452"/>
    <n v="7886.7158589999999"/>
    <x v="1"/>
    <x v="9"/>
  </r>
  <r>
    <n v="12686"/>
    <d v="2025-03-12T00:00:00"/>
    <x v="2"/>
    <x v="1"/>
    <x v="2"/>
    <x v="1"/>
    <n v="4"/>
    <n v="59281"/>
    <x v="2669"/>
    <n v="160"/>
    <n v="236964"/>
    <n v="49884.491650000004"/>
    <x v="1"/>
    <x v="1"/>
  </r>
  <r>
    <n v="12687"/>
    <d v="2025-01-11T00:00:00"/>
    <x v="2"/>
    <x v="1"/>
    <x v="0"/>
    <x v="2"/>
    <n v="8"/>
    <n v="39936"/>
    <x v="2670"/>
    <n v="2187"/>
    <n v="317301"/>
    <n v="72505.839269999997"/>
    <x v="1"/>
    <x v="4"/>
  </r>
  <r>
    <n v="12688"/>
    <d v="2024-01-20T00:00:00"/>
    <x v="3"/>
    <x v="2"/>
    <x v="1"/>
    <x v="3"/>
    <n v="7"/>
    <n v="17413"/>
    <x v="2671"/>
    <n v="2351"/>
    <n v="119540"/>
    <n v="15920.88299"/>
    <x v="0"/>
    <x v="4"/>
  </r>
  <r>
    <n v="12689"/>
    <d v="2025-08-09T00:00:00"/>
    <x v="4"/>
    <x v="0"/>
    <x v="2"/>
    <x v="0"/>
    <n v="1"/>
    <n v="52652"/>
    <x v="2672"/>
    <n v="1483"/>
    <n v="51169"/>
    <n v="9879.8801010000006"/>
    <x v="1"/>
    <x v="6"/>
  </r>
  <r>
    <n v="12690"/>
    <d v="2024-03-10T00:00:00"/>
    <x v="2"/>
    <x v="1"/>
    <x v="1"/>
    <x v="2"/>
    <n v="9"/>
    <n v="34764"/>
    <x v="2673"/>
    <n v="3892"/>
    <n v="308984"/>
    <n v="56283.336300000003"/>
    <x v="0"/>
    <x v="1"/>
  </r>
  <r>
    <n v="12691"/>
    <d v="2024-07-29T00:00:00"/>
    <x v="1"/>
    <x v="0"/>
    <x v="0"/>
    <x v="1"/>
    <n v="6"/>
    <n v="68784"/>
    <x v="2674"/>
    <n v="1737"/>
    <n v="410967"/>
    <n v="86888.307860000001"/>
    <x v="0"/>
    <x v="10"/>
  </r>
  <r>
    <n v="12692"/>
    <d v="2024-04-10T00:00:00"/>
    <x v="2"/>
    <x v="2"/>
    <x v="2"/>
    <x v="0"/>
    <n v="2"/>
    <n v="50741"/>
    <x v="2675"/>
    <n v="4220"/>
    <n v="97262"/>
    <n v="19872.00747"/>
    <x v="0"/>
    <x v="0"/>
  </r>
  <r>
    <n v="12693"/>
    <d v="2025-11-28T00:00:00"/>
    <x v="4"/>
    <x v="2"/>
    <x v="0"/>
    <x v="0"/>
    <n v="3"/>
    <n v="78204"/>
    <x v="2676"/>
    <n v="1908"/>
    <n v="232704"/>
    <n v="51641.413760000003"/>
    <x v="1"/>
    <x v="7"/>
  </r>
  <r>
    <n v="12694"/>
    <d v="2024-05-11T00:00:00"/>
    <x v="4"/>
    <x v="4"/>
    <x v="0"/>
    <x v="3"/>
    <n v="7"/>
    <n v="64773"/>
    <x v="2677"/>
    <n v="1370"/>
    <n v="452041"/>
    <n v="66301.657449999999"/>
    <x v="0"/>
    <x v="5"/>
  </r>
  <r>
    <n v="12695"/>
    <d v="2025-09-14T00:00:00"/>
    <x v="0"/>
    <x v="1"/>
    <x v="0"/>
    <x v="2"/>
    <n v="3"/>
    <n v="79432"/>
    <x v="2678"/>
    <n v="1977"/>
    <n v="236319"/>
    <n v="31301.268919999999"/>
    <x v="1"/>
    <x v="2"/>
  </r>
  <r>
    <n v="12696"/>
    <d v="2025-01-15T00:00:00"/>
    <x v="1"/>
    <x v="4"/>
    <x v="0"/>
    <x v="2"/>
    <n v="3"/>
    <n v="24283"/>
    <x v="2679"/>
    <n v="3395"/>
    <n v="69454"/>
    <n v="15334.0409"/>
    <x v="1"/>
    <x v="4"/>
  </r>
  <r>
    <n v="12697"/>
    <d v="2024-05-11T00:00:00"/>
    <x v="4"/>
    <x v="1"/>
    <x v="2"/>
    <x v="0"/>
    <n v="5"/>
    <n v="30282"/>
    <x v="2680"/>
    <n v="2454"/>
    <n v="148956"/>
    <n v="22951.812959999999"/>
    <x v="0"/>
    <x v="5"/>
  </r>
  <r>
    <n v="12698"/>
    <d v="2024-01-20T00:00:00"/>
    <x v="3"/>
    <x v="2"/>
    <x v="1"/>
    <x v="2"/>
    <n v="3"/>
    <n v="69560"/>
    <x v="2681"/>
    <n v="4259"/>
    <n v="204421"/>
    <n v="29260.011139999999"/>
    <x v="0"/>
    <x v="4"/>
  </r>
  <r>
    <n v="12699"/>
    <d v="2025-06-19T00:00:00"/>
    <x v="1"/>
    <x v="2"/>
    <x v="1"/>
    <x v="0"/>
    <n v="3"/>
    <n v="78210"/>
    <x v="2682"/>
    <n v="4957"/>
    <n v="229673"/>
    <n v="34571.018179999999"/>
    <x v="1"/>
    <x v="11"/>
  </r>
  <r>
    <n v="12700"/>
    <d v="2024-08-14T00:00:00"/>
    <x v="1"/>
    <x v="3"/>
    <x v="2"/>
    <x v="1"/>
    <n v="5"/>
    <n v="57984"/>
    <x v="2683"/>
    <n v="2287"/>
    <n v="287633"/>
    <n v="31626.139630000001"/>
    <x v="0"/>
    <x v="6"/>
  </r>
  <r>
    <n v="12701"/>
    <d v="2024-06-02T00:00:00"/>
    <x v="3"/>
    <x v="3"/>
    <x v="2"/>
    <x v="3"/>
    <n v="5"/>
    <n v="23392"/>
    <x v="2684"/>
    <n v="1236"/>
    <n v="115724"/>
    <n v="24993.103449999999"/>
    <x v="0"/>
    <x v="11"/>
  </r>
  <r>
    <n v="12702"/>
    <d v="2025-04-13T00:00:00"/>
    <x v="2"/>
    <x v="2"/>
    <x v="1"/>
    <x v="2"/>
    <n v="9"/>
    <n v="9721"/>
    <x v="2685"/>
    <n v="3174"/>
    <n v="84315"/>
    <n v="17476.30299"/>
    <x v="1"/>
    <x v="0"/>
  </r>
  <r>
    <n v="12703"/>
    <d v="2025-02-08T00:00:00"/>
    <x v="3"/>
    <x v="2"/>
    <x v="1"/>
    <x v="2"/>
    <n v="1"/>
    <n v="34197"/>
    <x v="2686"/>
    <n v="1206"/>
    <n v="32991"/>
    <n v="6034.1815120000001"/>
    <x v="1"/>
    <x v="9"/>
  </r>
  <r>
    <n v="12704"/>
    <d v="2024-07-20T00:00:00"/>
    <x v="3"/>
    <x v="0"/>
    <x v="2"/>
    <x v="3"/>
    <n v="1"/>
    <n v="31173"/>
    <x v="2687"/>
    <n v="504"/>
    <n v="30669"/>
    <n v="6361.1415370000004"/>
    <x v="0"/>
    <x v="10"/>
  </r>
  <r>
    <n v="12705"/>
    <d v="2024-02-07T00:00:00"/>
    <x v="2"/>
    <x v="0"/>
    <x v="0"/>
    <x v="1"/>
    <n v="9"/>
    <n v="6066"/>
    <x v="2688"/>
    <n v="3767"/>
    <n v="50827"/>
    <n v="7927.4859200000001"/>
    <x v="0"/>
    <x v="9"/>
  </r>
  <r>
    <n v="12706"/>
    <d v="2024-07-06T00:00:00"/>
    <x v="2"/>
    <x v="4"/>
    <x v="2"/>
    <x v="1"/>
    <n v="5"/>
    <n v="64418"/>
    <x v="2689"/>
    <n v="4620"/>
    <n v="317470"/>
    <n v="45812.623090000001"/>
    <x v="0"/>
    <x v="10"/>
  </r>
  <r>
    <n v="12707"/>
    <d v="2024-02-26T00:00:00"/>
    <x v="2"/>
    <x v="3"/>
    <x v="1"/>
    <x v="1"/>
    <n v="4"/>
    <n v="72454"/>
    <x v="2690"/>
    <n v="1403"/>
    <n v="288413"/>
    <n v="66146.122289999999"/>
    <x v="0"/>
    <x v="9"/>
  </r>
  <r>
    <n v="12708"/>
    <d v="2024-01-20T00:00:00"/>
    <x v="2"/>
    <x v="3"/>
    <x v="0"/>
    <x v="1"/>
    <n v="2"/>
    <n v="79993"/>
    <x v="2691"/>
    <n v="1767"/>
    <n v="158219"/>
    <n v="25847.950949999999"/>
    <x v="0"/>
    <x v="4"/>
  </r>
  <r>
    <n v="12709"/>
    <d v="2024-09-29T00:00:00"/>
    <x v="2"/>
    <x v="2"/>
    <x v="1"/>
    <x v="1"/>
    <n v="9"/>
    <n v="19282"/>
    <x v="2692"/>
    <n v="3733"/>
    <n v="169805"/>
    <n v="21970.52995"/>
    <x v="0"/>
    <x v="2"/>
  </r>
  <r>
    <n v="12710"/>
    <d v="2024-04-28T00:00:00"/>
    <x v="3"/>
    <x v="2"/>
    <x v="0"/>
    <x v="0"/>
    <n v="6"/>
    <n v="29815"/>
    <x v="2693"/>
    <n v="700"/>
    <n v="178190"/>
    <n v="37839.820299999999"/>
    <x v="0"/>
    <x v="0"/>
  </r>
  <r>
    <n v="12711"/>
    <d v="2025-08-05T00:00:00"/>
    <x v="0"/>
    <x v="4"/>
    <x v="1"/>
    <x v="2"/>
    <n v="9"/>
    <n v="27594"/>
    <x v="2694"/>
    <n v="3204"/>
    <n v="245142"/>
    <n v="36864.644719999997"/>
    <x v="1"/>
    <x v="6"/>
  </r>
  <r>
    <n v="12712"/>
    <d v="2025-05-30T00:00:00"/>
    <x v="0"/>
    <x v="3"/>
    <x v="0"/>
    <x v="2"/>
    <n v="5"/>
    <n v="77984"/>
    <x v="2695"/>
    <n v="4145"/>
    <n v="385775"/>
    <n v="50836.54034"/>
    <x v="1"/>
    <x v="5"/>
  </r>
  <r>
    <n v="12713"/>
    <d v="2024-08-08T00:00:00"/>
    <x v="4"/>
    <x v="0"/>
    <x v="2"/>
    <x v="2"/>
    <n v="4"/>
    <n v="61511"/>
    <x v="2696"/>
    <n v="3005"/>
    <n v="243039"/>
    <n v="25296.019629999999"/>
    <x v="0"/>
    <x v="6"/>
  </r>
  <r>
    <n v="12714"/>
    <d v="2025-06-09T00:00:00"/>
    <x v="0"/>
    <x v="1"/>
    <x v="2"/>
    <x v="0"/>
    <n v="7"/>
    <n v="71678"/>
    <x v="2697"/>
    <n v="4790"/>
    <n v="496956"/>
    <n v="122047.5551"/>
    <x v="1"/>
    <x v="11"/>
  </r>
  <r>
    <n v="12715"/>
    <d v="2025-05-29T00:00:00"/>
    <x v="0"/>
    <x v="4"/>
    <x v="0"/>
    <x v="3"/>
    <n v="5"/>
    <n v="71951"/>
    <x v="2698"/>
    <n v="4121"/>
    <n v="355634"/>
    <n v="60490.998919999998"/>
    <x v="1"/>
    <x v="5"/>
  </r>
  <r>
    <n v="12716"/>
    <d v="2025-12-28T00:00:00"/>
    <x v="3"/>
    <x v="1"/>
    <x v="0"/>
    <x v="1"/>
    <n v="8"/>
    <n v="11374"/>
    <x v="2699"/>
    <n v="4082"/>
    <n v="86910"/>
    <n v="10799.756509999999"/>
    <x v="1"/>
    <x v="3"/>
  </r>
  <r>
    <n v="12717"/>
    <d v="2024-12-01T00:00:00"/>
    <x v="2"/>
    <x v="0"/>
    <x v="2"/>
    <x v="3"/>
    <n v="8"/>
    <n v="31974"/>
    <x v="2700"/>
    <n v="10"/>
    <n v="255782"/>
    <n v="54653.3681"/>
    <x v="0"/>
    <x v="3"/>
  </r>
  <r>
    <n v="12718"/>
    <d v="2025-11-28T00:00:00"/>
    <x v="2"/>
    <x v="0"/>
    <x v="2"/>
    <x v="1"/>
    <n v="2"/>
    <n v="74178"/>
    <x v="2701"/>
    <n v="4903"/>
    <n v="143453"/>
    <n v="33445.73259"/>
    <x v="1"/>
    <x v="7"/>
  </r>
  <r>
    <n v="12719"/>
    <d v="2024-02-24T00:00:00"/>
    <x v="3"/>
    <x v="1"/>
    <x v="0"/>
    <x v="1"/>
    <n v="5"/>
    <n v="36914"/>
    <x v="2702"/>
    <n v="2058"/>
    <n v="182512"/>
    <n v="32705.274140000001"/>
    <x v="0"/>
    <x v="9"/>
  </r>
  <r>
    <n v="12720"/>
    <d v="2025-05-14T00:00:00"/>
    <x v="0"/>
    <x v="4"/>
    <x v="0"/>
    <x v="3"/>
    <n v="8"/>
    <n v="55014"/>
    <x v="2703"/>
    <n v="3677"/>
    <n v="436435"/>
    <n v="45500.05906"/>
    <x v="1"/>
    <x v="5"/>
  </r>
  <r>
    <n v="12721"/>
    <d v="2025-06-19T00:00:00"/>
    <x v="3"/>
    <x v="1"/>
    <x v="2"/>
    <x v="2"/>
    <n v="3"/>
    <n v="66379"/>
    <x v="2704"/>
    <n v="2819"/>
    <n v="196318"/>
    <n v="30384.42038"/>
    <x v="1"/>
    <x v="11"/>
  </r>
  <r>
    <n v="12722"/>
    <d v="2024-06-10T00:00:00"/>
    <x v="4"/>
    <x v="4"/>
    <x v="1"/>
    <x v="0"/>
    <n v="7"/>
    <n v="14347"/>
    <x v="2705"/>
    <n v="972"/>
    <n v="99457"/>
    <n v="13572.42391"/>
    <x v="0"/>
    <x v="11"/>
  </r>
  <r>
    <n v="12723"/>
    <d v="2025-10-31T00:00:00"/>
    <x v="2"/>
    <x v="4"/>
    <x v="2"/>
    <x v="3"/>
    <n v="3"/>
    <n v="64015"/>
    <x v="2706"/>
    <n v="3792"/>
    <n v="188253"/>
    <n v="36795.859929999999"/>
    <x v="1"/>
    <x v="8"/>
  </r>
  <r>
    <n v="12724"/>
    <d v="2025-08-16T00:00:00"/>
    <x v="1"/>
    <x v="2"/>
    <x v="0"/>
    <x v="2"/>
    <n v="6"/>
    <n v="71864"/>
    <x v="2707"/>
    <n v="2454"/>
    <n v="428730"/>
    <n v="76240.485799999995"/>
    <x v="1"/>
    <x v="6"/>
  </r>
  <r>
    <n v="12725"/>
    <d v="2024-06-07T00:00:00"/>
    <x v="4"/>
    <x v="3"/>
    <x v="0"/>
    <x v="1"/>
    <n v="2"/>
    <n v="55181"/>
    <x v="2708"/>
    <n v="841"/>
    <n v="109521"/>
    <n v="16796.198230000002"/>
    <x v="0"/>
    <x v="11"/>
  </r>
  <r>
    <n v="12726"/>
    <d v="2024-07-06T00:00:00"/>
    <x v="4"/>
    <x v="3"/>
    <x v="1"/>
    <x v="2"/>
    <n v="6"/>
    <n v="23760"/>
    <x v="2709"/>
    <n v="4454"/>
    <n v="138106"/>
    <n v="27244.96759"/>
    <x v="0"/>
    <x v="10"/>
  </r>
  <r>
    <n v="12727"/>
    <d v="2024-02-29T00:00:00"/>
    <x v="3"/>
    <x v="0"/>
    <x v="2"/>
    <x v="1"/>
    <n v="6"/>
    <n v="8140"/>
    <x v="2710"/>
    <n v="284"/>
    <n v="48556"/>
    <n v="9112.2322330000006"/>
    <x v="0"/>
    <x v="9"/>
  </r>
  <r>
    <n v="12728"/>
    <d v="2024-11-14T00:00:00"/>
    <x v="0"/>
    <x v="2"/>
    <x v="0"/>
    <x v="1"/>
    <n v="8"/>
    <n v="79266"/>
    <x v="2711"/>
    <n v="2435"/>
    <n v="631693"/>
    <n v="149062.8199"/>
    <x v="0"/>
    <x v="7"/>
  </r>
  <r>
    <n v="12729"/>
    <d v="2024-07-29T00:00:00"/>
    <x v="2"/>
    <x v="3"/>
    <x v="2"/>
    <x v="2"/>
    <n v="5"/>
    <n v="67176"/>
    <x v="2712"/>
    <n v="2831"/>
    <n v="333049"/>
    <n v="63119.593970000002"/>
    <x v="0"/>
    <x v="10"/>
  </r>
  <r>
    <n v="12730"/>
    <d v="2025-02-09T00:00:00"/>
    <x v="1"/>
    <x v="4"/>
    <x v="0"/>
    <x v="1"/>
    <n v="1"/>
    <n v="19057"/>
    <x v="2713"/>
    <n v="4520"/>
    <n v="14537"/>
    <n v="2560.79115"/>
    <x v="1"/>
    <x v="9"/>
  </r>
  <r>
    <n v="12731"/>
    <d v="2025-10-25T00:00:00"/>
    <x v="4"/>
    <x v="4"/>
    <x v="1"/>
    <x v="0"/>
    <n v="8"/>
    <n v="74093"/>
    <x v="2714"/>
    <n v="1029"/>
    <n v="591715"/>
    <n v="132278.19159999999"/>
    <x v="1"/>
    <x v="8"/>
  </r>
  <r>
    <n v="12732"/>
    <d v="2024-04-18T00:00:00"/>
    <x v="1"/>
    <x v="1"/>
    <x v="2"/>
    <x v="2"/>
    <n v="9"/>
    <n v="34114"/>
    <x v="2715"/>
    <n v="4451"/>
    <n v="302575"/>
    <n v="39444.569710000003"/>
    <x v="0"/>
    <x v="0"/>
  </r>
  <r>
    <n v="12733"/>
    <d v="2024-03-16T00:00:00"/>
    <x v="0"/>
    <x v="1"/>
    <x v="2"/>
    <x v="3"/>
    <n v="1"/>
    <n v="61215"/>
    <x v="2716"/>
    <n v="2966"/>
    <n v="58249"/>
    <n v="7953.0093139999999"/>
    <x v="0"/>
    <x v="1"/>
  </r>
  <r>
    <n v="12734"/>
    <d v="2025-06-25T00:00:00"/>
    <x v="0"/>
    <x v="4"/>
    <x v="1"/>
    <x v="1"/>
    <n v="5"/>
    <n v="23580"/>
    <x v="2717"/>
    <n v="553"/>
    <n v="117347"/>
    <n v="25527.193500000001"/>
    <x v="1"/>
    <x v="11"/>
  </r>
  <r>
    <n v="12735"/>
    <d v="2024-11-09T00:00:00"/>
    <x v="1"/>
    <x v="4"/>
    <x v="0"/>
    <x v="1"/>
    <n v="6"/>
    <n v="14802"/>
    <x v="2718"/>
    <n v="267"/>
    <n v="88545"/>
    <n v="14729.68513"/>
    <x v="0"/>
    <x v="7"/>
  </r>
  <r>
    <n v="12736"/>
    <d v="2024-04-26T00:00:00"/>
    <x v="2"/>
    <x v="1"/>
    <x v="0"/>
    <x v="0"/>
    <n v="4"/>
    <n v="74543"/>
    <x v="2719"/>
    <n v="1240"/>
    <n v="296932"/>
    <n v="47920.48345"/>
    <x v="0"/>
    <x v="0"/>
  </r>
  <r>
    <n v="12737"/>
    <d v="2025-12-04T00:00:00"/>
    <x v="0"/>
    <x v="3"/>
    <x v="2"/>
    <x v="0"/>
    <n v="2"/>
    <n v="9675"/>
    <x v="2720"/>
    <n v="4159"/>
    <n v="15191"/>
    <n v="3540.4401809999999"/>
    <x v="1"/>
    <x v="3"/>
  </r>
  <r>
    <n v="12738"/>
    <d v="2024-01-19T00:00:00"/>
    <x v="1"/>
    <x v="0"/>
    <x v="1"/>
    <x v="3"/>
    <n v="5"/>
    <n v="19058"/>
    <x v="2721"/>
    <n v="2489"/>
    <n v="92801"/>
    <n v="17772.90927"/>
    <x v="0"/>
    <x v="4"/>
  </r>
  <r>
    <n v="12739"/>
    <d v="2025-03-07T00:00:00"/>
    <x v="4"/>
    <x v="1"/>
    <x v="2"/>
    <x v="1"/>
    <n v="4"/>
    <n v="54001"/>
    <x v="2722"/>
    <n v="2588"/>
    <n v="213416"/>
    <n v="47044.648569999998"/>
    <x v="1"/>
    <x v="1"/>
  </r>
  <r>
    <n v="12740"/>
    <d v="2025-11-15T00:00:00"/>
    <x v="1"/>
    <x v="3"/>
    <x v="2"/>
    <x v="3"/>
    <n v="7"/>
    <n v="42519"/>
    <x v="2723"/>
    <n v="469"/>
    <n v="297164"/>
    <n v="65814.643719999993"/>
    <x v="1"/>
    <x v="7"/>
  </r>
  <r>
    <n v="12741"/>
    <d v="2024-12-15T00:00:00"/>
    <x v="1"/>
    <x v="3"/>
    <x v="0"/>
    <x v="3"/>
    <n v="6"/>
    <n v="76755"/>
    <x v="2724"/>
    <n v="3287"/>
    <n v="457243"/>
    <n v="53956.502399999998"/>
    <x v="0"/>
    <x v="3"/>
  </r>
  <r>
    <n v="12742"/>
    <d v="2024-07-01T00:00:00"/>
    <x v="3"/>
    <x v="3"/>
    <x v="0"/>
    <x v="1"/>
    <n v="3"/>
    <n v="20445"/>
    <x v="2725"/>
    <n v="3936"/>
    <n v="57399"/>
    <n v="11368.17958"/>
    <x v="0"/>
    <x v="10"/>
  </r>
  <r>
    <n v="12743"/>
    <d v="2024-04-22T00:00:00"/>
    <x v="0"/>
    <x v="2"/>
    <x v="0"/>
    <x v="3"/>
    <n v="9"/>
    <n v="78954"/>
    <x v="2726"/>
    <n v="2019"/>
    <n v="708567"/>
    <n v="172094.9467"/>
    <x v="0"/>
    <x v="0"/>
  </r>
  <r>
    <n v="12744"/>
    <d v="2024-07-01T00:00:00"/>
    <x v="2"/>
    <x v="2"/>
    <x v="0"/>
    <x v="3"/>
    <n v="4"/>
    <n v="33695"/>
    <x v="2727"/>
    <n v="2023"/>
    <n v="132757"/>
    <n v="22834.743450000002"/>
    <x v="0"/>
    <x v="10"/>
  </r>
  <r>
    <n v="12745"/>
    <d v="2025-04-25T00:00:00"/>
    <x v="2"/>
    <x v="3"/>
    <x v="0"/>
    <x v="0"/>
    <n v="5"/>
    <n v="56227"/>
    <x v="2728"/>
    <n v="1589"/>
    <n v="279546"/>
    <n v="58656.400249999999"/>
    <x v="1"/>
    <x v="0"/>
  </r>
  <r>
    <n v="12746"/>
    <d v="2024-05-25T00:00:00"/>
    <x v="3"/>
    <x v="4"/>
    <x v="1"/>
    <x v="0"/>
    <n v="3"/>
    <n v="35185"/>
    <x v="2729"/>
    <n v="4973"/>
    <n v="100582"/>
    <n v="18608.669279999998"/>
    <x v="0"/>
    <x v="5"/>
  </r>
  <r>
    <n v="12747"/>
    <d v="2025-09-19T00:00:00"/>
    <x v="2"/>
    <x v="2"/>
    <x v="2"/>
    <x v="3"/>
    <n v="8"/>
    <n v="50908"/>
    <x v="2730"/>
    <n v="2060"/>
    <n v="405204"/>
    <n v="52971.061220000003"/>
    <x v="1"/>
    <x v="2"/>
  </r>
  <r>
    <n v="12748"/>
    <d v="2024-04-22T00:00:00"/>
    <x v="1"/>
    <x v="1"/>
    <x v="1"/>
    <x v="1"/>
    <n v="7"/>
    <n v="48631"/>
    <x v="2731"/>
    <n v="4317"/>
    <n v="336100"/>
    <n v="43450.68765"/>
    <x v="0"/>
    <x v="0"/>
  </r>
  <r>
    <n v="12749"/>
    <d v="2025-04-20T00:00:00"/>
    <x v="3"/>
    <x v="2"/>
    <x v="2"/>
    <x v="0"/>
    <n v="7"/>
    <n v="52993"/>
    <x v="2732"/>
    <n v="1419"/>
    <n v="369532"/>
    <n v="61000.48558"/>
    <x v="1"/>
    <x v="0"/>
  </r>
  <r>
    <n v="12750"/>
    <d v="2024-10-29T00:00:00"/>
    <x v="4"/>
    <x v="4"/>
    <x v="0"/>
    <x v="3"/>
    <n v="8"/>
    <n v="7078"/>
    <x v="2733"/>
    <n v="880"/>
    <n v="55744"/>
    <n v="9612.9739819999995"/>
    <x v="0"/>
    <x v="8"/>
  </r>
  <r>
    <n v="12751"/>
    <d v="2024-04-27T00:00:00"/>
    <x v="0"/>
    <x v="0"/>
    <x v="1"/>
    <x v="2"/>
    <n v="7"/>
    <n v="28778"/>
    <x v="2734"/>
    <n v="838"/>
    <n v="200608"/>
    <n v="35200.658960000001"/>
    <x v="0"/>
    <x v="0"/>
  </r>
  <r>
    <n v="12752"/>
    <d v="2024-06-09T00:00:00"/>
    <x v="0"/>
    <x v="2"/>
    <x v="2"/>
    <x v="2"/>
    <n v="3"/>
    <n v="28397"/>
    <x v="2735"/>
    <n v="751"/>
    <n v="84440"/>
    <n v="20540.03959"/>
    <x v="0"/>
    <x v="11"/>
  </r>
  <r>
    <n v="12753"/>
    <d v="2025-02-04T00:00:00"/>
    <x v="0"/>
    <x v="3"/>
    <x v="0"/>
    <x v="3"/>
    <n v="3"/>
    <n v="73857"/>
    <x v="2736"/>
    <n v="269"/>
    <n v="221302"/>
    <n v="25458.179670000001"/>
    <x v="1"/>
    <x v="9"/>
  </r>
  <r>
    <n v="12754"/>
    <d v="2024-07-16T00:00:00"/>
    <x v="1"/>
    <x v="3"/>
    <x v="0"/>
    <x v="2"/>
    <n v="2"/>
    <n v="17337"/>
    <x v="2737"/>
    <n v="3369"/>
    <n v="31305"/>
    <n v="4917.3584129999999"/>
    <x v="0"/>
    <x v="10"/>
  </r>
  <r>
    <n v="12755"/>
    <d v="2024-09-16T00:00:00"/>
    <x v="4"/>
    <x v="3"/>
    <x v="1"/>
    <x v="0"/>
    <n v="1"/>
    <n v="11011"/>
    <x v="2738"/>
    <n v="4827"/>
    <n v="6184"/>
    <n v="1095.694201"/>
    <x v="0"/>
    <x v="2"/>
  </r>
  <r>
    <n v="12756"/>
    <d v="2025-10-21T00:00:00"/>
    <x v="3"/>
    <x v="0"/>
    <x v="1"/>
    <x v="1"/>
    <n v="5"/>
    <n v="44855"/>
    <x v="2739"/>
    <n v="4711"/>
    <n v="219564"/>
    <n v="53676.132830000002"/>
    <x v="1"/>
    <x v="8"/>
  </r>
  <r>
    <n v="12757"/>
    <d v="2024-02-16T00:00:00"/>
    <x v="3"/>
    <x v="4"/>
    <x v="1"/>
    <x v="3"/>
    <n v="4"/>
    <n v="51845"/>
    <x v="2740"/>
    <n v="3503"/>
    <n v="203877"/>
    <n v="35810.428789999998"/>
    <x v="0"/>
    <x v="9"/>
  </r>
  <r>
    <n v="12758"/>
    <d v="2025-02-02T00:00:00"/>
    <x v="0"/>
    <x v="1"/>
    <x v="0"/>
    <x v="0"/>
    <n v="2"/>
    <n v="25046"/>
    <x v="2741"/>
    <n v="3960"/>
    <n v="46132"/>
    <n v="9977.9529280000006"/>
    <x v="1"/>
    <x v="9"/>
  </r>
  <r>
    <n v="12759"/>
    <d v="2025-12-10T00:00:00"/>
    <x v="4"/>
    <x v="4"/>
    <x v="2"/>
    <x v="1"/>
    <n v="1"/>
    <n v="11618"/>
    <x v="2742"/>
    <n v="2075"/>
    <n v="9543"/>
    <n v="2026.8541479999999"/>
    <x v="1"/>
    <x v="3"/>
  </r>
  <r>
    <n v="12760"/>
    <d v="2025-07-12T00:00:00"/>
    <x v="4"/>
    <x v="0"/>
    <x v="2"/>
    <x v="2"/>
    <n v="3"/>
    <n v="77435"/>
    <x v="2743"/>
    <n v="1312"/>
    <n v="230993"/>
    <n v="42725.991549999999"/>
    <x v="1"/>
    <x v="10"/>
  </r>
  <r>
    <n v="12761"/>
    <d v="2024-03-18T00:00:00"/>
    <x v="4"/>
    <x v="3"/>
    <x v="1"/>
    <x v="2"/>
    <n v="6"/>
    <n v="36322"/>
    <x v="2744"/>
    <n v="2284"/>
    <n v="215648"/>
    <n v="25792.679380000001"/>
    <x v="0"/>
    <x v="1"/>
  </r>
  <r>
    <n v="12762"/>
    <d v="2024-05-03T00:00:00"/>
    <x v="2"/>
    <x v="4"/>
    <x v="2"/>
    <x v="2"/>
    <n v="2"/>
    <n v="38797"/>
    <x v="2745"/>
    <n v="383"/>
    <n v="77211"/>
    <n v="10254.686809999999"/>
    <x v="0"/>
    <x v="5"/>
  </r>
  <r>
    <n v="12763"/>
    <d v="2024-03-15T00:00:00"/>
    <x v="2"/>
    <x v="1"/>
    <x v="0"/>
    <x v="2"/>
    <n v="7"/>
    <n v="20128"/>
    <x v="2746"/>
    <n v="4180"/>
    <n v="136716"/>
    <n v="18596.252339999999"/>
    <x v="0"/>
    <x v="1"/>
  </r>
  <r>
    <n v="12764"/>
    <d v="2024-05-16T00:00:00"/>
    <x v="0"/>
    <x v="3"/>
    <x v="2"/>
    <x v="0"/>
    <n v="7"/>
    <n v="38179"/>
    <x v="2747"/>
    <n v="4341"/>
    <n v="262912"/>
    <n v="27815.81279"/>
    <x v="0"/>
    <x v="5"/>
  </r>
  <r>
    <n v="12765"/>
    <d v="2025-08-24T00:00:00"/>
    <x v="4"/>
    <x v="1"/>
    <x v="0"/>
    <x v="0"/>
    <n v="3"/>
    <n v="72517"/>
    <x v="2748"/>
    <n v="2808"/>
    <n v="214743"/>
    <n v="33689.461960000001"/>
    <x v="1"/>
    <x v="6"/>
  </r>
  <r>
    <n v="12766"/>
    <d v="2025-02-03T00:00:00"/>
    <x v="4"/>
    <x v="2"/>
    <x v="1"/>
    <x v="1"/>
    <n v="1"/>
    <n v="39073"/>
    <x v="2749"/>
    <n v="803"/>
    <n v="38270"/>
    <n v="7331.6540230000001"/>
    <x v="1"/>
    <x v="9"/>
  </r>
  <r>
    <n v="12767"/>
    <d v="2025-05-19T00:00:00"/>
    <x v="3"/>
    <x v="1"/>
    <x v="2"/>
    <x v="3"/>
    <n v="9"/>
    <n v="42363"/>
    <x v="2750"/>
    <n v="4335"/>
    <n v="376932"/>
    <n v="45849.987679999998"/>
    <x v="1"/>
    <x v="5"/>
  </r>
  <r>
    <n v="12768"/>
    <d v="2025-05-14T00:00:00"/>
    <x v="3"/>
    <x v="3"/>
    <x v="0"/>
    <x v="1"/>
    <n v="5"/>
    <n v="16697"/>
    <x v="2751"/>
    <n v="1096"/>
    <n v="82389"/>
    <n v="10402.056269999999"/>
    <x v="1"/>
    <x v="5"/>
  </r>
  <r>
    <n v="12769"/>
    <d v="2025-07-26T00:00:00"/>
    <x v="0"/>
    <x v="2"/>
    <x v="1"/>
    <x v="3"/>
    <n v="2"/>
    <n v="20422"/>
    <x v="2752"/>
    <n v="3742"/>
    <n v="37102"/>
    <n v="7644.791013"/>
    <x v="1"/>
    <x v="10"/>
  </r>
  <r>
    <n v="12770"/>
    <d v="2024-05-17T00:00:00"/>
    <x v="4"/>
    <x v="3"/>
    <x v="1"/>
    <x v="2"/>
    <n v="8"/>
    <n v="43380"/>
    <x v="2753"/>
    <n v="4483"/>
    <n v="342557"/>
    <n v="42952.539969999998"/>
    <x v="0"/>
    <x v="5"/>
  </r>
  <r>
    <n v="12771"/>
    <d v="2024-02-19T00:00:00"/>
    <x v="0"/>
    <x v="3"/>
    <x v="1"/>
    <x v="2"/>
    <n v="4"/>
    <n v="65857"/>
    <x v="2754"/>
    <n v="3719"/>
    <n v="259709"/>
    <n v="31243.080129999998"/>
    <x v="0"/>
    <x v="9"/>
  </r>
  <r>
    <n v="12772"/>
    <d v="2025-09-10T00:00:00"/>
    <x v="3"/>
    <x v="2"/>
    <x v="1"/>
    <x v="2"/>
    <n v="7"/>
    <n v="72573"/>
    <x v="2755"/>
    <n v="4771"/>
    <n v="503240"/>
    <n v="124137.3726"/>
    <x v="1"/>
    <x v="2"/>
  </r>
  <r>
    <n v="12773"/>
    <d v="2025-09-16T00:00:00"/>
    <x v="3"/>
    <x v="1"/>
    <x v="2"/>
    <x v="2"/>
    <n v="5"/>
    <n v="26259"/>
    <x v="2756"/>
    <n v="2696"/>
    <n v="128599"/>
    <n v="13144.14136"/>
    <x v="1"/>
    <x v="2"/>
  </r>
  <r>
    <n v="12774"/>
    <d v="2024-09-10T00:00:00"/>
    <x v="2"/>
    <x v="0"/>
    <x v="0"/>
    <x v="0"/>
    <n v="3"/>
    <n v="77622"/>
    <x v="2757"/>
    <n v="4266"/>
    <n v="228600"/>
    <n v="34018.24613"/>
    <x v="0"/>
    <x v="2"/>
  </r>
  <r>
    <n v="12775"/>
    <d v="2025-09-21T00:00:00"/>
    <x v="0"/>
    <x v="0"/>
    <x v="2"/>
    <x v="1"/>
    <n v="8"/>
    <n v="6149"/>
    <x v="2758"/>
    <n v="808"/>
    <n v="48384"/>
    <n v="5091.956314"/>
    <x v="1"/>
    <x v="2"/>
  </r>
  <r>
    <n v="12776"/>
    <d v="2025-12-10T00:00:00"/>
    <x v="0"/>
    <x v="0"/>
    <x v="0"/>
    <x v="3"/>
    <n v="2"/>
    <n v="27792"/>
    <x v="2759"/>
    <n v="2151"/>
    <n v="53433"/>
    <n v="12060.21437"/>
    <x v="1"/>
    <x v="3"/>
  </r>
  <r>
    <n v="12777"/>
    <d v="2025-07-16T00:00:00"/>
    <x v="4"/>
    <x v="0"/>
    <x v="1"/>
    <x v="3"/>
    <n v="1"/>
    <n v="21390"/>
    <x v="2760"/>
    <n v="3293"/>
    <n v="18097"/>
    <n v="3393.7368729999998"/>
    <x v="1"/>
    <x v="10"/>
  </r>
  <r>
    <n v="12778"/>
    <d v="2025-03-01T00:00:00"/>
    <x v="4"/>
    <x v="4"/>
    <x v="2"/>
    <x v="0"/>
    <n v="5"/>
    <n v="39204"/>
    <x v="2761"/>
    <n v="1305"/>
    <n v="194715"/>
    <n v="20872.04176"/>
    <x v="1"/>
    <x v="1"/>
  </r>
  <r>
    <n v="12779"/>
    <d v="2025-06-30T00:00:00"/>
    <x v="2"/>
    <x v="0"/>
    <x v="1"/>
    <x v="2"/>
    <n v="4"/>
    <n v="41018"/>
    <x v="2762"/>
    <n v="3459"/>
    <n v="160613"/>
    <n v="30886.574250000001"/>
    <x v="1"/>
    <x v="11"/>
  </r>
  <r>
    <n v="12780"/>
    <d v="2024-10-28T00:00:00"/>
    <x v="1"/>
    <x v="2"/>
    <x v="0"/>
    <x v="1"/>
    <n v="7"/>
    <n v="26471"/>
    <x v="2763"/>
    <n v="2419"/>
    <n v="182878"/>
    <n v="21664.543310000001"/>
    <x v="0"/>
    <x v="8"/>
  </r>
  <r>
    <n v="12781"/>
    <d v="2025-08-03T00:00:00"/>
    <x v="1"/>
    <x v="0"/>
    <x v="1"/>
    <x v="2"/>
    <n v="9"/>
    <n v="19263"/>
    <x v="2764"/>
    <n v="4224"/>
    <n v="169143"/>
    <n v="29491.755069999999"/>
    <x v="1"/>
    <x v="6"/>
  </r>
  <r>
    <n v="12782"/>
    <d v="2024-12-14T00:00:00"/>
    <x v="1"/>
    <x v="3"/>
    <x v="2"/>
    <x v="0"/>
    <n v="6"/>
    <n v="65309"/>
    <x v="2765"/>
    <n v="1196"/>
    <n v="390658"/>
    <n v="78292.526559999998"/>
    <x v="0"/>
    <x v="3"/>
  </r>
  <r>
    <n v="12783"/>
    <d v="2024-02-18T00:00:00"/>
    <x v="0"/>
    <x v="0"/>
    <x v="2"/>
    <x v="3"/>
    <n v="1"/>
    <n v="57451"/>
    <x v="2766"/>
    <n v="4567"/>
    <n v="52884"/>
    <n v="6466.4468889999998"/>
    <x v="0"/>
    <x v="9"/>
  </r>
  <r>
    <n v="12784"/>
    <d v="2024-03-14T00:00:00"/>
    <x v="0"/>
    <x v="1"/>
    <x v="0"/>
    <x v="0"/>
    <n v="8"/>
    <n v="75379"/>
    <x v="2767"/>
    <n v="3524"/>
    <n v="599508"/>
    <n v="104648.6544"/>
    <x v="0"/>
    <x v="1"/>
  </r>
  <r>
    <n v="12785"/>
    <d v="2025-12-04T00:00:00"/>
    <x v="3"/>
    <x v="2"/>
    <x v="0"/>
    <x v="3"/>
    <n v="2"/>
    <n v="16559"/>
    <x v="2768"/>
    <n v="1525"/>
    <n v="31593"/>
    <n v="5326.9475220000004"/>
    <x v="1"/>
    <x v="3"/>
  </r>
  <r>
    <n v="12786"/>
    <d v="2024-09-17T00:00:00"/>
    <x v="0"/>
    <x v="2"/>
    <x v="2"/>
    <x v="1"/>
    <n v="4"/>
    <n v="68728"/>
    <x v="2769"/>
    <n v="1599"/>
    <n v="273313"/>
    <n v="64874.276510000003"/>
    <x v="0"/>
    <x v="2"/>
  </r>
  <r>
    <n v="12787"/>
    <d v="2024-12-21T00:00:00"/>
    <x v="0"/>
    <x v="4"/>
    <x v="2"/>
    <x v="3"/>
    <n v="3"/>
    <n v="9952"/>
    <x v="2770"/>
    <n v="1044"/>
    <n v="28812"/>
    <n v="7184.4222870000003"/>
    <x v="0"/>
    <x v="3"/>
  </r>
  <r>
    <n v="12788"/>
    <d v="2025-08-04T00:00:00"/>
    <x v="0"/>
    <x v="3"/>
    <x v="2"/>
    <x v="1"/>
    <n v="6"/>
    <n v="66726"/>
    <x v="2771"/>
    <n v="2153"/>
    <n v="398203"/>
    <n v="78912.353210000001"/>
    <x v="1"/>
    <x v="6"/>
  </r>
  <r>
    <n v="12789"/>
    <d v="2025-08-24T00:00:00"/>
    <x v="2"/>
    <x v="2"/>
    <x v="2"/>
    <x v="2"/>
    <n v="2"/>
    <n v="45610"/>
    <x v="2772"/>
    <n v="1867"/>
    <n v="89353"/>
    <n v="20392.934519999999"/>
    <x v="1"/>
    <x v="6"/>
  </r>
  <r>
    <n v="12790"/>
    <d v="2024-09-16T00:00:00"/>
    <x v="0"/>
    <x v="1"/>
    <x v="0"/>
    <x v="2"/>
    <n v="5"/>
    <n v="7153"/>
    <x v="2773"/>
    <n v="1375"/>
    <n v="34390"/>
    <n v="6775.9405770000003"/>
    <x v="0"/>
    <x v="2"/>
  </r>
  <r>
    <n v="12791"/>
    <d v="2025-09-29T00:00:00"/>
    <x v="4"/>
    <x v="0"/>
    <x v="2"/>
    <x v="0"/>
    <n v="9"/>
    <n v="13019"/>
    <x v="2774"/>
    <n v="611"/>
    <n v="116560"/>
    <n v="26976.988890000001"/>
    <x v="1"/>
    <x v="2"/>
  </r>
  <r>
    <n v="12792"/>
    <d v="2024-10-21T00:00:00"/>
    <x v="4"/>
    <x v="2"/>
    <x v="0"/>
    <x v="1"/>
    <n v="3"/>
    <n v="42929"/>
    <x v="2775"/>
    <n v="3316"/>
    <n v="125471"/>
    <n v="20701.56164"/>
    <x v="0"/>
    <x v="8"/>
  </r>
  <r>
    <n v="12793"/>
    <d v="2025-10-02T00:00:00"/>
    <x v="3"/>
    <x v="1"/>
    <x v="2"/>
    <x v="2"/>
    <n v="2"/>
    <n v="22028"/>
    <x v="2776"/>
    <n v="1598"/>
    <n v="42458"/>
    <n v="8117.9050079999997"/>
    <x v="1"/>
    <x v="8"/>
  </r>
  <r>
    <n v="12794"/>
    <d v="2024-11-08T00:00:00"/>
    <x v="2"/>
    <x v="0"/>
    <x v="2"/>
    <x v="1"/>
    <n v="2"/>
    <n v="39620"/>
    <x v="2777"/>
    <n v="4949"/>
    <n v="74291"/>
    <n v="16847.373360000001"/>
    <x v="0"/>
    <x v="7"/>
  </r>
  <r>
    <n v="12795"/>
    <d v="2025-09-03T00:00:00"/>
    <x v="4"/>
    <x v="4"/>
    <x v="1"/>
    <x v="2"/>
    <n v="9"/>
    <n v="53474"/>
    <x v="2778"/>
    <n v="1977"/>
    <n v="479289"/>
    <n v="113933.158"/>
    <x v="1"/>
    <x v="2"/>
  </r>
  <r>
    <n v="12796"/>
    <d v="2024-06-30T00:00:00"/>
    <x v="2"/>
    <x v="2"/>
    <x v="1"/>
    <x v="2"/>
    <n v="6"/>
    <n v="15623"/>
    <x v="2779"/>
    <n v="4397"/>
    <n v="89341"/>
    <n v="9264.8770120000008"/>
    <x v="0"/>
    <x v="11"/>
  </r>
  <r>
    <n v="12797"/>
    <d v="2025-11-16T00:00:00"/>
    <x v="2"/>
    <x v="2"/>
    <x v="2"/>
    <x v="3"/>
    <n v="2"/>
    <n v="8809"/>
    <x v="2780"/>
    <n v="638"/>
    <n v="16980"/>
    <n v="1962.767507"/>
    <x v="1"/>
    <x v="7"/>
  </r>
  <r>
    <n v="12798"/>
    <d v="2024-12-29T00:00:00"/>
    <x v="3"/>
    <x v="1"/>
    <x v="0"/>
    <x v="0"/>
    <n v="3"/>
    <n v="56046"/>
    <x v="2781"/>
    <n v="4166"/>
    <n v="163972"/>
    <n v="39300.121789999997"/>
    <x v="0"/>
    <x v="3"/>
  </r>
  <r>
    <n v="12799"/>
    <d v="2024-07-06T00:00:00"/>
    <x v="2"/>
    <x v="3"/>
    <x v="2"/>
    <x v="3"/>
    <n v="1"/>
    <n v="67496"/>
    <x v="2782"/>
    <n v="1922"/>
    <n v="65574"/>
    <n v="12149.30911"/>
    <x v="0"/>
    <x v="10"/>
  </r>
  <r>
    <n v="12800"/>
    <d v="2025-07-22T00:00:00"/>
    <x v="0"/>
    <x v="4"/>
    <x v="1"/>
    <x v="1"/>
    <n v="2"/>
    <n v="36739"/>
    <x v="2783"/>
    <n v="645"/>
    <n v="72833"/>
    <n v="18101.099119999999"/>
    <x v="1"/>
    <x v="10"/>
  </r>
  <r>
    <n v="12801"/>
    <d v="2025-06-26T00:00:00"/>
    <x v="2"/>
    <x v="3"/>
    <x v="2"/>
    <x v="2"/>
    <n v="2"/>
    <n v="58452"/>
    <x v="2784"/>
    <n v="4269"/>
    <n v="112635"/>
    <n v="24655.233410000001"/>
    <x v="1"/>
    <x v="11"/>
  </r>
  <r>
    <n v="12802"/>
    <d v="2025-08-18T00:00:00"/>
    <x v="3"/>
    <x v="2"/>
    <x v="1"/>
    <x v="0"/>
    <n v="2"/>
    <n v="78324"/>
    <x v="2785"/>
    <n v="1998"/>
    <n v="154650"/>
    <n v="34443.806909999999"/>
    <x v="1"/>
    <x v="6"/>
  </r>
  <r>
    <n v="12803"/>
    <d v="2025-10-25T00:00:00"/>
    <x v="3"/>
    <x v="3"/>
    <x v="2"/>
    <x v="2"/>
    <n v="7"/>
    <n v="11977"/>
    <x v="2786"/>
    <n v="89"/>
    <n v="83750"/>
    <n v="13225.664000000001"/>
    <x v="1"/>
    <x v="8"/>
  </r>
  <r>
    <n v="12804"/>
    <d v="2025-07-01T00:00:00"/>
    <x v="3"/>
    <x v="0"/>
    <x v="2"/>
    <x v="2"/>
    <n v="3"/>
    <n v="39838"/>
    <x v="2787"/>
    <n v="3278"/>
    <n v="116236"/>
    <n v="16113.937110000001"/>
    <x v="1"/>
    <x v="10"/>
  </r>
  <r>
    <n v="12805"/>
    <d v="2025-12-25T00:00:00"/>
    <x v="4"/>
    <x v="4"/>
    <x v="0"/>
    <x v="3"/>
    <n v="4"/>
    <n v="73192"/>
    <x v="2788"/>
    <n v="2366"/>
    <n v="290402"/>
    <n v="55100.549099999997"/>
    <x v="1"/>
    <x v="3"/>
  </r>
  <r>
    <n v="12806"/>
    <d v="2025-02-11T00:00:00"/>
    <x v="0"/>
    <x v="3"/>
    <x v="1"/>
    <x v="1"/>
    <n v="2"/>
    <n v="9134"/>
    <x v="2789"/>
    <n v="823"/>
    <n v="17445"/>
    <n v="4044.7072440000002"/>
    <x v="1"/>
    <x v="9"/>
  </r>
  <r>
    <n v="12807"/>
    <d v="2025-09-09T00:00:00"/>
    <x v="4"/>
    <x v="0"/>
    <x v="1"/>
    <x v="0"/>
    <n v="5"/>
    <n v="58420"/>
    <x v="2790"/>
    <n v="550"/>
    <n v="291550"/>
    <n v="60891.610030000003"/>
    <x v="1"/>
    <x v="2"/>
  </r>
  <r>
    <n v="12808"/>
    <d v="2025-02-17T00:00:00"/>
    <x v="1"/>
    <x v="1"/>
    <x v="1"/>
    <x v="0"/>
    <n v="9"/>
    <n v="34431"/>
    <x v="2791"/>
    <n v="59"/>
    <n v="309820"/>
    <n v="52925.39529"/>
    <x v="1"/>
    <x v="9"/>
  </r>
  <r>
    <n v="12809"/>
    <d v="2024-12-07T00:00:00"/>
    <x v="0"/>
    <x v="3"/>
    <x v="0"/>
    <x v="0"/>
    <n v="9"/>
    <n v="74020"/>
    <x v="2792"/>
    <n v="4222"/>
    <n v="661958"/>
    <n v="140983.8621"/>
    <x v="0"/>
    <x v="3"/>
  </r>
  <r>
    <n v="12810"/>
    <d v="2024-08-07T00:00:00"/>
    <x v="2"/>
    <x v="4"/>
    <x v="2"/>
    <x v="1"/>
    <n v="7"/>
    <n v="54565"/>
    <x v="2793"/>
    <n v="4178"/>
    <n v="377777"/>
    <n v="76900.151440000001"/>
    <x v="0"/>
    <x v="6"/>
  </r>
  <r>
    <n v="12811"/>
    <d v="2024-06-11T00:00:00"/>
    <x v="3"/>
    <x v="0"/>
    <x v="0"/>
    <x v="0"/>
    <n v="8"/>
    <n v="61993"/>
    <x v="2794"/>
    <n v="1243"/>
    <n v="494701"/>
    <n v="117223.2179"/>
    <x v="0"/>
    <x v="11"/>
  </r>
  <r>
    <n v="12812"/>
    <d v="2024-08-07T00:00:00"/>
    <x v="1"/>
    <x v="3"/>
    <x v="2"/>
    <x v="1"/>
    <n v="5"/>
    <n v="63035"/>
    <x v="2795"/>
    <n v="3479"/>
    <n v="311696"/>
    <n v="43492.059829999998"/>
    <x v="0"/>
    <x v="6"/>
  </r>
  <r>
    <n v="12813"/>
    <d v="2024-09-26T00:00:00"/>
    <x v="0"/>
    <x v="1"/>
    <x v="0"/>
    <x v="0"/>
    <n v="5"/>
    <n v="52312"/>
    <x v="2796"/>
    <n v="945"/>
    <n v="260615"/>
    <n v="30725.653389999999"/>
    <x v="0"/>
    <x v="2"/>
  </r>
  <r>
    <n v="12814"/>
    <d v="2025-09-23T00:00:00"/>
    <x v="4"/>
    <x v="3"/>
    <x v="0"/>
    <x v="2"/>
    <n v="3"/>
    <n v="43916"/>
    <x v="2797"/>
    <n v="1640"/>
    <n v="130108"/>
    <n v="22184.412509999998"/>
    <x v="1"/>
    <x v="2"/>
  </r>
  <r>
    <n v="12815"/>
    <d v="2025-02-03T00:00:00"/>
    <x v="3"/>
    <x v="0"/>
    <x v="1"/>
    <x v="1"/>
    <n v="6"/>
    <n v="25693"/>
    <x v="2798"/>
    <n v="1952"/>
    <n v="152206"/>
    <n v="23464.399880000001"/>
    <x v="1"/>
    <x v="9"/>
  </r>
  <r>
    <n v="12816"/>
    <d v="2024-06-30T00:00:00"/>
    <x v="4"/>
    <x v="3"/>
    <x v="0"/>
    <x v="3"/>
    <n v="1"/>
    <n v="43559"/>
    <x v="2799"/>
    <n v="2633"/>
    <n v="40926"/>
    <n v="10077.1751"/>
    <x v="0"/>
    <x v="11"/>
  </r>
  <r>
    <n v="12817"/>
    <d v="2025-09-09T00:00:00"/>
    <x v="0"/>
    <x v="4"/>
    <x v="2"/>
    <x v="0"/>
    <n v="3"/>
    <n v="55058"/>
    <x v="2800"/>
    <n v="3501"/>
    <n v="161673"/>
    <n v="16349.28368"/>
    <x v="1"/>
    <x v="2"/>
  </r>
  <r>
    <n v="12818"/>
    <d v="2025-12-29T00:00:00"/>
    <x v="0"/>
    <x v="2"/>
    <x v="0"/>
    <x v="3"/>
    <n v="2"/>
    <n v="16858"/>
    <x v="2801"/>
    <n v="889"/>
    <n v="32827"/>
    <n v="7878.7248659999996"/>
    <x v="1"/>
    <x v="3"/>
  </r>
  <r>
    <n v="12819"/>
    <d v="2024-07-23T00:00:00"/>
    <x v="1"/>
    <x v="0"/>
    <x v="0"/>
    <x v="1"/>
    <n v="7"/>
    <n v="75431"/>
    <x v="2802"/>
    <n v="573"/>
    <n v="527444"/>
    <n v="128307.0208"/>
    <x v="0"/>
    <x v="10"/>
  </r>
  <r>
    <n v="12820"/>
    <d v="2025-08-04T00:00:00"/>
    <x v="2"/>
    <x v="0"/>
    <x v="2"/>
    <x v="2"/>
    <n v="9"/>
    <n v="48324"/>
    <x v="2803"/>
    <n v="512"/>
    <n v="434404"/>
    <n v="46760.878409999998"/>
    <x v="1"/>
    <x v="6"/>
  </r>
  <r>
    <n v="12821"/>
    <d v="2025-07-09T00:00:00"/>
    <x v="4"/>
    <x v="0"/>
    <x v="1"/>
    <x v="3"/>
    <n v="4"/>
    <n v="54944"/>
    <x v="2804"/>
    <n v="4160"/>
    <n v="215616"/>
    <n v="50332.423949999997"/>
    <x v="1"/>
    <x v="10"/>
  </r>
  <r>
    <n v="12822"/>
    <d v="2024-08-15T00:00:00"/>
    <x v="1"/>
    <x v="0"/>
    <x v="2"/>
    <x v="3"/>
    <n v="7"/>
    <n v="49187"/>
    <x v="2805"/>
    <n v="1964"/>
    <n v="342345"/>
    <n v="58409.817280000003"/>
    <x v="0"/>
    <x v="6"/>
  </r>
  <r>
    <n v="12823"/>
    <d v="2025-11-26T00:00:00"/>
    <x v="3"/>
    <x v="3"/>
    <x v="2"/>
    <x v="2"/>
    <n v="8"/>
    <n v="33147"/>
    <x v="2018"/>
    <n v="4051"/>
    <n v="261125"/>
    <n v="56121.666660000003"/>
    <x v="1"/>
    <x v="7"/>
  </r>
  <r>
    <n v="12824"/>
    <d v="2025-09-10T00:00:00"/>
    <x v="2"/>
    <x v="4"/>
    <x v="2"/>
    <x v="2"/>
    <n v="2"/>
    <n v="6360"/>
    <x v="2806"/>
    <n v="2230"/>
    <n v="10490"/>
    <n v="1173.708578"/>
    <x v="1"/>
    <x v="2"/>
  </r>
  <r>
    <n v="12825"/>
    <d v="2025-08-18T00:00:00"/>
    <x v="1"/>
    <x v="1"/>
    <x v="0"/>
    <x v="1"/>
    <n v="7"/>
    <n v="7048"/>
    <x v="2807"/>
    <n v="2283"/>
    <n v="47053"/>
    <n v="11447.09332"/>
    <x v="1"/>
    <x v="6"/>
  </r>
  <r>
    <n v="12826"/>
    <d v="2024-09-06T00:00:00"/>
    <x v="4"/>
    <x v="4"/>
    <x v="0"/>
    <x v="0"/>
    <n v="3"/>
    <n v="44020"/>
    <x v="2808"/>
    <n v="4984"/>
    <n v="127076"/>
    <n v="24288.324499999999"/>
    <x v="0"/>
    <x v="2"/>
  </r>
  <r>
    <n v="12827"/>
    <d v="2025-03-16T00:00:00"/>
    <x v="0"/>
    <x v="0"/>
    <x v="2"/>
    <x v="3"/>
    <n v="8"/>
    <n v="48935"/>
    <x v="2809"/>
    <n v="611"/>
    <n v="390869"/>
    <n v="91777.661550000004"/>
    <x v="1"/>
    <x v="1"/>
  </r>
  <r>
    <n v="12828"/>
    <d v="2025-06-16T00:00:00"/>
    <x v="3"/>
    <x v="3"/>
    <x v="2"/>
    <x v="3"/>
    <n v="6"/>
    <n v="27482"/>
    <x v="2810"/>
    <n v="437"/>
    <n v="164455"/>
    <n v="33046.32185"/>
    <x v="1"/>
    <x v="11"/>
  </r>
  <r>
    <n v="12829"/>
    <d v="2024-07-14T00:00:00"/>
    <x v="4"/>
    <x v="3"/>
    <x v="1"/>
    <x v="1"/>
    <n v="3"/>
    <n v="37973"/>
    <x v="2811"/>
    <n v="1459"/>
    <n v="112460"/>
    <n v="20301.452850000001"/>
    <x v="0"/>
    <x v="10"/>
  </r>
  <r>
    <n v="12830"/>
    <d v="2025-11-20T00:00:00"/>
    <x v="2"/>
    <x v="0"/>
    <x v="0"/>
    <x v="0"/>
    <n v="8"/>
    <n v="20185"/>
    <x v="2812"/>
    <n v="523"/>
    <n v="160957"/>
    <n v="20260.358179999999"/>
    <x v="1"/>
    <x v="7"/>
  </r>
  <r>
    <n v="12831"/>
    <d v="2025-06-02T00:00:00"/>
    <x v="2"/>
    <x v="3"/>
    <x v="0"/>
    <x v="1"/>
    <n v="3"/>
    <n v="24699"/>
    <x v="2813"/>
    <n v="3577"/>
    <n v="70520"/>
    <n v="8934.3987890000008"/>
    <x v="1"/>
    <x v="11"/>
  </r>
  <r>
    <n v="12832"/>
    <d v="2024-03-10T00:00:00"/>
    <x v="0"/>
    <x v="0"/>
    <x v="0"/>
    <x v="3"/>
    <n v="9"/>
    <n v="60885"/>
    <x v="2814"/>
    <n v="4895"/>
    <n v="543070"/>
    <n v="92802.812269999995"/>
    <x v="0"/>
    <x v="1"/>
  </r>
  <r>
    <n v="12833"/>
    <d v="2025-09-30T00:00:00"/>
    <x v="0"/>
    <x v="4"/>
    <x v="0"/>
    <x v="3"/>
    <n v="3"/>
    <n v="46582"/>
    <x v="2815"/>
    <n v="3398"/>
    <n v="136348"/>
    <n v="31437.258279999998"/>
    <x v="1"/>
    <x v="2"/>
  </r>
  <r>
    <n v="12834"/>
    <d v="2025-02-02T00:00:00"/>
    <x v="3"/>
    <x v="2"/>
    <x v="2"/>
    <x v="2"/>
    <n v="1"/>
    <n v="23061"/>
    <x v="2816"/>
    <n v="2261"/>
    <n v="20800"/>
    <n v="2439.4822749999998"/>
    <x v="1"/>
    <x v="9"/>
  </r>
  <r>
    <n v="12835"/>
    <d v="2025-11-02T00:00:00"/>
    <x v="3"/>
    <x v="3"/>
    <x v="2"/>
    <x v="2"/>
    <n v="2"/>
    <n v="49597"/>
    <x v="2817"/>
    <n v="1023"/>
    <n v="98171"/>
    <n v="24518.970280000001"/>
    <x v="1"/>
    <x v="7"/>
  </r>
  <r>
    <n v="12836"/>
    <d v="2024-07-21T00:00:00"/>
    <x v="0"/>
    <x v="0"/>
    <x v="1"/>
    <x v="0"/>
    <n v="4"/>
    <n v="15892"/>
    <x v="2818"/>
    <n v="1579"/>
    <n v="61989"/>
    <n v="14343.43873"/>
    <x v="0"/>
    <x v="10"/>
  </r>
  <r>
    <n v="12837"/>
    <d v="2024-05-27T00:00:00"/>
    <x v="0"/>
    <x v="0"/>
    <x v="0"/>
    <x v="3"/>
    <n v="2"/>
    <n v="28931"/>
    <x v="2819"/>
    <n v="321"/>
    <n v="57541"/>
    <n v="9142.3336330000002"/>
    <x v="0"/>
    <x v="5"/>
  </r>
  <r>
    <n v="12838"/>
    <d v="2025-04-16T00:00:00"/>
    <x v="2"/>
    <x v="3"/>
    <x v="0"/>
    <x v="3"/>
    <n v="4"/>
    <n v="29654"/>
    <x v="2820"/>
    <n v="3126"/>
    <n v="115490"/>
    <n v="15933.895399999999"/>
    <x v="1"/>
    <x v="0"/>
  </r>
  <r>
    <n v="12839"/>
    <d v="2025-10-16T00:00:00"/>
    <x v="0"/>
    <x v="1"/>
    <x v="2"/>
    <x v="2"/>
    <n v="4"/>
    <n v="63820"/>
    <x v="2821"/>
    <n v="2831"/>
    <n v="252449"/>
    <n v="60158.448830000001"/>
    <x v="1"/>
    <x v="8"/>
  </r>
  <r>
    <n v="12840"/>
    <d v="2024-07-17T00:00:00"/>
    <x v="1"/>
    <x v="0"/>
    <x v="1"/>
    <x v="1"/>
    <n v="4"/>
    <n v="58886"/>
    <x v="2822"/>
    <n v="4275"/>
    <n v="231269"/>
    <n v="27401.154200000001"/>
    <x v="0"/>
    <x v="10"/>
  </r>
  <r>
    <n v="12841"/>
    <d v="2025-03-01T00:00:00"/>
    <x v="4"/>
    <x v="3"/>
    <x v="2"/>
    <x v="1"/>
    <n v="1"/>
    <n v="77470"/>
    <x v="2823"/>
    <n v="2427"/>
    <n v="75043"/>
    <n v="11413.55179"/>
    <x v="1"/>
    <x v="1"/>
  </r>
  <r>
    <n v="12842"/>
    <d v="2025-10-27T00:00:00"/>
    <x v="0"/>
    <x v="0"/>
    <x v="0"/>
    <x v="3"/>
    <n v="9"/>
    <n v="79842"/>
    <x v="2824"/>
    <n v="2980"/>
    <n v="715598"/>
    <n v="80566.926309999995"/>
    <x v="1"/>
    <x v="8"/>
  </r>
  <r>
    <n v="12843"/>
    <d v="2025-05-06T00:00:00"/>
    <x v="3"/>
    <x v="1"/>
    <x v="0"/>
    <x v="3"/>
    <n v="7"/>
    <n v="70324"/>
    <x v="2825"/>
    <n v="3757"/>
    <n v="488511"/>
    <n v="118717.62179999999"/>
    <x v="1"/>
    <x v="5"/>
  </r>
  <r>
    <n v="12844"/>
    <d v="2024-05-21T00:00:00"/>
    <x v="1"/>
    <x v="2"/>
    <x v="1"/>
    <x v="0"/>
    <n v="2"/>
    <n v="70027"/>
    <x v="2826"/>
    <n v="449"/>
    <n v="139605"/>
    <n v="26893.98776"/>
    <x v="0"/>
    <x v="5"/>
  </r>
  <r>
    <n v="12845"/>
    <d v="2024-11-08T00:00:00"/>
    <x v="3"/>
    <x v="1"/>
    <x v="2"/>
    <x v="0"/>
    <n v="3"/>
    <n v="6425"/>
    <x v="2827"/>
    <n v="1284"/>
    <n v="17991"/>
    <n v="2706.3311979999999"/>
    <x v="0"/>
    <x v="7"/>
  </r>
  <r>
    <n v="12846"/>
    <d v="2024-06-13T00:00:00"/>
    <x v="1"/>
    <x v="4"/>
    <x v="0"/>
    <x v="2"/>
    <n v="8"/>
    <n v="6733"/>
    <x v="2828"/>
    <n v="3518"/>
    <n v="50346"/>
    <n v="7115.0213169999997"/>
    <x v="0"/>
    <x v="11"/>
  </r>
  <r>
    <n v="12847"/>
    <d v="2024-11-09T00:00:00"/>
    <x v="0"/>
    <x v="3"/>
    <x v="0"/>
    <x v="3"/>
    <n v="7"/>
    <n v="50375"/>
    <x v="2829"/>
    <n v="1660"/>
    <n v="350965"/>
    <n v="58475.733059999999"/>
    <x v="0"/>
    <x v="7"/>
  </r>
  <r>
    <n v="12848"/>
    <d v="2024-01-21T00:00:00"/>
    <x v="4"/>
    <x v="1"/>
    <x v="1"/>
    <x v="1"/>
    <n v="4"/>
    <n v="69411"/>
    <x v="2830"/>
    <n v="903"/>
    <n v="276741"/>
    <n v="31467.325669999998"/>
    <x v="0"/>
    <x v="4"/>
  </r>
  <r>
    <n v="12849"/>
    <d v="2024-03-22T00:00:00"/>
    <x v="3"/>
    <x v="2"/>
    <x v="0"/>
    <x v="0"/>
    <n v="4"/>
    <n v="15603"/>
    <x v="2831"/>
    <n v="1177"/>
    <n v="61235"/>
    <n v="14292.392260000001"/>
    <x v="0"/>
    <x v="1"/>
  </r>
  <r>
    <n v="12850"/>
    <d v="2025-08-03T00:00:00"/>
    <x v="1"/>
    <x v="0"/>
    <x v="0"/>
    <x v="2"/>
    <n v="9"/>
    <n v="17152"/>
    <x v="2832"/>
    <n v="329"/>
    <n v="154039"/>
    <n v="27209.611710000001"/>
    <x v="1"/>
    <x v="6"/>
  </r>
  <r>
    <n v="12851"/>
    <d v="2024-05-10T00:00:00"/>
    <x v="2"/>
    <x v="3"/>
    <x v="2"/>
    <x v="2"/>
    <n v="5"/>
    <n v="20801"/>
    <x v="2833"/>
    <n v="636"/>
    <n v="103369"/>
    <n v="21579.800210000001"/>
    <x v="0"/>
    <x v="5"/>
  </r>
  <r>
    <n v="12852"/>
    <d v="2025-08-21T00:00:00"/>
    <x v="0"/>
    <x v="1"/>
    <x v="1"/>
    <x v="1"/>
    <n v="5"/>
    <n v="61318"/>
    <x v="2834"/>
    <n v="1889"/>
    <n v="304701"/>
    <n v="41153.48876"/>
    <x v="1"/>
    <x v="6"/>
  </r>
  <r>
    <n v="12853"/>
    <d v="2025-12-30T00:00:00"/>
    <x v="4"/>
    <x v="2"/>
    <x v="1"/>
    <x v="0"/>
    <n v="7"/>
    <n v="21985"/>
    <x v="2835"/>
    <n v="1867"/>
    <n v="152028"/>
    <n v="26690.39889"/>
    <x v="1"/>
    <x v="3"/>
  </r>
  <r>
    <n v="12854"/>
    <d v="2024-10-31T00:00:00"/>
    <x v="0"/>
    <x v="1"/>
    <x v="1"/>
    <x v="1"/>
    <n v="1"/>
    <n v="26068"/>
    <x v="2836"/>
    <n v="2515"/>
    <n v="23553"/>
    <n v="3101.0567649999998"/>
    <x v="0"/>
    <x v="8"/>
  </r>
  <r>
    <n v="12855"/>
    <d v="2025-01-05T00:00:00"/>
    <x v="2"/>
    <x v="4"/>
    <x v="2"/>
    <x v="2"/>
    <n v="3"/>
    <n v="18531"/>
    <x v="2837"/>
    <n v="412"/>
    <n v="55181"/>
    <n v="12273.037539999999"/>
    <x v="1"/>
    <x v="4"/>
  </r>
  <r>
    <n v="12856"/>
    <d v="2025-01-18T00:00:00"/>
    <x v="4"/>
    <x v="3"/>
    <x v="1"/>
    <x v="3"/>
    <n v="2"/>
    <n v="39288"/>
    <x v="2838"/>
    <n v="3833"/>
    <n v="74743"/>
    <n v="16166.257009999999"/>
    <x v="1"/>
    <x v="4"/>
  </r>
  <r>
    <n v="12857"/>
    <d v="2025-03-20T00:00:00"/>
    <x v="2"/>
    <x v="0"/>
    <x v="0"/>
    <x v="1"/>
    <n v="6"/>
    <n v="71653"/>
    <x v="2839"/>
    <n v="2415"/>
    <n v="427503"/>
    <n v="52253.840730000004"/>
    <x v="1"/>
    <x v="1"/>
  </r>
  <r>
    <n v="12858"/>
    <d v="2025-02-28T00:00:00"/>
    <x v="0"/>
    <x v="2"/>
    <x v="1"/>
    <x v="2"/>
    <n v="6"/>
    <n v="45068"/>
    <x v="2840"/>
    <n v="2586"/>
    <n v="267822"/>
    <n v="29775.388080000001"/>
    <x v="1"/>
    <x v="9"/>
  </r>
  <r>
    <n v="12859"/>
    <d v="2024-06-09T00:00:00"/>
    <x v="1"/>
    <x v="1"/>
    <x v="0"/>
    <x v="3"/>
    <n v="1"/>
    <n v="17459"/>
    <x v="2841"/>
    <n v="1564"/>
    <n v="15895"/>
    <n v="3554.5910690000001"/>
    <x v="0"/>
    <x v="11"/>
  </r>
  <r>
    <n v="12860"/>
    <d v="2024-06-26T00:00:00"/>
    <x v="0"/>
    <x v="3"/>
    <x v="1"/>
    <x v="3"/>
    <n v="6"/>
    <n v="37554"/>
    <x v="2842"/>
    <n v="4610"/>
    <n v="220714"/>
    <n v="25701.524150000001"/>
    <x v="0"/>
    <x v="11"/>
  </r>
  <r>
    <n v="12861"/>
    <d v="2025-09-20T00:00:00"/>
    <x v="0"/>
    <x v="1"/>
    <x v="1"/>
    <x v="0"/>
    <n v="2"/>
    <n v="75313"/>
    <x v="2843"/>
    <n v="480"/>
    <n v="150146"/>
    <n v="27367.501359999998"/>
    <x v="1"/>
    <x v="2"/>
  </r>
  <r>
    <n v="12862"/>
    <d v="2025-12-08T00:00:00"/>
    <x v="0"/>
    <x v="3"/>
    <x v="2"/>
    <x v="0"/>
    <n v="4"/>
    <n v="19271"/>
    <x v="2844"/>
    <n v="2275"/>
    <n v="74809"/>
    <n v="13478.56904"/>
    <x v="1"/>
    <x v="3"/>
  </r>
  <r>
    <n v="12863"/>
    <d v="2025-05-04T00:00:00"/>
    <x v="3"/>
    <x v="4"/>
    <x v="1"/>
    <x v="2"/>
    <n v="6"/>
    <n v="8801"/>
    <x v="2845"/>
    <n v="3840"/>
    <n v="48966"/>
    <n v="6387.2038860000002"/>
    <x v="1"/>
    <x v="5"/>
  </r>
  <r>
    <n v="12864"/>
    <d v="2024-11-22T00:00:00"/>
    <x v="2"/>
    <x v="1"/>
    <x v="1"/>
    <x v="1"/>
    <n v="3"/>
    <n v="77593"/>
    <x v="2846"/>
    <n v="3311"/>
    <n v="229468"/>
    <n v="43301.407829999996"/>
    <x v="0"/>
    <x v="7"/>
  </r>
  <r>
    <n v="12865"/>
    <d v="2025-08-20T00:00:00"/>
    <x v="2"/>
    <x v="4"/>
    <x v="2"/>
    <x v="3"/>
    <n v="3"/>
    <n v="31511"/>
    <x v="2847"/>
    <n v="2882"/>
    <n v="91651"/>
    <n v="16076.80263"/>
    <x v="1"/>
    <x v="6"/>
  </r>
  <r>
    <n v="12866"/>
    <d v="2024-10-15T00:00:00"/>
    <x v="2"/>
    <x v="2"/>
    <x v="0"/>
    <x v="0"/>
    <n v="3"/>
    <n v="78046"/>
    <x v="2848"/>
    <n v="3743"/>
    <n v="230395"/>
    <n v="40636.697630000002"/>
    <x v="0"/>
    <x v="8"/>
  </r>
  <r>
    <n v="12867"/>
    <d v="2025-08-15T00:00:00"/>
    <x v="3"/>
    <x v="4"/>
    <x v="1"/>
    <x v="0"/>
    <n v="4"/>
    <n v="78635"/>
    <x v="2849"/>
    <n v="2519"/>
    <n v="312021"/>
    <n v="48037.19195"/>
    <x v="1"/>
    <x v="6"/>
  </r>
  <r>
    <n v="12868"/>
    <d v="2025-10-25T00:00:00"/>
    <x v="1"/>
    <x v="3"/>
    <x v="1"/>
    <x v="1"/>
    <n v="9"/>
    <n v="60233"/>
    <x v="2850"/>
    <n v="4613"/>
    <n v="537484"/>
    <n v="121344.6902"/>
    <x v="1"/>
    <x v="8"/>
  </r>
  <r>
    <n v="12869"/>
    <d v="2025-07-26T00:00:00"/>
    <x v="0"/>
    <x v="2"/>
    <x v="0"/>
    <x v="0"/>
    <n v="4"/>
    <n v="25011"/>
    <x v="2851"/>
    <n v="4400"/>
    <n v="95644"/>
    <n v="10774.83072"/>
    <x v="1"/>
    <x v="10"/>
  </r>
  <r>
    <n v="12870"/>
    <d v="2025-07-26T00:00:00"/>
    <x v="1"/>
    <x v="1"/>
    <x v="2"/>
    <x v="2"/>
    <n v="4"/>
    <n v="67963"/>
    <x v="2852"/>
    <n v="654"/>
    <n v="271198"/>
    <n v="44962.853999999999"/>
    <x v="1"/>
    <x v="10"/>
  </r>
  <r>
    <n v="12871"/>
    <d v="2024-12-19T00:00:00"/>
    <x v="3"/>
    <x v="1"/>
    <x v="1"/>
    <x v="1"/>
    <n v="4"/>
    <n v="53900"/>
    <x v="2853"/>
    <n v="1977"/>
    <n v="213623"/>
    <n v="29687.712479999998"/>
    <x v="0"/>
    <x v="3"/>
  </r>
  <r>
    <n v="12872"/>
    <d v="2024-01-28T00:00:00"/>
    <x v="2"/>
    <x v="3"/>
    <x v="2"/>
    <x v="3"/>
    <n v="7"/>
    <n v="25764"/>
    <x v="2854"/>
    <n v="180"/>
    <n v="180168"/>
    <n v="40945.878320000003"/>
    <x v="0"/>
    <x v="4"/>
  </r>
  <r>
    <n v="12873"/>
    <d v="2024-02-12T00:00:00"/>
    <x v="0"/>
    <x v="0"/>
    <x v="0"/>
    <x v="2"/>
    <n v="5"/>
    <n v="56694"/>
    <x v="2855"/>
    <n v="4125"/>
    <n v="279345"/>
    <n v="37365.766170000003"/>
    <x v="0"/>
    <x v="9"/>
  </r>
  <r>
    <n v="12874"/>
    <d v="2025-11-11T00:00:00"/>
    <x v="4"/>
    <x v="0"/>
    <x v="0"/>
    <x v="3"/>
    <n v="2"/>
    <n v="74986"/>
    <x v="2856"/>
    <n v="3019"/>
    <n v="146953"/>
    <n v="31602.789830000002"/>
    <x v="1"/>
    <x v="7"/>
  </r>
  <r>
    <n v="12875"/>
    <d v="2025-02-26T00:00:00"/>
    <x v="4"/>
    <x v="1"/>
    <x v="2"/>
    <x v="3"/>
    <n v="7"/>
    <n v="11960"/>
    <x v="2857"/>
    <n v="764"/>
    <n v="82956"/>
    <n v="15904.929760000001"/>
    <x v="1"/>
    <x v="9"/>
  </r>
  <r>
    <n v="12876"/>
    <d v="2025-08-20T00:00:00"/>
    <x v="1"/>
    <x v="3"/>
    <x v="0"/>
    <x v="0"/>
    <n v="3"/>
    <n v="21583"/>
    <x v="436"/>
    <n v="4135"/>
    <n v="60614"/>
    <n v="14015.080480000001"/>
    <x v="1"/>
    <x v="6"/>
  </r>
  <r>
    <n v="12877"/>
    <d v="2024-06-25T00:00:00"/>
    <x v="2"/>
    <x v="0"/>
    <x v="0"/>
    <x v="2"/>
    <n v="1"/>
    <n v="77532"/>
    <x v="2858"/>
    <n v="2366"/>
    <n v="75166"/>
    <n v="14211.56733"/>
    <x v="0"/>
    <x v="11"/>
  </r>
  <r>
    <n v="12878"/>
    <d v="2025-06-12T00:00:00"/>
    <x v="4"/>
    <x v="4"/>
    <x v="1"/>
    <x v="2"/>
    <n v="9"/>
    <n v="19201"/>
    <x v="2859"/>
    <n v="3298"/>
    <n v="169511"/>
    <n v="31100.63322"/>
    <x v="1"/>
    <x v="11"/>
  </r>
  <r>
    <n v="12879"/>
    <d v="2025-09-01T00:00:00"/>
    <x v="1"/>
    <x v="1"/>
    <x v="2"/>
    <x v="1"/>
    <n v="5"/>
    <n v="75579"/>
    <x v="2860"/>
    <n v="2779"/>
    <n v="375116"/>
    <n v="82589.098759999993"/>
    <x v="1"/>
    <x v="2"/>
  </r>
  <r>
    <n v="12880"/>
    <d v="2025-05-08T00:00:00"/>
    <x v="3"/>
    <x v="4"/>
    <x v="1"/>
    <x v="2"/>
    <n v="1"/>
    <n v="65019"/>
    <x v="2861"/>
    <n v="4987"/>
    <n v="60032"/>
    <n v="11068.278130000001"/>
    <x v="1"/>
    <x v="5"/>
  </r>
  <r>
    <n v="12881"/>
    <d v="2024-07-16T00:00:00"/>
    <x v="1"/>
    <x v="3"/>
    <x v="2"/>
    <x v="1"/>
    <n v="1"/>
    <n v="25420"/>
    <x v="2862"/>
    <n v="2371"/>
    <n v="23049"/>
    <n v="5224.7774879999997"/>
    <x v="0"/>
    <x v="10"/>
  </r>
  <r>
    <n v="12882"/>
    <d v="2025-09-01T00:00:00"/>
    <x v="1"/>
    <x v="4"/>
    <x v="1"/>
    <x v="2"/>
    <n v="1"/>
    <n v="45602"/>
    <x v="2863"/>
    <n v="3390"/>
    <n v="42212"/>
    <n v="4533.4719009999999"/>
    <x v="1"/>
    <x v="2"/>
  </r>
  <r>
    <n v="12883"/>
    <d v="2025-07-30T00:00:00"/>
    <x v="1"/>
    <x v="0"/>
    <x v="0"/>
    <x v="3"/>
    <n v="9"/>
    <n v="57645"/>
    <x v="2864"/>
    <n v="1782"/>
    <n v="517023"/>
    <n v="90102.879419999997"/>
    <x v="1"/>
    <x v="10"/>
  </r>
  <r>
    <n v="12884"/>
    <d v="2025-05-31T00:00:00"/>
    <x v="0"/>
    <x v="0"/>
    <x v="2"/>
    <x v="1"/>
    <n v="8"/>
    <n v="58124"/>
    <x v="2865"/>
    <n v="4780"/>
    <n v="460212"/>
    <n v="102122.758"/>
    <x v="1"/>
    <x v="5"/>
  </r>
  <r>
    <n v="12885"/>
    <d v="2025-05-28T00:00:00"/>
    <x v="1"/>
    <x v="2"/>
    <x v="2"/>
    <x v="2"/>
    <n v="6"/>
    <n v="54031"/>
    <x v="2866"/>
    <n v="1064"/>
    <n v="323122"/>
    <n v="73431.016449999996"/>
    <x v="1"/>
    <x v="5"/>
  </r>
  <r>
    <n v="12886"/>
    <d v="2024-01-22T00:00:00"/>
    <x v="1"/>
    <x v="1"/>
    <x v="2"/>
    <x v="1"/>
    <n v="6"/>
    <n v="17629"/>
    <x v="2867"/>
    <n v="2456"/>
    <n v="103318"/>
    <n v="23257.740020000001"/>
    <x v="0"/>
    <x v="4"/>
  </r>
  <r>
    <n v="12887"/>
    <d v="2024-04-21T00:00:00"/>
    <x v="0"/>
    <x v="3"/>
    <x v="2"/>
    <x v="0"/>
    <n v="6"/>
    <n v="62731"/>
    <x v="2868"/>
    <n v="1346"/>
    <n v="375040"/>
    <n v="71504.075519999999"/>
    <x v="0"/>
    <x v="0"/>
  </r>
  <r>
    <n v="12888"/>
    <d v="2024-02-26T00:00:00"/>
    <x v="0"/>
    <x v="1"/>
    <x v="0"/>
    <x v="0"/>
    <n v="4"/>
    <n v="33675"/>
    <x v="2869"/>
    <n v="2227"/>
    <n v="132473"/>
    <n v="32998.454839999999"/>
    <x v="0"/>
    <x v="9"/>
  </r>
  <r>
    <n v="12889"/>
    <d v="2024-03-06T00:00:00"/>
    <x v="3"/>
    <x v="4"/>
    <x v="0"/>
    <x v="1"/>
    <n v="5"/>
    <n v="6662"/>
    <x v="2870"/>
    <n v="1182"/>
    <n v="32128"/>
    <n v="4086.9368949999998"/>
    <x v="0"/>
    <x v="1"/>
  </r>
  <r>
    <n v="12890"/>
    <d v="2024-04-07T00:00:00"/>
    <x v="2"/>
    <x v="3"/>
    <x v="0"/>
    <x v="1"/>
    <n v="3"/>
    <n v="12589"/>
    <x v="2871"/>
    <n v="4132"/>
    <n v="33635"/>
    <n v="4243.6821019999998"/>
    <x v="0"/>
    <x v="0"/>
  </r>
  <r>
    <n v="12891"/>
    <d v="2024-05-23T00:00:00"/>
    <x v="4"/>
    <x v="3"/>
    <x v="1"/>
    <x v="3"/>
    <n v="3"/>
    <n v="54364"/>
    <x v="2872"/>
    <n v="2453"/>
    <n v="160639"/>
    <n v="16854.790239999998"/>
    <x v="0"/>
    <x v="5"/>
  </r>
  <r>
    <n v="12892"/>
    <d v="2025-03-10T00:00:00"/>
    <x v="4"/>
    <x v="0"/>
    <x v="0"/>
    <x v="2"/>
    <n v="7"/>
    <n v="9655"/>
    <x v="2873"/>
    <n v="538"/>
    <n v="67047"/>
    <n v="16654.513449999999"/>
    <x v="1"/>
    <x v="1"/>
  </r>
  <r>
    <n v="12893"/>
    <d v="2025-09-28T00:00:00"/>
    <x v="1"/>
    <x v="4"/>
    <x v="1"/>
    <x v="0"/>
    <n v="5"/>
    <n v="79285"/>
    <x v="2874"/>
    <n v="2423"/>
    <n v="394002"/>
    <n v="59968.316400000003"/>
    <x v="1"/>
    <x v="2"/>
  </r>
  <r>
    <n v="12894"/>
    <d v="2025-11-09T00:00:00"/>
    <x v="3"/>
    <x v="0"/>
    <x v="1"/>
    <x v="0"/>
    <n v="8"/>
    <n v="15797"/>
    <x v="2875"/>
    <n v="2303"/>
    <n v="124073"/>
    <n v="26589.85223"/>
    <x v="1"/>
    <x v="7"/>
  </r>
  <r>
    <n v="12895"/>
    <d v="2024-03-26T00:00:00"/>
    <x v="1"/>
    <x v="0"/>
    <x v="0"/>
    <x v="2"/>
    <n v="5"/>
    <n v="11645"/>
    <x v="2876"/>
    <n v="248"/>
    <n v="57977"/>
    <n v="6316.9737210000003"/>
    <x v="0"/>
    <x v="1"/>
  </r>
  <r>
    <n v="12896"/>
    <d v="2025-08-10T00:00:00"/>
    <x v="4"/>
    <x v="2"/>
    <x v="0"/>
    <x v="0"/>
    <n v="4"/>
    <n v="39762"/>
    <x v="2877"/>
    <n v="4788"/>
    <n v="154260"/>
    <n v="22337.344089999999"/>
    <x v="1"/>
    <x v="6"/>
  </r>
  <r>
    <n v="12897"/>
    <d v="2024-12-09T00:00:00"/>
    <x v="0"/>
    <x v="0"/>
    <x v="0"/>
    <x v="0"/>
    <n v="3"/>
    <n v="52634"/>
    <x v="2878"/>
    <n v="1040"/>
    <n v="156862"/>
    <n v="30364.891250000001"/>
    <x v="0"/>
    <x v="3"/>
  </r>
  <r>
    <n v="12898"/>
    <d v="2024-10-20T00:00:00"/>
    <x v="2"/>
    <x v="1"/>
    <x v="1"/>
    <x v="1"/>
    <n v="2"/>
    <n v="26432"/>
    <x v="2879"/>
    <n v="1391"/>
    <n v="51473"/>
    <n v="9199.1008829999992"/>
    <x v="0"/>
    <x v="8"/>
  </r>
  <r>
    <n v="12899"/>
    <d v="2025-07-24T00:00:00"/>
    <x v="3"/>
    <x v="3"/>
    <x v="2"/>
    <x v="0"/>
    <n v="3"/>
    <n v="52890"/>
    <x v="2880"/>
    <n v="2172"/>
    <n v="156498"/>
    <n v="20526.6276"/>
    <x v="1"/>
    <x v="10"/>
  </r>
  <r>
    <n v="12900"/>
    <d v="2025-10-11T00:00:00"/>
    <x v="0"/>
    <x v="0"/>
    <x v="0"/>
    <x v="0"/>
    <n v="7"/>
    <n v="64111"/>
    <x v="2881"/>
    <n v="1335"/>
    <n v="447442"/>
    <n v="75724.608410000001"/>
    <x v="1"/>
    <x v="8"/>
  </r>
  <r>
    <n v="12901"/>
    <d v="2025-09-02T00:00:00"/>
    <x v="2"/>
    <x v="1"/>
    <x v="1"/>
    <x v="0"/>
    <n v="8"/>
    <n v="78769"/>
    <x v="2882"/>
    <n v="2259"/>
    <n v="627893"/>
    <n v="73034.817679999993"/>
    <x v="1"/>
    <x v="2"/>
  </r>
  <r>
    <n v="12902"/>
    <d v="2025-12-04T00:00:00"/>
    <x v="3"/>
    <x v="4"/>
    <x v="1"/>
    <x v="2"/>
    <n v="5"/>
    <n v="48611"/>
    <x v="2883"/>
    <n v="499"/>
    <n v="242556"/>
    <n v="44000.997510000001"/>
    <x v="1"/>
    <x v="3"/>
  </r>
  <r>
    <n v="12903"/>
    <d v="2024-08-30T00:00:00"/>
    <x v="3"/>
    <x v="3"/>
    <x v="0"/>
    <x v="3"/>
    <n v="1"/>
    <n v="31671"/>
    <x v="2884"/>
    <n v="810"/>
    <n v="30861"/>
    <n v="3534.8564809999998"/>
    <x v="0"/>
    <x v="6"/>
  </r>
  <r>
    <n v="12904"/>
    <d v="2025-07-14T00:00:00"/>
    <x v="4"/>
    <x v="4"/>
    <x v="1"/>
    <x v="1"/>
    <n v="3"/>
    <n v="41760"/>
    <x v="2885"/>
    <n v="4984"/>
    <n v="120296"/>
    <n v="23504.673770000001"/>
    <x v="1"/>
    <x v="10"/>
  </r>
  <r>
    <n v="12905"/>
    <d v="2024-02-01T00:00:00"/>
    <x v="0"/>
    <x v="1"/>
    <x v="0"/>
    <x v="3"/>
    <n v="4"/>
    <n v="33233"/>
    <x v="2886"/>
    <n v="3713"/>
    <n v="129219"/>
    <n v="15933.172629999999"/>
    <x v="0"/>
    <x v="9"/>
  </r>
  <r>
    <n v="12906"/>
    <d v="2025-01-25T00:00:00"/>
    <x v="3"/>
    <x v="4"/>
    <x v="1"/>
    <x v="0"/>
    <n v="4"/>
    <n v="42591"/>
    <x v="2887"/>
    <n v="3704"/>
    <n v="166660"/>
    <n v="30342.60022"/>
    <x v="1"/>
    <x v="4"/>
  </r>
  <r>
    <n v="12907"/>
    <d v="2024-10-03T00:00:00"/>
    <x v="3"/>
    <x v="4"/>
    <x v="2"/>
    <x v="0"/>
    <n v="1"/>
    <n v="72804"/>
    <x v="2888"/>
    <n v="1210"/>
    <n v="71594"/>
    <n v="8546.0398929999992"/>
    <x v="0"/>
    <x v="8"/>
  </r>
  <r>
    <n v="12908"/>
    <d v="2025-06-15T00:00:00"/>
    <x v="2"/>
    <x v="4"/>
    <x v="1"/>
    <x v="0"/>
    <n v="9"/>
    <n v="55091"/>
    <x v="2889"/>
    <n v="3745"/>
    <n v="492074"/>
    <n v="78784.277889999998"/>
    <x v="1"/>
    <x v="11"/>
  </r>
  <r>
    <n v="12909"/>
    <d v="2024-06-02T00:00:00"/>
    <x v="4"/>
    <x v="0"/>
    <x v="0"/>
    <x v="3"/>
    <n v="4"/>
    <n v="9438"/>
    <x v="2890"/>
    <n v="1986"/>
    <n v="35766"/>
    <n v="5464.1410550000001"/>
    <x v="0"/>
    <x v="11"/>
  </r>
  <r>
    <n v="12910"/>
    <d v="2025-01-17T00:00:00"/>
    <x v="1"/>
    <x v="0"/>
    <x v="2"/>
    <x v="2"/>
    <n v="2"/>
    <n v="50896"/>
    <x v="2891"/>
    <n v="1491"/>
    <n v="100301"/>
    <n v="21410.41244"/>
    <x v="1"/>
    <x v="4"/>
  </r>
  <r>
    <n v="12911"/>
    <d v="2024-03-08T00:00:00"/>
    <x v="4"/>
    <x v="0"/>
    <x v="0"/>
    <x v="2"/>
    <n v="9"/>
    <n v="16319"/>
    <x v="2892"/>
    <n v="4270"/>
    <n v="142601"/>
    <n v="27974.643749999999"/>
    <x v="0"/>
    <x v="1"/>
  </r>
  <r>
    <n v="12912"/>
    <d v="2024-08-01T00:00:00"/>
    <x v="1"/>
    <x v="3"/>
    <x v="1"/>
    <x v="1"/>
    <n v="4"/>
    <n v="11028"/>
    <x v="2893"/>
    <n v="3048"/>
    <n v="41064"/>
    <n v="9878.4922979999992"/>
    <x v="0"/>
    <x v="6"/>
  </r>
  <r>
    <n v="12913"/>
    <d v="2025-10-16T00:00:00"/>
    <x v="0"/>
    <x v="1"/>
    <x v="2"/>
    <x v="3"/>
    <n v="4"/>
    <n v="30940"/>
    <x v="2894"/>
    <n v="4919"/>
    <n v="118841"/>
    <n v="28318.217570000001"/>
    <x v="1"/>
    <x v="8"/>
  </r>
  <r>
    <n v="12914"/>
    <d v="2025-01-10T00:00:00"/>
    <x v="0"/>
    <x v="0"/>
    <x v="2"/>
    <x v="2"/>
    <n v="6"/>
    <n v="13422"/>
    <x v="2895"/>
    <n v="2934"/>
    <n v="77598"/>
    <n v="16198.536270000001"/>
    <x v="1"/>
    <x v="4"/>
  </r>
  <r>
    <n v="12915"/>
    <d v="2024-07-31T00:00:00"/>
    <x v="3"/>
    <x v="4"/>
    <x v="1"/>
    <x v="1"/>
    <n v="8"/>
    <n v="56651"/>
    <x v="2896"/>
    <n v="4364"/>
    <n v="448844"/>
    <n v="96765.317920000001"/>
    <x v="0"/>
    <x v="10"/>
  </r>
  <r>
    <n v="12916"/>
    <d v="2024-03-19T00:00:00"/>
    <x v="0"/>
    <x v="4"/>
    <x v="2"/>
    <x v="0"/>
    <n v="5"/>
    <n v="64648"/>
    <x v="2897"/>
    <n v="1817"/>
    <n v="321423"/>
    <n v="62271.483549999997"/>
    <x v="0"/>
    <x v="1"/>
  </r>
  <r>
    <n v="12917"/>
    <d v="2025-12-26T00:00:00"/>
    <x v="3"/>
    <x v="4"/>
    <x v="2"/>
    <x v="0"/>
    <n v="8"/>
    <n v="48441"/>
    <x v="2898"/>
    <n v="4319"/>
    <n v="383209"/>
    <n v="78078.636249999996"/>
    <x v="1"/>
    <x v="3"/>
  </r>
  <r>
    <n v="12918"/>
    <d v="2025-09-19T00:00:00"/>
    <x v="4"/>
    <x v="4"/>
    <x v="2"/>
    <x v="1"/>
    <n v="1"/>
    <n v="25688"/>
    <x v="2899"/>
    <n v="1275"/>
    <n v="24413"/>
    <n v="4701.5374529999999"/>
    <x v="1"/>
    <x v="2"/>
  </r>
  <r>
    <n v="12919"/>
    <d v="2025-08-26T00:00:00"/>
    <x v="0"/>
    <x v="2"/>
    <x v="0"/>
    <x v="2"/>
    <n v="4"/>
    <n v="51280"/>
    <x v="2900"/>
    <n v="3022"/>
    <n v="202098"/>
    <n v="29660.863389999999"/>
    <x v="1"/>
    <x v="6"/>
  </r>
  <r>
    <n v="12920"/>
    <d v="2025-01-15T00:00:00"/>
    <x v="4"/>
    <x v="3"/>
    <x v="0"/>
    <x v="3"/>
    <n v="1"/>
    <n v="19472"/>
    <x v="2901"/>
    <n v="2877"/>
    <n v="16595"/>
    <n v="2532.4540430000002"/>
    <x v="1"/>
    <x v="4"/>
  </r>
  <r>
    <n v="12921"/>
    <d v="2025-11-10T00:00:00"/>
    <x v="4"/>
    <x v="1"/>
    <x v="2"/>
    <x v="1"/>
    <n v="3"/>
    <n v="40671"/>
    <x v="2902"/>
    <n v="4014"/>
    <n v="117999"/>
    <n v="21972.60254"/>
    <x v="1"/>
    <x v="7"/>
  </r>
  <r>
    <n v="12922"/>
    <d v="2024-02-27T00:00:00"/>
    <x v="0"/>
    <x v="1"/>
    <x v="1"/>
    <x v="2"/>
    <n v="7"/>
    <n v="65809"/>
    <x v="2903"/>
    <n v="4087"/>
    <n v="456576"/>
    <n v="94979.92512"/>
    <x v="0"/>
    <x v="9"/>
  </r>
  <r>
    <n v="12923"/>
    <d v="2024-01-26T00:00:00"/>
    <x v="4"/>
    <x v="0"/>
    <x v="1"/>
    <x v="1"/>
    <n v="1"/>
    <n v="78299"/>
    <x v="2904"/>
    <n v="1147"/>
    <n v="77152"/>
    <n v="12415.1345"/>
    <x v="0"/>
    <x v="4"/>
  </r>
  <r>
    <n v="12924"/>
    <d v="2025-03-22T00:00:00"/>
    <x v="0"/>
    <x v="2"/>
    <x v="0"/>
    <x v="2"/>
    <n v="5"/>
    <n v="15960"/>
    <x v="2905"/>
    <n v="237"/>
    <n v="79563"/>
    <n v="9658.9617359999993"/>
    <x v="1"/>
    <x v="1"/>
  </r>
  <r>
    <n v="12925"/>
    <d v="2024-03-06T00:00:00"/>
    <x v="0"/>
    <x v="1"/>
    <x v="1"/>
    <x v="0"/>
    <n v="1"/>
    <n v="7074"/>
    <x v="2906"/>
    <n v="2122"/>
    <n v="4952"/>
    <n v="836.45507269999996"/>
    <x v="0"/>
    <x v="1"/>
  </r>
  <r>
    <n v="12926"/>
    <d v="2024-09-10T00:00:00"/>
    <x v="0"/>
    <x v="3"/>
    <x v="2"/>
    <x v="1"/>
    <n v="6"/>
    <n v="78361"/>
    <x v="2907"/>
    <n v="4595"/>
    <n v="465571"/>
    <n v="113821.94749999999"/>
    <x v="0"/>
    <x v="2"/>
  </r>
  <r>
    <n v="12927"/>
    <d v="2024-02-13T00:00:00"/>
    <x v="1"/>
    <x v="4"/>
    <x v="1"/>
    <x v="3"/>
    <n v="9"/>
    <n v="39833"/>
    <x v="2908"/>
    <n v="1545"/>
    <n v="356952"/>
    <n v="47158.010349999997"/>
    <x v="0"/>
    <x v="9"/>
  </r>
  <r>
    <n v="12928"/>
    <d v="2024-04-06T00:00:00"/>
    <x v="4"/>
    <x v="0"/>
    <x v="0"/>
    <x v="1"/>
    <n v="3"/>
    <n v="40976"/>
    <x v="2909"/>
    <n v="3983"/>
    <n v="118945"/>
    <n v="23475.02838"/>
    <x v="0"/>
    <x v="0"/>
  </r>
  <r>
    <n v="12929"/>
    <d v="2025-07-07T00:00:00"/>
    <x v="2"/>
    <x v="3"/>
    <x v="0"/>
    <x v="0"/>
    <n v="6"/>
    <n v="75210"/>
    <x v="2910"/>
    <n v="4363"/>
    <n v="446897"/>
    <n v="110553.9473"/>
    <x v="1"/>
    <x v="10"/>
  </r>
  <r>
    <n v="12930"/>
    <d v="2024-08-14T00:00:00"/>
    <x v="0"/>
    <x v="1"/>
    <x v="2"/>
    <x v="0"/>
    <n v="4"/>
    <n v="70658"/>
    <x v="2911"/>
    <n v="986"/>
    <n v="281646"/>
    <n v="44059.477310000002"/>
    <x v="0"/>
    <x v="6"/>
  </r>
  <r>
    <n v="12931"/>
    <d v="2025-11-09T00:00:00"/>
    <x v="4"/>
    <x v="2"/>
    <x v="0"/>
    <x v="2"/>
    <n v="6"/>
    <n v="55108"/>
    <x v="2912"/>
    <n v="1623"/>
    <n v="329025"/>
    <n v="76722.88566"/>
    <x v="1"/>
    <x v="7"/>
  </r>
  <r>
    <n v="12932"/>
    <d v="2025-03-11T00:00:00"/>
    <x v="3"/>
    <x v="0"/>
    <x v="0"/>
    <x v="0"/>
    <n v="2"/>
    <n v="26480"/>
    <x v="2913"/>
    <n v="3121"/>
    <n v="49839"/>
    <n v="11443.09957"/>
    <x v="1"/>
    <x v="1"/>
  </r>
  <r>
    <n v="12933"/>
    <d v="2025-08-23T00:00:00"/>
    <x v="0"/>
    <x v="1"/>
    <x v="0"/>
    <x v="2"/>
    <n v="4"/>
    <n v="55138"/>
    <x v="2914"/>
    <n v="3726"/>
    <n v="216826"/>
    <n v="32709.664339999999"/>
    <x v="1"/>
    <x v="6"/>
  </r>
  <r>
    <n v="12934"/>
    <d v="2025-01-13T00:00:00"/>
    <x v="0"/>
    <x v="0"/>
    <x v="1"/>
    <x v="0"/>
    <n v="7"/>
    <n v="14443"/>
    <x v="2915"/>
    <n v="3901"/>
    <n v="97200"/>
    <n v="11156.382600000001"/>
    <x v="1"/>
    <x v="4"/>
  </r>
  <r>
    <n v="12935"/>
    <d v="2024-06-26T00:00:00"/>
    <x v="2"/>
    <x v="1"/>
    <x v="0"/>
    <x v="2"/>
    <n v="6"/>
    <n v="74969"/>
    <x v="2916"/>
    <n v="722"/>
    <n v="449092"/>
    <n v="56936.275900000001"/>
    <x v="0"/>
    <x v="11"/>
  </r>
  <r>
    <n v="12936"/>
    <d v="2025-03-02T00:00:00"/>
    <x v="1"/>
    <x v="4"/>
    <x v="1"/>
    <x v="3"/>
    <n v="9"/>
    <n v="5990"/>
    <x v="2917"/>
    <n v="1095"/>
    <n v="52815"/>
    <n v="8179.0564260000001"/>
    <x v="1"/>
    <x v="1"/>
  </r>
  <r>
    <n v="12937"/>
    <d v="2025-12-09T00:00:00"/>
    <x v="1"/>
    <x v="2"/>
    <x v="0"/>
    <x v="2"/>
    <n v="7"/>
    <n v="76092"/>
    <x v="2005"/>
    <n v="3827"/>
    <n v="528817"/>
    <n v="128962.6792"/>
    <x v="1"/>
    <x v="3"/>
  </r>
  <r>
    <n v="12938"/>
    <d v="2024-11-02T00:00:00"/>
    <x v="0"/>
    <x v="4"/>
    <x v="0"/>
    <x v="2"/>
    <n v="1"/>
    <n v="66336"/>
    <x v="2918"/>
    <n v="4285"/>
    <n v="62051"/>
    <n v="8759.5858929999995"/>
    <x v="0"/>
    <x v="7"/>
  </r>
  <r>
    <n v="12939"/>
    <d v="2025-05-18T00:00:00"/>
    <x v="4"/>
    <x v="1"/>
    <x v="1"/>
    <x v="3"/>
    <n v="6"/>
    <n v="34097"/>
    <x v="2919"/>
    <n v="995"/>
    <n v="203587"/>
    <n v="48663.341950000002"/>
    <x v="1"/>
    <x v="5"/>
  </r>
  <r>
    <n v="12940"/>
    <d v="2024-09-24T00:00:00"/>
    <x v="3"/>
    <x v="3"/>
    <x v="1"/>
    <x v="2"/>
    <n v="3"/>
    <n v="75245"/>
    <x v="2920"/>
    <n v="4661"/>
    <n v="221074"/>
    <n v="28121.652480000001"/>
    <x v="0"/>
    <x v="2"/>
  </r>
  <r>
    <n v="12941"/>
    <d v="2025-08-08T00:00:00"/>
    <x v="3"/>
    <x v="4"/>
    <x v="2"/>
    <x v="2"/>
    <n v="8"/>
    <n v="24186"/>
    <x v="2921"/>
    <n v="992"/>
    <n v="192496"/>
    <n v="47252.351900000001"/>
    <x v="1"/>
    <x v="6"/>
  </r>
  <r>
    <n v="12942"/>
    <d v="2024-01-08T00:00:00"/>
    <x v="4"/>
    <x v="3"/>
    <x v="2"/>
    <x v="3"/>
    <n v="1"/>
    <n v="56356"/>
    <x v="2922"/>
    <n v="2783"/>
    <n v="53573"/>
    <n v="7716.691366"/>
    <x v="0"/>
    <x v="4"/>
  </r>
  <r>
    <n v="12943"/>
    <d v="2025-05-22T00:00:00"/>
    <x v="0"/>
    <x v="1"/>
    <x v="1"/>
    <x v="0"/>
    <n v="2"/>
    <n v="17922"/>
    <x v="2923"/>
    <n v="155"/>
    <n v="35689"/>
    <n v="6958.0644679999996"/>
    <x v="1"/>
    <x v="5"/>
  </r>
  <r>
    <n v="12944"/>
    <d v="2025-04-20T00:00:00"/>
    <x v="3"/>
    <x v="2"/>
    <x v="0"/>
    <x v="1"/>
    <n v="3"/>
    <n v="35766"/>
    <x v="2924"/>
    <n v="1895"/>
    <n v="105403"/>
    <n v="11642.14962"/>
    <x v="1"/>
    <x v="0"/>
  </r>
  <r>
    <n v="12945"/>
    <d v="2024-10-23T00:00:00"/>
    <x v="1"/>
    <x v="3"/>
    <x v="2"/>
    <x v="2"/>
    <n v="3"/>
    <n v="24787"/>
    <x v="2925"/>
    <n v="1776"/>
    <n v="72585"/>
    <n v="10521.16858"/>
    <x v="0"/>
    <x v="8"/>
  </r>
  <r>
    <n v="12946"/>
    <d v="2024-06-12T00:00:00"/>
    <x v="4"/>
    <x v="1"/>
    <x v="1"/>
    <x v="0"/>
    <n v="7"/>
    <n v="27537"/>
    <x v="2926"/>
    <n v="4768"/>
    <n v="187991"/>
    <n v="24740.848999999998"/>
    <x v="0"/>
    <x v="11"/>
  </r>
  <r>
    <n v="12947"/>
    <d v="2025-04-29T00:00:00"/>
    <x v="2"/>
    <x v="3"/>
    <x v="1"/>
    <x v="1"/>
    <n v="8"/>
    <n v="58034"/>
    <x v="2927"/>
    <n v="2116"/>
    <n v="462156"/>
    <n v="46452.455090000003"/>
    <x v="1"/>
    <x v="0"/>
  </r>
  <r>
    <n v="12948"/>
    <d v="2025-08-19T00:00:00"/>
    <x v="0"/>
    <x v="4"/>
    <x v="0"/>
    <x v="3"/>
    <n v="9"/>
    <n v="50542"/>
    <x v="2928"/>
    <n v="2420"/>
    <n v="452458"/>
    <n v="55885.561690000002"/>
    <x v="1"/>
    <x v="6"/>
  </r>
  <r>
    <n v="12949"/>
    <d v="2024-03-12T00:00:00"/>
    <x v="4"/>
    <x v="1"/>
    <x v="1"/>
    <x v="2"/>
    <n v="7"/>
    <n v="8207"/>
    <x v="2929"/>
    <n v="54"/>
    <n v="57395"/>
    <n v="10845.677600000001"/>
    <x v="0"/>
    <x v="1"/>
  </r>
  <r>
    <n v="12950"/>
    <d v="2025-07-20T00:00:00"/>
    <x v="3"/>
    <x v="4"/>
    <x v="2"/>
    <x v="2"/>
    <n v="8"/>
    <n v="33234"/>
    <x v="2930"/>
    <n v="84"/>
    <n v="265788"/>
    <n v="42124.215450000003"/>
    <x v="1"/>
    <x v="10"/>
  </r>
  <r>
    <n v="12951"/>
    <d v="2025-07-12T00:00:00"/>
    <x v="0"/>
    <x v="0"/>
    <x v="0"/>
    <x v="3"/>
    <n v="6"/>
    <n v="35568"/>
    <x v="2931"/>
    <n v="2888"/>
    <n v="210520"/>
    <n v="43869.346449999997"/>
    <x v="1"/>
    <x v="10"/>
  </r>
  <r>
    <n v="12952"/>
    <d v="2024-08-25T00:00:00"/>
    <x v="1"/>
    <x v="1"/>
    <x v="1"/>
    <x v="2"/>
    <n v="2"/>
    <n v="73633"/>
    <x v="2932"/>
    <n v="4687"/>
    <n v="142579"/>
    <n v="28610.071820000001"/>
    <x v="0"/>
    <x v="6"/>
  </r>
  <r>
    <n v="12953"/>
    <d v="2024-04-13T00:00:00"/>
    <x v="0"/>
    <x v="3"/>
    <x v="1"/>
    <x v="1"/>
    <n v="1"/>
    <n v="59703"/>
    <x v="2933"/>
    <n v="2779"/>
    <n v="56924"/>
    <n v="12517.298790000001"/>
    <x v="0"/>
    <x v="0"/>
  </r>
  <r>
    <n v="12954"/>
    <d v="2024-07-28T00:00:00"/>
    <x v="0"/>
    <x v="0"/>
    <x v="0"/>
    <x v="1"/>
    <n v="3"/>
    <n v="57623"/>
    <x v="2934"/>
    <n v="2669"/>
    <n v="170200"/>
    <n v="39155.148840000002"/>
    <x v="0"/>
    <x v="10"/>
  </r>
  <r>
    <n v="12955"/>
    <d v="2025-07-07T00:00:00"/>
    <x v="1"/>
    <x v="4"/>
    <x v="0"/>
    <x v="3"/>
    <n v="9"/>
    <n v="58454"/>
    <x v="2935"/>
    <n v="3836"/>
    <n v="522250"/>
    <n v="116448.08040000001"/>
    <x v="1"/>
    <x v="10"/>
  </r>
  <r>
    <n v="12956"/>
    <d v="2025-04-12T00:00:00"/>
    <x v="1"/>
    <x v="4"/>
    <x v="0"/>
    <x v="2"/>
    <n v="7"/>
    <n v="65631"/>
    <x v="2936"/>
    <n v="1008"/>
    <n v="458409"/>
    <n v="76650.168220000007"/>
    <x v="1"/>
    <x v="0"/>
  </r>
  <r>
    <n v="12957"/>
    <d v="2025-03-29T00:00:00"/>
    <x v="0"/>
    <x v="3"/>
    <x v="2"/>
    <x v="0"/>
    <n v="2"/>
    <n v="21642"/>
    <x v="2937"/>
    <n v="2364"/>
    <n v="40920"/>
    <n v="5986.9708090000004"/>
    <x v="1"/>
    <x v="1"/>
  </r>
  <r>
    <n v="12958"/>
    <d v="2024-09-24T00:00:00"/>
    <x v="1"/>
    <x v="0"/>
    <x v="2"/>
    <x v="2"/>
    <n v="1"/>
    <n v="13990"/>
    <x v="2938"/>
    <n v="3686"/>
    <n v="10304"/>
    <n v="1806.758687"/>
    <x v="0"/>
    <x v="2"/>
  </r>
  <r>
    <n v="12959"/>
    <d v="2025-01-20T00:00:00"/>
    <x v="4"/>
    <x v="2"/>
    <x v="1"/>
    <x v="3"/>
    <n v="2"/>
    <n v="58622"/>
    <x v="2939"/>
    <n v="4347"/>
    <n v="112897"/>
    <n v="20351.86045"/>
    <x v="1"/>
    <x v="4"/>
  </r>
  <r>
    <n v="12960"/>
    <d v="2025-01-21T00:00:00"/>
    <x v="1"/>
    <x v="3"/>
    <x v="1"/>
    <x v="0"/>
    <n v="3"/>
    <n v="56663"/>
    <x v="2940"/>
    <n v="2199"/>
    <n v="167790"/>
    <n v="24661.132829999999"/>
    <x v="1"/>
    <x v="4"/>
  </r>
  <r>
    <n v="12961"/>
    <d v="2024-09-15T00:00:00"/>
    <x v="1"/>
    <x v="4"/>
    <x v="0"/>
    <x v="1"/>
    <n v="6"/>
    <n v="9170"/>
    <x v="2941"/>
    <n v="1359"/>
    <n v="53661"/>
    <n v="9712.6936829999995"/>
    <x v="0"/>
    <x v="2"/>
  </r>
  <r>
    <n v="12962"/>
    <d v="2024-10-09T00:00:00"/>
    <x v="0"/>
    <x v="1"/>
    <x v="1"/>
    <x v="1"/>
    <n v="9"/>
    <n v="29817"/>
    <x v="2942"/>
    <n v="909"/>
    <n v="267444"/>
    <n v="30987.919989999999"/>
    <x v="0"/>
    <x v="8"/>
  </r>
  <r>
    <n v="12963"/>
    <d v="2025-09-17T00:00:00"/>
    <x v="4"/>
    <x v="0"/>
    <x v="1"/>
    <x v="0"/>
    <n v="8"/>
    <n v="10136"/>
    <x v="2943"/>
    <n v="3439"/>
    <n v="77649"/>
    <n v="10455.924650000001"/>
    <x v="1"/>
    <x v="2"/>
  </r>
  <r>
    <n v="12964"/>
    <d v="2024-02-09T00:00:00"/>
    <x v="2"/>
    <x v="2"/>
    <x v="0"/>
    <x v="0"/>
    <n v="9"/>
    <n v="6712"/>
    <x v="2944"/>
    <n v="2913"/>
    <n v="57495"/>
    <n v="12183.60521"/>
    <x v="0"/>
    <x v="9"/>
  </r>
  <r>
    <n v="12965"/>
    <d v="2025-04-30T00:00:00"/>
    <x v="2"/>
    <x v="1"/>
    <x v="2"/>
    <x v="3"/>
    <n v="8"/>
    <n v="78687"/>
    <x v="2945"/>
    <n v="4695"/>
    <n v="624801"/>
    <n v="79615.163860000001"/>
    <x v="1"/>
    <x v="0"/>
  </r>
  <r>
    <n v="12966"/>
    <d v="2024-08-07T00:00:00"/>
    <x v="3"/>
    <x v="0"/>
    <x v="2"/>
    <x v="2"/>
    <n v="7"/>
    <n v="57479"/>
    <x v="2946"/>
    <n v="1006"/>
    <n v="401347"/>
    <n v="48505.06349"/>
    <x v="0"/>
    <x v="6"/>
  </r>
  <r>
    <n v="12967"/>
    <d v="2024-05-08T00:00:00"/>
    <x v="1"/>
    <x v="3"/>
    <x v="2"/>
    <x v="1"/>
    <n v="6"/>
    <n v="15473"/>
    <x v="2947"/>
    <n v="3052"/>
    <n v="89786"/>
    <n v="12848.50937"/>
    <x v="0"/>
    <x v="5"/>
  </r>
  <r>
    <n v="12968"/>
    <d v="2025-06-03T00:00:00"/>
    <x v="1"/>
    <x v="3"/>
    <x v="1"/>
    <x v="2"/>
    <n v="8"/>
    <n v="26625"/>
    <x v="2948"/>
    <n v="1143"/>
    <n v="211857"/>
    <n v="32977.102910000001"/>
    <x v="1"/>
    <x v="11"/>
  </r>
  <r>
    <n v="12969"/>
    <d v="2025-09-04T00:00:00"/>
    <x v="4"/>
    <x v="0"/>
    <x v="0"/>
    <x v="1"/>
    <n v="6"/>
    <n v="18761"/>
    <x v="2949"/>
    <n v="4398"/>
    <n v="108168"/>
    <n v="16147.56811"/>
    <x v="1"/>
    <x v="2"/>
  </r>
  <r>
    <n v="12970"/>
    <d v="2025-11-18T00:00:00"/>
    <x v="2"/>
    <x v="2"/>
    <x v="2"/>
    <x v="2"/>
    <n v="2"/>
    <n v="79454"/>
    <x v="2950"/>
    <n v="3220"/>
    <n v="155688"/>
    <n v="24317.034469999999"/>
    <x v="1"/>
    <x v="7"/>
  </r>
  <r>
    <n v="12971"/>
    <d v="2025-09-10T00:00:00"/>
    <x v="3"/>
    <x v="0"/>
    <x v="1"/>
    <x v="1"/>
    <n v="9"/>
    <n v="6821"/>
    <x v="2951"/>
    <n v="1224"/>
    <n v="60165"/>
    <n v="7279.1739170000001"/>
    <x v="1"/>
    <x v="2"/>
  </r>
  <r>
    <n v="12972"/>
    <d v="2025-09-04T00:00:00"/>
    <x v="4"/>
    <x v="1"/>
    <x v="0"/>
    <x v="2"/>
    <n v="9"/>
    <n v="53646"/>
    <x v="2952"/>
    <n v="3878"/>
    <n v="478936"/>
    <n v="59775.654309999998"/>
    <x v="1"/>
    <x v="2"/>
  </r>
  <r>
    <n v="12973"/>
    <d v="2024-09-16T00:00:00"/>
    <x v="1"/>
    <x v="1"/>
    <x v="2"/>
    <x v="3"/>
    <n v="3"/>
    <n v="41200"/>
    <x v="2953"/>
    <n v="4495"/>
    <n v="119105"/>
    <n v="16123.86879"/>
    <x v="0"/>
    <x v="2"/>
  </r>
  <r>
    <n v="12974"/>
    <d v="2024-12-31T00:00:00"/>
    <x v="2"/>
    <x v="3"/>
    <x v="2"/>
    <x v="1"/>
    <n v="9"/>
    <n v="53250"/>
    <x v="2954"/>
    <n v="67"/>
    <n v="479183"/>
    <n v="76812.461129999996"/>
    <x v="0"/>
    <x v="3"/>
  </r>
  <r>
    <n v="12975"/>
    <d v="2025-06-27T00:00:00"/>
    <x v="3"/>
    <x v="0"/>
    <x v="0"/>
    <x v="3"/>
    <n v="2"/>
    <n v="41447"/>
    <x v="2955"/>
    <n v="4249"/>
    <n v="78645"/>
    <n v="11827.01773"/>
    <x v="1"/>
    <x v="11"/>
  </r>
  <r>
    <n v="12976"/>
    <d v="2025-10-10T00:00:00"/>
    <x v="0"/>
    <x v="3"/>
    <x v="1"/>
    <x v="1"/>
    <n v="3"/>
    <n v="34184"/>
    <x v="2956"/>
    <n v="1014"/>
    <n v="101538"/>
    <n v="22206.38494"/>
    <x v="1"/>
    <x v="8"/>
  </r>
  <r>
    <n v="12977"/>
    <d v="2025-06-07T00:00:00"/>
    <x v="2"/>
    <x v="2"/>
    <x v="1"/>
    <x v="1"/>
    <n v="6"/>
    <n v="54754"/>
    <x v="2957"/>
    <n v="181"/>
    <n v="328343"/>
    <n v="58716.819230000001"/>
    <x v="1"/>
    <x v="11"/>
  </r>
  <r>
    <n v="12978"/>
    <d v="2024-01-16T00:00:00"/>
    <x v="3"/>
    <x v="1"/>
    <x v="2"/>
    <x v="1"/>
    <n v="4"/>
    <n v="21811"/>
    <x v="2958"/>
    <n v="4620"/>
    <n v="82624"/>
    <n v="15397.40825"/>
    <x v="0"/>
    <x v="4"/>
  </r>
  <r>
    <n v="12979"/>
    <d v="2024-05-08T00:00:00"/>
    <x v="4"/>
    <x v="4"/>
    <x v="0"/>
    <x v="2"/>
    <n v="8"/>
    <n v="31595"/>
    <x v="2959"/>
    <n v="4115"/>
    <n v="248645"/>
    <n v="45772.794529999999"/>
    <x v="0"/>
    <x v="5"/>
  </r>
  <r>
    <n v="12980"/>
    <d v="2025-07-28T00:00:00"/>
    <x v="0"/>
    <x v="4"/>
    <x v="1"/>
    <x v="1"/>
    <n v="1"/>
    <n v="22757"/>
    <x v="2960"/>
    <n v="4946"/>
    <n v="17811"/>
    <n v="2846.4873849999999"/>
    <x v="1"/>
    <x v="10"/>
  </r>
  <r>
    <n v="12981"/>
    <d v="2024-04-18T00:00:00"/>
    <x v="3"/>
    <x v="0"/>
    <x v="0"/>
    <x v="3"/>
    <n v="6"/>
    <n v="16954"/>
    <x v="2961"/>
    <n v="2945"/>
    <n v="98779"/>
    <n v="24405.573970000001"/>
    <x v="0"/>
    <x v="0"/>
  </r>
  <r>
    <n v="12982"/>
    <d v="2025-06-16T00:00:00"/>
    <x v="3"/>
    <x v="0"/>
    <x v="0"/>
    <x v="2"/>
    <n v="2"/>
    <n v="66349"/>
    <x v="2962"/>
    <n v="2057"/>
    <n v="130641"/>
    <n v="13795.60032"/>
    <x v="1"/>
    <x v="11"/>
  </r>
  <r>
    <n v="12983"/>
    <d v="2025-10-31T00:00:00"/>
    <x v="1"/>
    <x v="4"/>
    <x v="2"/>
    <x v="2"/>
    <n v="6"/>
    <n v="42930"/>
    <x v="2963"/>
    <n v="2747"/>
    <n v="254833"/>
    <n v="33733.688280000002"/>
    <x v="1"/>
    <x v="8"/>
  </r>
  <r>
    <n v="12984"/>
    <d v="2024-09-25T00:00:00"/>
    <x v="2"/>
    <x v="0"/>
    <x v="0"/>
    <x v="1"/>
    <n v="1"/>
    <n v="8811"/>
    <x v="2964"/>
    <n v="1880"/>
    <n v="6931"/>
    <n v="989.04125750000003"/>
    <x v="0"/>
    <x v="2"/>
  </r>
  <r>
    <n v="12985"/>
    <d v="2024-06-10T00:00:00"/>
    <x v="1"/>
    <x v="1"/>
    <x v="0"/>
    <x v="0"/>
    <n v="2"/>
    <n v="35368"/>
    <x v="2965"/>
    <n v="3602"/>
    <n v="67134"/>
    <n v="15588.159659999999"/>
    <x v="0"/>
    <x v="11"/>
  </r>
  <r>
    <n v="12986"/>
    <d v="2024-09-16T00:00:00"/>
    <x v="0"/>
    <x v="2"/>
    <x v="0"/>
    <x v="2"/>
    <n v="9"/>
    <n v="37719"/>
    <x v="2966"/>
    <n v="654"/>
    <n v="338817"/>
    <n v="80580.972599999994"/>
    <x v="0"/>
    <x v="2"/>
  </r>
  <r>
    <n v="12987"/>
    <d v="2024-04-11T00:00:00"/>
    <x v="3"/>
    <x v="2"/>
    <x v="1"/>
    <x v="1"/>
    <n v="6"/>
    <n v="13637"/>
    <x v="2967"/>
    <n v="3686"/>
    <n v="78136"/>
    <n v="17730.27521"/>
    <x v="0"/>
    <x v="0"/>
  </r>
  <r>
    <n v="12988"/>
    <d v="2025-05-20T00:00:00"/>
    <x v="1"/>
    <x v="3"/>
    <x v="2"/>
    <x v="3"/>
    <n v="8"/>
    <n v="17133"/>
    <x v="2968"/>
    <n v="2288"/>
    <n v="134776"/>
    <n v="21906.847809999999"/>
    <x v="1"/>
    <x v="5"/>
  </r>
  <r>
    <n v="12989"/>
    <d v="2025-07-24T00:00:00"/>
    <x v="2"/>
    <x v="1"/>
    <x v="2"/>
    <x v="0"/>
    <n v="7"/>
    <n v="51986"/>
    <x v="2969"/>
    <n v="2199"/>
    <n v="361703"/>
    <n v="85793.630720000001"/>
    <x v="1"/>
    <x v="10"/>
  </r>
  <r>
    <n v="12990"/>
    <d v="2024-09-03T00:00:00"/>
    <x v="0"/>
    <x v="0"/>
    <x v="0"/>
    <x v="2"/>
    <n v="9"/>
    <n v="33871"/>
    <x v="2970"/>
    <n v="2831"/>
    <n v="302008"/>
    <n v="34663.334970000004"/>
    <x v="0"/>
    <x v="2"/>
  </r>
  <r>
    <n v="12991"/>
    <d v="2025-10-01T00:00:00"/>
    <x v="4"/>
    <x v="0"/>
    <x v="0"/>
    <x v="0"/>
    <n v="9"/>
    <n v="46472"/>
    <x v="2971"/>
    <n v="3408"/>
    <n v="414840"/>
    <n v="82082.401660000003"/>
    <x v="1"/>
    <x v="8"/>
  </r>
  <r>
    <n v="12992"/>
    <d v="2025-06-20T00:00:00"/>
    <x v="1"/>
    <x v="3"/>
    <x v="1"/>
    <x v="2"/>
    <n v="4"/>
    <n v="63333"/>
    <x v="2972"/>
    <n v="2235"/>
    <n v="251097"/>
    <n v="60409.811829999999"/>
    <x v="1"/>
    <x v="11"/>
  </r>
  <r>
    <n v="12993"/>
    <d v="2024-05-10T00:00:00"/>
    <x v="0"/>
    <x v="3"/>
    <x v="2"/>
    <x v="0"/>
    <n v="7"/>
    <n v="60508"/>
    <x v="2973"/>
    <n v="2511"/>
    <n v="421045"/>
    <n v="89781.520470000003"/>
    <x v="0"/>
    <x v="5"/>
  </r>
  <r>
    <n v="12994"/>
    <d v="2024-12-18T00:00:00"/>
    <x v="4"/>
    <x v="0"/>
    <x v="1"/>
    <x v="0"/>
    <n v="5"/>
    <n v="6401"/>
    <x v="2974"/>
    <n v="721"/>
    <n v="31284"/>
    <n v="4432.3194750000002"/>
    <x v="0"/>
    <x v="3"/>
  </r>
  <r>
    <n v="12995"/>
    <d v="2024-07-14T00:00:00"/>
    <x v="1"/>
    <x v="0"/>
    <x v="2"/>
    <x v="3"/>
    <n v="7"/>
    <n v="15004"/>
    <x v="2975"/>
    <n v="3248"/>
    <n v="101780"/>
    <n v="21132.161319999999"/>
    <x v="0"/>
    <x v="10"/>
  </r>
  <r>
    <n v="12996"/>
    <d v="2025-10-27T00:00:00"/>
    <x v="0"/>
    <x v="1"/>
    <x v="1"/>
    <x v="0"/>
    <n v="4"/>
    <n v="40301"/>
    <x v="2976"/>
    <n v="1200"/>
    <n v="160004"/>
    <n v="23074.897730000001"/>
    <x v="1"/>
    <x v="8"/>
  </r>
  <r>
    <n v="12997"/>
    <d v="2025-01-16T00:00:00"/>
    <x v="0"/>
    <x v="3"/>
    <x v="0"/>
    <x v="3"/>
    <n v="1"/>
    <n v="10901"/>
    <x v="2977"/>
    <n v="4976"/>
    <n v="5925"/>
    <n v="691.66860399999996"/>
    <x v="1"/>
    <x v="4"/>
  </r>
  <r>
    <n v="12998"/>
    <d v="2025-10-06T00:00:00"/>
    <x v="1"/>
    <x v="1"/>
    <x v="1"/>
    <x v="1"/>
    <n v="4"/>
    <n v="74621"/>
    <x v="2978"/>
    <n v="2462"/>
    <n v="296022"/>
    <n v="61449.202929999999"/>
    <x v="1"/>
    <x v="8"/>
  </r>
  <r>
    <n v="12999"/>
    <d v="2024-08-14T00:00:00"/>
    <x v="0"/>
    <x v="0"/>
    <x v="0"/>
    <x v="2"/>
    <n v="3"/>
    <n v="72751"/>
    <x v="2979"/>
    <n v="4673"/>
    <n v="213580"/>
    <n v="27099.883979999999"/>
    <x v="0"/>
    <x v="6"/>
  </r>
  <r>
    <n v="13000"/>
    <d v="2025-12-01T00:00:00"/>
    <x v="3"/>
    <x v="4"/>
    <x v="2"/>
    <x v="3"/>
    <n v="9"/>
    <n v="53809"/>
    <x v="2980"/>
    <n v="309"/>
    <n v="483972"/>
    <n v="56460.048089999997"/>
    <x v="1"/>
    <x v="3"/>
  </r>
  <r>
    <n v="13001"/>
    <d v="2025-04-20T00:00:00"/>
    <x v="1"/>
    <x v="4"/>
    <x v="2"/>
    <x v="2"/>
    <n v="5"/>
    <n v="63171"/>
    <x v="2981"/>
    <n v="1025"/>
    <n v="314830"/>
    <n v="57539.592700000001"/>
    <x v="1"/>
    <x v="0"/>
  </r>
  <r>
    <n v="13002"/>
    <d v="2025-04-21T00:00:00"/>
    <x v="0"/>
    <x v="0"/>
    <x v="0"/>
    <x v="3"/>
    <n v="4"/>
    <n v="72720"/>
    <x v="2982"/>
    <n v="4412"/>
    <n v="286468"/>
    <n v="55315.191500000001"/>
    <x v="1"/>
    <x v="0"/>
  </r>
  <r>
    <n v="13003"/>
    <d v="2024-09-21T00:00:00"/>
    <x v="4"/>
    <x v="3"/>
    <x v="2"/>
    <x v="2"/>
    <n v="8"/>
    <n v="69744"/>
    <x v="2983"/>
    <n v="1532"/>
    <n v="556420"/>
    <n v="59903.310669999999"/>
    <x v="0"/>
    <x v="2"/>
  </r>
  <r>
    <n v="13004"/>
    <d v="2025-01-06T00:00:00"/>
    <x v="4"/>
    <x v="4"/>
    <x v="1"/>
    <x v="3"/>
    <n v="5"/>
    <n v="15354"/>
    <x v="2984"/>
    <n v="3643"/>
    <n v="73127"/>
    <n v="7361.7194559999998"/>
    <x v="1"/>
    <x v="4"/>
  </r>
  <r>
    <n v="13005"/>
    <d v="2025-04-30T00:00:00"/>
    <x v="3"/>
    <x v="3"/>
    <x v="0"/>
    <x v="2"/>
    <n v="3"/>
    <n v="63860"/>
    <x v="2985"/>
    <n v="367"/>
    <n v="191213"/>
    <n v="44420.79711"/>
    <x v="1"/>
    <x v="0"/>
  </r>
  <r>
    <n v="13006"/>
    <d v="2025-03-09T00:00:00"/>
    <x v="1"/>
    <x v="4"/>
    <x v="2"/>
    <x v="1"/>
    <n v="2"/>
    <n v="14504"/>
    <x v="2986"/>
    <n v="4650"/>
    <n v="24358"/>
    <n v="2856.8982820000001"/>
    <x v="1"/>
    <x v="1"/>
  </r>
  <r>
    <n v="13007"/>
    <d v="2025-10-07T00:00:00"/>
    <x v="0"/>
    <x v="3"/>
    <x v="1"/>
    <x v="2"/>
    <n v="8"/>
    <n v="59320"/>
    <x v="2987"/>
    <n v="2652"/>
    <n v="471908"/>
    <n v="88522.724350000004"/>
    <x v="1"/>
    <x v="8"/>
  </r>
  <r>
    <n v="13008"/>
    <d v="2024-07-29T00:00:00"/>
    <x v="0"/>
    <x v="4"/>
    <x v="1"/>
    <x v="1"/>
    <n v="2"/>
    <n v="8523"/>
    <x v="2988"/>
    <n v="1249"/>
    <n v="15797"/>
    <n v="3839.1755109999999"/>
    <x v="0"/>
    <x v="10"/>
  </r>
  <r>
    <n v="13009"/>
    <d v="2025-07-25T00:00:00"/>
    <x v="4"/>
    <x v="3"/>
    <x v="2"/>
    <x v="1"/>
    <n v="8"/>
    <n v="79243"/>
    <x v="2989"/>
    <n v="2983"/>
    <n v="630961"/>
    <n v="111545.39780000001"/>
    <x v="1"/>
    <x v="10"/>
  </r>
  <r>
    <n v="13010"/>
    <d v="2025-01-11T00:00:00"/>
    <x v="3"/>
    <x v="1"/>
    <x v="2"/>
    <x v="1"/>
    <n v="5"/>
    <n v="38787"/>
    <x v="2990"/>
    <n v="4575"/>
    <n v="189360"/>
    <n v="22906.822649999998"/>
    <x v="1"/>
    <x v="4"/>
  </r>
  <r>
    <n v="13011"/>
    <d v="2025-01-29T00:00:00"/>
    <x v="4"/>
    <x v="3"/>
    <x v="1"/>
    <x v="0"/>
    <n v="8"/>
    <n v="28982"/>
    <x v="2991"/>
    <n v="3028"/>
    <n v="228828"/>
    <n v="36388.840790000002"/>
    <x v="1"/>
    <x v="4"/>
  </r>
  <r>
    <n v="13012"/>
    <d v="2025-03-25T00:00:00"/>
    <x v="4"/>
    <x v="1"/>
    <x v="0"/>
    <x v="2"/>
    <n v="5"/>
    <n v="6049"/>
    <x v="2992"/>
    <n v="3134"/>
    <n v="27111"/>
    <n v="5248.8610010000002"/>
    <x v="1"/>
    <x v="1"/>
  </r>
  <r>
    <n v="13013"/>
    <d v="2024-12-29T00:00:00"/>
    <x v="3"/>
    <x v="1"/>
    <x v="2"/>
    <x v="0"/>
    <n v="1"/>
    <n v="18381"/>
    <x v="2993"/>
    <n v="4095"/>
    <n v="14286"/>
    <n v="3063.2890579999998"/>
    <x v="0"/>
    <x v="3"/>
  </r>
  <r>
    <n v="13014"/>
    <d v="2025-04-01T00:00:00"/>
    <x v="1"/>
    <x v="0"/>
    <x v="2"/>
    <x v="0"/>
    <n v="2"/>
    <n v="72876"/>
    <x v="2994"/>
    <n v="939"/>
    <n v="144813"/>
    <n v="27665.176769999998"/>
    <x v="1"/>
    <x v="0"/>
  </r>
  <r>
    <n v="13015"/>
    <d v="2025-12-25T00:00:00"/>
    <x v="0"/>
    <x v="1"/>
    <x v="0"/>
    <x v="2"/>
    <n v="6"/>
    <n v="53390"/>
    <x v="2995"/>
    <n v="4109"/>
    <n v="316231"/>
    <n v="33250.854859999999"/>
    <x v="1"/>
    <x v="3"/>
  </r>
  <r>
    <n v="13016"/>
    <d v="2025-12-28T00:00:00"/>
    <x v="1"/>
    <x v="2"/>
    <x v="0"/>
    <x v="1"/>
    <n v="3"/>
    <n v="17061"/>
    <x v="2996"/>
    <n v="4237"/>
    <n v="46946"/>
    <n v="5702.3160669999997"/>
    <x v="1"/>
    <x v="3"/>
  </r>
  <r>
    <n v="13017"/>
    <d v="2024-08-13T00:00:00"/>
    <x v="2"/>
    <x v="1"/>
    <x v="2"/>
    <x v="0"/>
    <n v="8"/>
    <n v="76241"/>
    <x v="2997"/>
    <n v="4023"/>
    <n v="605905"/>
    <n v="94381.975340000005"/>
    <x v="0"/>
    <x v="6"/>
  </r>
  <r>
    <n v="13018"/>
    <d v="2024-05-10T00:00:00"/>
    <x v="2"/>
    <x v="3"/>
    <x v="0"/>
    <x v="0"/>
    <n v="5"/>
    <n v="55296"/>
    <x v="2998"/>
    <n v="3691"/>
    <n v="272789"/>
    <n v="56155.539579999997"/>
    <x v="0"/>
    <x v="5"/>
  </r>
  <r>
    <n v="13019"/>
    <d v="2025-08-10T00:00:00"/>
    <x v="2"/>
    <x v="1"/>
    <x v="1"/>
    <x v="3"/>
    <n v="3"/>
    <n v="29014"/>
    <x v="2999"/>
    <n v="589"/>
    <n v="86453"/>
    <n v="16222.83596"/>
    <x v="1"/>
    <x v="6"/>
  </r>
  <r>
    <n v="13020"/>
    <d v="2025-04-20T00:00:00"/>
    <x v="3"/>
    <x v="3"/>
    <x v="1"/>
    <x v="2"/>
    <n v="7"/>
    <n v="69535"/>
    <x v="3000"/>
    <n v="1782"/>
    <n v="484963"/>
    <n v="51747.612000000001"/>
    <x v="1"/>
    <x v="0"/>
  </r>
  <r>
    <n v="13021"/>
    <d v="2024-10-03T00:00:00"/>
    <x v="4"/>
    <x v="3"/>
    <x v="1"/>
    <x v="0"/>
    <n v="8"/>
    <n v="70191"/>
    <x v="3001"/>
    <n v="4568"/>
    <n v="556960"/>
    <n v="122271.03630000001"/>
    <x v="0"/>
    <x v="8"/>
  </r>
  <r>
    <n v="13022"/>
    <d v="2024-06-04T00:00:00"/>
    <x v="1"/>
    <x v="2"/>
    <x v="2"/>
    <x v="2"/>
    <n v="4"/>
    <n v="56576"/>
    <x v="3002"/>
    <n v="1207"/>
    <n v="225097"/>
    <n v="42941.454120000002"/>
    <x v="0"/>
    <x v="11"/>
  </r>
  <r>
    <n v="13023"/>
    <d v="2024-08-05T00:00:00"/>
    <x v="0"/>
    <x v="1"/>
    <x v="0"/>
    <x v="2"/>
    <n v="9"/>
    <n v="33147"/>
    <x v="3003"/>
    <n v="4412"/>
    <n v="293911"/>
    <n v="68502.573109999998"/>
    <x v="0"/>
    <x v="6"/>
  </r>
  <r>
    <n v="13024"/>
    <d v="2024-07-08T00:00:00"/>
    <x v="2"/>
    <x v="1"/>
    <x v="1"/>
    <x v="0"/>
    <n v="6"/>
    <n v="73020"/>
    <x v="3004"/>
    <n v="4540"/>
    <n v="433580"/>
    <n v="70520.904580000002"/>
    <x v="0"/>
    <x v="10"/>
  </r>
  <r>
    <n v="13025"/>
    <d v="2025-02-20T00:00:00"/>
    <x v="1"/>
    <x v="4"/>
    <x v="0"/>
    <x v="2"/>
    <n v="1"/>
    <n v="61148"/>
    <x v="3005"/>
    <n v="2343"/>
    <n v="58805"/>
    <n v="10204.44736"/>
    <x v="1"/>
    <x v="9"/>
  </r>
  <r>
    <n v="13026"/>
    <d v="2025-11-05T00:00:00"/>
    <x v="2"/>
    <x v="4"/>
    <x v="1"/>
    <x v="1"/>
    <n v="5"/>
    <n v="6745"/>
    <x v="3006"/>
    <n v="846"/>
    <n v="32879"/>
    <n v="5288.0155629999999"/>
    <x v="1"/>
    <x v="7"/>
  </r>
  <r>
    <n v="13027"/>
    <d v="2025-11-22T00:00:00"/>
    <x v="2"/>
    <x v="0"/>
    <x v="0"/>
    <x v="0"/>
    <n v="5"/>
    <n v="27148"/>
    <x v="3007"/>
    <n v="2424"/>
    <n v="133316"/>
    <n v="27778.81221"/>
    <x v="1"/>
    <x v="7"/>
  </r>
  <r>
    <n v="13028"/>
    <d v="2025-06-29T00:00:00"/>
    <x v="0"/>
    <x v="3"/>
    <x v="1"/>
    <x v="0"/>
    <n v="7"/>
    <n v="21216"/>
    <x v="3008"/>
    <n v="4680"/>
    <n v="143832"/>
    <n v="30610.272789999999"/>
    <x v="1"/>
    <x v="11"/>
  </r>
  <r>
    <n v="13029"/>
    <d v="2024-02-10T00:00:00"/>
    <x v="3"/>
    <x v="2"/>
    <x v="1"/>
    <x v="0"/>
    <n v="7"/>
    <n v="46929"/>
    <x v="3009"/>
    <n v="798"/>
    <n v="327705"/>
    <n v="68322.02231"/>
    <x v="0"/>
    <x v="9"/>
  </r>
  <r>
    <n v="13030"/>
    <d v="2024-11-02T00:00:00"/>
    <x v="4"/>
    <x v="4"/>
    <x v="1"/>
    <x v="3"/>
    <n v="6"/>
    <n v="67637"/>
    <x v="3010"/>
    <n v="470"/>
    <n v="405352"/>
    <n v="58265.253909999999"/>
    <x v="0"/>
    <x v="7"/>
  </r>
  <r>
    <n v="13031"/>
    <d v="2024-12-03T00:00:00"/>
    <x v="3"/>
    <x v="1"/>
    <x v="1"/>
    <x v="3"/>
    <n v="8"/>
    <n v="64991"/>
    <x v="3011"/>
    <n v="3909"/>
    <n v="516019"/>
    <n v="100832.5537"/>
    <x v="0"/>
    <x v="3"/>
  </r>
  <r>
    <n v="13032"/>
    <d v="2024-11-09T00:00:00"/>
    <x v="1"/>
    <x v="0"/>
    <x v="1"/>
    <x v="3"/>
    <n v="2"/>
    <n v="27012"/>
    <x v="3012"/>
    <n v="4827"/>
    <n v="49197"/>
    <n v="7417.8855279999998"/>
    <x v="0"/>
    <x v="7"/>
  </r>
  <r>
    <n v="13033"/>
    <d v="2024-03-15T00:00:00"/>
    <x v="3"/>
    <x v="2"/>
    <x v="1"/>
    <x v="3"/>
    <n v="7"/>
    <n v="71313"/>
    <x v="3013"/>
    <n v="2094"/>
    <n v="497097"/>
    <n v="111911.4783"/>
    <x v="0"/>
    <x v="1"/>
  </r>
  <r>
    <n v="13034"/>
    <d v="2024-10-05T00:00:00"/>
    <x v="1"/>
    <x v="1"/>
    <x v="1"/>
    <x v="0"/>
    <n v="7"/>
    <n v="14525"/>
    <x v="3014"/>
    <n v="2994"/>
    <n v="98681"/>
    <n v="10683.9377"/>
    <x v="0"/>
    <x v="8"/>
  </r>
  <r>
    <n v="13035"/>
    <d v="2024-06-24T00:00:00"/>
    <x v="1"/>
    <x v="1"/>
    <x v="1"/>
    <x v="1"/>
    <n v="4"/>
    <n v="48348"/>
    <x v="3015"/>
    <n v="3129"/>
    <n v="190263"/>
    <n v="20102.829539999999"/>
    <x v="0"/>
    <x v="11"/>
  </r>
  <r>
    <n v="13036"/>
    <d v="2025-10-23T00:00:00"/>
    <x v="4"/>
    <x v="3"/>
    <x v="1"/>
    <x v="2"/>
    <n v="2"/>
    <n v="65447"/>
    <x v="3016"/>
    <n v="1313"/>
    <n v="129581"/>
    <n v="14935.0219"/>
    <x v="1"/>
    <x v="8"/>
  </r>
  <r>
    <n v="13037"/>
    <d v="2024-09-29T00:00:00"/>
    <x v="0"/>
    <x v="3"/>
    <x v="0"/>
    <x v="2"/>
    <n v="4"/>
    <n v="73650"/>
    <x v="3017"/>
    <n v="2878"/>
    <n v="291722"/>
    <n v="38027.269370000002"/>
    <x v="0"/>
    <x v="2"/>
  </r>
  <r>
    <n v="13038"/>
    <d v="2025-09-11T00:00:00"/>
    <x v="4"/>
    <x v="4"/>
    <x v="0"/>
    <x v="0"/>
    <n v="4"/>
    <n v="71881"/>
    <x v="3018"/>
    <n v="3515"/>
    <n v="284009"/>
    <n v="30004.217100000002"/>
    <x v="1"/>
    <x v="2"/>
  </r>
  <r>
    <n v="13039"/>
    <d v="2025-10-12T00:00:00"/>
    <x v="3"/>
    <x v="4"/>
    <x v="2"/>
    <x v="1"/>
    <n v="6"/>
    <n v="7041"/>
    <x v="3019"/>
    <n v="1047"/>
    <n v="41199"/>
    <n v="4562.4803970000003"/>
    <x v="1"/>
    <x v="8"/>
  </r>
  <r>
    <n v="13040"/>
    <d v="2024-10-15T00:00:00"/>
    <x v="1"/>
    <x v="1"/>
    <x v="1"/>
    <x v="2"/>
    <n v="7"/>
    <n v="56826"/>
    <x v="3020"/>
    <n v="1087"/>
    <n v="396695"/>
    <n v="57881.162060000002"/>
    <x v="0"/>
    <x v="8"/>
  </r>
  <r>
    <n v="13041"/>
    <d v="2025-12-24T00:00:00"/>
    <x v="2"/>
    <x v="1"/>
    <x v="0"/>
    <x v="1"/>
    <n v="3"/>
    <n v="22073"/>
    <x v="3021"/>
    <n v="3681"/>
    <n v="62538"/>
    <n v="7189.9064490000001"/>
    <x v="1"/>
    <x v="3"/>
  </r>
  <r>
    <n v="13042"/>
    <d v="2024-09-28T00:00:00"/>
    <x v="2"/>
    <x v="4"/>
    <x v="0"/>
    <x v="0"/>
    <n v="1"/>
    <n v="33028"/>
    <x v="3022"/>
    <n v="282"/>
    <n v="32746"/>
    <n v="7214.306184"/>
    <x v="0"/>
    <x v="2"/>
  </r>
  <r>
    <n v="13043"/>
    <d v="2024-03-06T00:00:00"/>
    <x v="1"/>
    <x v="4"/>
    <x v="0"/>
    <x v="3"/>
    <n v="3"/>
    <n v="28440"/>
    <x v="3023"/>
    <n v="3648"/>
    <n v="81672"/>
    <n v="8827.1186089999992"/>
    <x v="0"/>
    <x v="1"/>
  </r>
  <r>
    <n v="13044"/>
    <d v="2025-04-27T00:00:00"/>
    <x v="4"/>
    <x v="1"/>
    <x v="0"/>
    <x v="1"/>
    <n v="9"/>
    <n v="37887"/>
    <x v="3024"/>
    <n v="1398"/>
    <n v="339585"/>
    <n v="80206.383180000004"/>
    <x v="1"/>
    <x v="0"/>
  </r>
  <r>
    <n v="13045"/>
    <d v="2024-09-04T00:00:00"/>
    <x v="0"/>
    <x v="2"/>
    <x v="0"/>
    <x v="2"/>
    <n v="1"/>
    <n v="43937"/>
    <x v="3025"/>
    <n v="2733"/>
    <n v="41204"/>
    <n v="9502.7108850000004"/>
    <x v="0"/>
    <x v="2"/>
  </r>
  <r>
    <n v="13046"/>
    <d v="2024-06-04T00:00:00"/>
    <x v="4"/>
    <x v="1"/>
    <x v="0"/>
    <x v="2"/>
    <n v="8"/>
    <n v="70045"/>
    <x v="3026"/>
    <n v="4067"/>
    <n v="556293"/>
    <n v="73017.714609999995"/>
    <x v="0"/>
    <x v="11"/>
  </r>
  <r>
    <n v="13047"/>
    <d v="2024-02-16T00:00:00"/>
    <x v="1"/>
    <x v="2"/>
    <x v="2"/>
    <x v="2"/>
    <n v="2"/>
    <n v="66503"/>
    <x v="3027"/>
    <n v="2357"/>
    <n v="130649"/>
    <n v="14466.64069"/>
    <x v="0"/>
    <x v="9"/>
  </r>
  <r>
    <n v="13048"/>
    <d v="2025-03-29T00:00:00"/>
    <x v="1"/>
    <x v="2"/>
    <x v="0"/>
    <x v="3"/>
    <n v="6"/>
    <n v="32428"/>
    <x v="3028"/>
    <n v="2935"/>
    <n v="191633"/>
    <n v="22196.899600000001"/>
    <x v="1"/>
    <x v="1"/>
  </r>
  <r>
    <n v="13049"/>
    <d v="2024-07-19T00:00:00"/>
    <x v="0"/>
    <x v="1"/>
    <x v="2"/>
    <x v="1"/>
    <n v="3"/>
    <n v="6613"/>
    <x v="3029"/>
    <n v="3818"/>
    <n v="16021"/>
    <n v="2945.672896"/>
    <x v="0"/>
    <x v="10"/>
  </r>
  <r>
    <n v="13050"/>
    <d v="2025-10-21T00:00:00"/>
    <x v="3"/>
    <x v="0"/>
    <x v="2"/>
    <x v="1"/>
    <n v="7"/>
    <n v="53343"/>
    <x v="3030"/>
    <n v="3238"/>
    <n v="370163"/>
    <n v="70381.815960000007"/>
    <x v="1"/>
    <x v="8"/>
  </r>
  <r>
    <n v="13051"/>
    <d v="2024-05-03T00:00:00"/>
    <x v="3"/>
    <x v="4"/>
    <x v="1"/>
    <x v="2"/>
    <n v="2"/>
    <n v="78159"/>
    <x v="3031"/>
    <n v="1772"/>
    <n v="154546"/>
    <n v="22770.408589999999"/>
    <x v="0"/>
    <x v="5"/>
  </r>
  <r>
    <n v="13052"/>
    <d v="2024-01-01T00:00:00"/>
    <x v="0"/>
    <x v="3"/>
    <x v="1"/>
    <x v="1"/>
    <n v="4"/>
    <n v="65127"/>
    <x v="3032"/>
    <n v="4077"/>
    <n v="256431"/>
    <n v="37060.703159999997"/>
    <x v="0"/>
    <x v="4"/>
  </r>
  <r>
    <n v="13053"/>
    <d v="2025-10-01T00:00:00"/>
    <x v="3"/>
    <x v="1"/>
    <x v="1"/>
    <x v="2"/>
    <n v="9"/>
    <n v="57088"/>
    <x v="3033"/>
    <n v="4102"/>
    <n v="509690"/>
    <n v="91604.132230000003"/>
    <x v="1"/>
    <x v="8"/>
  </r>
  <r>
    <n v="13054"/>
    <d v="2024-07-09T00:00:00"/>
    <x v="2"/>
    <x v="2"/>
    <x v="0"/>
    <x v="1"/>
    <n v="6"/>
    <n v="76195"/>
    <x v="3034"/>
    <n v="787"/>
    <n v="456383"/>
    <n v="66560.816550000003"/>
    <x v="0"/>
    <x v="10"/>
  </r>
  <r>
    <n v="13055"/>
    <d v="2025-08-01T00:00:00"/>
    <x v="3"/>
    <x v="1"/>
    <x v="1"/>
    <x v="3"/>
    <n v="4"/>
    <n v="50023"/>
    <x v="3035"/>
    <n v="3224"/>
    <n v="196868"/>
    <n v="47277.44154"/>
    <x v="1"/>
    <x v="6"/>
  </r>
  <r>
    <n v="13056"/>
    <d v="2025-05-30T00:00:00"/>
    <x v="3"/>
    <x v="4"/>
    <x v="0"/>
    <x v="3"/>
    <n v="2"/>
    <n v="34653"/>
    <x v="3036"/>
    <n v="42"/>
    <n v="69264"/>
    <n v="10901.79113"/>
    <x v="1"/>
    <x v="5"/>
  </r>
  <r>
    <n v="13057"/>
    <d v="2025-03-17T00:00:00"/>
    <x v="3"/>
    <x v="2"/>
    <x v="0"/>
    <x v="0"/>
    <n v="9"/>
    <n v="20718"/>
    <x v="3037"/>
    <n v="4296"/>
    <n v="182166"/>
    <n v="24222.988700000002"/>
    <x v="1"/>
    <x v="1"/>
  </r>
  <r>
    <n v="13058"/>
    <d v="2024-05-22T00:00:00"/>
    <x v="2"/>
    <x v="3"/>
    <x v="1"/>
    <x v="0"/>
    <n v="4"/>
    <n v="79877"/>
    <x v="3038"/>
    <n v="2942"/>
    <n v="316566"/>
    <n v="38587.726139999999"/>
    <x v="0"/>
    <x v="5"/>
  </r>
  <r>
    <n v="13059"/>
    <d v="2024-07-09T00:00:00"/>
    <x v="3"/>
    <x v="3"/>
    <x v="1"/>
    <x v="0"/>
    <n v="9"/>
    <n v="59219"/>
    <x v="3039"/>
    <n v="4643"/>
    <n v="528328"/>
    <n v="102895.16899999999"/>
    <x v="0"/>
    <x v="10"/>
  </r>
  <r>
    <n v="13060"/>
    <d v="2025-06-16T00:00:00"/>
    <x v="2"/>
    <x v="3"/>
    <x v="2"/>
    <x v="1"/>
    <n v="2"/>
    <n v="58954"/>
    <x v="3040"/>
    <n v="4321"/>
    <n v="113587"/>
    <n v="16924.376950000002"/>
    <x v="1"/>
    <x v="11"/>
  </r>
  <r>
    <n v="13061"/>
    <d v="2024-08-14T00:00:00"/>
    <x v="0"/>
    <x v="0"/>
    <x v="2"/>
    <x v="3"/>
    <n v="7"/>
    <n v="21296"/>
    <x v="3041"/>
    <n v="3905"/>
    <n v="145167"/>
    <n v="18627.716919999999"/>
    <x v="0"/>
    <x v="6"/>
  </r>
  <r>
    <n v="13062"/>
    <d v="2024-11-08T00:00:00"/>
    <x v="4"/>
    <x v="2"/>
    <x v="0"/>
    <x v="3"/>
    <n v="5"/>
    <n v="31285"/>
    <x v="3042"/>
    <n v="4728"/>
    <n v="151697"/>
    <n v="21445.758150000001"/>
    <x v="0"/>
    <x v="7"/>
  </r>
  <r>
    <n v="13063"/>
    <d v="2025-09-20T00:00:00"/>
    <x v="0"/>
    <x v="2"/>
    <x v="0"/>
    <x v="3"/>
    <n v="8"/>
    <n v="57310"/>
    <x v="3043"/>
    <n v="3410"/>
    <n v="455070"/>
    <n v="66523.150120000006"/>
    <x v="1"/>
    <x v="2"/>
  </r>
  <r>
    <n v="13064"/>
    <d v="2024-10-28T00:00:00"/>
    <x v="4"/>
    <x v="0"/>
    <x v="1"/>
    <x v="2"/>
    <n v="8"/>
    <n v="19134"/>
    <x v="3044"/>
    <n v="1358"/>
    <n v="151714"/>
    <n v="29413.55488"/>
    <x v="0"/>
    <x v="8"/>
  </r>
  <r>
    <n v="13065"/>
    <d v="2025-10-15T00:00:00"/>
    <x v="0"/>
    <x v="2"/>
    <x v="1"/>
    <x v="1"/>
    <n v="4"/>
    <n v="58642"/>
    <x v="3045"/>
    <n v="1204"/>
    <n v="233364"/>
    <n v="29451.056039999999"/>
    <x v="1"/>
    <x v="8"/>
  </r>
  <r>
    <n v="13066"/>
    <d v="2025-04-04T00:00:00"/>
    <x v="4"/>
    <x v="0"/>
    <x v="2"/>
    <x v="1"/>
    <n v="4"/>
    <n v="5455"/>
    <x v="3046"/>
    <n v="3604"/>
    <n v="18216"/>
    <n v="3823.913008"/>
    <x v="1"/>
    <x v="0"/>
  </r>
  <r>
    <n v="13067"/>
    <d v="2025-02-04T00:00:00"/>
    <x v="4"/>
    <x v="1"/>
    <x v="1"/>
    <x v="0"/>
    <n v="8"/>
    <n v="78179"/>
    <x v="3047"/>
    <n v="2993"/>
    <n v="622439"/>
    <n v="90709.492110000007"/>
    <x v="1"/>
    <x v="9"/>
  </r>
  <r>
    <n v="13068"/>
    <d v="2025-07-04T00:00:00"/>
    <x v="1"/>
    <x v="4"/>
    <x v="0"/>
    <x v="2"/>
    <n v="3"/>
    <n v="75156"/>
    <x v="3048"/>
    <n v="2241"/>
    <n v="223227"/>
    <n v="38673.282749999998"/>
    <x v="1"/>
    <x v="10"/>
  </r>
  <r>
    <n v="13069"/>
    <d v="2025-01-27T00:00:00"/>
    <x v="4"/>
    <x v="3"/>
    <x v="1"/>
    <x v="2"/>
    <n v="7"/>
    <n v="13867"/>
    <x v="3049"/>
    <n v="537"/>
    <n v="96532"/>
    <n v="19135.137900000002"/>
    <x v="1"/>
    <x v="4"/>
  </r>
  <r>
    <n v="13070"/>
    <d v="2024-07-25T00:00:00"/>
    <x v="4"/>
    <x v="0"/>
    <x v="2"/>
    <x v="3"/>
    <n v="8"/>
    <n v="30577"/>
    <x v="3050"/>
    <n v="4011"/>
    <n v="240605"/>
    <n v="43680.157379999997"/>
    <x v="0"/>
    <x v="10"/>
  </r>
  <r>
    <n v="13071"/>
    <d v="2024-07-28T00:00:00"/>
    <x v="1"/>
    <x v="0"/>
    <x v="0"/>
    <x v="0"/>
    <n v="8"/>
    <n v="33647"/>
    <x v="3051"/>
    <n v="3868"/>
    <n v="265308"/>
    <n v="52885.178480000002"/>
    <x v="0"/>
    <x v="10"/>
  </r>
  <r>
    <n v="13072"/>
    <d v="2024-04-24T00:00:00"/>
    <x v="3"/>
    <x v="0"/>
    <x v="2"/>
    <x v="1"/>
    <n v="4"/>
    <n v="53894"/>
    <x v="3052"/>
    <n v="4576"/>
    <n v="211000"/>
    <n v="31310.147700000001"/>
    <x v="0"/>
    <x v="0"/>
  </r>
  <r>
    <n v="13073"/>
    <d v="2025-10-07T00:00:00"/>
    <x v="3"/>
    <x v="1"/>
    <x v="2"/>
    <x v="2"/>
    <n v="9"/>
    <n v="75635"/>
    <x v="3053"/>
    <n v="4525"/>
    <n v="676190"/>
    <n v="165340.2801"/>
    <x v="1"/>
    <x v="8"/>
  </r>
  <r>
    <n v="13074"/>
    <d v="2024-09-07T00:00:00"/>
    <x v="1"/>
    <x v="0"/>
    <x v="0"/>
    <x v="3"/>
    <n v="4"/>
    <n v="18887"/>
    <x v="3054"/>
    <n v="3583"/>
    <n v="71965"/>
    <n v="12151.1793"/>
    <x v="0"/>
    <x v="2"/>
  </r>
  <r>
    <n v="13075"/>
    <d v="2024-08-06T00:00:00"/>
    <x v="2"/>
    <x v="4"/>
    <x v="2"/>
    <x v="1"/>
    <n v="8"/>
    <n v="48314"/>
    <x v="3055"/>
    <n v="1350"/>
    <n v="385162"/>
    <n v="57115.688950000003"/>
    <x v="0"/>
    <x v="6"/>
  </r>
  <r>
    <n v="13076"/>
    <d v="2025-02-10T00:00:00"/>
    <x v="4"/>
    <x v="4"/>
    <x v="1"/>
    <x v="3"/>
    <n v="6"/>
    <n v="53203"/>
    <x v="3056"/>
    <n v="944"/>
    <n v="318274"/>
    <n v="45977.57374"/>
    <x v="1"/>
    <x v="9"/>
  </r>
  <r>
    <n v="13077"/>
    <d v="2025-03-18T00:00:00"/>
    <x v="4"/>
    <x v="3"/>
    <x v="1"/>
    <x v="1"/>
    <n v="5"/>
    <n v="5059"/>
    <x v="3057"/>
    <n v="3856"/>
    <n v="21439"/>
    <n v="2281.2006179999998"/>
    <x v="1"/>
    <x v="1"/>
  </r>
  <r>
    <n v="13078"/>
    <d v="2025-08-25T00:00:00"/>
    <x v="1"/>
    <x v="1"/>
    <x v="2"/>
    <x v="3"/>
    <n v="4"/>
    <n v="17673"/>
    <x v="3058"/>
    <n v="1823"/>
    <n v="68869"/>
    <n v="13961.184310000001"/>
    <x v="1"/>
    <x v="6"/>
  </r>
  <r>
    <n v="13079"/>
    <d v="2024-12-19T00:00:00"/>
    <x v="1"/>
    <x v="4"/>
    <x v="1"/>
    <x v="1"/>
    <n v="5"/>
    <n v="60351"/>
    <x v="3059"/>
    <n v="2625"/>
    <n v="299130"/>
    <n v="41691.929230000002"/>
    <x v="0"/>
    <x v="3"/>
  </r>
  <r>
    <n v="13080"/>
    <d v="2025-07-11T00:00:00"/>
    <x v="2"/>
    <x v="2"/>
    <x v="2"/>
    <x v="0"/>
    <n v="1"/>
    <n v="76067"/>
    <x v="3060"/>
    <n v="3898"/>
    <n v="72169"/>
    <n v="17597.65511"/>
    <x v="1"/>
    <x v="10"/>
  </r>
  <r>
    <n v="13081"/>
    <d v="2025-07-03T00:00:00"/>
    <x v="3"/>
    <x v="2"/>
    <x v="1"/>
    <x v="1"/>
    <n v="7"/>
    <n v="73300"/>
    <x v="3061"/>
    <n v="3487"/>
    <n v="509613"/>
    <n v="67048.106700000004"/>
    <x v="1"/>
    <x v="10"/>
  </r>
  <r>
    <n v="13082"/>
    <d v="2024-05-21T00:00:00"/>
    <x v="0"/>
    <x v="2"/>
    <x v="2"/>
    <x v="1"/>
    <n v="8"/>
    <n v="6794"/>
    <x v="3062"/>
    <n v="4206"/>
    <n v="50146"/>
    <n v="8997.3798100000004"/>
    <x v="0"/>
    <x v="5"/>
  </r>
  <r>
    <n v="13083"/>
    <d v="2025-09-03T00:00:00"/>
    <x v="3"/>
    <x v="0"/>
    <x v="1"/>
    <x v="1"/>
    <n v="9"/>
    <n v="15721"/>
    <x v="3063"/>
    <n v="4307"/>
    <n v="137182"/>
    <n v="28852.201229999999"/>
    <x v="1"/>
    <x v="2"/>
  </r>
  <r>
    <n v="13084"/>
    <d v="2025-05-15T00:00:00"/>
    <x v="4"/>
    <x v="0"/>
    <x v="0"/>
    <x v="3"/>
    <n v="3"/>
    <n v="64286"/>
    <x v="3064"/>
    <n v="850"/>
    <n v="192008"/>
    <n v="44261.164629999999"/>
    <x v="1"/>
    <x v="5"/>
  </r>
  <r>
    <n v="13085"/>
    <d v="2025-12-02T00:00:00"/>
    <x v="1"/>
    <x v="2"/>
    <x v="0"/>
    <x v="2"/>
    <n v="9"/>
    <n v="10686"/>
    <x v="3065"/>
    <n v="2925"/>
    <n v="93249"/>
    <n v="11513.37327"/>
    <x v="1"/>
    <x v="3"/>
  </r>
  <r>
    <n v="13086"/>
    <d v="2025-06-30T00:00:00"/>
    <x v="2"/>
    <x v="3"/>
    <x v="1"/>
    <x v="1"/>
    <n v="5"/>
    <n v="52443"/>
    <x v="3066"/>
    <n v="995"/>
    <n v="261220"/>
    <n v="64732.988559999998"/>
    <x v="1"/>
    <x v="11"/>
  </r>
  <r>
    <n v="13087"/>
    <d v="2025-10-20T00:00:00"/>
    <x v="3"/>
    <x v="3"/>
    <x v="2"/>
    <x v="1"/>
    <n v="6"/>
    <n v="69263"/>
    <x v="3067"/>
    <n v="4761"/>
    <n v="410817"/>
    <n v="96957.884690000006"/>
    <x v="1"/>
    <x v="8"/>
  </r>
  <r>
    <n v="13088"/>
    <d v="2025-06-25T00:00:00"/>
    <x v="2"/>
    <x v="0"/>
    <x v="1"/>
    <x v="0"/>
    <n v="1"/>
    <n v="67722"/>
    <x v="3068"/>
    <n v="349"/>
    <n v="67373"/>
    <n v="16467.811600000001"/>
    <x v="1"/>
    <x v="11"/>
  </r>
  <r>
    <n v="13089"/>
    <d v="2025-05-21T00:00:00"/>
    <x v="3"/>
    <x v="2"/>
    <x v="2"/>
    <x v="1"/>
    <n v="9"/>
    <n v="57573"/>
    <x v="3069"/>
    <n v="1537"/>
    <n v="516620"/>
    <n v="117738.01519999999"/>
    <x v="1"/>
    <x v="5"/>
  </r>
  <r>
    <n v="13090"/>
    <d v="2025-08-18T00:00:00"/>
    <x v="4"/>
    <x v="3"/>
    <x v="1"/>
    <x v="0"/>
    <n v="9"/>
    <n v="17888"/>
    <x v="3070"/>
    <n v="2977"/>
    <n v="158015"/>
    <n v="36604.235460000004"/>
    <x v="1"/>
    <x v="6"/>
  </r>
  <r>
    <n v="13091"/>
    <d v="2024-10-07T00:00:00"/>
    <x v="0"/>
    <x v="0"/>
    <x v="1"/>
    <x v="1"/>
    <n v="6"/>
    <n v="44348"/>
    <x v="3071"/>
    <n v="2728"/>
    <n v="263360"/>
    <n v="49992.137490000001"/>
    <x v="0"/>
    <x v="8"/>
  </r>
  <r>
    <n v="13092"/>
    <d v="2025-02-27T00:00:00"/>
    <x v="2"/>
    <x v="2"/>
    <x v="0"/>
    <x v="3"/>
    <n v="8"/>
    <n v="18533"/>
    <x v="3072"/>
    <n v="4346"/>
    <n v="143918"/>
    <n v="32640.100050000001"/>
    <x v="1"/>
    <x v="9"/>
  </r>
  <r>
    <n v="13093"/>
    <d v="2024-09-26T00:00:00"/>
    <x v="2"/>
    <x v="1"/>
    <x v="2"/>
    <x v="2"/>
    <n v="4"/>
    <n v="26916"/>
    <x v="3073"/>
    <n v="2366"/>
    <n v="105298"/>
    <n v="18964.38078"/>
    <x v="0"/>
    <x v="2"/>
  </r>
  <r>
    <n v="13094"/>
    <d v="2024-06-02T00:00:00"/>
    <x v="0"/>
    <x v="2"/>
    <x v="2"/>
    <x v="2"/>
    <n v="5"/>
    <n v="66422"/>
    <x v="3074"/>
    <n v="2236"/>
    <n v="329874"/>
    <n v="59618.977639999997"/>
    <x v="0"/>
    <x v="11"/>
  </r>
  <r>
    <n v="13095"/>
    <d v="2025-09-05T00:00:00"/>
    <x v="2"/>
    <x v="2"/>
    <x v="2"/>
    <x v="2"/>
    <n v="5"/>
    <n v="55525"/>
    <x v="3075"/>
    <n v="3875"/>
    <n v="273750"/>
    <n v="50475.945019999999"/>
    <x v="1"/>
    <x v="2"/>
  </r>
  <r>
    <n v="13096"/>
    <d v="2025-12-27T00:00:00"/>
    <x v="2"/>
    <x v="4"/>
    <x v="2"/>
    <x v="3"/>
    <n v="7"/>
    <n v="8553"/>
    <x v="3076"/>
    <n v="3094"/>
    <n v="56777"/>
    <n v="14162.89142"/>
    <x v="1"/>
    <x v="3"/>
  </r>
  <r>
    <n v="13097"/>
    <d v="2025-10-23T00:00:00"/>
    <x v="3"/>
    <x v="4"/>
    <x v="2"/>
    <x v="0"/>
    <n v="7"/>
    <n v="13144"/>
    <x v="3077"/>
    <n v="3601"/>
    <n v="88407"/>
    <n v="10225.08519"/>
    <x v="1"/>
    <x v="8"/>
  </r>
  <r>
    <n v="13098"/>
    <d v="2024-03-23T00:00:00"/>
    <x v="3"/>
    <x v="1"/>
    <x v="0"/>
    <x v="2"/>
    <n v="7"/>
    <n v="64931"/>
    <x v="3078"/>
    <n v="4174"/>
    <n v="450343"/>
    <n v="99454.422179999994"/>
    <x v="0"/>
    <x v="1"/>
  </r>
  <r>
    <n v="13099"/>
    <d v="2025-09-13T00:00:00"/>
    <x v="0"/>
    <x v="1"/>
    <x v="1"/>
    <x v="3"/>
    <n v="5"/>
    <n v="68712"/>
    <x v="3079"/>
    <n v="4641"/>
    <n v="338919"/>
    <n v="47786.521050000003"/>
    <x v="1"/>
    <x v="2"/>
  </r>
  <r>
    <n v="13100"/>
    <d v="2025-03-01T00:00:00"/>
    <x v="4"/>
    <x v="2"/>
    <x v="2"/>
    <x v="3"/>
    <n v="4"/>
    <n v="10437"/>
    <x v="3080"/>
    <n v="923"/>
    <n v="40825"/>
    <n v="6294.5643470000005"/>
    <x v="1"/>
    <x v="1"/>
  </r>
  <r>
    <n v="13101"/>
    <d v="2024-10-01T00:00:00"/>
    <x v="2"/>
    <x v="3"/>
    <x v="2"/>
    <x v="1"/>
    <n v="8"/>
    <n v="37518"/>
    <x v="3081"/>
    <n v="618"/>
    <n v="299526"/>
    <n v="33570.87066"/>
    <x v="0"/>
    <x v="8"/>
  </r>
  <r>
    <n v="13102"/>
    <d v="2025-12-13T00:00:00"/>
    <x v="4"/>
    <x v="1"/>
    <x v="1"/>
    <x v="0"/>
    <n v="1"/>
    <n v="28830"/>
    <x v="3082"/>
    <n v="4400"/>
    <n v="24430"/>
    <n v="3731.342122"/>
    <x v="1"/>
    <x v="3"/>
  </r>
  <r>
    <n v="13103"/>
    <d v="2024-10-10T00:00:00"/>
    <x v="0"/>
    <x v="2"/>
    <x v="0"/>
    <x v="3"/>
    <n v="1"/>
    <n v="79285"/>
    <x v="3083"/>
    <n v="3262"/>
    <n v="76023"/>
    <n v="18900.41288"/>
    <x v="0"/>
    <x v="8"/>
  </r>
  <r>
    <n v="13104"/>
    <d v="2024-06-21T00:00:00"/>
    <x v="0"/>
    <x v="0"/>
    <x v="0"/>
    <x v="0"/>
    <n v="6"/>
    <n v="51553"/>
    <x v="3084"/>
    <n v="3303"/>
    <n v="306015"/>
    <n v="48827.872519999997"/>
    <x v="0"/>
    <x v="11"/>
  </r>
  <r>
    <n v="13105"/>
    <d v="2024-11-22T00:00:00"/>
    <x v="3"/>
    <x v="4"/>
    <x v="0"/>
    <x v="2"/>
    <n v="2"/>
    <n v="10915"/>
    <x v="3085"/>
    <n v="2601"/>
    <n v="19229"/>
    <n v="3854.5143520000001"/>
    <x v="0"/>
    <x v="7"/>
  </r>
  <r>
    <n v="13106"/>
    <d v="2025-12-18T00:00:00"/>
    <x v="2"/>
    <x v="3"/>
    <x v="1"/>
    <x v="2"/>
    <n v="3"/>
    <n v="33695"/>
    <x v="3086"/>
    <n v="1047"/>
    <n v="100038"/>
    <n v="11815.185890000001"/>
    <x v="1"/>
    <x v="3"/>
  </r>
  <r>
    <n v="13107"/>
    <d v="2024-03-03T00:00:00"/>
    <x v="1"/>
    <x v="2"/>
    <x v="1"/>
    <x v="2"/>
    <n v="4"/>
    <n v="19703"/>
    <x v="3087"/>
    <n v="1698"/>
    <n v="77114"/>
    <n v="18382.017469999999"/>
    <x v="0"/>
    <x v="1"/>
  </r>
  <r>
    <n v="13108"/>
    <d v="2024-03-13T00:00:00"/>
    <x v="0"/>
    <x v="0"/>
    <x v="0"/>
    <x v="1"/>
    <n v="2"/>
    <n v="26478"/>
    <x v="3088"/>
    <n v="2230"/>
    <n v="50726"/>
    <n v="11370.831819999999"/>
    <x v="0"/>
    <x v="1"/>
  </r>
  <r>
    <n v="13109"/>
    <d v="2025-09-27T00:00:00"/>
    <x v="2"/>
    <x v="4"/>
    <x v="0"/>
    <x v="1"/>
    <n v="7"/>
    <n v="72918"/>
    <x v="3089"/>
    <n v="1868"/>
    <n v="508558"/>
    <n v="80323.758809999999"/>
    <x v="1"/>
    <x v="2"/>
  </r>
  <r>
    <n v="13110"/>
    <d v="2025-01-09T00:00:00"/>
    <x v="4"/>
    <x v="0"/>
    <x v="1"/>
    <x v="0"/>
    <n v="1"/>
    <n v="35128"/>
    <x v="3090"/>
    <n v="2654"/>
    <n v="32474"/>
    <n v="4944.7997400000004"/>
    <x v="1"/>
    <x v="4"/>
  </r>
  <r>
    <n v="13111"/>
    <d v="2025-09-24T00:00:00"/>
    <x v="3"/>
    <x v="2"/>
    <x v="0"/>
    <x v="0"/>
    <n v="3"/>
    <n v="58250"/>
    <x v="3091"/>
    <n v="82"/>
    <n v="174668"/>
    <n v="28792.281950000001"/>
    <x v="1"/>
    <x v="2"/>
  </r>
  <r>
    <n v="13112"/>
    <d v="2025-05-22T00:00:00"/>
    <x v="4"/>
    <x v="1"/>
    <x v="2"/>
    <x v="1"/>
    <n v="2"/>
    <n v="42126"/>
    <x v="3092"/>
    <n v="92"/>
    <n v="84160"/>
    <n v="13481.4833"/>
    <x v="1"/>
    <x v="5"/>
  </r>
  <r>
    <n v="13113"/>
    <d v="2025-02-01T00:00:00"/>
    <x v="0"/>
    <x v="4"/>
    <x v="1"/>
    <x v="3"/>
    <n v="9"/>
    <n v="51799"/>
    <x v="3093"/>
    <n v="3156"/>
    <n v="463035"/>
    <n v="64226.483160000003"/>
    <x v="1"/>
    <x v="9"/>
  </r>
  <r>
    <n v="13114"/>
    <d v="2024-04-29T00:00:00"/>
    <x v="0"/>
    <x v="0"/>
    <x v="0"/>
    <x v="0"/>
    <n v="8"/>
    <n v="63248"/>
    <x v="3094"/>
    <n v="3048"/>
    <n v="502936"/>
    <n v="125043.4393"/>
    <x v="0"/>
    <x v="0"/>
  </r>
  <r>
    <n v="13115"/>
    <d v="2025-03-12T00:00:00"/>
    <x v="4"/>
    <x v="1"/>
    <x v="2"/>
    <x v="0"/>
    <n v="3"/>
    <n v="37907"/>
    <x v="3095"/>
    <n v="1467"/>
    <n v="112254"/>
    <n v="24873.46228"/>
    <x v="1"/>
    <x v="1"/>
  </r>
  <r>
    <n v="13116"/>
    <d v="2025-11-06T00:00:00"/>
    <x v="0"/>
    <x v="3"/>
    <x v="1"/>
    <x v="2"/>
    <n v="5"/>
    <n v="12644"/>
    <x v="3096"/>
    <n v="2024"/>
    <n v="61196"/>
    <n v="8578.974768"/>
    <x v="1"/>
    <x v="7"/>
  </r>
  <r>
    <n v="13117"/>
    <d v="2025-04-09T00:00:00"/>
    <x v="2"/>
    <x v="2"/>
    <x v="1"/>
    <x v="0"/>
    <n v="3"/>
    <n v="39583"/>
    <x v="3097"/>
    <n v="4869"/>
    <n v="113880"/>
    <n v="28157.823049999999"/>
    <x v="1"/>
    <x v="0"/>
  </r>
  <r>
    <n v="13118"/>
    <d v="2024-10-12T00:00:00"/>
    <x v="0"/>
    <x v="2"/>
    <x v="2"/>
    <x v="0"/>
    <n v="6"/>
    <n v="59560"/>
    <x v="3098"/>
    <n v="3817"/>
    <n v="353543"/>
    <n v="36177.885739999998"/>
    <x v="0"/>
    <x v="8"/>
  </r>
  <r>
    <n v="13119"/>
    <d v="2024-09-21T00:00:00"/>
    <x v="3"/>
    <x v="4"/>
    <x v="1"/>
    <x v="3"/>
    <n v="5"/>
    <n v="20185"/>
    <x v="3099"/>
    <n v="2698"/>
    <n v="98227"/>
    <n v="16274.705669999999"/>
    <x v="0"/>
    <x v="2"/>
  </r>
  <r>
    <n v="13120"/>
    <d v="2024-11-15T00:00:00"/>
    <x v="2"/>
    <x v="0"/>
    <x v="0"/>
    <x v="0"/>
    <n v="2"/>
    <n v="46988"/>
    <x v="3100"/>
    <n v="791"/>
    <n v="93185"/>
    <n v="17278.621709999999"/>
    <x v="0"/>
    <x v="7"/>
  </r>
  <r>
    <n v="13121"/>
    <d v="2025-11-03T00:00:00"/>
    <x v="1"/>
    <x v="3"/>
    <x v="1"/>
    <x v="3"/>
    <n v="8"/>
    <n v="15446"/>
    <x v="3101"/>
    <n v="475"/>
    <n v="123093"/>
    <n v="13003.29751"/>
    <x v="1"/>
    <x v="7"/>
  </r>
  <r>
    <n v="13122"/>
    <d v="2025-01-10T00:00:00"/>
    <x v="0"/>
    <x v="4"/>
    <x v="0"/>
    <x v="2"/>
    <n v="6"/>
    <n v="28162"/>
    <x v="3102"/>
    <n v="503"/>
    <n v="168469"/>
    <n v="20916.366170000001"/>
    <x v="1"/>
    <x v="4"/>
  </r>
  <r>
    <n v="13123"/>
    <d v="2024-03-29T00:00:00"/>
    <x v="0"/>
    <x v="4"/>
    <x v="2"/>
    <x v="1"/>
    <n v="3"/>
    <n v="19150"/>
    <x v="3103"/>
    <n v="230"/>
    <n v="57220"/>
    <n v="7937.5390779999998"/>
    <x v="0"/>
    <x v="1"/>
  </r>
  <r>
    <n v="13124"/>
    <d v="2025-10-15T00:00:00"/>
    <x v="3"/>
    <x v="0"/>
    <x v="2"/>
    <x v="2"/>
    <n v="1"/>
    <n v="46304"/>
    <x v="3104"/>
    <n v="1586"/>
    <n v="44718"/>
    <n v="9302.8670349999993"/>
    <x v="1"/>
    <x v="8"/>
  </r>
  <r>
    <n v="13125"/>
    <d v="2024-07-21T00:00:00"/>
    <x v="3"/>
    <x v="3"/>
    <x v="1"/>
    <x v="3"/>
    <n v="5"/>
    <n v="41003"/>
    <x v="3105"/>
    <n v="1774"/>
    <n v="203241"/>
    <n v="48973.262179999998"/>
    <x v="0"/>
    <x v="10"/>
  </r>
  <r>
    <n v="13126"/>
    <d v="2024-11-29T00:00:00"/>
    <x v="4"/>
    <x v="0"/>
    <x v="2"/>
    <x v="3"/>
    <n v="2"/>
    <n v="56746"/>
    <x v="3106"/>
    <n v="3090"/>
    <n v="110402"/>
    <n v="21382.688399999999"/>
    <x v="0"/>
    <x v="7"/>
  </r>
  <r>
    <n v="13127"/>
    <d v="2024-08-09T00:00:00"/>
    <x v="4"/>
    <x v="2"/>
    <x v="2"/>
    <x v="0"/>
    <n v="2"/>
    <n v="71923"/>
    <x v="3107"/>
    <n v="2256"/>
    <n v="141590"/>
    <n v="26109.088199999998"/>
    <x v="0"/>
    <x v="6"/>
  </r>
  <r>
    <n v="13128"/>
    <d v="2024-02-10T00:00:00"/>
    <x v="4"/>
    <x v="1"/>
    <x v="1"/>
    <x v="0"/>
    <n v="9"/>
    <n v="5983"/>
    <x v="3108"/>
    <n v="3970"/>
    <n v="49877"/>
    <n v="9003.490194"/>
    <x v="0"/>
    <x v="9"/>
  </r>
  <r>
    <n v="13129"/>
    <d v="2025-12-08T00:00:00"/>
    <x v="3"/>
    <x v="2"/>
    <x v="0"/>
    <x v="1"/>
    <n v="7"/>
    <n v="52114"/>
    <x v="3109"/>
    <n v="4226"/>
    <n v="360572"/>
    <n v="55025.28746"/>
    <x v="1"/>
    <x v="3"/>
  </r>
  <r>
    <n v="13130"/>
    <d v="2024-03-08T00:00:00"/>
    <x v="4"/>
    <x v="2"/>
    <x v="1"/>
    <x v="3"/>
    <n v="6"/>
    <n v="56274"/>
    <x v="3110"/>
    <n v="4838"/>
    <n v="332806"/>
    <n v="74600.845100000006"/>
    <x v="0"/>
    <x v="1"/>
  </r>
  <r>
    <n v="13131"/>
    <d v="2025-05-28T00:00:00"/>
    <x v="4"/>
    <x v="4"/>
    <x v="1"/>
    <x v="3"/>
    <n v="1"/>
    <n v="24378"/>
    <x v="3111"/>
    <n v="383"/>
    <n v="23995"/>
    <n v="4345.8572020000001"/>
    <x v="1"/>
    <x v="5"/>
  </r>
  <r>
    <n v="13132"/>
    <d v="2025-09-28T00:00:00"/>
    <x v="1"/>
    <x v="2"/>
    <x v="0"/>
    <x v="2"/>
    <n v="2"/>
    <n v="12548"/>
    <x v="3112"/>
    <n v="3163"/>
    <n v="21933"/>
    <n v="2950.3279550000002"/>
    <x v="1"/>
    <x v="2"/>
  </r>
  <r>
    <n v="13133"/>
    <d v="2025-09-13T00:00:00"/>
    <x v="4"/>
    <x v="3"/>
    <x v="0"/>
    <x v="1"/>
    <n v="7"/>
    <n v="44621"/>
    <x v="3113"/>
    <n v="2409"/>
    <n v="309938"/>
    <n v="37355.178650000002"/>
    <x v="1"/>
    <x v="2"/>
  </r>
  <r>
    <n v="13134"/>
    <d v="2025-08-20T00:00:00"/>
    <x v="0"/>
    <x v="2"/>
    <x v="0"/>
    <x v="2"/>
    <n v="3"/>
    <n v="71311"/>
    <x v="3114"/>
    <n v="760"/>
    <n v="213173"/>
    <n v="52829.998899999999"/>
    <x v="1"/>
    <x v="6"/>
  </r>
  <r>
    <n v="13135"/>
    <d v="2025-09-23T00:00:00"/>
    <x v="3"/>
    <x v="3"/>
    <x v="1"/>
    <x v="0"/>
    <n v="2"/>
    <n v="26531"/>
    <x v="3115"/>
    <n v="3952"/>
    <n v="49110"/>
    <n v="5039.7164380000004"/>
    <x v="1"/>
    <x v="2"/>
  </r>
  <r>
    <n v="13136"/>
    <d v="2024-05-06T00:00:00"/>
    <x v="2"/>
    <x v="0"/>
    <x v="0"/>
    <x v="0"/>
    <n v="6"/>
    <n v="22870"/>
    <x v="3116"/>
    <n v="942"/>
    <n v="136278"/>
    <n v="32708.90106"/>
    <x v="0"/>
    <x v="5"/>
  </r>
  <r>
    <n v="13137"/>
    <d v="2024-09-11T00:00:00"/>
    <x v="1"/>
    <x v="4"/>
    <x v="2"/>
    <x v="2"/>
    <n v="8"/>
    <n v="54547"/>
    <x v="3117"/>
    <n v="2695"/>
    <n v="433681"/>
    <n v="57569.199090000002"/>
    <x v="0"/>
    <x v="2"/>
  </r>
  <r>
    <n v="13138"/>
    <d v="2025-11-25T00:00:00"/>
    <x v="3"/>
    <x v="3"/>
    <x v="0"/>
    <x v="0"/>
    <n v="8"/>
    <n v="50738"/>
    <x v="3118"/>
    <n v="1296"/>
    <n v="404608"/>
    <n v="80368.270199999999"/>
    <x v="1"/>
    <x v="7"/>
  </r>
  <r>
    <n v="13139"/>
    <d v="2024-01-16T00:00:00"/>
    <x v="3"/>
    <x v="2"/>
    <x v="2"/>
    <x v="2"/>
    <n v="2"/>
    <n v="72537"/>
    <x v="3119"/>
    <n v="2402"/>
    <n v="142672"/>
    <n v="20720.237270000001"/>
    <x v="0"/>
    <x v="4"/>
  </r>
  <r>
    <n v="13140"/>
    <d v="2025-04-21T00:00:00"/>
    <x v="0"/>
    <x v="4"/>
    <x v="0"/>
    <x v="3"/>
    <n v="6"/>
    <n v="19756"/>
    <x v="3120"/>
    <n v="2147"/>
    <n v="116389"/>
    <n v="26649.771100000002"/>
    <x v="1"/>
    <x v="0"/>
  </r>
  <r>
    <n v="13141"/>
    <d v="2024-03-02T00:00:00"/>
    <x v="4"/>
    <x v="4"/>
    <x v="2"/>
    <x v="3"/>
    <n v="5"/>
    <n v="62707"/>
    <x v="3121"/>
    <n v="1639"/>
    <n v="311896"/>
    <n v="56614.36333"/>
    <x v="0"/>
    <x v="1"/>
  </r>
  <r>
    <n v="13142"/>
    <d v="2025-03-07T00:00:00"/>
    <x v="0"/>
    <x v="3"/>
    <x v="2"/>
    <x v="0"/>
    <n v="7"/>
    <n v="45830"/>
    <x v="3122"/>
    <n v="4396"/>
    <n v="316414"/>
    <n v="38336.297319999998"/>
    <x v="1"/>
    <x v="1"/>
  </r>
  <r>
    <n v="13143"/>
    <d v="2025-10-31T00:00:00"/>
    <x v="4"/>
    <x v="3"/>
    <x v="2"/>
    <x v="1"/>
    <n v="4"/>
    <n v="15046"/>
    <x v="3123"/>
    <n v="608"/>
    <n v="59576"/>
    <n v="8368.9534980000008"/>
    <x v="1"/>
    <x v="8"/>
  </r>
  <r>
    <n v="13144"/>
    <d v="2024-09-24T00:00:00"/>
    <x v="4"/>
    <x v="1"/>
    <x v="2"/>
    <x v="3"/>
    <n v="2"/>
    <n v="28652"/>
    <x v="3124"/>
    <n v="881"/>
    <n v="56423"/>
    <n v="8353.3002309999993"/>
    <x v="0"/>
    <x v="2"/>
  </r>
  <r>
    <n v="13145"/>
    <d v="2024-02-04T00:00:00"/>
    <x v="3"/>
    <x v="1"/>
    <x v="2"/>
    <x v="0"/>
    <n v="3"/>
    <n v="60029"/>
    <x v="3125"/>
    <n v="2250"/>
    <n v="177837"/>
    <n v="41416.16633"/>
    <x v="0"/>
    <x v="9"/>
  </r>
  <r>
    <n v="13146"/>
    <d v="2025-07-29T00:00:00"/>
    <x v="4"/>
    <x v="4"/>
    <x v="0"/>
    <x v="1"/>
    <n v="9"/>
    <n v="41956"/>
    <x v="3126"/>
    <n v="3092"/>
    <n v="374512"/>
    <n v="80524.110799999995"/>
    <x v="1"/>
    <x v="10"/>
  </r>
  <r>
    <n v="13147"/>
    <d v="2025-05-08T00:00:00"/>
    <x v="1"/>
    <x v="1"/>
    <x v="1"/>
    <x v="0"/>
    <n v="8"/>
    <n v="18886"/>
    <x v="3127"/>
    <n v="2159"/>
    <n v="148929"/>
    <n v="33425.341330000003"/>
    <x v="1"/>
    <x v="5"/>
  </r>
  <r>
    <n v="13148"/>
    <d v="2025-07-15T00:00:00"/>
    <x v="1"/>
    <x v="2"/>
    <x v="1"/>
    <x v="2"/>
    <n v="9"/>
    <n v="36823"/>
    <x v="3128"/>
    <n v="2428"/>
    <n v="328979"/>
    <n v="35476.380879999997"/>
    <x v="1"/>
    <x v="10"/>
  </r>
  <r>
    <n v="13149"/>
    <d v="2025-04-13T00:00:00"/>
    <x v="1"/>
    <x v="0"/>
    <x v="1"/>
    <x v="0"/>
    <n v="5"/>
    <n v="43948"/>
    <x v="3129"/>
    <n v="4850"/>
    <n v="214890"/>
    <n v="40145.176220000001"/>
    <x v="1"/>
    <x v="0"/>
  </r>
  <r>
    <n v="13150"/>
    <d v="2025-10-22T00:00:00"/>
    <x v="3"/>
    <x v="4"/>
    <x v="1"/>
    <x v="2"/>
    <n v="5"/>
    <n v="18322"/>
    <x v="3130"/>
    <n v="3001"/>
    <n v="88609"/>
    <n v="22141.310300000001"/>
    <x v="1"/>
    <x v="8"/>
  </r>
  <r>
    <n v="13151"/>
    <d v="2024-11-20T00:00:00"/>
    <x v="0"/>
    <x v="0"/>
    <x v="1"/>
    <x v="3"/>
    <n v="7"/>
    <n v="78330"/>
    <x v="3131"/>
    <n v="4891"/>
    <n v="543419"/>
    <n v="118345.7604"/>
    <x v="0"/>
    <x v="7"/>
  </r>
  <r>
    <n v="13152"/>
    <d v="2024-10-30T00:00:00"/>
    <x v="2"/>
    <x v="1"/>
    <x v="2"/>
    <x v="3"/>
    <n v="7"/>
    <n v="11162"/>
    <x v="3132"/>
    <n v="1994"/>
    <n v="76140"/>
    <n v="8992.6024290000005"/>
    <x v="0"/>
    <x v="8"/>
  </r>
  <r>
    <n v="13153"/>
    <d v="2024-10-02T00:00:00"/>
    <x v="4"/>
    <x v="3"/>
    <x v="0"/>
    <x v="0"/>
    <n v="1"/>
    <n v="10905"/>
    <x v="3133"/>
    <n v="1323"/>
    <n v="9582"/>
    <n v="1933.865352"/>
    <x v="0"/>
    <x v="8"/>
  </r>
  <r>
    <n v="13154"/>
    <d v="2025-11-14T00:00:00"/>
    <x v="2"/>
    <x v="4"/>
    <x v="2"/>
    <x v="1"/>
    <n v="5"/>
    <n v="62483"/>
    <x v="3134"/>
    <n v="4317"/>
    <n v="308098"/>
    <n v="65254.716789999999"/>
    <x v="1"/>
    <x v="7"/>
  </r>
  <r>
    <n v="13155"/>
    <d v="2024-07-19T00:00:00"/>
    <x v="0"/>
    <x v="1"/>
    <x v="0"/>
    <x v="0"/>
    <n v="8"/>
    <n v="43457"/>
    <x v="3135"/>
    <n v="1011"/>
    <n v="346645"/>
    <n v="61403.743199999997"/>
    <x v="0"/>
    <x v="10"/>
  </r>
  <r>
    <n v="13156"/>
    <d v="2025-03-20T00:00:00"/>
    <x v="0"/>
    <x v="2"/>
    <x v="0"/>
    <x v="0"/>
    <n v="7"/>
    <n v="20380"/>
    <x v="3136"/>
    <n v="4038"/>
    <n v="138622"/>
    <n v="15499.73783"/>
    <x v="1"/>
    <x v="1"/>
  </r>
  <r>
    <n v="13157"/>
    <d v="2024-11-19T00:00:00"/>
    <x v="3"/>
    <x v="4"/>
    <x v="0"/>
    <x v="3"/>
    <n v="2"/>
    <n v="20508"/>
    <x v="3137"/>
    <n v="688"/>
    <n v="40328"/>
    <n v="4242.6239740000001"/>
    <x v="0"/>
    <x v="7"/>
  </r>
  <r>
    <n v="13158"/>
    <d v="2024-02-04T00:00:00"/>
    <x v="1"/>
    <x v="4"/>
    <x v="0"/>
    <x v="3"/>
    <n v="8"/>
    <n v="24676"/>
    <x v="3138"/>
    <n v="4068"/>
    <n v="193340"/>
    <n v="46531.419029999997"/>
    <x v="0"/>
    <x v="9"/>
  </r>
  <r>
    <n v="13159"/>
    <d v="2025-04-26T00:00:00"/>
    <x v="1"/>
    <x v="3"/>
    <x v="1"/>
    <x v="0"/>
    <n v="2"/>
    <n v="77433"/>
    <x v="3139"/>
    <n v="4213"/>
    <n v="150653"/>
    <n v="20884.58772"/>
    <x v="1"/>
    <x v="0"/>
  </r>
  <r>
    <n v="13160"/>
    <d v="2025-12-28T00:00:00"/>
    <x v="0"/>
    <x v="4"/>
    <x v="0"/>
    <x v="3"/>
    <n v="1"/>
    <n v="6564"/>
    <x v="3140"/>
    <n v="4269"/>
    <n v="2295"/>
    <n v="359.95977770000002"/>
    <x v="1"/>
    <x v="3"/>
  </r>
  <r>
    <n v="13161"/>
    <d v="2025-04-24T00:00:00"/>
    <x v="3"/>
    <x v="3"/>
    <x v="0"/>
    <x v="2"/>
    <n v="3"/>
    <n v="18870"/>
    <x v="3141"/>
    <n v="1242"/>
    <n v="55368"/>
    <n v="12141.739030000001"/>
    <x v="1"/>
    <x v="0"/>
  </r>
  <r>
    <n v="13162"/>
    <d v="2024-03-05T00:00:00"/>
    <x v="3"/>
    <x v="1"/>
    <x v="1"/>
    <x v="0"/>
    <n v="3"/>
    <n v="19219"/>
    <x v="3142"/>
    <n v="3447"/>
    <n v="54210"/>
    <n v="11025.723760000001"/>
    <x v="0"/>
    <x v="1"/>
  </r>
  <r>
    <n v="13163"/>
    <d v="2024-01-08T00:00:00"/>
    <x v="4"/>
    <x v="2"/>
    <x v="2"/>
    <x v="3"/>
    <n v="6"/>
    <n v="24880"/>
    <x v="3143"/>
    <n v="2044"/>
    <n v="147236"/>
    <n v="36114.760909999997"/>
    <x v="0"/>
    <x v="4"/>
  </r>
  <r>
    <n v="13164"/>
    <d v="2024-10-27T00:00:00"/>
    <x v="1"/>
    <x v="2"/>
    <x v="2"/>
    <x v="0"/>
    <n v="3"/>
    <n v="15379"/>
    <x v="3144"/>
    <n v="440"/>
    <n v="45697"/>
    <n v="5206.0709399999996"/>
    <x v="0"/>
    <x v="8"/>
  </r>
  <r>
    <n v="13165"/>
    <d v="2024-12-08T00:00:00"/>
    <x v="0"/>
    <x v="4"/>
    <x v="2"/>
    <x v="3"/>
    <n v="7"/>
    <n v="59294"/>
    <x v="3145"/>
    <n v="1224"/>
    <n v="413834"/>
    <n v="85265.503249999994"/>
    <x v="0"/>
    <x v="3"/>
  </r>
  <r>
    <n v="13166"/>
    <d v="2025-03-06T00:00:00"/>
    <x v="2"/>
    <x v="4"/>
    <x v="2"/>
    <x v="2"/>
    <n v="8"/>
    <n v="7948"/>
    <x v="3146"/>
    <n v="2462"/>
    <n v="61122"/>
    <n v="6866.0987910000003"/>
    <x v="1"/>
    <x v="1"/>
  </r>
  <r>
    <n v="13167"/>
    <d v="2025-02-27T00:00:00"/>
    <x v="1"/>
    <x v="1"/>
    <x v="0"/>
    <x v="2"/>
    <n v="3"/>
    <n v="40902"/>
    <x v="3147"/>
    <n v="4178"/>
    <n v="118528"/>
    <n v="11855.742399999999"/>
    <x v="1"/>
    <x v="9"/>
  </r>
  <r>
    <n v="13168"/>
    <d v="2024-11-27T00:00:00"/>
    <x v="4"/>
    <x v="3"/>
    <x v="1"/>
    <x v="0"/>
    <n v="9"/>
    <n v="13969"/>
    <x v="3148"/>
    <n v="2752"/>
    <n v="122969"/>
    <n v="14514.588599999999"/>
    <x v="0"/>
    <x v="7"/>
  </r>
  <r>
    <n v="13169"/>
    <d v="2025-03-13T00:00:00"/>
    <x v="3"/>
    <x v="2"/>
    <x v="1"/>
    <x v="2"/>
    <n v="1"/>
    <n v="67805"/>
    <x v="3149"/>
    <n v="1752"/>
    <n v="66053"/>
    <n v="12715.78887"/>
    <x v="1"/>
    <x v="1"/>
  </r>
  <r>
    <n v="13170"/>
    <d v="2025-08-10T00:00:00"/>
    <x v="0"/>
    <x v="3"/>
    <x v="2"/>
    <x v="2"/>
    <n v="3"/>
    <n v="25646"/>
    <x v="3150"/>
    <n v="4442"/>
    <n v="72496"/>
    <n v="14602.790440000001"/>
    <x v="1"/>
    <x v="6"/>
  </r>
  <r>
    <n v="13171"/>
    <d v="2024-06-22T00:00:00"/>
    <x v="1"/>
    <x v="1"/>
    <x v="1"/>
    <x v="3"/>
    <n v="3"/>
    <n v="65566"/>
    <x v="3151"/>
    <n v="4629"/>
    <n v="192069"/>
    <n v="31835.62514"/>
    <x v="0"/>
    <x v="11"/>
  </r>
  <r>
    <n v="13172"/>
    <d v="2025-07-12T00:00:00"/>
    <x v="2"/>
    <x v="2"/>
    <x v="0"/>
    <x v="0"/>
    <n v="7"/>
    <n v="60818"/>
    <x v="3152"/>
    <n v="3002"/>
    <n v="422724"/>
    <n v="45193.679210000002"/>
    <x v="1"/>
    <x v="10"/>
  </r>
  <r>
    <n v="13173"/>
    <d v="2025-06-10T00:00:00"/>
    <x v="4"/>
    <x v="2"/>
    <x v="2"/>
    <x v="3"/>
    <n v="5"/>
    <n v="68451"/>
    <x v="3153"/>
    <n v="4546"/>
    <n v="337709"/>
    <n v="65890.03443"/>
    <x v="1"/>
    <x v="11"/>
  </r>
  <r>
    <n v="13174"/>
    <d v="2025-10-20T00:00:00"/>
    <x v="4"/>
    <x v="0"/>
    <x v="0"/>
    <x v="3"/>
    <n v="4"/>
    <n v="8678"/>
    <x v="3154"/>
    <n v="3216"/>
    <n v="31496"/>
    <n v="3555.0360909999999"/>
    <x v="1"/>
    <x v="8"/>
  </r>
  <r>
    <n v="13175"/>
    <d v="2024-01-26T00:00:00"/>
    <x v="1"/>
    <x v="1"/>
    <x v="0"/>
    <x v="1"/>
    <n v="2"/>
    <n v="73879"/>
    <x v="3155"/>
    <n v="3359"/>
    <n v="144399"/>
    <n v="17509.67109"/>
    <x v="0"/>
    <x v="4"/>
  </r>
  <r>
    <n v="13176"/>
    <d v="2025-08-27T00:00:00"/>
    <x v="2"/>
    <x v="1"/>
    <x v="0"/>
    <x v="2"/>
    <n v="7"/>
    <n v="9014"/>
    <x v="3156"/>
    <n v="3942"/>
    <n v="59156"/>
    <n v="10463.889080000001"/>
    <x v="1"/>
    <x v="6"/>
  </r>
  <r>
    <n v="13177"/>
    <d v="2025-02-09T00:00:00"/>
    <x v="4"/>
    <x v="0"/>
    <x v="0"/>
    <x v="3"/>
    <n v="3"/>
    <n v="10107"/>
    <x v="3157"/>
    <n v="3296"/>
    <n v="27025"/>
    <n v="4082.288149"/>
    <x v="1"/>
    <x v="9"/>
  </r>
  <r>
    <n v="13178"/>
    <d v="2024-08-19T00:00:00"/>
    <x v="0"/>
    <x v="3"/>
    <x v="0"/>
    <x v="3"/>
    <n v="7"/>
    <n v="42423"/>
    <x v="3158"/>
    <n v="4309"/>
    <n v="292652"/>
    <n v="49666.874949999998"/>
    <x v="0"/>
    <x v="6"/>
  </r>
  <r>
    <n v="13179"/>
    <d v="2025-06-16T00:00:00"/>
    <x v="4"/>
    <x v="0"/>
    <x v="2"/>
    <x v="3"/>
    <n v="7"/>
    <n v="37332"/>
    <x v="1354"/>
    <n v="4014"/>
    <n v="257310"/>
    <n v="50242.745710000003"/>
    <x v="1"/>
    <x v="11"/>
  </r>
  <r>
    <n v="13180"/>
    <d v="2025-07-03T00:00:00"/>
    <x v="2"/>
    <x v="1"/>
    <x v="0"/>
    <x v="2"/>
    <n v="2"/>
    <n v="39010"/>
    <x v="3159"/>
    <n v="899"/>
    <n v="77121"/>
    <n v="9563.0853950000001"/>
    <x v="1"/>
    <x v="10"/>
  </r>
  <r>
    <n v="13181"/>
    <d v="2025-05-19T00:00:00"/>
    <x v="3"/>
    <x v="3"/>
    <x v="2"/>
    <x v="2"/>
    <n v="7"/>
    <n v="7661"/>
    <x v="3160"/>
    <n v="1189"/>
    <n v="52438"/>
    <n v="12268.552369999999"/>
    <x v="1"/>
    <x v="5"/>
  </r>
  <r>
    <n v="13182"/>
    <d v="2025-10-30T00:00:00"/>
    <x v="3"/>
    <x v="2"/>
    <x v="1"/>
    <x v="2"/>
    <n v="6"/>
    <n v="9798"/>
    <x v="3161"/>
    <n v="652"/>
    <n v="58136"/>
    <n v="10692.489960000001"/>
    <x v="1"/>
    <x v="8"/>
  </r>
  <r>
    <n v="13183"/>
    <d v="2024-06-27T00:00:00"/>
    <x v="1"/>
    <x v="0"/>
    <x v="0"/>
    <x v="0"/>
    <n v="4"/>
    <n v="71076"/>
    <x v="3162"/>
    <n v="982"/>
    <n v="283322"/>
    <n v="29271.126649999998"/>
    <x v="0"/>
    <x v="11"/>
  </r>
  <r>
    <n v="13184"/>
    <d v="2024-05-11T00:00:00"/>
    <x v="2"/>
    <x v="3"/>
    <x v="0"/>
    <x v="3"/>
    <n v="5"/>
    <n v="27329"/>
    <x v="3163"/>
    <n v="575"/>
    <n v="136070"/>
    <n v="26434.03673"/>
    <x v="0"/>
    <x v="5"/>
  </r>
  <r>
    <n v="13185"/>
    <d v="2025-03-30T00:00:00"/>
    <x v="4"/>
    <x v="3"/>
    <x v="1"/>
    <x v="2"/>
    <n v="8"/>
    <n v="61060"/>
    <x v="3164"/>
    <n v="332"/>
    <n v="488148"/>
    <n v="82729.780379999997"/>
    <x v="1"/>
    <x v="1"/>
  </r>
  <r>
    <n v="13186"/>
    <d v="2024-12-13T00:00:00"/>
    <x v="4"/>
    <x v="3"/>
    <x v="2"/>
    <x v="3"/>
    <n v="5"/>
    <n v="30850"/>
    <x v="3165"/>
    <n v="4307"/>
    <n v="149943"/>
    <n v="30775.180990000001"/>
    <x v="0"/>
    <x v="3"/>
  </r>
  <r>
    <n v="13187"/>
    <d v="2025-06-23T00:00:00"/>
    <x v="3"/>
    <x v="0"/>
    <x v="0"/>
    <x v="0"/>
    <n v="3"/>
    <n v="8157"/>
    <x v="3166"/>
    <n v="288"/>
    <n v="24183"/>
    <n v="5262.3427659999998"/>
    <x v="1"/>
    <x v="11"/>
  </r>
  <r>
    <n v="13188"/>
    <d v="2025-02-09T00:00:00"/>
    <x v="3"/>
    <x v="2"/>
    <x v="1"/>
    <x v="1"/>
    <n v="2"/>
    <n v="42485"/>
    <x v="3167"/>
    <n v="2213"/>
    <n v="82757"/>
    <n v="19930.097529999999"/>
    <x v="1"/>
    <x v="9"/>
  </r>
  <r>
    <n v="13189"/>
    <d v="2024-03-16T00:00:00"/>
    <x v="0"/>
    <x v="3"/>
    <x v="1"/>
    <x v="0"/>
    <n v="6"/>
    <n v="10336"/>
    <x v="3168"/>
    <n v="2173"/>
    <n v="59843"/>
    <n v="14945.901110000001"/>
    <x v="0"/>
    <x v="1"/>
  </r>
  <r>
    <n v="13190"/>
    <d v="2025-08-01T00:00:00"/>
    <x v="3"/>
    <x v="0"/>
    <x v="0"/>
    <x v="2"/>
    <n v="6"/>
    <n v="77701"/>
    <x v="3169"/>
    <n v="3833"/>
    <n v="462373"/>
    <n v="84356.508719999998"/>
    <x v="1"/>
    <x v="6"/>
  </r>
  <r>
    <n v="13191"/>
    <d v="2025-05-06T00:00:00"/>
    <x v="0"/>
    <x v="1"/>
    <x v="2"/>
    <x v="2"/>
    <n v="7"/>
    <n v="47280"/>
    <x v="3170"/>
    <n v="1055"/>
    <n v="329905"/>
    <n v="60777.161990000001"/>
    <x v="1"/>
    <x v="5"/>
  </r>
  <r>
    <n v="13192"/>
    <d v="2024-07-12T00:00:00"/>
    <x v="4"/>
    <x v="0"/>
    <x v="2"/>
    <x v="0"/>
    <n v="8"/>
    <n v="57145"/>
    <x v="3171"/>
    <n v="4369"/>
    <n v="452791"/>
    <n v="46803.551149999999"/>
    <x v="0"/>
    <x v="10"/>
  </r>
  <r>
    <n v="13193"/>
    <d v="2024-06-10T00:00:00"/>
    <x v="0"/>
    <x v="0"/>
    <x v="0"/>
    <x v="3"/>
    <n v="4"/>
    <n v="10209"/>
    <x v="3172"/>
    <n v="1324"/>
    <n v="39512"/>
    <n v="9078.8923620000005"/>
    <x v="0"/>
    <x v="11"/>
  </r>
  <r>
    <n v="13194"/>
    <d v="2024-12-12T00:00:00"/>
    <x v="0"/>
    <x v="0"/>
    <x v="1"/>
    <x v="2"/>
    <n v="8"/>
    <n v="66402"/>
    <x v="3173"/>
    <n v="3595"/>
    <n v="527621"/>
    <n v="55034.93247"/>
    <x v="0"/>
    <x v="3"/>
  </r>
  <r>
    <n v="13195"/>
    <d v="2024-12-26T00:00:00"/>
    <x v="1"/>
    <x v="3"/>
    <x v="0"/>
    <x v="2"/>
    <n v="1"/>
    <n v="12645"/>
    <x v="3174"/>
    <n v="3827"/>
    <n v="8818"/>
    <n v="1718.62574"/>
    <x v="0"/>
    <x v="3"/>
  </r>
  <r>
    <n v="13196"/>
    <d v="2025-08-06T00:00:00"/>
    <x v="3"/>
    <x v="0"/>
    <x v="2"/>
    <x v="0"/>
    <n v="6"/>
    <n v="43508"/>
    <x v="3175"/>
    <n v="2662"/>
    <n v="258386"/>
    <n v="29659.236680000002"/>
    <x v="1"/>
    <x v="6"/>
  </r>
  <r>
    <n v="13197"/>
    <d v="2024-03-27T00:00:00"/>
    <x v="0"/>
    <x v="1"/>
    <x v="1"/>
    <x v="3"/>
    <n v="6"/>
    <n v="62822"/>
    <x v="3176"/>
    <n v="2323"/>
    <n v="374609"/>
    <n v="53522.557050000003"/>
    <x v="0"/>
    <x v="1"/>
  </r>
  <r>
    <n v="13198"/>
    <d v="2024-09-18T00:00:00"/>
    <x v="4"/>
    <x v="3"/>
    <x v="0"/>
    <x v="0"/>
    <n v="3"/>
    <n v="11018"/>
    <x v="3177"/>
    <n v="1882"/>
    <n v="31172"/>
    <n v="3773.3529239999998"/>
    <x v="0"/>
    <x v="2"/>
  </r>
  <r>
    <n v="13199"/>
    <d v="2024-08-01T00:00:00"/>
    <x v="2"/>
    <x v="1"/>
    <x v="1"/>
    <x v="0"/>
    <n v="9"/>
    <n v="55908"/>
    <x v="3178"/>
    <n v="3063"/>
    <n v="500109"/>
    <n v="60317.718009999997"/>
    <x v="0"/>
    <x v="6"/>
  </r>
  <r>
    <n v="13200"/>
    <d v="2025-10-26T00:00:00"/>
    <x v="0"/>
    <x v="4"/>
    <x v="2"/>
    <x v="3"/>
    <n v="5"/>
    <n v="31374"/>
    <x v="3179"/>
    <n v="1153"/>
    <n v="155717"/>
    <n v="17314.196169999999"/>
    <x v="1"/>
    <x v="8"/>
  </r>
  <r>
    <n v="13201"/>
    <d v="2025-12-22T00:00:00"/>
    <x v="3"/>
    <x v="0"/>
    <x v="2"/>
    <x v="3"/>
    <n v="1"/>
    <n v="10713"/>
    <x v="3180"/>
    <n v="3370"/>
    <n v="7343"/>
    <n v="1084.4311090000001"/>
    <x v="1"/>
    <x v="3"/>
  </r>
  <r>
    <n v="13202"/>
    <d v="2025-07-26T00:00:00"/>
    <x v="1"/>
    <x v="3"/>
    <x v="2"/>
    <x v="1"/>
    <n v="7"/>
    <n v="6026"/>
    <x v="3181"/>
    <n v="96"/>
    <n v="42086"/>
    <n v="6883.0685720000001"/>
    <x v="1"/>
    <x v="10"/>
  </r>
  <r>
    <n v="13203"/>
    <d v="2024-09-18T00:00:00"/>
    <x v="4"/>
    <x v="3"/>
    <x v="0"/>
    <x v="0"/>
    <n v="3"/>
    <n v="75009"/>
    <x v="3182"/>
    <n v="276"/>
    <n v="224751"/>
    <n v="38133.722179999997"/>
    <x v="0"/>
    <x v="2"/>
  </r>
  <r>
    <n v="13204"/>
    <d v="2025-12-30T00:00:00"/>
    <x v="1"/>
    <x v="0"/>
    <x v="1"/>
    <x v="3"/>
    <n v="4"/>
    <n v="75203"/>
    <x v="3183"/>
    <n v="2847"/>
    <n v="297965"/>
    <n v="49449.140899999999"/>
    <x v="1"/>
    <x v="3"/>
  </r>
  <r>
    <n v="13205"/>
    <d v="2024-10-09T00:00:00"/>
    <x v="2"/>
    <x v="2"/>
    <x v="0"/>
    <x v="2"/>
    <n v="6"/>
    <n v="56106"/>
    <x v="3184"/>
    <n v="331"/>
    <n v="336305"/>
    <n v="60048.53744"/>
    <x v="0"/>
    <x v="8"/>
  </r>
  <r>
    <n v="13206"/>
    <d v="2025-10-09T00:00:00"/>
    <x v="0"/>
    <x v="2"/>
    <x v="0"/>
    <x v="1"/>
    <n v="8"/>
    <n v="38452"/>
    <x v="3185"/>
    <n v="2252"/>
    <n v="305364"/>
    <n v="69918.596380000003"/>
    <x v="1"/>
    <x v="8"/>
  </r>
  <r>
    <n v="13207"/>
    <d v="2025-04-11T00:00:00"/>
    <x v="0"/>
    <x v="1"/>
    <x v="0"/>
    <x v="0"/>
    <n v="4"/>
    <n v="8268"/>
    <x v="3186"/>
    <n v="4198"/>
    <n v="28874"/>
    <n v="5623.7743220000002"/>
    <x v="1"/>
    <x v="0"/>
  </r>
  <r>
    <n v="13208"/>
    <d v="2025-01-14T00:00:00"/>
    <x v="3"/>
    <x v="0"/>
    <x v="0"/>
    <x v="3"/>
    <n v="9"/>
    <n v="5658"/>
    <x v="3187"/>
    <n v="3051"/>
    <n v="47871"/>
    <n v="4911.2223530000001"/>
    <x v="1"/>
    <x v="4"/>
  </r>
  <r>
    <n v="13209"/>
    <d v="2024-12-27T00:00:00"/>
    <x v="0"/>
    <x v="0"/>
    <x v="1"/>
    <x v="1"/>
    <n v="8"/>
    <n v="39064"/>
    <x v="3188"/>
    <n v="3696"/>
    <n v="308816"/>
    <n v="38893.16461"/>
    <x v="0"/>
    <x v="3"/>
  </r>
  <r>
    <n v="13210"/>
    <d v="2025-03-24T00:00:00"/>
    <x v="4"/>
    <x v="4"/>
    <x v="1"/>
    <x v="1"/>
    <n v="6"/>
    <n v="39293"/>
    <x v="3189"/>
    <n v="2407"/>
    <n v="233351"/>
    <n v="35549.268490000002"/>
    <x v="1"/>
    <x v="1"/>
  </r>
  <r>
    <n v="13211"/>
    <d v="2025-03-16T00:00:00"/>
    <x v="2"/>
    <x v="2"/>
    <x v="0"/>
    <x v="2"/>
    <n v="7"/>
    <n v="48042"/>
    <x v="3190"/>
    <n v="3202"/>
    <n v="333092"/>
    <n v="80727.030060000005"/>
    <x v="1"/>
    <x v="1"/>
  </r>
  <r>
    <n v="13212"/>
    <d v="2024-04-02T00:00:00"/>
    <x v="1"/>
    <x v="2"/>
    <x v="0"/>
    <x v="1"/>
    <n v="8"/>
    <n v="12792"/>
    <x v="3191"/>
    <n v="2086"/>
    <n v="100250"/>
    <n v="11199.11894"/>
    <x v="0"/>
    <x v="0"/>
  </r>
  <r>
    <n v="13213"/>
    <d v="2025-09-12T00:00:00"/>
    <x v="2"/>
    <x v="0"/>
    <x v="2"/>
    <x v="0"/>
    <n v="2"/>
    <n v="11604"/>
    <x v="3192"/>
    <n v="306"/>
    <n v="22902"/>
    <n v="4729.6727019999998"/>
    <x v="1"/>
    <x v="2"/>
  </r>
  <r>
    <n v="13214"/>
    <d v="2025-02-27T00:00:00"/>
    <x v="0"/>
    <x v="1"/>
    <x v="2"/>
    <x v="3"/>
    <n v="5"/>
    <n v="52821"/>
    <x v="3193"/>
    <n v="883"/>
    <n v="263222"/>
    <n v="27628.82605"/>
    <x v="1"/>
    <x v="9"/>
  </r>
  <r>
    <n v="13215"/>
    <d v="2024-05-21T00:00:00"/>
    <x v="1"/>
    <x v="0"/>
    <x v="1"/>
    <x v="1"/>
    <n v="7"/>
    <n v="43557"/>
    <x v="3194"/>
    <n v="4289"/>
    <n v="300610"/>
    <n v="46408.34476"/>
    <x v="0"/>
    <x v="5"/>
  </r>
  <r>
    <n v="13216"/>
    <d v="2024-10-17T00:00:00"/>
    <x v="3"/>
    <x v="1"/>
    <x v="2"/>
    <x v="1"/>
    <n v="8"/>
    <n v="12420"/>
    <x v="3195"/>
    <n v="3589"/>
    <n v="95771"/>
    <n v="20640.78759"/>
    <x v="0"/>
    <x v="8"/>
  </r>
  <r>
    <n v="13217"/>
    <d v="2025-03-07T00:00:00"/>
    <x v="2"/>
    <x v="2"/>
    <x v="1"/>
    <x v="0"/>
    <n v="5"/>
    <n v="43521"/>
    <x v="3196"/>
    <n v="3641"/>
    <n v="213964"/>
    <n v="32434.674480000001"/>
    <x v="1"/>
    <x v="1"/>
  </r>
  <r>
    <n v="13218"/>
    <d v="2025-11-19T00:00:00"/>
    <x v="1"/>
    <x v="4"/>
    <x v="1"/>
    <x v="2"/>
    <n v="3"/>
    <n v="66951"/>
    <x v="3197"/>
    <n v="4344"/>
    <n v="196509"/>
    <n v="32334.044600000001"/>
    <x v="1"/>
    <x v="7"/>
  </r>
  <r>
    <n v="13219"/>
    <d v="2025-10-14T00:00:00"/>
    <x v="1"/>
    <x v="3"/>
    <x v="1"/>
    <x v="2"/>
    <n v="6"/>
    <n v="28018"/>
    <x v="3198"/>
    <n v="2162"/>
    <n v="165946"/>
    <n v="39129.34979"/>
    <x v="1"/>
    <x v="8"/>
  </r>
  <r>
    <n v="13220"/>
    <d v="2025-12-01T00:00:00"/>
    <x v="1"/>
    <x v="2"/>
    <x v="2"/>
    <x v="3"/>
    <n v="5"/>
    <n v="68076"/>
    <x v="3199"/>
    <n v="3147"/>
    <n v="337233"/>
    <n v="37070.460180000002"/>
    <x v="1"/>
    <x v="3"/>
  </r>
  <r>
    <n v="13221"/>
    <d v="2024-02-18T00:00:00"/>
    <x v="4"/>
    <x v="1"/>
    <x v="2"/>
    <x v="0"/>
    <n v="8"/>
    <n v="10108"/>
    <x v="3200"/>
    <n v="2783"/>
    <n v="78081"/>
    <n v="13988.1603"/>
    <x v="0"/>
    <x v="9"/>
  </r>
  <r>
    <n v="13222"/>
    <d v="2024-10-28T00:00:00"/>
    <x v="2"/>
    <x v="0"/>
    <x v="1"/>
    <x v="2"/>
    <n v="9"/>
    <n v="75783"/>
    <x v="3201"/>
    <n v="3141"/>
    <n v="678906"/>
    <n v="105186.7314"/>
    <x v="0"/>
    <x v="8"/>
  </r>
  <r>
    <n v="13223"/>
    <d v="2024-07-08T00:00:00"/>
    <x v="1"/>
    <x v="2"/>
    <x v="1"/>
    <x v="3"/>
    <n v="9"/>
    <n v="78937"/>
    <x v="3202"/>
    <n v="4603"/>
    <n v="705830"/>
    <n v="172626.07879999999"/>
    <x v="0"/>
    <x v="10"/>
  </r>
  <r>
    <n v="13224"/>
    <d v="2024-05-15T00:00:00"/>
    <x v="2"/>
    <x v="4"/>
    <x v="0"/>
    <x v="3"/>
    <n v="6"/>
    <n v="22007"/>
    <x v="3203"/>
    <n v="154"/>
    <n v="131888"/>
    <n v="28890.52463"/>
    <x v="0"/>
    <x v="5"/>
  </r>
  <r>
    <n v="13225"/>
    <d v="2025-07-08T00:00:00"/>
    <x v="1"/>
    <x v="1"/>
    <x v="1"/>
    <x v="2"/>
    <n v="4"/>
    <n v="14997"/>
    <x v="3204"/>
    <n v="3630"/>
    <n v="56358"/>
    <n v="6667.8004529999998"/>
    <x v="1"/>
    <x v="10"/>
  </r>
  <r>
    <n v="13226"/>
    <d v="2025-02-07T00:00:00"/>
    <x v="3"/>
    <x v="0"/>
    <x v="1"/>
    <x v="0"/>
    <n v="4"/>
    <n v="10261"/>
    <x v="3205"/>
    <n v="460"/>
    <n v="40584"/>
    <n v="9704.0996350000005"/>
    <x v="1"/>
    <x v="9"/>
  </r>
  <r>
    <n v="13227"/>
    <d v="2025-08-24T00:00:00"/>
    <x v="3"/>
    <x v="3"/>
    <x v="0"/>
    <x v="1"/>
    <n v="9"/>
    <n v="74804"/>
    <x v="3206"/>
    <n v="1396"/>
    <n v="671840"/>
    <n v="88469.23126"/>
    <x v="1"/>
    <x v="6"/>
  </r>
  <r>
    <n v="13228"/>
    <d v="2024-12-06T00:00:00"/>
    <x v="3"/>
    <x v="1"/>
    <x v="1"/>
    <x v="2"/>
    <n v="4"/>
    <n v="76520"/>
    <x v="3207"/>
    <n v="790"/>
    <n v="305290"/>
    <n v="34413.09676"/>
    <x v="0"/>
    <x v="3"/>
  </r>
  <r>
    <n v="13229"/>
    <d v="2025-12-04T00:00:00"/>
    <x v="0"/>
    <x v="0"/>
    <x v="1"/>
    <x v="1"/>
    <n v="8"/>
    <n v="25926"/>
    <x v="3208"/>
    <n v="3709"/>
    <n v="203699"/>
    <n v="36918.201430000001"/>
    <x v="1"/>
    <x v="3"/>
  </r>
  <r>
    <n v="13230"/>
    <d v="2024-11-13T00:00:00"/>
    <x v="1"/>
    <x v="3"/>
    <x v="1"/>
    <x v="1"/>
    <n v="9"/>
    <n v="70546"/>
    <x v="3209"/>
    <n v="1867"/>
    <n v="633047"/>
    <n v="133253.06080000001"/>
    <x v="0"/>
    <x v="7"/>
  </r>
  <r>
    <n v="13231"/>
    <d v="2025-09-09T00:00:00"/>
    <x v="0"/>
    <x v="0"/>
    <x v="0"/>
    <x v="0"/>
    <n v="5"/>
    <n v="22144"/>
    <x v="3210"/>
    <n v="1688"/>
    <n v="109032"/>
    <n v="22614.069090000001"/>
    <x v="1"/>
    <x v="2"/>
  </r>
  <r>
    <n v="13232"/>
    <d v="2024-12-28T00:00:00"/>
    <x v="2"/>
    <x v="3"/>
    <x v="2"/>
    <x v="0"/>
    <n v="6"/>
    <n v="30903"/>
    <x v="3211"/>
    <n v="576"/>
    <n v="184842"/>
    <n v="33291.59878"/>
    <x v="0"/>
    <x v="3"/>
  </r>
  <r>
    <n v="13233"/>
    <d v="2025-01-16T00:00:00"/>
    <x v="0"/>
    <x v="3"/>
    <x v="1"/>
    <x v="3"/>
    <n v="3"/>
    <n v="6177"/>
    <x v="3212"/>
    <n v="3764"/>
    <n v="14767"/>
    <n v="2568.1381430000001"/>
    <x v="1"/>
    <x v="4"/>
  </r>
  <r>
    <n v="13234"/>
    <d v="2024-08-20T00:00:00"/>
    <x v="2"/>
    <x v="3"/>
    <x v="0"/>
    <x v="0"/>
    <n v="5"/>
    <n v="65952"/>
    <x v="3213"/>
    <n v="2543"/>
    <n v="327217"/>
    <n v="80309.38682"/>
    <x v="0"/>
    <x v="6"/>
  </r>
  <r>
    <n v="13235"/>
    <d v="2024-12-09T00:00:00"/>
    <x v="2"/>
    <x v="0"/>
    <x v="1"/>
    <x v="3"/>
    <n v="5"/>
    <n v="14168"/>
    <x v="3214"/>
    <n v="361"/>
    <n v="70479"/>
    <n v="15722.724990000001"/>
    <x v="0"/>
    <x v="3"/>
  </r>
  <r>
    <n v="13236"/>
    <d v="2025-07-02T00:00:00"/>
    <x v="2"/>
    <x v="3"/>
    <x v="0"/>
    <x v="2"/>
    <n v="2"/>
    <n v="7389"/>
    <x v="3215"/>
    <n v="456"/>
    <n v="14322"/>
    <n v="2933.0883939999999"/>
    <x v="1"/>
    <x v="10"/>
  </r>
  <r>
    <n v="13237"/>
    <d v="2025-07-06T00:00:00"/>
    <x v="0"/>
    <x v="1"/>
    <x v="1"/>
    <x v="1"/>
    <n v="6"/>
    <n v="11364"/>
    <x v="3216"/>
    <n v="3249"/>
    <n v="64935"/>
    <n v="8394.9084579999999"/>
    <x v="1"/>
    <x v="10"/>
  </r>
  <r>
    <n v="13238"/>
    <d v="2025-06-12T00:00:00"/>
    <x v="1"/>
    <x v="4"/>
    <x v="0"/>
    <x v="0"/>
    <n v="9"/>
    <n v="32033"/>
    <x v="3217"/>
    <n v="4224"/>
    <n v="284073"/>
    <n v="63338.50793"/>
    <x v="1"/>
    <x v="11"/>
  </r>
  <r>
    <n v="13239"/>
    <d v="2025-07-24T00:00:00"/>
    <x v="0"/>
    <x v="4"/>
    <x v="2"/>
    <x v="2"/>
    <n v="7"/>
    <n v="53545"/>
    <x v="3218"/>
    <n v="3561"/>
    <n v="371254"/>
    <n v="78879.265020000006"/>
    <x v="1"/>
    <x v="10"/>
  </r>
  <r>
    <n v="13240"/>
    <d v="2024-07-01T00:00:00"/>
    <x v="1"/>
    <x v="3"/>
    <x v="2"/>
    <x v="3"/>
    <n v="8"/>
    <n v="16865"/>
    <x v="3219"/>
    <n v="3110"/>
    <n v="131810"/>
    <n v="32794.853920000001"/>
    <x v="0"/>
    <x v="10"/>
  </r>
  <r>
    <n v="13241"/>
    <d v="2024-02-10T00:00:00"/>
    <x v="1"/>
    <x v="4"/>
    <x v="2"/>
    <x v="0"/>
    <n v="2"/>
    <n v="23936"/>
    <x v="3220"/>
    <n v="3529"/>
    <n v="44343"/>
    <n v="5318.9103109999996"/>
    <x v="0"/>
    <x v="9"/>
  </r>
  <r>
    <n v="13242"/>
    <d v="2025-07-04T00:00:00"/>
    <x v="2"/>
    <x v="4"/>
    <x v="1"/>
    <x v="1"/>
    <n v="9"/>
    <n v="8741"/>
    <x v="3221"/>
    <n v="4907"/>
    <n v="73762"/>
    <n v="15290.442849999999"/>
    <x v="1"/>
    <x v="10"/>
  </r>
  <r>
    <n v="13243"/>
    <d v="2025-01-31T00:00:00"/>
    <x v="0"/>
    <x v="3"/>
    <x v="0"/>
    <x v="2"/>
    <n v="3"/>
    <n v="8839"/>
    <x v="3222"/>
    <n v="4968"/>
    <n v="21549"/>
    <n v="5319.6395590000002"/>
    <x v="1"/>
    <x v="4"/>
  </r>
  <r>
    <n v="13244"/>
    <d v="2025-12-04T00:00:00"/>
    <x v="1"/>
    <x v="3"/>
    <x v="1"/>
    <x v="0"/>
    <n v="5"/>
    <n v="24139"/>
    <x v="3223"/>
    <n v="349"/>
    <n v="120346"/>
    <n v="20385.283070000001"/>
    <x v="1"/>
    <x v="3"/>
  </r>
  <r>
    <n v="13245"/>
    <d v="2025-05-08T00:00:00"/>
    <x v="3"/>
    <x v="1"/>
    <x v="1"/>
    <x v="0"/>
    <n v="7"/>
    <n v="51905"/>
    <x v="3224"/>
    <n v="2692"/>
    <n v="360643"/>
    <n v="75739.201379999999"/>
    <x v="1"/>
    <x v="5"/>
  </r>
  <r>
    <n v="13246"/>
    <d v="2025-10-20T00:00:00"/>
    <x v="1"/>
    <x v="2"/>
    <x v="0"/>
    <x v="2"/>
    <n v="4"/>
    <n v="57749"/>
    <x v="3225"/>
    <n v="4547"/>
    <n v="226449"/>
    <n v="55775.656269999999"/>
    <x v="1"/>
    <x v="8"/>
  </r>
  <r>
    <n v="13247"/>
    <d v="2024-11-28T00:00:00"/>
    <x v="3"/>
    <x v="0"/>
    <x v="1"/>
    <x v="3"/>
    <n v="7"/>
    <n v="30036"/>
    <x v="3226"/>
    <n v="4083"/>
    <n v="206169"/>
    <n v="37548.061959999999"/>
    <x v="0"/>
    <x v="7"/>
  </r>
  <r>
    <n v="13248"/>
    <d v="2024-05-06T00:00:00"/>
    <x v="0"/>
    <x v="3"/>
    <x v="0"/>
    <x v="3"/>
    <n v="8"/>
    <n v="50272"/>
    <x v="3227"/>
    <n v="108"/>
    <n v="402068"/>
    <n v="82366.138380000004"/>
    <x v="0"/>
    <x v="5"/>
  </r>
  <r>
    <n v="13249"/>
    <d v="2025-07-11T00:00:00"/>
    <x v="0"/>
    <x v="3"/>
    <x v="0"/>
    <x v="0"/>
    <n v="4"/>
    <n v="6740"/>
    <x v="3228"/>
    <n v="1231"/>
    <n v="25729"/>
    <n v="2650.4143119999999"/>
    <x v="1"/>
    <x v="10"/>
  </r>
  <r>
    <n v="13250"/>
    <d v="2025-07-10T00:00:00"/>
    <x v="0"/>
    <x v="4"/>
    <x v="2"/>
    <x v="3"/>
    <n v="5"/>
    <n v="63788"/>
    <x v="3229"/>
    <n v="576"/>
    <n v="318364"/>
    <n v="56652.799249999996"/>
    <x v="1"/>
    <x v="10"/>
  </r>
  <r>
    <n v="13251"/>
    <d v="2024-01-01T00:00:00"/>
    <x v="1"/>
    <x v="1"/>
    <x v="2"/>
    <x v="3"/>
    <n v="3"/>
    <n v="36611"/>
    <x v="3230"/>
    <n v="240"/>
    <n v="109593"/>
    <n v="15164.390079999999"/>
    <x v="0"/>
    <x v="4"/>
  </r>
  <r>
    <n v="13252"/>
    <d v="2024-06-16T00:00:00"/>
    <x v="4"/>
    <x v="4"/>
    <x v="2"/>
    <x v="2"/>
    <n v="5"/>
    <n v="75827"/>
    <x v="3231"/>
    <n v="2638"/>
    <n v="376497"/>
    <n v="45061.682119999998"/>
    <x v="0"/>
    <x v="11"/>
  </r>
  <r>
    <n v="13253"/>
    <d v="2025-09-11T00:00:00"/>
    <x v="1"/>
    <x v="3"/>
    <x v="0"/>
    <x v="3"/>
    <n v="8"/>
    <n v="36109"/>
    <x v="3232"/>
    <n v="2041"/>
    <n v="286831"/>
    <n v="59170.28458"/>
    <x v="1"/>
    <x v="2"/>
  </r>
  <r>
    <n v="13254"/>
    <d v="2024-01-19T00:00:00"/>
    <x v="1"/>
    <x v="3"/>
    <x v="2"/>
    <x v="3"/>
    <n v="3"/>
    <n v="24481"/>
    <x v="3233"/>
    <n v="370"/>
    <n v="73073"/>
    <n v="7735.7579329999999"/>
    <x v="0"/>
    <x v="4"/>
  </r>
  <r>
    <n v="13255"/>
    <d v="2024-11-27T00:00:00"/>
    <x v="2"/>
    <x v="4"/>
    <x v="0"/>
    <x v="2"/>
    <n v="5"/>
    <n v="10247"/>
    <x v="3234"/>
    <n v="2152"/>
    <n v="49083"/>
    <n v="11570.32444"/>
    <x v="0"/>
    <x v="7"/>
  </r>
  <r>
    <n v="13256"/>
    <d v="2025-08-06T00:00:00"/>
    <x v="2"/>
    <x v="3"/>
    <x v="1"/>
    <x v="0"/>
    <n v="1"/>
    <n v="58621"/>
    <x v="3235"/>
    <n v="97"/>
    <n v="58524"/>
    <n v="10397.727849999999"/>
    <x v="1"/>
    <x v="6"/>
  </r>
  <r>
    <n v="13257"/>
    <d v="2025-03-31T00:00:00"/>
    <x v="1"/>
    <x v="2"/>
    <x v="2"/>
    <x v="0"/>
    <n v="2"/>
    <n v="26383"/>
    <x v="3236"/>
    <n v="4191"/>
    <n v="48575"/>
    <n v="9580.6666769999993"/>
    <x v="1"/>
    <x v="1"/>
  </r>
  <r>
    <n v="13258"/>
    <d v="2024-04-18T00:00:00"/>
    <x v="3"/>
    <x v="0"/>
    <x v="0"/>
    <x v="2"/>
    <n v="3"/>
    <n v="69535"/>
    <x v="3237"/>
    <n v="1948"/>
    <n v="206657"/>
    <n v="28521.811290000001"/>
    <x v="0"/>
    <x v="0"/>
  </r>
  <r>
    <n v="13259"/>
    <d v="2024-09-24T00:00:00"/>
    <x v="2"/>
    <x v="0"/>
    <x v="0"/>
    <x v="1"/>
    <n v="1"/>
    <n v="30319"/>
    <x v="3238"/>
    <n v="1495"/>
    <n v="28824"/>
    <n v="3670.1297359999999"/>
    <x v="0"/>
    <x v="2"/>
  </r>
  <r>
    <n v="13260"/>
    <d v="2025-03-20T00:00:00"/>
    <x v="1"/>
    <x v="0"/>
    <x v="0"/>
    <x v="2"/>
    <n v="9"/>
    <n v="44334"/>
    <x v="3239"/>
    <n v="2093"/>
    <n v="396913"/>
    <n v="54203.647149999997"/>
    <x v="1"/>
    <x v="1"/>
  </r>
  <r>
    <n v="13261"/>
    <d v="2024-08-27T00:00:00"/>
    <x v="4"/>
    <x v="2"/>
    <x v="0"/>
    <x v="1"/>
    <n v="9"/>
    <n v="28728"/>
    <x v="3240"/>
    <n v="2937"/>
    <n v="255615"/>
    <n v="34468.135929999997"/>
    <x v="0"/>
    <x v="6"/>
  </r>
  <r>
    <n v="13262"/>
    <d v="2024-10-27T00:00:00"/>
    <x v="3"/>
    <x v="3"/>
    <x v="2"/>
    <x v="3"/>
    <n v="5"/>
    <n v="35442"/>
    <x v="3241"/>
    <n v="2078"/>
    <n v="175132"/>
    <n v="40223.48487"/>
    <x v="0"/>
    <x v="8"/>
  </r>
  <r>
    <n v="13263"/>
    <d v="2025-08-24T00:00:00"/>
    <x v="0"/>
    <x v="4"/>
    <x v="2"/>
    <x v="0"/>
    <n v="4"/>
    <n v="47521"/>
    <x v="3242"/>
    <n v="2455"/>
    <n v="187629"/>
    <n v="40922.055679999998"/>
    <x v="1"/>
    <x v="6"/>
  </r>
  <r>
    <n v="13264"/>
    <d v="2024-04-12T00:00:00"/>
    <x v="1"/>
    <x v="1"/>
    <x v="2"/>
    <x v="1"/>
    <n v="5"/>
    <n v="69777"/>
    <x v="3243"/>
    <n v="3446"/>
    <n v="345439"/>
    <n v="78729.168340000004"/>
    <x v="0"/>
    <x v="0"/>
  </r>
  <r>
    <n v="13265"/>
    <d v="2024-09-06T00:00:00"/>
    <x v="1"/>
    <x v="3"/>
    <x v="0"/>
    <x v="1"/>
    <n v="4"/>
    <n v="17137"/>
    <x v="3244"/>
    <n v="1405"/>
    <n v="67143"/>
    <n v="14115.527040000001"/>
    <x v="0"/>
    <x v="2"/>
  </r>
  <r>
    <n v="13266"/>
    <d v="2025-03-28T00:00:00"/>
    <x v="3"/>
    <x v="2"/>
    <x v="1"/>
    <x v="3"/>
    <n v="5"/>
    <n v="48636"/>
    <x v="3245"/>
    <n v="4811"/>
    <n v="238369"/>
    <n v="46847.26842"/>
    <x v="1"/>
    <x v="1"/>
  </r>
  <r>
    <n v="13267"/>
    <d v="2025-06-03T00:00:00"/>
    <x v="2"/>
    <x v="2"/>
    <x v="0"/>
    <x v="0"/>
    <n v="7"/>
    <n v="19905"/>
    <x v="3246"/>
    <n v="2691"/>
    <n v="136644"/>
    <n v="24484.036370000002"/>
    <x v="1"/>
    <x v="11"/>
  </r>
  <r>
    <n v="13268"/>
    <d v="2024-06-01T00:00:00"/>
    <x v="2"/>
    <x v="0"/>
    <x v="1"/>
    <x v="3"/>
    <n v="8"/>
    <n v="35024"/>
    <x v="3247"/>
    <n v="2745"/>
    <n v="277447"/>
    <n v="38793.27044"/>
    <x v="0"/>
    <x v="11"/>
  </r>
  <r>
    <n v="13269"/>
    <d v="2024-06-22T00:00:00"/>
    <x v="2"/>
    <x v="3"/>
    <x v="2"/>
    <x v="0"/>
    <n v="2"/>
    <n v="69966"/>
    <x v="3248"/>
    <n v="972"/>
    <n v="138960"/>
    <n v="28598.585490000001"/>
    <x v="0"/>
    <x v="11"/>
  </r>
  <r>
    <n v="13270"/>
    <d v="2024-12-08T00:00:00"/>
    <x v="0"/>
    <x v="0"/>
    <x v="0"/>
    <x v="0"/>
    <n v="4"/>
    <n v="22702"/>
    <x v="3249"/>
    <n v="2748"/>
    <n v="88060"/>
    <n v="10610.143410000001"/>
    <x v="0"/>
    <x v="3"/>
  </r>
  <r>
    <n v="13271"/>
    <d v="2025-10-31T00:00:00"/>
    <x v="3"/>
    <x v="1"/>
    <x v="0"/>
    <x v="3"/>
    <n v="8"/>
    <n v="21505"/>
    <x v="3250"/>
    <n v="1512"/>
    <n v="170528"/>
    <n v="30125.345440000001"/>
    <x v="1"/>
    <x v="8"/>
  </r>
  <r>
    <n v="13272"/>
    <d v="2025-03-06T00:00:00"/>
    <x v="3"/>
    <x v="0"/>
    <x v="2"/>
    <x v="1"/>
    <n v="7"/>
    <n v="74790"/>
    <x v="3251"/>
    <n v="2923"/>
    <n v="520607"/>
    <n v="67309.91171"/>
    <x v="1"/>
    <x v="1"/>
  </r>
  <r>
    <n v="13273"/>
    <d v="2025-12-27T00:00:00"/>
    <x v="2"/>
    <x v="1"/>
    <x v="0"/>
    <x v="2"/>
    <n v="9"/>
    <n v="66071"/>
    <x v="3252"/>
    <n v="808"/>
    <n v="593831"/>
    <n v="104344.3584"/>
    <x v="1"/>
    <x v="3"/>
  </r>
  <r>
    <n v="13274"/>
    <d v="2025-11-19T00:00:00"/>
    <x v="2"/>
    <x v="2"/>
    <x v="1"/>
    <x v="0"/>
    <n v="5"/>
    <n v="13498"/>
    <x v="3253"/>
    <n v="4694"/>
    <n v="62796"/>
    <n v="9048.0314849999995"/>
    <x v="1"/>
    <x v="7"/>
  </r>
  <r>
    <n v="13275"/>
    <d v="2025-11-17T00:00:00"/>
    <x v="4"/>
    <x v="0"/>
    <x v="1"/>
    <x v="0"/>
    <n v="6"/>
    <n v="63456"/>
    <x v="3254"/>
    <n v="4230"/>
    <n v="376506"/>
    <n v="40670.912470000003"/>
    <x v="1"/>
    <x v="7"/>
  </r>
  <r>
    <n v="13276"/>
    <d v="2025-10-19T00:00:00"/>
    <x v="4"/>
    <x v="0"/>
    <x v="1"/>
    <x v="2"/>
    <n v="8"/>
    <n v="34733"/>
    <x v="3255"/>
    <n v="327"/>
    <n v="277537"/>
    <n v="48723.383249999999"/>
    <x v="1"/>
    <x v="8"/>
  </r>
  <r>
    <n v="13277"/>
    <d v="2024-11-19T00:00:00"/>
    <x v="1"/>
    <x v="4"/>
    <x v="0"/>
    <x v="2"/>
    <n v="5"/>
    <n v="72432"/>
    <x v="3256"/>
    <n v="4294"/>
    <n v="357866"/>
    <n v="45547.227420000003"/>
    <x v="0"/>
    <x v="7"/>
  </r>
  <r>
    <n v="13278"/>
    <d v="2025-11-03T00:00:00"/>
    <x v="1"/>
    <x v="2"/>
    <x v="0"/>
    <x v="3"/>
    <n v="9"/>
    <n v="62158"/>
    <x v="3257"/>
    <n v="682"/>
    <n v="558740"/>
    <n v="69380.564429999999"/>
    <x v="1"/>
    <x v="7"/>
  </r>
  <r>
    <n v="13279"/>
    <d v="2025-09-30T00:00:00"/>
    <x v="3"/>
    <x v="4"/>
    <x v="1"/>
    <x v="0"/>
    <n v="4"/>
    <n v="8911"/>
    <x v="3258"/>
    <n v="3331"/>
    <n v="32313"/>
    <n v="5094.3022879999999"/>
    <x v="1"/>
    <x v="2"/>
  </r>
  <r>
    <n v="13280"/>
    <d v="2025-02-23T00:00:00"/>
    <x v="3"/>
    <x v="1"/>
    <x v="0"/>
    <x v="3"/>
    <n v="8"/>
    <n v="54105"/>
    <x v="3259"/>
    <n v="123"/>
    <n v="432717"/>
    <n v="66754.418040000004"/>
    <x v="1"/>
    <x v="9"/>
  </r>
  <r>
    <n v="13281"/>
    <d v="2025-08-16T00:00:00"/>
    <x v="0"/>
    <x v="1"/>
    <x v="1"/>
    <x v="2"/>
    <n v="3"/>
    <n v="78876"/>
    <x v="3260"/>
    <n v="753"/>
    <n v="235875"/>
    <n v="54261.55298"/>
    <x v="1"/>
    <x v="6"/>
  </r>
  <r>
    <n v="13282"/>
    <d v="2025-04-29T00:00:00"/>
    <x v="0"/>
    <x v="2"/>
    <x v="2"/>
    <x v="3"/>
    <n v="5"/>
    <n v="69322"/>
    <x v="3261"/>
    <n v="1606"/>
    <n v="345004"/>
    <n v="63720.704720000002"/>
    <x v="1"/>
    <x v="0"/>
  </r>
  <r>
    <n v="13283"/>
    <d v="2025-10-20T00:00:00"/>
    <x v="4"/>
    <x v="1"/>
    <x v="1"/>
    <x v="0"/>
    <n v="8"/>
    <n v="41672"/>
    <x v="3262"/>
    <n v="3578"/>
    <n v="329798"/>
    <n v="75254.994300000006"/>
    <x v="1"/>
    <x v="8"/>
  </r>
  <r>
    <n v="13284"/>
    <d v="2025-02-15T00:00:00"/>
    <x v="1"/>
    <x v="2"/>
    <x v="2"/>
    <x v="1"/>
    <n v="7"/>
    <n v="75412"/>
    <x v="3263"/>
    <n v="4666"/>
    <n v="523218"/>
    <n v="63845.858590000003"/>
    <x v="1"/>
    <x v="9"/>
  </r>
  <r>
    <n v="13285"/>
    <d v="2024-03-24T00:00:00"/>
    <x v="4"/>
    <x v="1"/>
    <x v="2"/>
    <x v="1"/>
    <n v="1"/>
    <n v="71239"/>
    <x v="3264"/>
    <n v="1468"/>
    <n v="69771"/>
    <n v="10716.58423"/>
    <x v="0"/>
    <x v="1"/>
  </r>
  <r>
    <n v="13286"/>
    <d v="2024-04-22T00:00:00"/>
    <x v="4"/>
    <x v="3"/>
    <x v="2"/>
    <x v="0"/>
    <n v="4"/>
    <n v="68804"/>
    <x v="3265"/>
    <n v="2845"/>
    <n v="272371"/>
    <n v="49925.452490000003"/>
    <x v="0"/>
    <x v="0"/>
  </r>
  <r>
    <n v="13287"/>
    <d v="2024-11-27T00:00:00"/>
    <x v="1"/>
    <x v="0"/>
    <x v="1"/>
    <x v="3"/>
    <n v="2"/>
    <n v="66727"/>
    <x v="3266"/>
    <n v="2938"/>
    <n v="130516"/>
    <n v="16049.44947"/>
    <x v="0"/>
    <x v="7"/>
  </r>
  <r>
    <n v="13288"/>
    <d v="2025-01-12T00:00:00"/>
    <x v="0"/>
    <x v="3"/>
    <x v="1"/>
    <x v="2"/>
    <n v="2"/>
    <n v="11440"/>
    <x v="3267"/>
    <n v="1926"/>
    <n v="20954"/>
    <n v="2497.8961650000001"/>
    <x v="1"/>
    <x v="4"/>
  </r>
  <r>
    <n v="13289"/>
    <d v="2025-10-16T00:00:00"/>
    <x v="1"/>
    <x v="2"/>
    <x v="0"/>
    <x v="2"/>
    <n v="7"/>
    <n v="72560"/>
    <x v="3268"/>
    <n v="2427"/>
    <n v="505493"/>
    <n v="100699.3817"/>
    <x v="1"/>
    <x v="8"/>
  </r>
  <r>
    <n v="13290"/>
    <d v="2024-02-10T00:00:00"/>
    <x v="2"/>
    <x v="2"/>
    <x v="0"/>
    <x v="1"/>
    <n v="3"/>
    <n v="20751"/>
    <x v="3269"/>
    <n v="164"/>
    <n v="62089"/>
    <n v="12298.284610000001"/>
    <x v="0"/>
    <x v="9"/>
  </r>
  <r>
    <n v="13291"/>
    <d v="2024-04-14T00:00:00"/>
    <x v="2"/>
    <x v="3"/>
    <x v="2"/>
    <x v="3"/>
    <n v="3"/>
    <n v="17730"/>
    <x v="3270"/>
    <n v="1509"/>
    <n v="51681"/>
    <n v="6983.3330880000003"/>
    <x v="0"/>
    <x v="0"/>
  </r>
  <r>
    <n v="13292"/>
    <d v="2024-07-20T00:00:00"/>
    <x v="2"/>
    <x v="0"/>
    <x v="1"/>
    <x v="2"/>
    <n v="6"/>
    <n v="69792"/>
    <x v="3271"/>
    <n v="4710"/>
    <n v="414042"/>
    <n v="55510.003669999998"/>
    <x v="0"/>
    <x v="10"/>
  </r>
  <r>
    <n v="13293"/>
    <d v="2025-03-25T00:00:00"/>
    <x v="3"/>
    <x v="0"/>
    <x v="0"/>
    <x v="2"/>
    <n v="6"/>
    <n v="26380"/>
    <x v="3272"/>
    <n v="4092"/>
    <n v="154188"/>
    <n v="32659.619070000001"/>
    <x v="1"/>
    <x v="1"/>
  </r>
  <r>
    <n v="13294"/>
    <d v="2024-09-22T00:00:00"/>
    <x v="0"/>
    <x v="4"/>
    <x v="0"/>
    <x v="0"/>
    <n v="1"/>
    <n v="33972"/>
    <x v="3273"/>
    <n v="2810"/>
    <n v="31162"/>
    <n v="3663.0362580000001"/>
    <x v="0"/>
    <x v="2"/>
  </r>
  <r>
    <n v="13295"/>
    <d v="2024-07-28T00:00:00"/>
    <x v="0"/>
    <x v="1"/>
    <x v="0"/>
    <x v="3"/>
    <n v="1"/>
    <n v="69385"/>
    <x v="3274"/>
    <n v="1200"/>
    <n v="68185"/>
    <n v="16261.408229999999"/>
    <x v="0"/>
    <x v="10"/>
  </r>
  <r>
    <n v="13296"/>
    <d v="2025-07-16T00:00:00"/>
    <x v="3"/>
    <x v="4"/>
    <x v="1"/>
    <x v="3"/>
    <n v="6"/>
    <n v="42113"/>
    <x v="3275"/>
    <n v="3281"/>
    <n v="249397"/>
    <n v="60244.533389999997"/>
    <x v="1"/>
    <x v="10"/>
  </r>
  <r>
    <n v="13297"/>
    <d v="2024-04-27T00:00:00"/>
    <x v="4"/>
    <x v="0"/>
    <x v="0"/>
    <x v="2"/>
    <n v="7"/>
    <n v="15149"/>
    <x v="3276"/>
    <n v="618"/>
    <n v="105425"/>
    <n v="24316.154849999999"/>
    <x v="0"/>
    <x v="0"/>
  </r>
  <r>
    <n v="13298"/>
    <d v="2025-12-13T00:00:00"/>
    <x v="2"/>
    <x v="3"/>
    <x v="2"/>
    <x v="3"/>
    <n v="9"/>
    <n v="60014"/>
    <x v="3277"/>
    <n v="2712"/>
    <n v="537414"/>
    <n v="70724.539499999999"/>
    <x v="1"/>
    <x v="3"/>
  </r>
  <r>
    <n v="13299"/>
    <d v="2025-01-11T00:00:00"/>
    <x v="2"/>
    <x v="1"/>
    <x v="1"/>
    <x v="3"/>
    <n v="4"/>
    <n v="43402"/>
    <x v="3278"/>
    <n v="4954"/>
    <n v="168654"/>
    <n v="17290.45235"/>
    <x v="1"/>
    <x v="4"/>
  </r>
  <r>
    <n v="13300"/>
    <d v="2025-07-04T00:00:00"/>
    <x v="4"/>
    <x v="3"/>
    <x v="0"/>
    <x v="3"/>
    <n v="6"/>
    <n v="54557"/>
    <x v="3279"/>
    <n v="3723"/>
    <n v="323619"/>
    <n v="77831.543030000001"/>
    <x v="1"/>
    <x v="10"/>
  </r>
  <r>
    <n v="13301"/>
    <d v="2025-06-23T00:00:00"/>
    <x v="1"/>
    <x v="4"/>
    <x v="0"/>
    <x v="0"/>
    <n v="3"/>
    <n v="5243"/>
    <x v="3280"/>
    <n v="1686"/>
    <n v="14043"/>
    <n v="2128.8594560000001"/>
    <x v="1"/>
    <x v="11"/>
  </r>
  <r>
    <n v="13302"/>
    <d v="2024-03-24T00:00:00"/>
    <x v="1"/>
    <x v="2"/>
    <x v="1"/>
    <x v="2"/>
    <n v="4"/>
    <n v="7414"/>
    <x v="3281"/>
    <n v="1606"/>
    <n v="28050"/>
    <n v="4111.0511900000001"/>
    <x v="0"/>
    <x v="1"/>
  </r>
  <r>
    <n v="13303"/>
    <d v="2025-03-29T00:00:00"/>
    <x v="0"/>
    <x v="3"/>
    <x v="0"/>
    <x v="1"/>
    <n v="9"/>
    <n v="8856"/>
    <x v="3282"/>
    <n v="4732"/>
    <n v="74972"/>
    <n v="10439.97373"/>
    <x v="1"/>
    <x v="1"/>
  </r>
  <r>
    <n v="13304"/>
    <d v="2025-10-28T00:00:00"/>
    <x v="3"/>
    <x v="4"/>
    <x v="0"/>
    <x v="3"/>
    <n v="1"/>
    <n v="76799"/>
    <x v="3283"/>
    <n v="3932"/>
    <n v="72867"/>
    <n v="9959.4925980000007"/>
    <x v="1"/>
    <x v="8"/>
  </r>
  <r>
    <n v="13305"/>
    <d v="2025-09-20T00:00:00"/>
    <x v="0"/>
    <x v="4"/>
    <x v="2"/>
    <x v="2"/>
    <n v="5"/>
    <n v="63949"/>
    <x v="3284"/>
    <n v="3892"/>
    <n v="315853"/>
    <n v="66386.929069999998"/>
    <x v="1"/>
    <x v="2"/>
  </r>
  <r>
    <n v="13306"/>
    <d v="2025-05-28T00:00:00"/>
    <x v="1"/>
    <x v="4"/>
    <x v="1"/>
    <x v="1"/>
    <n v="7"/>
    <n v="46392"/>
    <x v="3285"/>
    <n v="3803"/>
    <n v="320941"/>
    <n v="75801.143349999998"/>
    <x v="1"/>
    <x v="5"/>
  </r>
  <r>
    <n v="13307"/>
    <d v="2025-08-27T00:00:00"/>
    <x v="4"/>
    <x v="2"/>
    <x v="0"/>
    <x v="0"/>
    <n v="3"/>
    <n v="17470"/>
    <x v="3286"/>
    <n v="4310"/>
    <n v="48100"/>
    <n v="10481.39668"/>
    <x v="1"/>
    <x v="6"/>
  </r>
  <r>
    <n v="13308"/>
    <d v="2025-11-08T00:00:00"/>
    <x v="0"/>
    <x v="2"/>
    <x v="1"/>
    <x v="2"/>
    <n v="2"/>
    <n v="18772"/>
    <x v="3287"/>
    <n v="1353"/>
    <n v="36191"/>
    <n v="7278.5962090000003"/>
    <x v="1"/>
    <x v="7"/>
  </r>
  <r>
    <n v="13309"/>
    <d v="2025-01-21T00:00:00"/>
    <x v="2"/>
    <x v="2"/>
    <x v="1"/>
    <x v="0"/>
    <n v="2"/>
    <n v="32382"/>
    <x v="3288"/>
    <n v="4239"/>
    <n v="60525"/>
    <n v="8664.9789729999993"/>
    <x v="1"/>
    <x v="4"/>
  </r>
  <r>
    <n v="13310"/>
    <d v="2024-12-15T00:00:00"/>
    <x v="2"/>
    <x v="1"/>
    <x v="2"/>
    <x v="2"/>
    <n v="1"/>
    <n v="74662"/>
    <x v="3289"/>
    <n v="618"/>
    <n v="74044"/>
    <n v="13479.304529999999"/>
    <x v="0"/>
    <x v="3"/>
  </r>
  <r>
    <n v="13311"/>
    <d v="2024-10-22T00:00:00"/>
    <x v="4"/>
    <x v="2"/>
    <x v="2"/>
    <x v="0"/>
    <n v="5"/>
    <n v="18584"/>
    <x v="3290"/>
    <n v="353"/>
    <n v="92567"/>
    <n v="12547.001039999999"/>
    <x v="0"/>
    <x v="8"/>
  </r>
  <r>
    <n v="13312"/>
    <d v="2024-09-14T00:00:00"/>
    <x v="1"/>
    <x v="2"/>
    <x v="1"/>
    <x v="2"/>
    <n v="3"/>
    <n v="28391"/>
    <x v="3291"/>
    <n v="280"/>
    <n v="84893"/>
    <n v="9909.2258899999997"/>
    <x v="0"/>
    <x v="2"/>
  </r>
  <r>
    <n v="13313"/>
    <d v="2024-03-21T00:00:00"/>
    <x v="2"/>
    <x v="2"/>
    <x v="2"/>
    <x v="0"/>
    <n v="7"/>
    <n v="41965"/>
    <x v="3292"/>
    <n v="3377"/>
    <n v="290378"/>
    <n v="34277.364479999997"/>
    <x v="0"/>
    <x v="1"/>
  </r>
  <r>
    <n v="13314"/>
    <d v="2024-09-24T00:00:00"/>
    <x v="2"/>
    <x v="3"/>
    <x v="2"/>
    <x v="1"/>
    <n v="1"/>
    <n v="17097"/>
    <x v="3293"/>
    <n v="4932"/>
    <n v="12165"/>
    <n v="2318.2276750000001"/>
    <x v="0"/>
    <x v="2"/>
  </r>
  <r>
    <n v="13315"/>
    <d v="2025-02-22T00:00:00"/>
    <x v="3"/>
    <x v="2"/>
    <x v="0"/>
    <x v="2"/>
    <n v="9"/>
    <n v="23839"/>
    <x v="3294"/>
    <n v="3550"/>
    <n v="211001"/>
    <n v="22317.986970000002"/>
    <x v="1"/>
    <x v="9"/>
  </r>
  <r>
    <n v="13316"/>
    <d v="2024-08-22T00:00:00"/>
    <x v="0"/>
    <x v="1"/>
    <x v="2"/>
    <x v="1"/>
    <n v="2"/>
    <n v="42693"/>
    <x v="3295"/>
    <n v="1959"/>
    <n v="83427"/>
    <n v="20522.055420000001"/>
    <x v="0"/>
    <x v="6"/>
  </r>
  <r>
    <n v="13317"/>
    <d v="2024-11-06T00:00:00"/>
    <x v="1"/>
    <x v="4"/>
    <x v="2"/>
    <x v="3"/>
    <n v="8"/>
    <n v="56988"/>
    <x v="3296"/>
    <n v="389"/>
    <n v="455515"/>
    <n v="113568.9859"/>
    <x v="0"/>
    <x v="7"/>
  </r>
  <r>
    <n v="13318"/>
    <d v="2024-12-22T00:00:00"/>
    <x v="0"/>
    <x v="3"/>
    <x v="0"/>
    <x v="1"/>
    <n v="4"/>
    <n v="54769"/>
    <x v="3297"/>
    <n v="3867"/>
    <n v="215209"/>
    <n v="26344.530760000001"/>
    <x v="0"/>
    <x v="3"/>
  </r>
  <r>
    <n v="13319"/>
    <d v="2024-07-31T00:00:00"/>
    <x v="1"/>
    <x v="0"/>
    <x v="0"/>
    <x v="2"/>
    <n v="6"/>
    <n v="7469"/>
    <x v="3298"/>
    <n v="4360"/>
    <n v="40454"/>
    <n v="6638.313752"/>
    <x v="0"/>
    <x v="10"/>
  </r>
  <r>
    <n v="13320"/>
    <d v="2025-07-27T00:00:00"/>
    <x v="2"/>
    <x v="2"/>
    <x v="1"/>
    <x v="1"/>
    <n v="9"/>
    <n v="17468"/>
    <x v="3299"/>
    <n v="2053"/>
    <n v="155159"/>
    <n v="33391.986040000003"/>
    <x v="1"/>
    <x v="10"/>
  </r>
  <r>
    <n v="13321"/>
    <d v="2024-02-18T00:00:00"/>
    <x v="3"/>
    <x v="4"/>
    <x v="2"/>
    <x v="2"/>
    <n v="7"/>
    <n v="44025"/>
    <x v="3300"/>
    <n v="167"/>
    <n v="308008"/>
    <n v="74926.033490000002"/>
    <x v="0"/>
    <x v="9"/>
  </r>
  <r>
    <n v="13322"/>
    <d v="2024-05-06T00:00:00"/>
    <x v="0"/>
    <x v="4"/>
    <x v="0"/>
    <x v="0"/>
    <n v="8"/>
    <n v="8165"/>
    <x v="3301"/>
    <n v="4945"/>
    <n v="60375"/>
    <n v="14109.527389999999"/>
    <x v="0"/>
    <x v="5"/>
  </r>
  <r>
    <n v="13323"/>
    <d v="2024-08-10T00:00:00"/>
    <x v="2"/>
    <x v="3"/>
    <x v="2"/>
    <x v="3"/>
    <n v="7"/>
    <n v="62603"/>
    <x v="3302"/>
    <n v="2166"/>
    <n v="436055"/>
    <n v="60268.590759999999"/>
    <x v="0"/>
    <x v="6"/>
  </r>
  <r>
    <n v="13324"/>
    <d v="2024-10-05T00:00:00"/>
    <x v="1"/>
    <x v="0"/>
    <x v="1"/>
    <x v="1"/>
    <n v="2"/>
    <n v="48251"/>
    <x v="3303"/>
    <n v="4269"/>
    <n v="92233"/>
    <n v="10401.99532"/>
    <x v="0"/>
    <x v="8"/>
  </r>
  <r>
    <n v="13325"/>
    <d v="2025-02-11T00:00:00"/>
    <x v="0"/>
    <x v="1"/>
    <x v="2"/>
    <x v="3"/>
    <n v="9"/>
    <n v="52526"/>
    <x v="3304"/>
    <n v="3006"/>
    <n v="469728"/>
    <n v="67316.439780000001"/>
    <x v="1"/>
    <x v="9"/>
  </r>
  <r>
    <n v="13326"/>
    <d v="2025-05-19T00:00:00"/>
    <x v="0"/>
    <x v="4"/>
    <x v="2"/>
    <x v="1"/>
    <n v="1"/>
    <n v="33942"/>
    <x v="3305"/>
    <n v="186"/>
    <n v="33756"/>
    <n v="5589.5080690000004"/>
    <x v="1"/>
    <x v="5"/>
  </r>
  <r>
    <n v="13327"/>
    <d v="2024-10-20T00:00:00"/>
    <x v="2"/>
    <x v="4"/>
    <x v="2"/>
    <x v="2"/>
    <n v="2"/>
    <n v="50017"/>
    <x v="3306"/>
    <n v="4046"/>
    <n v="95988"/>
    <n v="14781.26388"/>
    <x v="0"/>
    <x v="8"/>
  </r>
  <r>
    <n v="13328"/>
    <d v="2024-10-03T00:00:00"/>
    <x v="0"/>
    <x v="4"/>
    <x v="0"/>
    <x v="1"/>
    <n v="3"/>
    <n v="65555"/>
    <x v="3307"/>
    <n v="2940"/>
    <n v="193725"/>
    <n v="41860.169379999999"/>
    <x v="0"/>
    <x v="8"/>
  </r>
  <r>
    <n v="13329"/>
    <d v="2025-03-13T00:00:00"/>
    <x v="3"/>
    <x v="4"/>
    <x v="0"/>
    <x v="3"/>
    <n v="3"/>
    <n v="37209"/>
    <x v="3308"/>
    <n v="1297"/>
    <n v="110330"/>
    <n v="15299.26065"/>
    <x v="1"/>
    <x v="1"/>
  </r>
  <r>
    <n v="13330"/>
    <d v="2024-04-16T00:00:00"/>
    <x v="3"/>
    <x v="3"/>
    <x v="1"/>
    <x v="1"/>
    <n v="4"/>
    <n v="44365"/>
    <x v="3309"/>
    <n v="2645"/>
    <n v="174815"/>
    <n v="39996.897109999998"/>
    <x v="0"/>
    <x v="0"/>
  </r>
  <r>
    <n v="13331"/>
    <d v="2025-10-19T00:00:00"/>
    <x v="2"/>
    <x v="0"/>
    <x v="2"/>
    <x v="3"/>
    <n v="5"/>
    <n v="6407"/>
    <x v="3310"/>
    <n v="1216"/>
    <n v="30819"/>
    <n v="4124.9741139999996"/>
    <x v="1"/>
    <x v="8"/>
  </r>
  <r>
    <n v="13332"/>
    <d v="2025-02-23T00:00:00"/>
    <x v="1"/>
    <x v="4"/>
    <x v="1"/>
    <x v="3"/>
    <n v="6"/>
    <n v="69081"/>
    <x v="3311"/>
    <n v="4627"/>
    <n v="409859"/>
    <n v="63201.408170000002"/>
    <x v="1"/>
    <x v="9"/>
  </r>
  <r>
    <n v="13333"/>
    <d v="2025-09-02T00:00:00"/>
    <x v="2"/>
    <x v="1"/>
    <x v="1"/>
    <x v="2"/>
    <n v="1"/>
    <n v="30976"/>
    <x v="3312"/>
    <n v="2999"/>
    <n v="27977"/>
    <n v="4676.9531429999997"/>
    <x v="1"/>
    <x v="2"/>
  </r>
  <r>
    <n v="13334"/>
    <d v="2025-03-04T00:00:00"/>
    <x v="3"/>
    <x v="1"/>
    <x v="0"/>
    <x v="0"/>
    <n v="8"/>
    <n v="46969"/>
    <x v="3313"/>
    <n v="1205"/>
    <n v="374547"/>
    <n v="53815.932249999998"/>
    <x v="1"/>
    <x v="1"/>
  </r>
  <r>
    <n v="13335"/>
    <d v="2025-01-09T00:00:00"/>
    <x v="4"/>
    <x v="2"/>
    <x v="2"/>
    <x v="0"/>
    <n v="6"/>
    <n v="43325"/>
    <x v="3314"/>
    <n v="227"/>
    <n v="259723"/>
    <n v="55828.974479999997"/>
    <x v="1"/>
    <x v="4"/>
  </r>
  <r>
    <n v="13336"/>
    <d v="2024-03-13T00:00:00"/>
    <x v="4"/>
    <x v="4"/>
    <x v="2"/>
    <x v="1"/>
    <n v="9"/>
    <n v="61741"/>
    <x v="3315"/>
    <n v="2613"/>
    <n v="553056"/>
    <n v="89280.981379999997"/>
    <x v="0"/>
    <x v="1"/>
  </r>
  <r>
    <n v="13337"/>
    <d v="2025-09-25T00:00:00"/>
    <x v="0"/>
    <x v="4"/>
    <x v="1"/>
    <x v="3"/>
    <n v="5"/>
    <n v="20515"/>
    <x v="3316"/>
    <n v="4709"/>
    <n v="97866"/>
    <n v="22808.049650000001"/>
    <x v="1"/>
    <x v="2"/>
  </r>
  <r>
    <n v="13338"/>
    <d v="2024-01-30T00:00:00"/>
    <x v="0"/>
    <x v="4"/>
    <x v="2"/>
    <x v="2"/>
    <n v="7"/>
    <n v="41174"/>
    <x v="3317"/>
    <n v="2136"/>
    <n v="286082"/>
    <n v="69958.005590000001"/>
    <x v="0"/>
    <x v="4"/>
  </r>
  <r>
    <n v="13339"/>
    <d v="2024-07-06T00:00:00"/>
    <x v="4"/>
    <x v="4"/>
    <x v="0"/>
    <x v="0"/>
    <n v="4"/>
    <n v="10700"/>
    <x v="3318"/>
    <n v="3731"/>
    <n v="39069"/>
    <n v="8945.6708460000009"/>
    <x v="0"/>
    <x v="10"/>
  </r>
  <r>
    <n v="13340"/>
    <d v="2024-12-29T00:00:00"/>
    <x v="3"/>
    <x v="4"/>
    <x v="1"/>
    <x v="2"/>
    <n v="6"/>
    <n v="78663"/>
    <x v="3319"/>
    <n v="249"/>
    <n v="471729"/>
    <n v="84153.517479999995"/>
    <x v="0"/>
    <x v="3"/>
  </r>
  <r>
    <n v="13341"/>
    <d v="2025-03-26T00:00:00"/>
    <x v="0"/>
    <x v="1"/>
    <x v="1"/>
    <x v="2"/>
    <n v="6"/>
    <n v="58379"/>
    <x v="3320"/>
    <n v="2272"/>
    <n v="348002"/>
    <n v="61412.351560000003"/>
    <x v="1"/>
    <x v="1"/>
  </r>
  <r>
    <n v="13342"/>
    <d v="2024-07-13T00:00:00"/>
    <x v="2"/>
    <x v="0"/>
    <x v="0"/>
    <x v="3"/>
    <n v="4"/>
    <n v="32391"/>
    <x v="3321"/>
    <n v="2950"/>
    <n v="126614"/>
    <n v="16761.2749"/>
    <x v="0"/>
    <x v="10"/>
  </r>
  <r>
    <n v="13343"/>
    <d v="2024-06-04T00:00:00"/>
    <x v="2"/>
    <x v="0"/>
    <x v="0"/>
    <x v="1"/>
    <n v="6"/>
    <n v="72081"/>
    <x v="3322"/>
    <n v="3018"/>
    <n v="429468"/>
    <n v="81101.445470000006"/>
    <x v="0"/>
    <x v="11"/>
  </r>
  <r>
    <n v="13344"/>
    <d v="2024-06-20T00:00:00"/>
    <x v="3"/>
    <x v="2"/>
    <x v="0"/>
    <x v="3"/>
    <n v="8"/>
    <n v="62284"/>
    <x v="3323"/>
    <n v="4768"/>
    <n v="493504"/>
    <n v="119876.4935"/>
    <x v="0"/>
    <x v="11"/>
  </r>
  <r>
    <n v="13345"/>
    <d v="2024-02-10T00:00:00"/>
    <x v="0"/>
    <x v="1"/>
    <x v="0"/>
    <x v="0"/>
    <n v="5"/>
    <n v="67206"/>
    <x v="3324"/>
    <n v="2215"/>
    <n v="333815"/>
    <n v="37417.650199999996"/>
    <x v="0"/>
    <x v="9"/>
  </r>
  <r>
    <n v="13346"/>
    <d v="2024-03-03T00:00:00"/>
    <x v="2"/>
    <x v="4"/>
    <x v="0"/>
    <x v="0"/>
    <n v="2"/>
    <n v="64485"/>
    <x v="3325"/>
    <n v="2157"/>
    <n v="126813"/>
    <n v="26994.507310000001"/>
    <x v="0"/>
    <x v="1"/>
  </r>
  <r>
    <n v="13347"/>
    <d v="2024-01-23T00:00:00"/>
    <x v="0"/>
    <x v="0"/>
    <x v="0"/>
    <x v="2"/>
    <n v="9"/>
    <n v="76539"/>
    <x v="3326"/>
    <n v="1796"/>
    <n v="687055"/>
    <n v="158318.7248"/>
    <x v="0"/>
    <x v="4"/>
  </r>
  <r>
    <n v="13348"/>
    <d v="2024-12-25T00:00:00"/>
    <x v="0"/>
    <x v="3"/>
    <x v="1"/>
    <x v="3"/>
    <n v="4"/>
    <n v="39032"/>
    <x v="3327"/>
    <n v="3244"/>
    <n v="152884"/>
    <n v="37916.076330000004"/>
    <x v="0"/>
    <x v="3"/>
  </r>
  <r>
    <n v="13349"/>
    <d v="2024-03-15T00:00:00"/>
    <x v="2"/>
    <x v="3"/>
    <x v="2"/>
    <x v="3"/>
    <n v="4"/>
    <n v="23156"/>
    <x v="3328"/>
    <n v="296"/>
    <n v="92328"/>
    <n v="13868.92656"/>
    <x v="0"/>
    <x v="1"/>
  </r>
  <r>
    <n v="13350"/>
    <d v="2025-07-13T00:00:00"/>
    <x v="4"/>
    <x v="3"/>
    <x v="2"/>
    <x v="2"/>
    <n v="7"/>
    <n v="54316"/>
    <x v="3329"/>
    <n v="1927"/>
    <n v="378285"/>
    <n v="58004.754889999997"/>
    <x v="1"/>
    <x v="10"/>
  </r>
  <r>
    <n v="13351"/>
    <d v="2025-11-02T00:00:00"/>
    <x v="2"/>
    <x v="4"/>
    <x v="1"/>
    <x v="1"/>
    <n v="6"/>
    <n v="53787"/>
    <x v="3330"/>
    <n v="2256"/>
    <n v="320466"/>
    <n v="43091.872889999999"/>
    <x v="1"/>
    <x v="7"/>
  </r>
  <r>
    <n v="13352"/>
    <d v="2024-04-27T00:00:00"/>
    <x v="3"/>
    <x v="4"/>
    <x v="2"/>
    <x v="2"/>
    <n v="4"/>
    <n v="46579"/>
    <x v="3331"/>
    <n v="1457"/>
    <n v="184859"/>
    <n v="40365.726929999997"/>
    <x v="0"/>
    <x v="0"/>
  </r>
  <r>
    <n v="13353"/>
    <d v="2025-09-03T00:00:00"/>
    <x v="1"/>
    <x v="2"/>
    <x v="2"/>
    <x v="2"/>
    <n v="6"/>
    <n v="62574"/>
    <x v="3332"/>
    <n v="3546"/>
    <n v="371898"/>
    <n v="45001.867100000003"/>
    <x v="1"/>
    <x v="2"/>
  </r>
  <r>
    <n v="13354"/>
    <d v="2025-01-14T00:00:00"/>
    <x v="2"/>
    <x v="2"/>
    <x v="1"/>
    <x v="0"/>
    <n v="3"/>
    <n v="77261"/>
    <x v="3333"/>
    <n v="3127"/>
    <n v="228656"/>
    <n v="32049.57835"/>
    <x v="1"/>
    <x v="4"/>
  </r>
  <r>
    <n v="13355"/>
    <d v="2025-11-09T00:00:00"/>
    <x v="0"/>
    <x v="2"/>
    <x v="2"/>
    <x v="3"/>
    <n v="7"/>
    <n v="64235"/>
    <x v="3334"/>
    <n v="2308"/>
    <n v="447337"/>
    <n v="64545.9666"/>
    <x v="1"/>
    <x v="7"/>
  </r>
  <r>
    <n v="13356"/>
    <d v="2024-10-16T00:00:00"/>
    <x v="0"/>
    <x v="3"/>
    <x v="2"/>
    <x v="0"/>
    <n v="6"/>
    <n v="57904"/>
    <x v="3335"/>
    <n v="3664"/>
    <n v="343760"/>
    <n v="53708.922420000003"/>
    <x v="0"/>
    <x v="8"/>
  </r>
  <r>
    <n v="13357"/>
    <d v="2025-03-15T00:00:00"/>
    <x v="2"/>
    <x v="4"/>
    <x v="1"/>
    <x v="2"/>
    <n v="3"/>
    <n v="41740"/>
    <x v="3336"/>
    <n v="1589"/>
    <n v="123631"/>
    <n v="20182.728050000002"/>
    <x v="1"/>
    <x v="1"/>
  </r>
  <r>
    <n v="13358"/>
    <d v="2025-10-29T00:00:00"/>
    <x v="1"/>
    <x v="3"/>
    <x v="2"/>
    <x v="3"/>
    <n v="1"/>
    <n v="78130"/>
    <x v="3337"/>
    <n v="95"/>
    <n v="78035"/>
    <n v="14347.026970000001"/>
    <x v="1"/>
    <x v="8"/>
  </r>
  <r>
    <n v="13359"/>
    <d v="2024-01-07T00:00:00"/>
    <x v="2"/>
    <x v="2"/>
    <x v="0"/>
    <x v="2"/>
    <n v="5"/>
    <n v="54554"/>
    <x v="3338"/>
    <n v="3932"/>
    <n v="268838"/>
    <n v="65127.618049999997"/>
    <x v="0"/>
    <x v="4"/>
  </r>
  <r>
    <n v="13360"/>
    <d v="2024-07-14T00:00:00"/>
    <x v="1"/>
    <x v="4"/>
    <x v="1"/>
    <x v="2"/>
    <n v="2"/>
    <n v="12199"/>
    <x v="3339"/>
    <n v="1359"/>
    <n v="23039"/>
    <n v="3158.4617159999998"/>
    <x v="0"/>
    <x v="10"/>
  </r>
  <r>
    <n v="13361"/>
    <d v="2025-02-24T00:00:00"/>
    <x v="1"/>
    <x v="1"/>
    <x v="2"/>
    <x v="1"/>
    <n v="7"/>
    <n v="44032"/>
    <x v="3340"/>
    <n v="1739"/>
    <n v="306485"/>
    <n v="66471.413329999996"/>
    <x v="1"/>
    <x v="9"/>
  </r>
  <r>
    <n v="13362"/>
    <d v="2025-07-21T00:00:00"/>
    <x v="3"/>
    <x v="0"/>
    <x v="2"/>
    <x v="0"/>
    <n v="7"/>
    <n v="9480"/>
    <x v="3341"/>
    <n v="3794"/>
    <n v="62566"/>
    <n v="12604.45522"/>
    <x v="1"/>
    <x v="10"/>
  </r>
  <r>
    <n v="13363"/>
    <d v="2024-07-11T00:00:00"/>
    <x v="0"/>
    <x v="0"/>
    <x v="0"/>
    <x v="0"/>
    <n v="4"/>
    <n v="35435"/>
    <x v="3342"/>
    <n v="1352"/>
    <n v="140388"/>
    <n v="16482.608950000002"/>
    <x v="0"/>
    <x v="10"/>
  </r>
  <r>
    <n v="13364"/>
    <d v="2025-07-12T00:00:00"/>
    <x v="0"/>
    <x v="2"/>
    <x v="1"/>
    <x v="2"/>
    <n v="6"/>
    <n v="35120"/>
    <x v="3343"/>
    <n v="4924"/>
    <n v="205796"/>
    <n v="45595.444089999997"/>
    <x v="1"/>
    <x v="10"/>
  </r>
  <r>
    <n v="13365"/>
    <d v="2024-05-27T00:00:00"/>
    <x v="1"/>
    <x v="3"/>
    <x v="1"/>
    <x v="1"/>
    <n v="1"/>
    <n v="77155"/>
    <x v="3344"/>
    <n v="1542"/>
    <n v="75613"/>
    <n v="8589.0142739999992"/>
    <x v="0"/>
    <x v="5"/>
  </r>
  <r>
    <n v="13366"/>
    <d v="2025-10-30T00:00:00"/>
    <x v="0"/>
    <x v="1"/>
    <x v="2"/>
    <x v="2"/>
    <n v="2"/>
    <n v="7607"/>
    <x v="3345"/>
    <n v="2667"/>
    <n v="12547"/>
    <n v="2645.396111"/>
    <x v="1"/>
    <x v="8"/>
  </r>
  <r>
    <n v="13367"/>
    <d v="2024-07-20T00:00:00"/>
    <x v="4"/>
    <x v="4"/>
    <x v="0"/>
    <x v="2"/>
    <n v="6"/>
    <n v="79918"/>
    <x v="3346"/>
    <n v="830"/>
    <n v="478678"/>
    <n v="99262.505149999997"/>
    <x v="0"/>
    <x v="10"/>
  </r>
  <r>
    <n v="13368"/>
    <d v="2025-03-19T00:00:00"/>
    <x v="1"/>
    <x v="3"/>
    <x v="0"/>
    <x v="2"/>
    <n v="2"/>
    <n v="79116"/>
    <x v="3347"/>
    <n v="1605"/>
    <n v="156627"/>
    <n v="31859.541809999999"/>
    <x v="1"/>
    <x v="1"/>
  </r>
  <r>
    <n v="13369"/>
    <d v="2025-02-22T00:00:00"/>
    <x v="0"/>
    <x v="2"/>
    <x v="0"/>
    <x v="1"/>
    <n v="4"/>
    <n v="27026"/>
    <x v="3348"/>
    <n v="4645"/>
    <n v="103459"/>
    <n v="14639.846970000001"/>
    <x v="1"/>
    <x v="9"/>
  </r>
  <r>
    <n v="13370"/>
    <d v="2025-03-02T00:00:00"/>
    <x v="4"/>
    <x v="3"/>
    <x v="0"/>
    <x v="3"/>
    <n v="4"/>
    <n v="22173"/>
    <x v="3349"/>
    <n v="2747"/>
    <n v="85945"/>
    <n v="15986.203890000001"/>
    <x v="1"/>
    <x v="1"/>
  </r>
  <r>
    <n v="13371"/>
    <d v="2025-04-23T00:00:00"/>
    <x v="3"/>
    <x v="2"/>
    <x v="0"/>
    <x v="1"/>
    <n v="9"/>
    <n v="39262"/>
    <x v="3350"/>
    <n v="3810"/>
    <n v="349548"/>
    <n v="74885.999039999995"/>
    <x v="1"/>
    <x v="0"/>
  </r>
  <r>
    <n v="13372"/>
    <d v="2025-04-19T00:00:00"/>
    <x v="0"/>
    <x v="0"/>
    <x v="0"/>
    <x v="2"/>
    <n v="7"/>
    <n v="56903"/>
    <x v="3351"/>
    <n v="4658"/>
    <n v="393663"/>
    <n v="77015.753670000006"/>
    <x v="1"/>
    <x v="0"/>
  </r>
  <r>
    <n v="13373"/>
    <d v="2024-05-05T00:00:00"/>
    <x v="4"/>
    <x v="0"/>
    <x v="1"/>
    <x v="3"/>
    <n v="7"/>
    <n v="52156"/>
    <x v="3352"/>
    <n v="221"/>
    <n v="364871"/>
    <n v="80507.274879999997"/>
    <x v="0"/>
    <x v="5"/>
  </r>
  <r>
    <n v="13374"/>
    <d v="2025-01-29T00:00:00"/>
    <x v="2"/>
    <x v="3"/>
    <x v="2"/>
    <x v="2"/>
    <n v="1"/>
    <n v="77246"/>
    <x v="3353"/>
    <n v="3951"/>
    <n v="73295"/>
    <n v="14892.250690000001"/>
    <x v="1"/>
    <x v="4"/>
  </r>
  <r>
    <n v="13375"/>
    <d v="2025-07-29T00:00:00"/>
    <x v="2"/>
    <x v="1"/>
    <x v="2"/>
    <x v="1"/>
    <n v="5"/>
    <n v="67301"/>
    <x v="3354"/>
    <n v="530"/>
    <n v="335975"/>
    <n v="47428.745170000002"/>
    <x v="1"/>
    <x v="10"/>
  </r>
  <r>
    <n v="13376"/>
    <d v="2024-11-20T00:00:00"/>
    <x v="4"/>
    <x v="4"/>
    <x v="0"/>
    <x v="1"/>
    <n v="3"/>
    <n v="69314"/>
    <x v="3355"/>
    <n v="4126"/>
    <n v="203816"/>
    <n v="25060.905910000001"/>
    <x v="0"/>
    <x v="7"/>
  </r>
  <r>
    <n v="13377"/>
    <d v="2025-01-26T00:00:00"/>
    <x v="1"/>
    <x v="2"/>
    <x v="1"/>
    <x v="3"/>
    <n v="3"/>
    <n v="25449"/>
    <x v="3356"/>
    <n v="1381"/>
    <n v="74966"/>
    <n v="14603.1405"/>
    <x v="1"/>
    <x v="4"/>
  </r>
  <r>
    <n v="13378"/>
    <d v="2025-11-18T00:00:00"/>
    <x v="1"/>
    <x v="4"/>
    <x v="1"/>
    <x v="1"/>
    <n v="6"/>
    <n v="35466"/>
    <x v="3357"/>
    <n v="4117"/>
    <n v="208679"/>
    <n v="44649.742870000002"/>
    <x v="1"/>
    <x v="7"/>
  </r>
  <r>
    <n v="13379"/>
    <d v="2025-09-19T00:00:00"/>
    <x v="0"/>
    <x v="0"/>
    <x v="0"/>
    <x v="2"/>
    <n v="4"/>
    <n v="29279"/>
    <x v="3358"/>
    <n v="753"/>
    <n v="116363"/>
    <n v="14120.468860000001"/>
    <x v="1"/>
    <x v="2"/>
  </r>
  <r>
    <n v="13380"/>
    <d v="2025-03-15T00:00:00"/>
    <x v="2"/>
    <x v="1"/>
    <x v="2"/>
    <x v="3"/>
    <n v="8"/>
    <n v="16837"/>
    <x v="3359"/>
    <n v="4309"/>
    <n v="130387"/>
    <n v="16457.847259999999"/>
    <x v="1"/>
    <x v="1"/>
  </r>
  <r>
    <n v="13381"/>
    <d v="2024-07-22T00:00:00"/>
    <x v="1"/>
    <x v="1"/>
    <x v="0"/>
    <x v="0"/>
    <n v="4"/>
    <n v="29209"/>
    <x v="3360"/>
    <n v="4807"/>
    <n v="112029"/>
    <n v="11405.71754"/>
    <x v="0"/>
    <x v="10"/>
  </r>
  <r>
    <n v="13382"/>
    <d v="2025-04-30T00:00:00"/>
    <x v="1"/>
    <x v="4"/>
    <x v="1"/>
    <x v="2"/>
    <n v="8"/>
    <n v="17220"/>
    <x v="3361"/>
    <n v="1188"/>
    <n v="136572"/>
    <n v="24550.507369999999"/>
    <x v="1"/>
    <x v="0"/>
  </r>
  <r>
    <n v="13383"/>
    <d v="2024-01-31T00:00:00"/>
    <x v="2"/>
    <x v="0"/>
    <x v="0"/>
    <x v="0"/>
    <n v="4"/>
    <n v="8965"/>
    <x v="3362"/>
    <n v="408"/>
    <n v="35452"/>
    <n v="6428.9953340000002"/>
    <x v="0"/>
    <x v="4"/>
  </r>
  <r>
    <n v="13384"/>
    <d v="2025-01-22T00:00:00"/>
    <x v="3"/>
    <x v="4"/>
    <x v="2"/>
    <x v="3"/>
    <n v="3"/>
    <n v="47276"/>
    <x v="3363"/>
    <n v="2485"/>
    <n v="139343"/>
    <n v="24386.60916"/>
    <x v="1"/>
    <x v="4"/>
  </r>
  <r>
    <n v="13385"/>
    <d v="2025-09-16T00:00:00"/>
    <x v="1"/>
    <x v="3"/>
    <x v="2"/>
    <x v="3"/>
    <n v="5"/>
    <n v="32230"/>
    <x v="3364"/>
    <n v="796"/>
    <n v="160354"/>
    <n v="23636.420580000002"/>
    <x v="1"/>
    <x v="2"/>
  </r>
  <r>
    <n v="13386"/>
    <d v="2025-03-09T00:00:00"/>
    <x v="4"/>
    <x v="1"/>
    <x v="1"/>
    <x v="2"/>
    <n v="5"/>
    <n v="46920"/>
    <x v="3365"/>
    <n v="860"/>
    <n v="233740"/>
    <n v="38373.489690000002"/>
    <x v="1"/>
    <x v="1"/>
  </r>
  <r>
    <n v="13387"/>
    <d v="2025-01-10T00:00:00"/>
    <x v="0"/>
    <x v="1"/>
    <x v="0"/>
    <x v="1"/>
    <n v="1"/>
    <n v="70165"/>
    <x v="3366"/>
    <n v="4171"/>
    <n v="65994"/>
    <n v="14184.45441"/>
    <x v="1"/>
    <x v="4"/>
  </r>
  <r>
    <n v="13388"/>
    <d v="2024-12-09T00:00:00"/>
    <x v="1"/>
    <x v="3"/>
    <x v="0"/>
    <x v="2"/>
    <n v="8"/>
    <n v="66544"/>
    <x v="3367"/>
    <n v="365"/>
    <n v="531987"/>
    <n v="67705.736619999996"/>
    <x v="0"/>
    <x v="3"/>
  </r>
  <r>
    <n v="13389"/>
    <d v="2025-03-18T00:00:00"/>
    <x v="1"/>
    <x v="0"/>
    <x v="1"/>
    <x v="1"/>
    <n v="8"/>
    <n v="28036"/>
    <x v="3368"/>
    <n v="1514"/>
    <n v="222774"/>
    <n v="29012.34434"/>
    <x v="1"/>
    <x v="1"/>
  </r>
  <r>
    <n v="13390"/>
    <d v="2025-08-01T00:00:00"/>
    <x v="3"/>
    <x v="1"/>
    <x v="0"/>
    <x v="1"/>
    <n v="8"/>
    <n v="70322"/>
    <x v="3369"/>
    <n v="4936"/>
    <n v="557640"/>
    <n v="111554.06389999999"/>
    <x v="1"/>
    <x v="6"/>
  </r>
  <r>
    <n v="13391"/>
    <d v="2024-03-15T00:00:00"/>
    <x v="4"/>
    <x v="2"/>
    <x v="1"/>
    <x v="2"/>
    <n v="4"/>
    <n v="9847"/>
    <x v="3370"/>
    <n v="2934"/>
    <n v="36454"/>
    <n v="8385.7006669999992"/>
    <x v="0"/>
    <x v="1"/>
  </r>
  <r>
    <n v="13392"/>
    <d v="2025-07-10T00:00:00"/>
    <x v="0"/>
    <x v="2"/>
    <x v="0"/>
    <x v="3"/>
    <n v="9"/>
    <n v="55772"/>
    <x v="3371"/>
    <n v="1583"/>
    <n v="500365"/>
    <n v="75584.646659999999"/>
    <x v="1"/>
    <x v="10"/>
  </r>
  <r>
    <n v="13393"/>
    <d v="2025-10-27T00:00:00"/>
    <x v="1"/>
    <x v="0"/>
    <x v="2"/>
    <x v="2"/>
    <n v="3"/>
    <n v="17893"/>
    <x v="3372"/>
    <n v="498"/>
    <n v="53181"/>
    <n v="12758.741389999999"/>
    <x v="1"/>
    <x v="8"/>
  </r>
  <r>
    <n v="13394"/>
    <d v="2024-06-03T00:00:00"/>
    <x v="0"/>
    <x v="3"/>
    <x v="1"/>
    <x v="0"/>
    <n v="7"/>
    <n v="9649"/>
    <x v="3373"/>
    <n v="3241"/>
    <n v="64302"/>
    <n v="6986.503033"/>
    <x v="0"/>
    <x v="11"/>
  </r>
  <r>
    <n v="13395"/>
    <d v="2025-03-05T00:00:00"/>
    <x v="2"/>
    <x v="4"/>
    <x v="0"/>
    <x v="3"/>
    <n v="6"/>
    <n v="35571"/>
    <x v="3374"/>
    <n v="1369"/>
    <n v="212057"/>
    <n v="24975.62773"/>
    <x v="1"/>
    <x v="1"/>
  </r>
  <r>
    <n v="13396"/>
    <d v="2024-12-28T00:00:00"/>
    <x v="1"/>
    <x v="0"/>
    <x v="0"/>
    <x v="1"/>
    <n v="9"/>
    <n v="16613"/>
    <x v="3375"/>
    <n v="1251"/>
    <n v="148266"/>
    <n v="25056.055939999998"/>
    <x v="0"/>
    <x v="3"/>
  </r>
  <r>
    <n v="13397"/>
    <d v="2025-03-23T00:00:00"/>
    <x v="1"/>
    <x v="4"/>
    <x v="0"/>
    <x v="3"/>
    <n v="4"/>
    <n v="58833"/>
    <x v="3376"/>
    <n v="698"/>
    <n v="234634"/>
    <n v="48926.534930000002"/>
    <x v="1"/>
    <x v="1"/>
  </r>
  <r>
    <n v="13398"/>
    <d v="2024-08-21T00:00:00"/>
    <x v="2"/>
    <x v="0"/>
    <x v="1"/>
    <x v="2"/>
    <n v="4"/>
    <n v="67423"/>
    <x v="3377"/>
    <n v="2727"/>
    <n v="266965"/>
    <n v="41546.573539999998"/>
    <x v="0"/>
    <x v="6"/>
  </r>
  <r>
    <n v="13399"/>
    <d v="2025-07-16T00:00:00"/>
    <x v="3"/>
    <x v="2"/>
    <x v="2"/>
    <x v="3"/>
    <n v="6"/>
    <n v="46382"/>
    <x v="3378"/>
    <n v="2250"/>
    <n v="276042"/>
    <n v="50574.23272"/>
    <x v="1"/>
    <x v="10"/>
  </r>
  <r>
    <n v="13400"/>
    <d v="2024-09-18T00:00:00"/>
    <x v="1"/>
    <x v="3"/>
    <x v="0"/>
    <x v="1"/>
    <n v="8"/>
    <n v="57348"/>
    <x v="3379"/>
    <n v="2493"/>
    <n v="456291"/>
    <n v="47584.582009999998"/>
    <x v="0"/>
    <x v="2"/>
  </r>
  <r>
    <n v="13401"/>
    <d v="2024-05-04T00:00:00"/>
    <x v="0"/>
    <x v="2"/>
    <x v="1"/>
    <x v="1"/>
    <n v="3"/>
    <n v="58705"/>
    <x v="3380"/>
    <n v="131"/>
    <n v="175984"/>
    <n v="29789.717430000001"/>
    <x v="0"/>
    <x v="5"/>
  </r>
  <r>
    <n v="13402"/>
    <d v="2024-09-01T00:00:00"/>
    <x v="4"/>
    <x v="3"/>
    <x v="0"/>
    <x v="3"/>
    <n v="8"/>
    <n v="60817"/>
    <x v="3381"/>
    <n v="90"/>
    <n v="486446"/>
    <n v="66344.584770000001"/>
    <x v="0"/>
    <x v="2"/>
  </r>
  <r>
    <n v="13403"/>
    <d v="2025-06-25T00:00:00"/>
    <x v="0"/>
    <x v="4"/>
    <x v="2"/>
    <x v="0"/>
    <n v="8"/>
    <n v="49142"/>
    <x v="3382"/>
    <n v="3894"/>
    <n v="389242"/>
    <n v="69073.066030000002"/>
    <x v="1"/>
    <x v="11"/>
  </r>
  <r>
    <n v="13404"/>
    <d v="2025-04-29T00:00:00"/>
    <x v="3"/>
    <x v="0"/>
    <x v="2"/>
    <x v="1"/>
    <n v="7"/>
    <n v="75182"/>
    <x v="3383"/>
    <n v="3197"/>
    <n v="523077"/>
    <n v="93565.388330000002"/>
    <x v="1"/>
    <x v="0"/>
  </r>
  <r>
    <n v="13405"/>
    <d v="2024-05-01T00:00:00"/>
    <x v="4"/>
    <x v="1"/>
    <x v="2"/>
    <x v="0"/>
    <n v="7"/>
    <n v="18708"/>
    <x v="3384"/>
    <n v="471"/>
    <n v="130485"/>
    <n v="27789.89141"/>
    <x v="0"/>
    <x v="5"/>
  </r>
  <r>
    <n v="13406"/>
    <d v="2024-05-04T00:00:00"/>
    <x v="0"/>
    <x v="1"/>
    <x v="1"/>
    <x v="1"/>
    <n v="5"/>
    <n v="11090"/>
    <x v="3385"/>
    <n v="1265"/>
    <n v="54185"/>
    <n v="9806.1977910000005"/>
    <x v="0"/>
    <x v="5"/>
  </r>
  <r>
    <n v="13407"/>
    <d v="2025-07-02T00:00:00"/>
    <x v="0"/>
    <x v="3"/>
    <x v="0"/>
    <x v="3"/>
    <n v="2"/>
    <n v="57902"/>
    <x v="3386"/>
    <n v="4597"/>
    <n v="111207"/>
    <n v="21367.354780000001"/>
    <x v="1"/>
    <x v="10"/>
  </r>
  <r>
    <n v="13408"/>
    <d v="2024-06-18T00:00:00"/>
    <x v="2"/>
    <x v="3"/>
    <x v="1"/>
    <x v="1"/>
    <n v="2"/>
    <n v="48752"/>
    <x v="3387"/>
    <n v="2808"/>
    <n v="94696"/>
    <n v="16992.911909999999"/>
    <x v="0"/>
    <x v="11"/>
  </r>
  <r>
    <n v="13409"/>
    <d v="2024-05-03T00:00:00"/>
    <x v="3"/>
    <x v="2"/>
    <x v="0"/>
    <x v="0"/>
    <n v="8"/>
    <n v="24643"/>
    <x v="3388"/>
    <n v="4482"/>
    <n v="192662"/>
    <n v="47887.41459"/>
    <x v="0"/>
    <x v="5"/>
  </r>
  <r>
    <n v="13410"/>
    <d v="2024-02-04T00:00:00"/>
    <x v="2"/>
    <x v="1"/>
    <x v="1"/>
    <x v="0"/>
    <n v="6"/>
    <n v="44647"/>
    <x v="3389"/>
    <n v="1111"/>
    <n v="266771"/>
    <n v="58354.263319999998"/>
    <x v="0"/>
    <x v="9"/>
  </r>
  <r>
    <n v="13411"/>
    <d v="2024-03-27T00:00:00"/>
    <x v="4"/>
    <x v="2"/>
    <x v="0"/>
    <x v="3"/>
    <n v="8"/>
    <n v="70082"/>
    <x v="3390"/>
    <n v="597"/>
    <n v="560059"/>
    <n v="119486.76979999999"/>
    <x v="0"/>
    <x v="1"/>
  </r>
  <r>
    <n v="13412"/>
    <d v="2025-10-07T00:00:00"/>
    <x v="2"/>
    <x v="4"/>
    <x v="1"/>
    <x v="0"/>
    <n v="3"/>
    <n v="77974"/>
    <x v="3391"/>
    <n v="907"/>
    <n v="233015"/>
    <n v="45225.629500000003"/>
    <x v="1"/>
    <x v="8"/>
  </r>
  <r>
    <n v="13413"/>
    <d v="2025-12-08T00:00:00"/>
    <x v="3"/>
    <x v="1"/>
    <x v="0"/>
    <x v="0"/>
    <n v="1"/>
    <n v="23474"/>
    <x v="3392"/>
    <n v="2914"/>
    <n v="20560"/>
    <n v="3685.4952370000001"/>
    <x v="1"/>
    <x v="3"/>
  </r>
  <r>
    <n v="13414"/>
    <d v="2024-07-19T00:00:00"/>
    <x v="1"/>
    <x v="4"/>
    <x v="1"/>
    <x v="3"/>
    <n v="6"/>
    <n v="42402"/>
    <x v="3393"/>
    <n v="3216"/>
    <n v="251196"/>
    <n v="38109.842170000004"/>
    <x v="0"/>
    <x v="10"/>
  </r>
  <r>
    <n v="13415"/>
    <d v="2025-01-03T00:00:00"/>
    <x v="1"/>
    <x v="0"/>
    <x v="2"/>
    <x v="1"/>
    <n v="2"/>
    <n v="21504"/>
    <x v="3394"/>
    <n v="1354"/>
    <n v="41654"/>
    <n v="9063.7099990000006"/>
    <x v="1"/>
    <x v="4"/>
  </r>
  <r>
    <n v="13416"/>
    <d v="2024-03-17T00:00:00"/>
    <x v="4"/>
    <x v="2"/>
    <x v="1"/>
    <x v="3"/>
    <n v="9"/>
    <n v="11768"/>
    <x v="3395"/>
    <n v="3946"/>
    <n v="101966"/>
    <n v="13096.65324"/>
    <x v="0"/>
    <x v="1"/>
  </r>
  <r>
    <n v="13417"/>
    <d v="2024-02-28T00:00:00"/>
    <x v="1"/>
    <x v="3"/>
    <x v="2"/>
    <x v="1"/>
    <n v="5"/>
    <n v="79043"/>
    <x v="3396"/>
    <n v="3235"/>
    <n v="391980"/>
    <n v="41346.965669999998"/>
    <x v="0"/>
    <x v="9"/>
  </r>
  <r>
    <n v="13418"/>
    <d v="2025-03-06T00:00:00"/>
    <x v="2"/>
    <x v="1"/>
    <x v="2"/>
    <x v="1"/>
    <n v="5"/>
    <n v="5620"/>
    <x v="3397"/>
    <n v="2704"/>
    <n v="25396"/>
    <n v="5199.2165859999996"/>
    <x v="1"/>
    <x v="1"/>
  </r>
  <r>
    <n v="13419"/>
    <d v="2025-09-29T00:00:00"/>
    <x v="4"/>
    <x v="2"/>
    <x v="0"/>
    <x v="1"/>
    <n v="8"/>
    <n v="25447"/>
    <x v="3398"/>
    <n v="2389"/>
    <n v="201187"/>
    <n v="24490.04175"/>
    <x v="1"/>
    <x v="2"/>
  </r>
  <r>
    <n v="13420"/>
    <d v="2025-05-14T00:00:00"/>
    <x v="3"/>
    <x v="3"/>
    <x v="2"/>
    <x v="2"/>
    <n v="6"/>
    <n v="24118"/>
    <x v="3399"/>
    <n v="4075"/>
    <n v="140633"/>
    <n v="33129.46602"/>
    <x v="1"/>
    <x v="5"/>
  </r>
  <r>
    <n v="13421"/>
    <d v="2024-04-18T00:00:00"/>
    <x v="4"/>
    <x v="0"/>
    <x v="2"/>
    <x v="1"/>
    <n v="3"/>
    <n v="67051"/>
    <x v="3400"/>
    <n v="3650"/>
    <n v="197503"/>
    <n v="42582.082900000001"/>
    <x v="0"/>
    <x v="0"/>
  </r>
  <r>
    <n v="13422"/>
    <d v="2024-10-04T00:00:00"/>
    <x v="4"/>
    <x v="1"/>
    <x v="0"/>
    <x v="3"/>
    <n v="9"/>
    <n v="51599"/>
    <x v="3401"/>
    <n v="463"/>
    <n v="463928"/>
    <n v="88302.504459999996"/>
    <x v="0"/>
    <x v="8"/>
  </r>
  <r>
    <n v="13423"/>
    <d v="2024-03-08T00:00:00"/>
    <x v="0"/>
    <x v="4"/>
    <x v="1"/>
    <x v="3"/>
    <n v="4"/>
    <n v="71494"/>
    <x v="3402"/>
    <n v="3938"/>
    <n v="282038"/>
    <n v="41484.602220000001"/>
    <x v="0"/>
    <x v="1"/>
  </r>
  <r>
    <n v="13424"/>
    <d v="2024-03-09T00:00:00"/>
    <x v="0"/>
    <x v="0"/>
    <x v="1"/>
    <x v="3"/>
    <n v="4"/>
    <n v="15200"/>
    <x v="3403"/>
    <n v="1072"/>
    <n v="59728"/>
    <n v="11688.25318"/>
    <x v="0"/>
    <x v="1"/>
  </r>
  <r>
    <n v="13425"/>
    <d v="2024-06-13T00:00:00"/>
    <x v="4"/>
    <x v="3"/>
    <x v="2"/>
    <x v="2"/>
    <n v="2"/>
    <n v="63704"/>
    <x v="3404"/>
    <n v="473"/>
    <n v="126935"/>
    <n v="21772.970590000001"/>
    <x v="0"/>
    <x v="11"/>
  </r>
  <r>
    <n v="13426"/>
    <d v="2025-05-03T00:00:00"/>
    <x v="1"/>
    <x v="1"/>
    <x v="1"/>
    <x v="0"/>
    <n v="3"/>
    <n v="58487"/>
    <x v="3405"/>
    <n v="4983"/>
    <n v="170478"/>
    <n v="24492.96127"/>
    <x v="1"/>
    <x v="5"/>
  </r>
  <r>
    <n v="13427"/>
    <d v="2024-10-31T00:00:00"/>
    <x v="0"/>
    <x v="1"/>
    <x v="2"/>
    <x v="2"/>
    <n v="4"/>
    <n v="51465"/>
    <x v="3406"/>
    <n v="938"/>
    <n v="204922"/>
    <n v="49542.321120000001"/>
    <x v="0"/>
    <x v="8"/>
  </r>
  <r>
    <n v="13428"/>
    <d v="2025-11-04T00:00:00"/>
    <x v="3"/>
    <x v="0"/>
    <x v="1"/>
    <x v="3"/>
    <n v="7"/>
    <n v="34840"/>
    <x v="3407"/>
    <n v="1310"/>
    <n v="242570"/>
    <n v="30147.427319999999"/>
    <x v="1"/>
    <x v="7"/>
  </r>
  <r>
    <n v="13429"/>
    <d v="2024-12-30T00:00:00"/>
    <x v="2"/>
    <x v="1"/>
    <x v="1"/>
    <x v="3"/>
    <n v="3"/>
    <n v="23435"/>
    <x v="3408"/>
    <n v="2340"/>
    <n v="67965"/>
    <n v="14477.05898"/>
    <x v="0"/>
    <x v="3"/>
  </r>
  <r>
    <n v="13430"/>
    <d v="2025-01-13T00:00:00"/>
    <x v="0"/>
    <x v="3"/>
    <x v="1"/>
    <x v="0"/>
    <n v="8"/>
    <n v="52897"/>
    <x v="3409"/>
    <n v="3520"/>
    <n v="419656"/>
    <n v="92326.747789999994"/>
    <x v="1"/>
    <x v="4"/>
  </r>
  <r>
    <n v="13431"/>
    <d v="2024-12-08T00:00:00"/>
    <x v="4"/>
    <x v="0"/>
    <x v="2"/>
    <x v="2"/>
    <n v="8"/>
    <n v="68876"/>
    <x v="3410"/>
    <n v="4056"/>
    <n v="546952"/>
    <n v="132783.09469999999"/>
    <x v="0"/>
    <x v="3"/>
  </r>
  <r>
    <n v="13432"/>
    <d v="2025-07-07T00:00:00"/>
    <x v="1"/>
    <x v="4"/>
    <x v="0"/>
    <x v="3"/>
    <n v="2"/>
    <n v="54412"/>
    <x v="3411"/>
    <n v="1086"/>
    <n v="107738"/>
    <n v="19652.754099999998"/>
    <x v="1"/>
    <x v="10"/>
  </r>
  <r>
    <n v="13433"/>
    <d v="2024-12-19T00:00:00"/>
    <x v="2"/>
    <x v="0"/>
    <x v="1"/>
    <x v="1"/>
    <n v="4"/>
    <n v="77282"/>
    <x v="3412"/>
    <n v="4663"/>
    <n v="304465"/>
    <n v="54874.114880000001"/>
    <x v="0"/>
    <x v="3"/>
  </r>
  <r>
    <n v="13434"/>
    <d v="2025-02-19T00:00:00"/>
    <x v="0"/>
    <x v="0"/>
    <x v="1"/>
    <x v="1"/>
    <n v="8"/>
    <n v="33484"/>
    <x v="3413"/>
    <n v="3529"/>
    <n v="264343"/>
    <n v="62925.101560000003"/>
    <x v="1"/>
    <x v="9"/>
  </r>
  <r>
    <n v="13435"/>
    <d v="2024-04-18T00:00:00"/>
    <x v="1"/>
    <x v="4"/>
    <x v="1"/>
    <x v="3"/>
    <n v="1"/>
    <n v="43658"/>
    <x v="3414"/>
    <n v="4969"/>
    <n v="38689"/>
    <n v="8517.924567"/>
    <x v="0"/>
    <x v="0"/>
  </r>
  <r>
    <n v="13436"/>
    <d v="2025-07-16T00:00:00"/>
    <x v="1"/>
    <x v="3"/>
    <x v="2"/>
    <x v="1"/>
    <n v="1"/>
    <n v="11053"/>
    <x v="3415"/>
    <n v="259"/>
    <n v="10794"/>
    <n v="2315.8038240000001"/>
    <x v="1"/>
    <x v="10"/>
  </r>
  <r>
    <n v="13437"/>
    <d v="2025-05-11T00:00:00"/>
    <x v="1"/>
    <x v="2"/>
    <x v="0"/>
    <x v="0"/>
    <n v="4"/>
    <n v="60251"/>
    <x v="3416"/>
    <n v="1656"/>
    <n v="239348"/>
    <n v="52266.556349999999"/>
    <x v="1"/>
    <x v="5"/>
  </r>
  <r>
    <n v="13438"/>
    <d v="2024-12-06T00:00:00"/>
    <x v="4"/>
    <x v="2"/>
    <x v="2"/>
    <x v="3"/>
    <n v="2"/>
    <n v="45645"/>
    <x v="3417"/>
    <n v="2955"/>
    <n v="88335"/>
    <n v="15368.27276"/>
    <x v="0"/>
    <x v="3"/>
  </r>
  <r>
    <n v="13439"/>
    <d v="2025-01-17T00:00:00"/>
    <x v="3"/>
    <x v="4"/>
    <x v="1"/>
    <x v="2"/>
    <n v="1"/>
    <n v="7545"/>
    <x v="3418"/>
    <n v="4279"/>
    <n v="3266"/>
    <n v="346.89098089999999"/>
    <x v="1"/>
    <x v="4"/>
  </r>
  <r>
    <n v="13440"/>
    <d v="2025-06-16T00:00:00"/>
    <x v="1"/>
    <x v="3"/>
    <x v="2"/>
    <x v="3"/>
    <n v="8"/>
    <n v="13560"/>
    <x v="3419"/>
    <n v="3119"/>
    <n v="105361"/>
    <n v="13669.507960000001"/>
    <x v="1"/>
    <x v="11"/>
  </r>
  <r>
    <n v="13441"/>
    <d v="2024-10-26T00:00:00"/>
    <x v="2"/>
    <x v="1"/>
    <x v="1"/>
    <x v="0"/>
    <n v="2"/>
    <n v="67375"/>
    <x v="3420"/>
    <n v="591"/>
    <n v="134159"/>
    <n v="26355.376319999999"/>
    <x v="0"/>
    <x v="8"/>
  </r>
  <r>
    <n v="13442"/>
    <d v="2024-05-18T00:00:00"/>
    <x v="0"/>
    <x v="4"/>
    <x v="1"/>
    <x v="2"/>
    <n v="4"/>
    <n v="8662"/>
    <x v="3421"/>
    <n v="1432"/>
    <n v="33216"/>
    <n v="5295.4570720000002"/>
    <x v="0"/>
    <x v="5"/>
  </r>
  <r>
    <n v="13443"/>
    <d v="2024-12-24T00:00:00"/>
    <x v="2"/>
    <x v="2"/>
    <x v="2"/>
    <x v="0"/>
    <n v="3"/>
    <n v="44497"/>
    <x v="3422"/>
    <n v="2487"/>
    <n v="131004"/>
    <n v="25023.799439999999"/>
    <x v="0"/>
    <x v="3"/>
  </r>
  <r>
    <n v="13444"/>
    <d v="2025-05-13T00:00:00"/>
    <x v="4"/>
    <x v="3"/>
    <x v="1"/>
    <x v="1"/>
    <n v="2"/>
    <n v="57606"/>
    <x v="3423"/>
    <n v="228"/>
    <n v="114984"/>
    <n v="21013.519799999998"/>
    <x v="1"/>
    <x v="5"/>
  </r>
  <r>
    <n v="13445"/>
    <d v="2025-01-19T00:00:00"/>
    <x v="4"/>
    <x v="0"/>
    <x v="1"/>
    <x v="1"/>
    <n v="8"/>
    <n v="67112"/>
    <x v="3424"/>
    <n v="2779"/>
    <n v="534117"/>
    <n v="88556.088959999994"/>
    <x v="1"/>
    <x v="4"/>
  </r>
  <r>
    <n v="13446"/>
    <d v="2025-08-26T00:00:00"/>
    <x v="2"/>
    <x v="3"/>
    <x v="0"/>
    <x v="1"/>
    <n v="3"/>
    <n v="75344"/>
    <x v="3425"/>
    <n v="1368"/>
    <n v="224664"/>
    <n v="30376.640429999999"/>
    <x v="1"/>
    <x v="6"/>
  </r>
  <r>
    <n v="13447"/>
    <d v="2024-10-06T00:00:00"/>
    <x v="3"/>
    <x v="3"/>
    <x v="2"/>
    <x v="0"/>
    <n v="9"/>
    <n v="13048"/>
    <x v="3426"/>
    <n v="1624"/>
    <n v="115808"/>
    <n v="24069.996050000002"/>
    <x v="0"/>
    <x v="8"/>
  </r>
  <r>
    <n v="13448"/>
    <d v="2025-09-28T00:00:00"/>
    <x v="4"/>
    <x v="2"/>
    <x v="2"/>
    <x v="0"/>
    <n v="5"/>
    <n v="11520"/>
    <x v="3427"/>
    <n v="3979"/>
    <n v="53621"/>
    <n v="12673.68634"/>
    <x v="1"/>
    <x v="2"/>
  </r>
  <r>
    <n v="13449"/>
    <d v="2025-04-27T00:00:00"/>
    <x v="4"/>
    <x v="2"/>
    <x v="1"/>
    <x v="3"/>
    <n v="9"/>
    <n v="21928"/>
    <x v="3428"/>
    <n v="739"/>
    <n v="196613"/>
    <n v="42369.031499999997"/>
    <x v="1"/>
    <x v="0"/>
  </r>
  <r>
    <n v="13450"/>
    <d v="2024-04-20T00:00:00"/>
    <x v="2"/>
    <x v="1"/>
    <x v="1"/>
    <x v="2"/>
    <n v="3"/>
    <n v="60368"/>
    <x v="3429"/>
    <n v="3174"/>
    <n v="177930"/>
    <n v="20996.7605"/>
    <x v="0"/>
    <x v="0"/>
  </r>
  <r>
    <n v="13451"/>
    <d v="2024-05-18T00:00:00"/>
    <x v="4"/>
    <x v="1"/>
    <x v="2"/>
    <x v="2"/>
    <n v="5"/>
    <n v="28501"/>
    <x v="3430"/>
    <n v="2647"/>
    <n v="139858"/>
    <n v="25271.286179999999"/>
    <x v="0"/>
    <x v="5"/>
  </r>
  <r>
    <n v="13452"/>
    <d v="2025-03-10T00:00:00"/>
    <x v="3"/>
    <x v="4"/>
    <x v="2"/>
    <x v="0"/>
    <n v="6"/>
    <n v="58751"/>
    <x v="3431"/>
    <n v="2070"/>
    <n v="350436"/>
    <n v="78954.957519999996"/>
    <x v="1"/>
    <x v="1"/>
  </r>
  <r>
    <n v="13453"/>
    <d v="2025-05-23T00:00:00"/>
    <x v="3"/>
    <x v="0"/>
    <x v="2"/>
    <x v="0"/>
    <n v="9"/>
    <n v="41191"/>
    <x v="3432"/>
    <n v="4571"/>
    <n v="366148"/>
    <n v="69072.819629999998"/>
    <x v="1"/>
    <x v="5"/>
  </r>
  <r>
    <n v="13454"/>
    <d v="2024-09-29T00:00:00"/>
    <x v="3"/>
    <x v="1"/>
    <x v="1"/>
    <x v="1"/>
    <n v="8"/>
    <n v="34476"/>
    <x v="3433"/>
    <n v="4993"/>
    <n v="270815"/>
    <n v="44937.788350000003"/>
    <x v="0"/>
    <x v="2"/>
  </r>
  <r>
    <n v="13455"/>
    <d v="2024-04-08T00:00:00"/>
    <x v="0"/>
    <x v="2"/>
    <x v="0"/>
    <x v="0"/>
    <n v="2"/>
    <n v="31948"/>
    <x v="3434"/>
    <n v="2034"/>
    <n v="61862"/>
    <n v="8826.5909439999996"/>
    <x v="0"/>
    <x v="0"/>
  </r>
  <r>
    <n v="13456"/>
    <d v="2024-04-13T00:00:00"/>
    <x v="3"/>
    <x v="3"/>
    <x v="0"/>
    <x v="1"/>
    <n v="2"/>
    <n v="9483"/>
    <x v="3435"/>
    <n v="4380"/>
    <n v="14586"/>
    <n v="2181.4619229999998"/>
    <x v="0"/>
    <x v="0"/>
  </r>
  <r>
    <n v="13457"/>
    <d v="2024-08-01T00:00:00"/>
    <x v="3"/>
    <x v="4"/>
    <x v="1"/>
    <x v="0"/>
    <n v="5"/>
    <n v="61123"/>
    <x v="3436"/>
    <n v="1185"/>
    <n v="304430"/>
    <n v="41500.970569999998"/>
    <x v="0"/>
    <x v="6"/>
  </r>
  <r>
    <n v="13458"/>
    <d v="2025-10-25T00:00:00"/>
    <x v="0"/>
    <x v="1"/>
    <x v="1"/>
    <x v="2"/>
    <n v="5"/>
    <n v="44887"/>
    <x v="3437"/>
    <n v="589"/>
    <n v="223846"/>
    <n v="28956.48748"/>
    <x v="1"/>
    <x v="8"/>
  </r>
  <r>
    <n v="13459"/>
    <d v="2024-06-13T00:00:00"/>
    <x v="1"/>
    <x v="3"/>
    <x v="1"/>
    <x v="3"/>
    <n v="5"/>
    <n v="66055"/>
    <x v="3438"/>
    <n v="4217"/>
    <n v="326058"/>
    <n v="61406.428890000003"/>
    <x v="0"/>
    <x v="11"/>
  </r>
  <r>
    <n v="13460"/>
    <d v="2025-06-03T00:00:00"/>
    <x v="4"/>
    <x v="3"/>
    <x v="2"/>
    <x v="0"/>
    <n v="4"/>
    <n v="36257"/>
    <x v="3439"/>
    <n v="1135"/>
    <n v="143893"/>
    <n v="25383.83613"/>
    <x v="1"/>
    <x v="11"/>
  </r>
  <r>
    <n v="13461"/>
    <d v="2024-10-10T00:00:00"/>
    <x v="3"/>
    <x v="1"/>
    <x v="1"/>
    <x v="1"/>
    <n v="8"/>
    <n v="23327"/>
    <x v="3440"/>
    <n v="3420"/>
    <n v="183196"/>
    <n v="38512.37225"/>
    <x v="0"/>
    <x v="8"/>
  </r>
  <r>
    <n v="13462"/>
    <d v="2025-05-31T00:00:00"/>
    <x v="4"/>
    <x v="0"/>
    <x v="2"/>
    <x v="3"/>
    <n v="5"/>
    <n v="76304"/>
    <x v="3441"/>
    <n v="2558"/>
    <n v="378962"/>
    <n v="55400.239000000001"/>
    <x v="1"/>
    <x v="5"/>
  </r>
  <r>
    <n v="13463"/>
    <d v="2025-10-18T00:00:00"/>
    <x v="2"/>
    <x v="0"/>
    <x v="0"/>
    <x v="1"/>
    <n v="1"/>
    <n v="29866"/>
    <x v="3442"/>
    <n v="1"/>
    <n v="29865"/>
    <n v="5050.8766750000004"/>
    <x v="1"/>
    <x v="8"/>
  </r>
  <r>
    <n v="13464"/>
    <d v="2025-09-04T00:00:00"/>
    <x v="4"/>
    <x v="4"/>
    <x v="1"/>
    <x v="1"/>
    <n v="5"/>
    <n v="49649"/>
    <x v="3443"/>
    <n v="891"/>
    <n v="247354"/>
    <n v="49979.244270000003"/>
    <x v="1"/>
    <x v="2"/>
  </r>
  <r>
    <n v="13465"/>
    <d v="2024-06-12T00:00:00"/>
    <x v="0"/>
    <x v="0"/>
    <x v="1"/>
    <x v="3"/>
    <n v="1"/>
    <n v="14166"/>
    <x v="3444"/>
    <n v="4894"/>
    <n v="9272"/>
    <n v="2266.8655480000002"/>
    <x v="0"/>
    <x v="11"/>
  </r>
  <r>
    <n v="13466"/>
    <d v="2025-10-20T00:00:00"/>
    <x v="4"/>
    <x v="4"/>
    <x v="2"/>
    <x v="3"/>
    <n v="4"/>
    <n v="14042"/>
    <x v="3445"/>
    <n v="4724"/>
    <n v="51444"/>
    <n v="7836.4933410000003"/>
    <x v="1"/>
    <x v="8"/>
  </r>
  <r>
    <n v="13467"/>
    <d v="2024-03-04T00:00:00"/>
    <x v="4"/>
    <x v="2"/>
    <x v="2"/>
    <x v="3"/>
    <n v="1"/>
    <n v="16969"/>
    <x v="3446"/>
    <n v="4556"/>
    <n v="12413"/>
    <n v="1796.5500050000001"/>
    <x v="0"/>
    <x v="1"/>
  </r>
  <r>
    <n v="13468"/>
    <d v="2024-03-31T00:00:00"/>
    <x v="4"/>
    <x v="1"/>
    <x v="2"/>
    <x v="0"/>
    <n v="6"/>
    <n v="56880"/>
    <x v="3447"/>
    <n v="2999"/>
    <n v="338281"/>
    <n v="56625.957909999997"/>
    <x v="0"/>
    <x v="1"/>
  </r>
  <r>
    <n v="13469"/>
    <d v="2024-04-26T00:00:00"/>
    <x v="1"/>
    <x v="3"/>
    <x v="0"/>
    <x v="3"/>
    <n v="6"/>
    <n v="77739"/>
    <x v="3448"/>
    <n v="3553"/>
    <n v="462881"/>
    <n v="96548.225609999994"/>
    <x v="0"/>
    <x v="0"/>
  </r>
  <r>
    <n v="13470"/>
    <d v="2024-09-23T00:00:00"/>
    <x v="1"/>
    <x v="4"/>
    <x v="0"/>
    <x v="0"/>
    <n v="1"/>
    <n v="68588"/>
    <x v="3449"/>
    <n v="3657"/>
    <n v="64931"/>
    <n v="15858.263360000001"/>
    <x v="0"/>
    <x v="2"/>
  </r>
  <r>
    <n v="13471"/>
    <d v="2025-11-15T00:00:00"/>
    <x v="2"/>
    <x v="0"/>
    <x v="1"/>
    <x v="2"/>
    <n v="8"/>
    <n v="9641"/>
    <x v="3450"/>
    <n v="971"/>
    <n v="76157"/>
    <n v="13744.84952"/>
    <x v="1"/>
    <x v="7"/>
  </r>
  <r>
    <n v="13472"/>
    <d v="2025-07-12T00:00:00"/>
    <x v="0"/>
    <x v="4"/>
    <x v="1"/>
    <x v="2"/>
    <n v="4"/>
    <n v="33536"/>
    <x v="3451"/>
    <n v="4149"/>
    <n v="129995"/>
    <n v="28841.47536"/>
    <x v="1"/>
    <x v="10"/>
  </r>
  <r>
    <n v="13473"/>
    <d v="2024-05-19T00:00:00"/>
    <x v="4"/>
    <x v="4"/>
    <x v="2"/>
    <x v="1"/>
    <n v="2"/>
    <n v="19546"/>
    <x v="3452"/>
    <n v="3742"/>
    <n v="35350"/>
    <n v="5997.4799700000003"/>
    <x v="0"/>
    <x v="5"/>
  </r>
  <r>
    <n v="13474"/>
    <d v="2024-09-02T00:00:00"/>
    <x v="4"/>
    <x v="0"/>
    <x v="0"/>
    <x v="1"/>
    <n v="1"/>
    <n v="19102"/>
    <x v="3453"/>
    <n v="4204"/>
    <n v="14898"/>
    <n v="1578.868725"/>
    <x v="0"/>
    <x v="2"/>
  </r>
  <r>
    <n v="13475"/>
    <d v="2025-10-22T00:00:00"/>
    <x v="4"/>
    <x v="0"/>
    <x v="1"/>
    <x v="0"/>
    <n v="3"/>
    <n v="14029"/>
    <x v="3454"/>
    <n v="279"/>
    <n v="41808"/>
    <n v="9788.5779629999997"/>
    <x v="1"/>
    <x v="8"/>
  </r>
  <r>
    <n v="13476"/>
    <d v="2025-01-29T00:00:00"/>
    <x v="4"/>
    <x v="1"/>
    <x v="2"/>
    <x v="1"/>
    <n v="7"/>
    <n v="52545"/>
    <x v="3455"/>
    <n v="1698"/>
    <n v="366117"/>
    <n v="52531.094649999999"/>
    <x v="1"/>
    <x v="4"/>
  </r>
  <r>
    <n v="13477"/>
    <d v="2025-05-01T00:00:00"/>
    <x v="1"/>
    <x v="3"/>
    <x v="2"/>
    <x v="2"/>
    <n v="8"/>
    <n v="16322"/>
    <x v="3456"/>
    <n v="2887"/>
    <n v="127689"/>
    <n v="15424.81156"/>
    <x v="1"/>
    <x v="5"/>
  </r>
  <r>
    <n v="13478"/>
    <d v="2025-04-20T00:00:00"/>
    <x v="2"/>
    <x v="1"/>
    <x v="0"/>
    <x v="0"/>
    <n v="5"/>
    <n v="17654"/>
    <x v="3457"/>
    <n v="2884"/>
    <n v="85386"/>
    <n v="21297.336800000001"/>
    <x v="1"/>
    <x v="0"/>
  </r>
  <r>
    <n v="13479"/>
    <d v="2025-05-31T00:00:00"/>
    <x v="3"/>
    <x v="1"/>
    <x v="0"/>
    <x v="0"/>
    <n v="7"/>
    <n v="61663"/>
    <x v="3458"/>
    <n v="3285"/>
    <n v="428356"/>
    <n v="65157.166669999999"/>
    <x v="1"/>
    <x v="5"/>
  </r>
  <r>
    <n v="13480"/>
    <d v="2024-07-02T00:00:00"/>
    <x v="0"/>
    <x v="0"/>
    <x v="1"/>
    <x v="3"/>
    <n v="2"/>
    <n v="64687"/>
    <x v="3459"/>
    <n v="3579"/>
    <n v="125795"/>
    <n v="15155.874889999999"/>
    <x v="0"/>
    <x v="10"/>
  </r>
  <r>
    <n v="13481"/>
    <d v="2024-01-20T00:00:00"/>
    <x v="4"/>
    <x v="0"/>
    <x v="1"/>
    <x v="0"/>
    <n v="4"/>
    <n v="12508"/>
    <x v="3460"/>
    <n v="2251"/>
    <n v="47781"/>
    <n v="7010.9695240000001"/>
    <x v="0"/>
    <x v="4"/>
  </r>
  <r>
    <n v="13482"/>
    <d v="2025-07-11T00:00:00"/>
    <x v="2"/>
    <x v="3"/>
    <x v="2"/>
    <x v="1"/>
    <n v="6"/>
    <n v="52859"/>
    <x v="3461"/>
    <n v="4640"/>
    <n v="312514"/>
    <n v="55338.617810000003"/>
    <x v="1"/>
    <x v="10"/>
  </r>
  <r>
    <n v="13483"/>
    <d v="2025-06-07T00:00:00"/>
    <x v="3"/>
    <x v="4"/>
    <x v="2"/>
    <x v="2"/>
    <n v="5"/>
    <n v="27132"/>
    <x v="3462"/>
    <n v="2356"/>
    <n v="133304"/>
    <n v="15089.15472"/>
    <x v="1"/>
    <x v="11"/>
  </r>
  <r>
    <n v="13484"/>
    <d v="2025-08-04T00:00:00"/>
    <x v="2"/>
    <x v="1"/>
    <x v="2"/>
    <x v="1"/>
    <n v="6"/>
    <n v="70800"/>
    <x v="3463"/>
    <n v="4623"/>
    <n v="420177"/>
    <n v="64242.174650000001"/>
    <x v="1"/>
    <x v="6"/>
  </r>
  <r>
    <n v="13485"/>
    <d v="2025-06-12T00:00:00"/>
    <x v="1"/>
    <x v="3"/>
    <x v="1"/>
    <x v="2"/>
    <n v="2"/>
    <n v="21025"/>
    <x v="3464"/>
    <n v="1931"/>
    <n v="40119"/>
    <n v="8036.9776240000001"/>
    <x v="1"/>
    <x v="11"/>
  </r>
  <r>
    <n v="13486"/>
    <d v="2024-05-26T00:00:00"/>
    <x v="3"/>
    <x v="1"/>
    <x v="0"/>
    <x v="3"/>
    <n v="7"/>
    <n v="70924"/>
    <x v="3465"/>
    <n v="3414"/>
    <n v="493054"/>
    <n v="117045.9908"/>
    <x v="0"/>
    <x v="5"/>
  </r>
  <r>
    <n v="13487"/>
    <d v="2025-10-27T00:00:00"/>
    <x v="2"/>
    <x v="4"/>
    <x v="1"/>
    <x v="2"/>
    <n v="8"/>
    <n v="72607"/>
    <x v="3466"/>
    <n v="1008"/>
    <n v="579848"/>
    <n v="92552.816980000003"/>
    <x v="1"/>
    <x v="8"/>
  </r>
  <r>
    <n v="13488"/>
    <d v="2024-10-30T00:00:00"/>
    <x v="1"/>
    <x v="1"/>
    <x v="0"/>
    <x v="3"/>
    <n v="9"/>
    <n v="29970"/>
    <x v="3467"/>
    <n v="4712"/>
    <n v="265018"/>
    <n v="48944.753089999998"/>
    <x v="0"/>
    <x v="8"/>
  </r>
  <r>
    <n v="13489"/>
    <d v="2025-09-11T00:00:00"/>
    <x v="2"/>
    <x v="2"/>
    <x v="1"/>
    <x v="1"/>
    <n v="6"/>
    <n v="52736"/>
    <x v="3468"/>
    <n v="2078"/>
    <n v="314338"/>
    <n v="61424.577969999998"/>
    <x v="1"/>
    <x v="2"/>
  </r>
  <r>
    <n v="13490"/>
    <d v="2025-08-04T00:00:00"/>
    <x v="2"/>
    <x v="3"/>
    <x v="1"/>
    <x v="3"/>
    <n v="7"/>
    <n v="12840"/>
    <x v="3469"/>
    <n v="4195"/>
    <n v="85685"/>
    <n v="9477.8767819999994"/>
    <x v="1"/>
    <x v="6"/>
  </r>
  <r>
    <n v="13491"/>
    <d v="2025-11-25T00:00:00"/>
    <x v="3"/>
    <x v="0"/>
    <x v="0"/>
    <x v="0"/>
    <n v="1"/>
    <n v="34654"/>
    <x v="3470"/>
    <n v="2714"/>
    <n v="31940"/>
    <n v="4833.6001779999997"/>
    <x v="1"/>
    <x v="7"/>
  </r>
  <r>
    <n v="13492"/>
    <d v="2024-08-15T00:00:00"/>
    <x v="1"/>
    <x v="1"/>
    <x v="1"/>
    <x v="0"/>
    <n v="9"/>
    <n v="57408"/>
    <x v="3471"/>
    <n v="1338"/>
    <n v="515334"/>
    <n v="104426.30379999999"/>
    <x v="0"/>
    <x v="6"/>
  </r>
  <r>
    <n v="13493"/>
    <d v="2024-04-11T00:00:00"/>
    <x v="4"/>
    <x v="3"/>
    <x v="1"/>
    <x v="2"/>
    <n v="6"/>
    <n v="27442"/>
    <x v="3472"/>
    <n v="4590"/>
    <n v="160062"/>
    <n v="33668.907720000003"/>
    <x v="0"/>
    <x v="0"/>
  </r>
  <r>
    <n v="13494"/>
    <d v="2025-08-09T00:00:00"/>
    <x v="0"/>
    <x v="3"/>
    <x v="2"/>
    <x v="1"/>
    <n v="4"/>
    <n v="70243"/>
    <x v="3473"/>
    <n v="3689"/>
    <n v="277283"/>
    <n v="42533.22034"/>
    <x v="1"/>
    <x v="6"/>
  </r>
  <r>
    <n v="13495"/>
    <d v="2025-02-20T00:00:00"/>
    <x v="3"/>
    <x v="1"/>
    <x v="0"/>
    <x v="1"/>
    <n v="9"/>
    <n v="11630"/>
    <x v="3474"/>
    <n v="741"/>
    <n v="103929"/>
    <n v="10497.913759999999"/>
    <x v="1"/>
    <x v="9"/>
  </r>
  <r>
    <n v="13496"/>
    <d v="2024-08-03T00:00:00"/>
    <x v="1"/>
    <x v="0"/>
    <x v="0"/>
    <x v="2"/>
    <n v="1"/>
    <n v="52736"/>
    <x v="3475"/>
    <n v="733"/>
    <n v="52003"/>
    <n v="5253.8547710000003"/>
    <x v="0"/>
    <x v="6"/>
  </r>
  <r>
    <n v="13497"/>
    <d v="2025-02-10T00:00:00"/>
    <x v="2"/>
    <x v="0"/>
    <x v="2"/>
    <x v="0"/>
    <n v="2"/>
    <n v="18008"/>
    <x v="3476"/>
    <n v="1806"/>
    <n v="34210"/>
    <n v="6182.3628710000003"/>
    <x v="1"/>
    <x v="9"/>
  </r>
  <r>
    <n v="13498"/>
    <d v="2025-02-02T00:00:00"/>
    <x v="1"/>
    <x v="1"/>
    <x v="0"/>
    <x v="3"/>
    <n v="3"/>
    <n v="52487"/>
    <x v="3477"/>
    <n v="2378"/>
    <n v="155083"/>
    <n v="28337.213090000001"/>
    <x v="1"/>
    <x v="9"/>
  </r>
  <r>
    <n v="13499"/>
    <d v="2025-12-15T00:00:00"/>
    <x v="0"/>
    <x v="3"/>
    <x v="2"/>
    <x v="2"/>
    <n v="1"/>
    <n v="73395"/>
    <x v="3478"/>
    <n v="3265"/>
    <n v="70130"/>
    <n v="12858.89057"/>
    <x v="1"/>
    <x v="3"/>
  </r>
  <r>
    <n v="13500"/>
    <d v="2025-12-04T00:00:00"/>
    <x v="0"/>
    <x v="0"/>
    <x v="0"/>
    <x v="3"/>
    <n v="2"/>
    <n v="7393"/>
    <x v="3479"/>
    <n v="1753"/>
    <n v="13033"/>
    <n v="2714.2911559999998"/>
    <x v="1"/>
    <x v="3"/>
  </r>
  <r>
    <n v="13501"/>
    <d v="2025-05-13T00:00:00"/>
    <x v="4"/>
    <x v="1"/>
    <x v="0"/>
    <x v="3"/>
    <n v="2"/>
    <n v="60971"/>
    <x v="3480"/>
    <n v="1024"/>
    <n v="120918"/>
    <n v="28801.50792"/>
    <x v="1"/>
    <x v="5"/>
  </r>
  <r>
    <n v="13502"/>
    <d v="2025-04-09T00:00:00"/>
    <x v="4"/>
    <x v="1"/>
    <x v="0"/>
    <x v="1"/>
    <n v="7"/>
    <n v="73657"/>
    <x v="3481"/>
    <n v="1482"/>
    <n v="514117"/>
    <n v="127771.20050000001"/>
    <x v="1"/>
    <x v="0"/>
  </r>
  <r>
    <n v="13503"/>
    <d v="2025-11-21T00:00:00"/>
    <x v="0"/>
    <x v="1"/>
    <x v="0"/>
    <x v="0"/>
    <n v="6"/>
    <n v="79652"/>
    <x v="3482"/>
    <n v="2565"/>
    <n v="475347"/>
    <n v="97522.196790000002"/>
    <x v="1"/>
    <x v="7"/>
  </r>
  <r>
    <n v="13504"/>
    <d v="2025-12-31T00:00:00"/>
    <x v="3"/>
    <x v="3"/>
    <x v="2"/>
    <x v="3"/>
    <n v="9"/>
    <n v="75507"/>
    <x v="3483"/>
    <n v="3554"/>
    <n v="676009"/>
    <n v="119721.06389999999"/>
    <x v="1"/>
    <x v="3"/>
  </r>
  <r>
    <n v="13505"/>
    <d v="2024-03-22T00:00:00"/>
    <x v="3"/>
    <x v="0"/>
    <x v="2"/>
    <x v="0"/>
    <n v="5"/>
    <n v="34644"/>
    <x v="3484"/>
    <n v="1779"/>
    <n v="171441"/>
    <n v="20769.943380000001"/>
    <x v="0"/>
    <x v="1"/>
  </r>
  <r>
    <n v="13506"/>
    <d v="2025-08-26T00:00:00"/>
    <x v="2"/>
    <x v="3"/>
    <x v="0"/>
    <x v="1"/>
    <n v="9"/>
    <n v="41122"/>
    <x v="3485"/>
    <n v="3716"/>
    <n v="366382"/>
    <n v="57751.430590000004"/>
    <x v="1"/>
    <x v="6"/>
  </r>
  <r>
    <n v="13507"/>
    <d v="2025-11-17T00:00:00"/>
    <x v="4"/>
    <x v="2"/>
    <x v="1"/>
    <x v="2"/>
    <n v="9"/>
    <n v="8397"/>
    <x v="3486"/>
    <n v="4818"/>
    <n v="70755"/>
    <n v="13151.12571"/>
    <x v="1"/>
    <x v="7"/>
  </r>
  <r>
    <n v="13508"/>
    <d v="2024-12-30T00:00:00"/>
    <x v="2"/>
    <x v="0"/>
    <x v="2"/>
    <x v="2"/>
    <n v="2"/>
    <n v="59569"/>
    <x v="3487"/>
    <n v="2116"/>
    <n v="117022"/>
    <n v="29252.138210000001"/>
    <x v="0"/>
    <x v="3"/>
  </r>
  <r>
    <n v="13509"/>
    <d v="2024-06-11T00:00:00"/>
    <x v="4"/>
    <x v="3"/>
    <x v="0"/>
    <x v="1"/>
    <n v="9"/>
    <n v="57133"/>
    <x v="3488"/>
    <n v="4566"/>
    <n v="509631"/>
    <n v="60670.16575"/>
    <x v="0"/>
    <x v="11"/>
  </r>
  <r>
    <n v="13510"/>
    <d v="2024-02-17T00:00:00"/>
    <x v="0"/>
    <x v="0"/>
    <x v="2"/>
    <x v="1"/>
    <n v="3"/>
    <n v="53519"/>
    <x v="3489"/>
    <n v="2539"/>
    <n v="158018"/>
    <n v="34599.853669999997"/>
    <x v="0"/>
    <x v="9"/>
  </r>
  <r>
    <n v="13511"/>
    <d v="2025-05-25T00:00:00"/>
    <x v="3"/>
    <x v="2"/>
    <x v="1"/>
    <x v="3"/>
    <n v="3"/>
    <n v="76057"/>
    <x v="3490"/>
    <n v="2965"/>
    <n v="225206"/>
    <n v="56265.698940000002"/>
    <x v="1"/>
    <x v="5"/>
  </r>
  <r>
    <n v="13512"/>
    <d v="2024-11-24T00:00:00"/>
    <x v="3"/>
    <x v="4"/>
    <x v="1"/>
    <x v="1"/>
    <n v="9"/>
    <n v="34151"/>
    <x v="3491"/>
    <n v="2760"/>
    <n v="304599"/>
    <n v="67253.537930000006"/>
    <x v="0"/>
    <x v="7"/>
  </r>
  <r>
    <n v="13513"/>
    <d v="2024-04-25T00:00:00"/>
    <x v="0"/>
    <x v="1"/>
    <x v="1"/>
    <x v="2"/>
    <n v="7"/>
    <n v="8472"/>
    <x v="3492"/>
    <n v="2454"/>
    <n v="56850"/>
    <n v="12226.821819999999"/>
    <x v="0"/>
    <x v="0"/>
  </r>
  <r>
    <n v="13514"/>
    <d v="2024-12-02T00:00:00"/>
    <x v="2"/>
    <x v="3"/>
    <x v="0"/>
    <x v="0"/>
    <n v="8"/>
    <n v="56769"/>
    <x v="3493"/>
    <n v="3754"/>
    <n v="450398"/>
    <n v="62516.220020000001"/>
    <x v="0"/>
    <x v="3"/>
  </r>
  <r>
    <n v="13515"/>
    <d v="2024-05-26T00:00:00"/>
    <x v="2"/>
    <x v="2"/>
    <x v="0"/>
    <x v="0"/>
    <n v="7"/>
    <n v="10481"/>
    <x v="3494"/>
    <n v="1945"/>
    <n v="71422"/>
    <n v="7178.2235479999999"/>
    <x v="0"/>
    <x v="5"/>
  </r>
  <r>
    <n v="13516"/>
    <d v="2025-07-28T00:00:00"/>
    <x v="1"/>
    <x v="2"/>
    <x v="1"/>
    <x v="0"/>
    <n v="9"/>
    <n v="43977"/>
    <x v="3495"/>
    <n v="3368"/>
    <n v="392425"/>
    <n v="52544.947460000003"/>
    <x v="1"/>
    <x v="10"/>
  </r>
  <r>
    <n v="13517"/>
    <d v="2024-11-18T00:00:00"/>
    <x v="4"/>
    <x v="0"/>
    <x v="2"/>
    <x v="0"/>
    <n v="8"/>
    <n v="24883"/>
    <x v="3496"/>
    <n v="2629"/>
    <n v="196435"/>
    <n v="42915.15784"/>
    <x v="0"/>
    <x v="7"/>
  </r>
  <r>
    <n v="13518"/>
    <d v="2025-03-18T00:00:00"/>
    <x v="2"/>
    <x v="0"/>
    <x v="2"/>
    <x v="1"/>
    <n v="4"/>
    <n v="29265"/>
    <x v="3497"/>
    <n v="528"/>
    <n v="116532"/>
    <n v="13528.453890000001"/>
    <x v="1"/>
    <x v="1"/>
  </r>
  <r>
    <n v="13519"/>
    <d v="2024-01-13T00:00:00"/>
    <x v="0"/>
    <x v="1"/>
    <x v="1"/>
    <x v="1"/>
    <n v="2"/>
    <n v="57744"/>
    <x v="3498"/>
    <n v="4232"/>
    <n v="111256"/>
    <n v="16067.34189"/>
    <x v="0"/>
    <x v="4"/>
  </r>
  <r>
    <n v="13520"/>
    <d v="2025-05-08T00:00:00"/>
    <x v="2"/>
    <x v="0"/>
    <x v="0"/>
    <x v="0"/>
    <n v="5"/>
    <n v="28656"/>
    <x v="3499"/>
    <n v="1471"/>
    <n v="141809"/>
    <n v="26146.146499999999"/>
    <x v="1"/>
    <x v="5"/>
  </r>
  <r>
    <n v="13521"/>
    <d v="2025-12-01T00:00:00"/>
    <x v="3"/>
    <x v="3"/>
    <x v="2"/>
    <x v="1"/>
    <n v="2"/>
    <n v="14304"/>
    <x v="3500"/>
    <n v="2035"/>
    <n v="26573"/>
    <n v="4968.394867"/>
    <x v="1"/>
    <x v="3"/>
  </r>
  <r>
    <n v="13522"/>
    <d v="2024-10-13T00:00:00"/>
    <x v="4"/>
    <x v="3"/>
    <x v="2"/>
    <x v="3"/>
    <n v="4"/>
    <n v="50911"/>
    <x v="3501"/>
    <n v="4034"/>
    <n v="199610"/>
    <n v="36218.89587"/>
    <x v="0"/>
    <x v="8"/>
  </r>
  <r>
    <n v="13523"/>
    <d v="2025-12-20T00:00:00"/>
    <x v="1"/>
    <x v="3"/>
    <x v="2"/>
    <x v="1"/>
    <n v="2"/>
    <n v="48013"/>
    <x v="3502"/>
    <n v="1367"/>
    <n v="94659"/>
    <n v="23393.317620000002"/>
    <x v="1"/>
    <x v="3"/>
  </r>
  <r>
    <n v="13524"/>
    <d v="2024-04-23T00:00:00"/>
    <x v="4"/>
    <x v="4"/>
    <x v="0"/>
    <x v="3"/>
    <n v="5"/>
    <n v="45314"/>
    <x v="3503"/>
    <n v="1719"/>
    <n v="224851"/>
    <n v="22899.46427"/>
    <x v="0"/>
    <x v="0"/>
  </r>
  <r>
    <n v="13525"/>
    <d v="2025-04-24T00:00:00"/>
    <x v="3"/>
    <x v="3"/>
    <x v="1"/>
    <x v="3"/>
    <n v="6"/>
    <n v="27857"/>
    <x v="3504"/>
    <n v="1041"/>
    <n v="166101"/>
    <n v="28758.690019999998"/>
    <x v="1"/>
    <x v="0"/>
  </r>
  <r>
    <n v="13526"/>
    <d v="2024-01-22T00:00:00"/>
    <x v="3"/>
    <x v="0"/>
    <x v="0"/>
    <x v="1"/>
    <n v="1"/>
    <n v="33894"/>
    <x v="3505"/>
    <n v="3487"/>
    <n v="30407"/>
    <n v="5341.3876700000001"/>
    <x v="0"/>
    <x v="4"/>
  </r>
  <r>
    <n v="13527"/>
    <d v="2024-12-14T00:00:00"/>
    <x v="3"/>
    <x v="0"/>
    <x v="2"/>
    <x v="0"/>
    <n v="8"/>
    <n v="43570"/>
    <x v="3506"/>
    <n v="559"/>
    <n v="348001"/>
    <n v="50111.559350000003"/>
    <x v="0"/>
    <x v="3"/>
  </r>
  <r>
    <n v="13528"/>
    <d v="2025-12-26T00:00:00"/>
    <x v="3"/>
    <x v="3"/>
    <x v="1"/>
    <x v="3"/>
    <n v="2"/>
    <n v="71080"/>
    <x v="3507"/>
    <n v="1564"/>
    <n v="140596"/>
    <n v="25133.03816"/>
    <x v="1"/>
    <x v="3"/>
  </r>
  <r>
    <n v="13529"/>
    <d v="2025-11-13T00:00:00"/>
    <x v="0"/>
    <x v="2"/>
    <x v="0"/>
    <x v="1"/>
    <n v="5"/>
    <n v="44420"/>
    <x v="3508"/>
    <n v="3224"/>
    <n v="218876"/>
    <n v="43992.319770000002"/>
    <x v="1"/>
    <x v="7"/>
  </r>
  <r>
    <n v="13530"/>
    <d v="2025-07-19T00:00:00"/>
    <x v="1"/>
    <x v="2"/>
    <x v="1"/>
    <x v="2"/>
    <n v="8"/>
    <n v="61210"/>
    <x v="3509"/>
    <n v="1800"/>
    <n v="487880"/>
    <n v="98021.622829999993"/>
    <x v="1"/>
    <x v="10"/>
  </r>
  <r>
    <n v="13531"/>
    <d v="2024-11-15T00:00:00"/>
    <x v="3"/>
    <x v="2"/>
    <x v="2"/>
    <x v="0"/>
    <n v="5"/>
    <n v="32734"/>
    <x v="3510"/>
    <n v="3270"/>
    <n v="160400"/>
    <n v="18153.83884"/>
    <x v="0"/>
    <x v="7"/>
  </r>
  <r>
    <n v="13532"/>
    <d v="2024-05-05T00:00:00"/>
    <x v="3"/>
    <x v="1"/>
    <x v="0"/>
    <x v="2"/>
    <n v="3"/>
    <n v="41219"/>
    <x v="3511"/>
    <n v="1811"/>
    <n v="121846"/>
    <n v="26851.080819999999"/>
    <x v="0"/>
    <x v="5"/>
  </r>
  <r>
    <n v="13533"/>
    <d v="2024-10-03T00:00:00"/>
    <x v="2"/>
    <x v="4"/>
    <x v="1"/>
    <x v="3"/>
    <n v="6"/>
    <n v="71972"/>
    <x v="3512"/>
    <n v="3081"/>
    <n v="428751"/>
    <n v="102731.5156"/>
    <x v="0"/>
    <x v="8"/>
  </r>
  <r>
    <n v="13534"/>
    <d v="2024-07-22T00:00:00"/>
    <x v="1"/>
    <x v="3"/>
    <x v="0"/>
    <x v="2"/>
    <n v="1"/>
    <n v="60813"/>
    <x v="3513"/>
    <n v="4262"/>
    <n v="56551"/>
    <n v="6703.6561270000002"/>
    <x v="0"/>
    <x v="10"/>
  </r>
  <r>
    <n v="13535"/>
    <d v="2024-07-12T00:00:00"/>
    <x v="4"/>
    <x v="1"/>
    <x v="2"/>
    <x v="1"/>
    <n v="1"/>
    <n v="16007"/>
    <x v="3514"/>
    <n v="146"/>
    <n v="15861"/>
    <n v="2577.3497360000001"/>
    <x v="0"/>
    <x v="10"/>
  </r>
  <r>
    <n v="13536"/>
    <d v="2025-11-11T00:00:00"/>
    <x v="1"/>
    <x v="2"/>
    <x v="1"/>
    <x v="0"/>
    <n v="8"/>
    <n v="33341"/>
    <x v="3515"/>
    <n v="3828"/>
    <n v="262900"/>
    <n v="46470.87023"/>
    <x v="1"/>
    <x v="7"/>
  </r>
  <r>
    <n v="13537"/>
    <d v="2025-10-25T00:00:00"/>
    <x v="1"/>
    <x v="3"/>
    <x v="2"/>
    <x v="3"/>
    <n v="7"/>
    <n v="54411"/>
    <x v="3516"/>
    <n v="4540"/>
    <n v="376337"/>
    <n v="45244.45852"/>
    <x v="1"/>
    <x v="8"/>
  </r>
  <r>
    <n v="13538"/>
    <d v="2025-06-30T00:00:00"/>
    <x v="1"/>
    <x v="1"/>
    <x v="1"/>
    <x v="1"/>
    <n v="3"/>
    <n v="78087"/>
    <x v="3517"/>
    <n v="2117"/>
    <n v="232144"/>
    <n v="40743.038039999999"/>
    <x v="1"/>
    <x v="11"/>
  </r>
  <r>
    <n v="13539"/>
    <d v="2025-11-26T00:00:00"/>
    <x v="3"/>
    <x v="0"/>
    <x v="2"/>
    <x v="0"/>
    <n v="8"/>
    <n v="53431"/>
    <x v="3518"/>
    <n v="2663"/>
    <n v="424785"/>
    <n v="55659.079640000004"/>
    <x v="1"/>
    <x v="7"/>
  </r>
  <r>
    <n v="13540"/>
    <d v="2024-10-12T00:00:00"/>
    <x v="3"/>
    <x v="2"/>
    <x v="2"/>
    <x v="3"/>
    <n v="8"/>
    <n v="9841"/>
    <x v="3519"/>
    <n v="318"/>
    <n v="78410"/>
    <n v="18842.247899999998"/>
    <x v="0"/>
    <x v="8"/>
  </r>
  <r>
    <n v="13541"/>
    <d v="2024-02-26T00:00:00"/>
    <x v="0"/>
    <x v="1"/>
    <x v="0"/>
    <x v="3"/>
    <n v="1"/>
    <n v="45729"/>
    <x v="3520"/>
    <n v="3969"/>
    <n v="41760"/>
    <n v="6985.2182210000001"/>
    <x v="0"/>
    <x v="9"/>
  </r>
  <r>
    <n v="13542"/>
    <d v="2024-10-29T00:00:00"/>
    <x v="4"/>
    <x v="0"/>
    <x v="2"/>
    <x v="3"/>
    <n v="7"/>
    <n v="78082"/>
    <x v="3521"/>
    <n v="4131"/>
    <n v="542443"/>
    <n v="135195.8829"/>
    <x v="0"/>
    <x v="8"/>
  </r>
  <r>
    <n v="13543"/>
    <d v="2024-06-11T00:00:00"/>
    <x v="2"/>
    <x v="2"/>
    <x v="0"/>
    <x v="3"/>
    <n v="2"/>
    <n v="62804"/>
    <x v="3522"/>
    <n v="254"/>
    <n v="125354"/>
    <n v="13409.95377"/>
    <x v="0"/>
    <x v="11"/>
  </r>
  <r>
    <n v="13544"/>
    <d v="2024-01-19T00:00:00"/>
    <x v="1"/>
    <x v="4"/>
    <x v="2"/>
    <x v="2"/>
    <n v="2"/>
    <n v="57006"/>
    <x v="3523"/>
    <n v="1336"/>
    <n v="112676"/>
    <n v="13423.893190000001"/>
    <x v="0"/>
    <x v="4"/>
  </r>
  <r>
    <n v="13545"/>
    <d v="2025-01-04T00:00:00"/>
    <x v="4"/>
    <x v="2"/>
    <x v="2"/>
    <x v="2"/>
    <n v="2"/>
    <n v="26584"/>
    <x v="3524"/>
    <n v="334"/>
    <n v="52834"/>
    <n v="8795.8899149999997"/>
    <x v="1"/>
    <x v="4"/>
  </r>
  <r>
    <n v="13546"/>
    <d v="2024-09-20T00:00:00"/>
    <x v="4"/>
    <x v="4"/>
    <x v="2"/>
    <x v="2"/>
    <n v="5"/>
    <n v="65591"/>
    <x v="3525"/>
    <n v="3091"/>
    <n v="324864"/>
    <n v="75093.578210000007"/>
    <x v="0"/>
    <x v="2"/>
  </r>
  <r>
    <n v="13547"/>
    <d v="2024-04-22T00:00:00"/>
    <x v="0"/>
    <x v="4"/>
    <x v="1"/>
    <x v="3"/>
    <n v="7"/>
    <n v="24361"/>
    <x v="3526"/>
    <n v="4393"/>
    <n v="166134"/>
    <n v="30449.682219999999"/>
    <x v="0"/>
    <x v="0"/>
  </r>
  <r>
    <n v="13548"/>
    <d v="2025-05-02T00:00:00"/>
    <x v="2"/>
    <x v="4"/>
    <x v="0"/>
    <x v="2"/>
    <n v="4"/>
    <n v="52871"/>
    <x v="3527"/>
    <n v="1044"/>
    <n v="210440"/>
    <n v="44161.146099999998"/>
    <x v="1"/>
    <x v="5"/>
  </r>
  <r>
    <n v="13549"/>
    <d v="2024-11-22T00:00:00"/>
    <x v="1"/>
    <x v="3"/>
    <x v="1"/>
    <x v="0"/>
    <n v="4"/>
    <n v="19101"/>
    <x v="3528"/>
    <n v="4573"/>
    <n v="71831"/>
    <n v="11746.84477"/>
    <x v="0"/>
    <x v="7"/>
  </r>
  <r>
    <n v="13550"/>
    <d v="2025-06-25T00:00:00"/>
    <x v="2"/>
    <x v="3"/>
    <x v="0"/>
    <x v="3"/>
    <n v="9"/>
    <n v="47774"/>
    <x v="3529"/>
    <n v="1791"/>
    <n v="428175"/>
    <n v="45419.436139999998"/>
    <x v="1"/>
    <x v="11"/>
  </r>
  <r>
    <n v="13551"/>
    <d v="2025-10-08T00:00:00"/>
    <x v="0"/>
    <x v="4"/>
    <x v="2"/>
    <x v="0"/>
    <n v="9"/>
    <n v="47701"/>
    <x v="3530"/>
    <n v="2519"/>
    <n v="426790"/>
    <n v="84150.988270000002"/>
    <x v="1"/>
    <x v="8"/>
  </r>
  <r>
    <n v="13552"/>
    <d v="2025-08-01T00:00:00"/>
    <x v="3"/>
    <x v="0"/>
    <x v="1"/>
    <x v="0"/>
    <n v="7"/>
    <n v="18261"/>
    <x v="3531"/>
    <n v="961"/>
    <n v="126866"/>
    <n v="24751.584330000002"/>
    <x v="1"/>
    <x v="6"/>
  </r>
  <r>
    <n v="13553"/>
    <d v="2024-03-05T00:00:00"/>
    <x v="4"/>
    <x v="4"/>
    <x v="0"/>
    <x v="2"/>
    <n v="4"/>
    <n v="18209"/>
    <x v="3532"/>
    <n v="3749"/>
    <n v="69087"/>
    <n v="7648.9122690000004"/>
    <x v="0"/>
    <x v="1"/>
  </r>
  <r>
    <n v="13554"/>
    <d v="2024-10-18T00:00:00"/>
    <x v="1"/>
    <x v="1"/>
    <x v="2"/>
    <x v="3"/>
    <n v="8"/>
    <n v="33647"/>
    <x v="3051"/>
    <n v="4565"/>
    <n v="264611"/>
    <n v="33243.66747"/>
    <x v="0"/>
    <x v="8"/>
  </r>
  <r>
    <n v="13555"/>
    <d v="2024-01-25T00:00:00"/>
    <x v="3"/>
    <x v="4"/>
    <x v="0"/>
    <x v="2"/>
    <n v="3"/>
    <n v="13221"/>
    <x v="3533"/>
    <n v="2814"/>
    <n v="36849"/>
    <n v="6316.7797549999996"/>
    <x v="0"/>
    <x v="4"/>
  </r>
  <r>
    <n v="13556"/>
    <d v="2025-07-02T00:00:00"/>
    <x v="0"/>
    <x v="3"/>
    <x v="0"/>
    <x v="2"/>
    <n v="3"/>
    <n v="52833"/>
    <x v="3534"/>
    <n v="589"/>
    <n v="157910"/>
    <n v="26370.281220000001"/>
    <x v="1"/>
    <x v="10"/>
  </r>
  <r>
    <n v="13557"/>
    <d v="2024-01-01T00:00:00"/>
    <x v="2"/>
    <x v="3"/>
    <x v="2"/>
    <x v="2"/>
    <n v="7"/>
    <n v="30557"/>
    <x v="3535"/>
    <n v="1988"/>
    <n v="211911"/>
    <n v="45107.93174"/>
    <x v="0"/>
    <x v="4"/>
  </r>
  <r>
    <n v="13558"/>
    <d v="2025-07-02T00:00:00"/>
    <x v="4"/>
    <x v="1"/>
    <x v="1"/>
    <x v="3"/>
    <n v="9"/>
    <n v="12526"/>
    <x v="3536"/>
    <n v="2839"/>
    <n v="109895"/>
    <n v="17375.715"/>
    <x v="1"/>
    <x v="10"/>
  </r>
  <r>
    <n v="13559"/>
    <d v="2024-05-20T00:00:00"/>
    <x v="1"/>
    <x v="1"/>
    <x v="2"/>
    <x v="3"/>
    <n v="4"/>
    <n v="6251"/>
    <x v="3537"/>
    <n v="3865"/>
    <n v="21139"/>
    <n v="4217.1255620000002"/>
    <x v="0"/>
    <x v="5"/>
  </r>
  <r>
    <n v="13560"/>
    <d v="2025-10-09T00:00:00"/>
    <x v="3"/>
    <x v="2"/>
    <x v="1"/>
    <x v="2"/>
    <n v="4"/>
    <n v="37588"/>
    <x v="3538"/>
    <n v="2433"/>
    <n v="147919"/>
    <n v="30421.543839999998"/>
    <x v="1"/>
    <x v="8"/>
  </r>
  <r>
    <n v="13561"/>
    <d v="2024-07-06T00:00:00"/>
    <x v="3"/>
    <x v="0"/>
    <x v="0"/>
    <x v="0"/>
    <n v="1"/>
    <n v="59492"/>
    <x v="3539"/>
    <n v="2989"/>
    <n v="56503"/>
    <n v="11116.997960000001"/>
    <x v="0"/>
    <x v="10"/>
  </r>
  <r>
    <n v="13562"/>
    <d v="2024-05-07T00:00:00"/>
    <x v="4"/>
    <x v="0"/>
    <x v="0"/>
    <x v="0"/>
    <n v="1"/>
    <n v="11889"/>
    <x v="3540"/>
    <n v="3948"/>
    <n v="7941"/>
    <n v="1504.1749749999999"/>
    <x v="0"/>
    <x v="5"/>
  </r>
  <r>
    <n v="13563"/>
    <d v="2024-07-19T00:00:00"/>
    <x v="2"/>
    <x v="0"/>
    <x v="0"/>
    <x v="3"/>
    <n v="3"/>
    <n v="34146"/>
    <x v="3541"/>
    <n v="4541"/>
    <n v="97897"/>
    <n v="21620.799360000001"/>
    <x v="0"/>
    <x v="10"/>
  </r>
  <r>
    <n v="13564"/>
    <d v="2024-05-06T00:00:00"/>
    <x v="0"/>
    <x v="3"/>
    <x v="1"/>
    <x v="1"/>
    <n v="7"/>
    <n v="57318"/>
    <x v="3542"/>
    <n v="1960"/>
    <n v="399266"/>
    <n v="79280.670929999993"/>
    <x v="0"/>
    <x v="5"/>
  </r>
  <r>
    <n v="13565"/>
    <d v="2024-09-13T00:00:00"/>
    <x v="2"/>
    <x v="0"/>
    <x v="2"/>
    <x v="2"/>
    <n v="9"/>
    <n v="78588"/>
    <x v="3543"/>
    <n v="4194"/>
    <n v="703098"/>
    <n v="158286.80179999999"/>
    <x v="0"/>
    <x v="2"/>
  </r>
  <r>
    <n v="13566"/>
    <d v="2025-11-06T00:00:00"/>
    <x v="2"/>
    <x v="2"/>
    <x v="1"/>
    <x v="2"/>
    <n v="4"/>
    <n v="42638"/>
    <x v="3544"/>
    <n v="654"/>
    <n v="169898"/>
    <n v="33215.539640000003"/>
    <x v="1"/>
    <x v="7"/>
  </r>
  <r>
    <n v="13567"/>
    <d v="2025-06-30T00:00:00"/>
    <x v="2"/>
    <x v="2"/>
    <x v="0"/>
    <x v="1"/>
    <n v="2"/>
    <n v="6147"/>
    <x v="3545"/>
    <n v="1078"/>
    <n v="11216"/>
    <n v="1389.056204"/>
    <x v="1"/>
    <x v="11"/>
  </r>
  <r>
    <n v="13568"/>
    <d v="2024-07-12T00:00:00"/>
    <x v="4"/>
    <x v="0"/>
    <x v="0"/>
    <x v="3"/>
    <n v="6"/>
    <n v="7847"/>
    <x v="3546"/>
    <n v="3074"/>
    <n v="44008"/>
    <n v="6443.5110169999998"/>
    <x v="0"/>
    <x v="10"/>
  </r>
  <r>
    <n v="13569"/>
    <d v="2025-12-03T00:00:00"/>
    <x v="4"/>
    <x v="1"/>
    <x v="2"/>
    <x v="0"/>
    <n v="6"/>
    <n v="65335"/>
    <x v="3547"/>
    <n v="1355"/>
    <n v="390655"/>
    <n v="58423.744359999997"/>
    <x v="1"/>
    <x v="3"/>
  </r>
  <r>
    <n v="13570"/>
    <d v="2024-04-13T00:00:00"/>
    <x v="0"/>
    <x v="2"/>
    <x v="1"/>
    <x v="3"/>
    <n v="9"/>
    <n v="38388"/>
    <x v="3548"/>
    <n v="1458"/>
    <n v="344034"/>
    <n v="39249.917260000002"/>
    <x v="0"/>
    <x v="0"/>
  </r>
  <r>
    <n v="13571"/>
    <d v="2025-06-18T00:00:00"/>
    <x v="2"/>
    <x v="1"/>
    <x v="0"/>
    <x v="0"/>
    <n v="4"/>
    <n v="69347"/>
    <x v="3549"/>
    <n v="3282"/>
    <n v="274106"/>
    <n v="55875.4113"/>
    <x v="1"/>
    <x v="11"/>
  </r>
  <r>
    <n v="13572"/>
    <d v="2024-09-21T00:00:00"/>
    <x v="4"/>
    <x v="3"/>
    <x v="1"/>
    <x v="0"/>
    <n v="8"/>
    <n v="44983"/>
    <x v="3550"/>
    <n v="4912"/>
    <n v="354952"/>
    <n v="67180.583740000002"/>
    <x v="0"/>
    <x v="2"/>
  </r>
  <r>
    <n v="13573"/>
    <d v="2025-01-18T00:00:00"/>
    <x v="0"/>
    <x v="2"/>
    <x v="1"/>
    <x v="3"/>
    <n v="3"/>
    <n v="48820"/>
    <x v="3551"/>
    <n v="4756"/>
    <n v="141704"/>
    <n v="26705.994719999999"/>
    <x v="1"/>
    <x v="4"/>
  </r>
  <r>
    <n v="13574"/>
    <d v="2024-09-16T00:00:00"/>
    <x v="0"/>
    <x v="1"/>
    <x v="2"/>
    <x v="2"/>
    <n v="2"/>
    <n v="31076"/>
    <x v="3552"/>
    <n v="4695"/>
    <n v="57457"/>
    <n v="9869.8252869999997"/>
    <x v="0"/>
    <x v="2"/>
  </r>
  <r>
    <n v="13575"/>
    <d v="2025-02-17T00:00:00"/>
    <x v="2"/>
    <x v="0"/>
    <x v="2"/>
    <x v="2"/>
    <n v="9"/>
    <n v="35752"/>
    <x v="3553"/>
    <n v="919"/>
    <n v="320849"/>
    <n v="58224.049010000002"/>
    <x v="1"/>
    <x v="9"/>
  </r>
  <r>
    <n v="13576"/>
    <d v="2024-12-23T00:00:00"/>
    <x v="1"/>
    <x v="3"/>
    <x v="0"/>
    <x v="2"/>
    <n v="6"/>
    <n v="65533"/>
    <x v="3554"/>
    <n v="1746"/>
    <n v="391452"/>
    <n v="39620.067969999996"/>
    <x v="0"/>
    <x v="3"/>
  </r>
  <r>
    <n v="13577"/>
    <d v="2024-03-15T00:00:00"/>
    <x v="2"/>
    <x v="4"/>
    <x v="2"/>
    <x v="0"/>
    <n v="8"/>
    <n v="21003"/>
    <x v="3555"/>
    <n v="1758"/>
    <n v="166266"/>
    <n v="19027.017230000001"/>
    <x v="0"/>
    <x v="1"/>
  </r>
  <r>
    <n v="13578"/>
    <d v="2024-12-20T00:00:00"/>
    <x v="1"/>
    <x v="4"/>
    <x v="1"/>
    <x v="2"/>
    <n v="9"/>
    <n v="77954"/>
    <x v="3556"/>
    <n v="1831"/>
    <n v="699755"/>
    <n v="141702.44870000001"/>
    <x v="0"/>
    <x v="3"/>
  </r>
  <r>
    <n v="13579"/>
    <d v="2025-08-06T00:00:00"/>
    <x v="0"/>
    <x v="0"/>
    <x v="2"/>
    <x v="0"/>
    <n v="1"/>
    <n v="22710"/>
    <x v="3557"/>
    <n v="1171"/>
    <n v="21539"/>
    <n v="2998.6600309999999"/>
    <x v="1"/>
    <x v="6"/>
  </r>
  <r>
    <n v="13580"/>
    <d v="2024-07-06T00:00:00"/>
    <x v="4"/>
    <x v="3"/>
    <x v="1"/>
    <x v="2"/>
    <n v="1"/>
    <n v="70657"/>
    <x v="3558"/>
    <n v="3278"/>
    <n v="67379"/>
    <n v="7828.5457219999998"/>
    <x v="0"/>
    <x v="10"/>
  </r>
  <r>
    <n v="13581"/>
    <d v="2025-11-15T00:00:00"/>
    <x v="3"/>
    <x v="3"/>
    <x v="0"/>
    <x v="3"/>
    <n v="5"/>
    <n v="42081"/>
    <x v="3559"/>
    <n v="359"/>
    <n v="210046"/>
    <n v="31359.508419999998"/>
    <x v="1"/>
    <x v="7"/>
  </r>
  <r>
    <n v="13582"/>
    <d v="2024-10-16T00:00:00"/>
    <x v="0"/>
    <x v="3"/>
    <x v="1"/>
    <x v="1"/>
    <n v="9"/>
    <n v="55228"/>
    <x v="3560"/>
    <n v="3810"/>
    <n v="493242"/>
    <n v="68152.422290000002"/>
    <x v="0"/>
    <x v="8"/>
  </r>
  <r>
    <n v="13583"/>
    <d v="2024-02-14T00:00:00"/>
    <x v="4"/>
    <x v="3"/>
    <x v="2"/>
    <x v="0"/>
    <n v="7"/>
    <n v="25655"/>
    <x v="3561"/>
    <n v="1440"/>
    <n v="178145"/>
    <n v="18599.38363"/>
    <x v="0"/>
    <x v="9"/>
  </r>
  <r>
    <n v="13584"/>
    <d v="2025-07-26T00:00:00"/>
    <x v="0"/>
    <x v="4"/>
    <x v="2"/>
    <x v="3"/>
    <n v="7"/>
    <n v="13483"/>
    <x v="3562"/>
    <n v="2919"/>
    <n v="91462"/>
    <n v="14778.765670000001"/>
    <x v="1"/>
    <x v="10"/>
  </r>
  <r>
    <n v="13585"/>
    <d v="2024-03-23T00:00:00"/>
    <x v="2"/>
    <x v="1"/>
    <x v="0"/>
    <x v="0"/>
    <n v="2"/>
    <n v="45094"/>
    <x v="3563"/>
    <n v="1719"/>
    <n v="88469"/>
    <n v="9205.5868929999997"/>
    <x v="0"/>
    <x v="1"/>
  </r>
  <r>
    <n v="13586"/>
    <d v="2024-05-02T00:00:00"/>
    <x v="1"/>
    <x v="3"/>
    <x v="2"/>
    <x v="0"/>
    <n v="3"/>
    <n v="46450"/>
    <x v="3564"/>
    <n v="3253"/>
    <n v="136097"/>
    <n v="13617.67915"/>
    <x v="0"/>
    <x v="5"/>
  </r>
  <r>
    <n v="13587"/>
    <d v="2024-12-23T00:00:00"/>
    <x v="0"/>
    <x v="1"/>
    <x v="0"/>
    <x v="3"/>
    <n v="4"/>
    <n v="30209"/>
    <x v="3565"/>
    <n v="555"/>
    <n v="120281"/>
    <n v="26326.030279999999"/>
    <x v="0"/>
    <x v="3"/>
  </r>
  <r>
    <n v="13588"/>
    <d v="2025-06-11T00:00:00"/>
    <x v="4"/>
    <x v="3"/>
    <x v="0"/>
    <x v="2"/>
    <n v="2"/>
    <n v="51316"/>
    <x v="3566"/>
    <n v="1233"/>
    <n v="101399"/>
    <n v="14930.571239999999"/>
    <x v="1"/>
    <x v="11"/>
  </r>
  <r>
    <n v="13589"/>
    <d v="2024-03-06T00:00:00"/>
    <x v="2"/>
    <x v="2"/>
    <x v="2"/>
    <x v="0"/>
    <n v="9"/>
    <n v="23556"/>
    <x v="3567"/>
    <n v="3920"/>
    <n v="208084"/>
    <n v="38524.246800000001"/>
    <x v="0"/>
    <x v="1"/>
  </r>
  <r>
    <n v="13590"/>
    <d v="2025-10-18T00:00:00"/>
    <x v="3"/>
    <x v="2"/>
    <x v="1"/>
    <x v="1"/>
    <n v="5"/>
    <n v="32962"/>
    <x v="3568"/>
    <n v="4039"/>
    <n v="160771"/>
    <n v="23257.553339999999"/>
    <x v="1"/>
    <x v="8"/>
  </r>
  <r>
    <n v="13591"/>
    <d v="2025-01-09T00:00:00"/>
    <x v="2"/>
    <x v="2"/>
    <x v="0"/>
    <x v="1"/>
    <n v="7"/>
    <n v="20638"/>
    <x v="3569"/>
    <n v="2297"/>
    <n v="142169"/>
    <n v="34049.98085"/>
    <x v="1"/>
    <x v="4"/>
  </r>
  <r>
    <n v="13592"/>
    <d v="2024-06-10T00:00:00"/>
    <x v="1"/>
    <x v="3"/>
    <x v="1"/>
    <x v="3"/>
    <n v="9"/>
    <n v="43754"/>
    <x v="3570"/>
    <n v="1535"/>
    <n v="392251"/>
    <n v="82128.410090000005"/>
    <x v="0"/>
    <x v="11"/>
  </r>
  <r>
    <n v="13593"/>
    <d v="2025-01-14T00:00:00"/>
    <x v="2"/>
    <x v="1"/>
    <x v="2"/>
    <x v="1"/>
    <n v="5"/>
    <n v="77617"/>
    <x v="3571"/>
    <n v="4058"/>
    <n v="384027"/>
    <n v="59668.401980000002"/>
    <x v="1"/>
    <x v="4"/>
  </r>
  <r>
    <n v="13594"/>
    <d v="2025-10-17T00:00:00"/>
    <x v="3"/>
    <x v="4"/>
    <x v="1"/>
    <x v="3"/>
    <n v="6"/>
    <n v="59376"/>
    <x v="3572"/>
    <n v="3302"/>
    <n v="352954"/>
    <n v="46446.641929999998"/>
    <x v="1"/>
    <x v="8"/>
  </r>
  <r>
    <n v="13595"/>
    <d v="2024-12-23T00:00:00"/>
    <x v="4"/>
    <x v="0"/>
    <x v="1"/>
    <x v="3"/>
    <n v="4"/>
    <n v="18353"/>
    <x v="3573"/>
    <n v="909"/>
    <n v="72503"/>
    <n v="8749.0064239999992"/>
    <x v="0"/>
    <x v="3"/>
  </r>
  <r>
    <n v="13596"/>
    <d v="2024-07-06T00:00:00"/>
    <x v="0"/>
    <x v="4"/>
    <x v="1"/>
    <x v="0"/>
    <n v="8"/>
    <n v="76296"/>
    <x v="3574"/>
    <n v="1961"/>
    <n v="608407"/>
    <n v="130419.8296"/>
    <x v="0"/>
    <x v="10"/>
  </r>
  <r>
    <n v="13597"/>
    <d v="2024-11-17T00:00:00"/>
    <x v="1"/>
    <x v="3"/>
    <x v="1"/>
    <x v="3"/>
    <n v="1"/>
    <n v="18771"/>
    <x v="3575"/>
    <n v="11"/>
    <n v="18760"/>
    <n v="3150.8454350000002"/>
    <x v="0"/>
    <x v="7"/>
  </r>
  <r>
    <n v="13598"/>
    <d v="2025-03-25T00:00:00"/>
    <x v="3"/>
    <x v="2"/>
    <x v="2"/>
    <x v="3"/>
    <n v="1"/>
    <n v="71026"/>
    <x v="3576"/>
    <n v="979"/>
    <n v="70047"/>
    <n v="9441.95082"/>
    <x v="1"/>
    <x v="1"/>
  </r>
  <r>
    <n v="13599"/>
    <d v="2025-04-18T00:00:00"/>
    <x v="1"/>
    <x v="2"/>
    <x v="2"/>
    <x v="2"/>
    <n v="5"/>
    <n v="9263"/>
    <x v="3577"/>
    <n v="272"/>
    <n v="46043"/>
    <n v="10955.65148"/>
    <x v="1"/>
    <x v="0"/>
  </r>
  <r>
    <n v="13600"/>
    <d v="2024-01-13T00:00:00"/>
    <x v="2"/>
    <x v="1"/>
    <x v="1"/>
    <x v="0"/>
    <n v="9"/>
    <n v="12769"/>
    <x v="3578"/>
    <n v="4583"/>
    <n v="110338"/>
    <n v="17490.168430000002"/>
    <x v="0"/>
    <x v="4"/>
  </r>
  <r>
    <n v="13601"/>
    <d v="2024-07-02T00:00:00"/>
    <x v="1"/>
    <x v="3"/>
    <x v="2"/>
    <x v="1"/>
    <n v="2"/>
    <n v="30334"/>
    <x v="3579"/>
    <n v="1997"/>
    <n v="58671"/>
    <n v="10650.18916"/>
    <x v="0"/>
    <x v="10"/>
  </r>
  <r>
    <n v="13602"/>
    <d v="2024-04-20T00:00:00"/>
    <x v="3"/>
    <x v="4"/>
    <x v="2"/>
    <x v="2"/>
    <n v="3"/>
    <n v="37749"/>
    <x v="3580"/>
    <n v="4633"/>
    <n v="108614"/>
    <n v="24836.750090000001"/>
    <x v="0"/>
    <x v="0"/>
  </r>
  <r>
    <n v="13603"/>
    <d v="2025-05-22T00:00:00"/>
    <x v="0"/>
    <x v="3"/>
    <x v="0"/>
    <x v="2"/>
    <n v="8"/>
    <n v="16635"/>
    <x v="3581"/>
    <n v="1688"/>
    <n v="131392"/>
    <n v="29564.02245"/>
    <x v="1"/>
    <x v="5"/>
  </r>
  <r>
    <n v="13604"/>
    <d v="2024-10-16T00:00:00"/>
    <x v="0"/>
    <x v="3"/>
    <x v="2"/>
    <x v="0"/>
    <n v="5"/>
    <n v="70110"/>
    <x v="3582"/>
    <n v="1595"/>
    <n v="348955"/>
    <n v="68288.066430000006"/>
    <x v="0"/>
    <x v="8"/>
  </r>
  <r>
    <n v="13605"/>
    <d v="2024-10-21T00:00:00"/>
    <x v="1"/>
    <x v="2"/>
    <x v="1"/>
    <x v="0"/>
    <n v="3"/>
    <n v="6904"/>
    <x v="3583"/>
    <n v="3242"/>
    <n v="17470"/>
    <n v="4075.6386240000002"/>
    <x v="0"/>
    <x v="8"/>
  </r>
  <r>
    <n v="13606"/>
    <d v="2025-03-26T00:00:00"/>
    <x v="4"/>
    <x v="4"/>
    <x v="2"/>
    <x v="2"/>
    <n v="6"/>
    <n v="75805"/>
    <x v="3584"/>
    <n v="4683"/>
    <n v="450147"/>
    <n v="109302.31969999999"/>
    <x v="1"/>
    <x v="1"/>
  </r>
  <r>
    <n v="13607"/>
    <d v="2024-08-02T00:00:00"/>
    <x v="1"/>
    <x v="0"/>
    <x v="2"/>
    <x v="0"/>
    <n v="6"/>
    <n v="35968"/>
    <x v="3585"/>
    <n v="1715"/>
    <n v="214093"/>
    <n v="51439.508560000002"/>
    <x v="0"/>
    <x v="6"/>
  </r>
  <r>
    <n v="13608"/>
    <d v="2025-09-23T00:00:00"/>
    <x v="2"/>
    <x v="2"/>
    <x v="2"/>
    <x v="0"/>
    <n v="5"/>
    <n v="6650"/>
    <x v="3586"/>
    <n v="4338"/>
    <n v="28912"/>
    <n v="4404.7750130000004"/>
    <x v="1"/>
    <x v="2"/>
  </r>
  <r>
    <n v="13609"/>
    <d v="2025-07-20T00:00:00"/>
    <x v="0"/>
    <x v="4"/>
    <x v="2"/>
    <x v="3"/>
    <n v="5"/>
    <n v="17467"/>
    <x v="3587"/>
    <n v="1201"/>
    <n v="86134"/>
    <n v="13744.89028"/>
    <x v="1"/>
    <x v="10"/>
  </r>
  <r>
    <n v="13610"/>
    <d v="2024-01-27T00:00:00"/>
    <x v="0"/>
    <x v="1"/>
    <x v="0"/>
    <x v="0"/>
    <n v="6"/>
    <n v="51900"/>
    <x v="3588"/>
    <n v="2845"/>
    <n v="308555"/>
    <n v="41986.800510000001"/>
    <x v="0"/>
    <x v="4"/>
  </r>
  <r>
    <n v="13611"/>
    <d v="2025-09-21T00:00:00"/>
    <x v="0"/>
    <x v="2"/>
    <x v="1"/>
    <x v="3"/>
    <n v="2"/>
    <n v="40518"/>
    <x v="3589"/>
    <n v="256"/>
    <n v="80780"/>
    <n v="18217.86721"/>
    <x v="1"/>
    <x v="2"/>
  </r>
  <r>
    <n v="13612"/>
    <d v="2024-08-18T00:00:00"/>
    <x v="4"/>
    <x v="1"/>
    <x v="1"/>
    <x v="2"/>
    <n v="6"/>
    <n v="73415"/>
    <x v="3590"/>
    <n v="309"/>
    <n v="440181"/>
    <n v="52061.831530000003"/>
    <x v="0"/>
    <x v="6"/>
  </r>
  <r>
    <n v="13613"/>
    <d v="2025-07-18T00:00:00"/>
    <x v="4"/>
    <x v="2"/>
    <x v="2"/>
    <x v="2"/>
    <n v="2"/>
    <n v="9357"/>
    <x v="3591"/>
    <n v="2563"/>
    <n v="16151"/>
    <n v="2475.3427270000002"/>
    <x v="1"/>
    <x v="10"/>
  </r>
  <r>
    <n v="13614"/>
    <d v="2024-11-16T00:00:00"/>
    <x v="3"/>
    <x v="3"/>
    <x v="2"/>
    <x v="1"/>
    <n v="3"/>
    <n v="15865"/>
    <x v="3592"/>
    <n v="3417"/>
    <n v="44178"/>
    <n v="4482.2989749999997"/>
    <x v="0"/>
    <x v="7"/>
  </r>
  <r>
    <n v="13615"/>
    <d v="2024-08-20T00:00:00"/>
    <x v="1"/>
    <x v="4"/>
    <x v="0"/>
    <x v="0"/>
    <n v="2"/>
    <n v="73368"/>
    <x v="3593"/>
    <n v="1088"/>
    <n v="145648"/>
    <n v="27556.155409999999"/>
    <x v="0"/>
    <x v="6"/>
  </r>
  <r>
    <n v="13616"/>
    <d v="2025-10-31T00:00:00"/>
    <x v="1"/>
    <x v="1"/>
    <x v="2"/>
    <x v="2"/>
    <n v="1"/>
    <n v="66039"/>
    <x v="3594"/>
    <n v="4731"/>
    <n v="61308"/>
    <n v="12185.43376"/>
    <x v="1"/>
    <x v="8"/>
  </r>
  <r>
    <n v="13617"/>
    <d v="2025-03-12T00:00:00"/>
    <x v="2"/>
    <x v="2"/>
    <x v="0"/>
    <x v="3"/>
    <n v="1"/>
    <n v="76294"/>
    <x v="3595"/>
    <n v="4892"/>
    <n v="71402"/>
    <n v="9806.9308309999997"/>
    <x v="1"/>
    <x v="1"/>
  </r>
  <r>
    <n v="13618"/>
    <d v="2025-06-16T00:00:00"/>
    <x v="0"/>
    <x v="1"/>
    <x v="1"/>
    <x v="2"/>
    <n v="9"/>
    <n v="7921"/>
    <x v="3596"/>
    <n v="1176"/>
    <n v="70113"/>
    <n v="14759.459430000001"/>
    <x v="1"/>
    <x v="11"/>
  </r>
  <r>
    <n v="13619"/>
    <d v="2025-02-06T00:00:00"/>
    <x v="4"/>
    <x v="2"/>
    <x v="1"/>
    <x v="0"/>
    <n v="4"/>
    <n v="9428"/>
    <x v="3597"/>
    <n v="3097"/>
    <n v="34615"/>
    <n v="5442.5343869999997"/>
    <x v="1"/>
    <x v="9"/>
  </r>
  <r>
    <n v="13620"/>
    <d v="2024-02-22T00:00:00"/>
    <x v="2"/>
    <x v="2"/>
    <x v="0"/>
    <x v="1"/>
    <n v="5"/>
    <n v="78647"/>
    <x v="3598"/>
    <n v="3230"/>
    <n v="390005"/>
    <n v="57235.831870000002"/>
    <x v="0"/>
    <x v="9"/>
  </r>
  <r>
    <n v="13621"/>
    <d v="2024-11-08T00:00:00"/>
    <x v="2"/>
    <x v="0"/>
    <x v="1"/>
    <x v="1"/>
    <n v="7"/>
    <n v="57557"/>
    <x v="3599"/>
    <n v="1724"/>
    <n v="401175"/>
    <n v="97655.949550000005"/>
    <x v="0"/>
    <x v="7"/>
  </r>
  <r>
    <n v="13622"/>
    <d v="2024-10-07T00:00:00"/>
    <x v="4"/>
    <x v="0"/>
    <x v="2"/>
    <x v="2"/>
    <n v="2"/>
    <n v="17366"/>
    <x v="3600"/>
    <n v="2628"/>
    <n v="32104"/>
    <n v="6045.3074319999996"/>
    <x v="0"/>
    <x v="8"/>
  </r>
  <r>
    <n v="13623"/>
    <d v="2025-12-26T00:00:00"/>
    <x v="1"/>
    <x v="0"/>
    <x v="2"/>
    <x v="1"/>
    <n v="9"/>
    <n v="51923"/>
    <x v="3601"/>
    <n v="4174"/>
    <n v="463133"/>
    <n v="63841.915809999999"/>
    <x v="1"/>
    <x v="3"/>
  </r>
  <r>
    <n v="13624"/>
    <d v="2024-01-31T00:00:00"/>
    <x v="0"/>
    <x v="1"/>
    <x v="0"/>
    <x v="0"/>
    <n v="4"/>
    <n v="35564"/>
    <x v="3602"/>
    <n v="3299"/>
    <n v="138957"/>
    <n v="34389.95695"/>
    <x v="0"/>
    <x v="4"/>
  </r>
  <r>
    <n v="13625"/>
    <d v="2024-12-02T00:00:00"/>
    <x v="1"/>
    <x v="3"/>
    <x v="1"/>
    <x v="0"/>
    <n v="1"/>
    <n v="7642"/>
    <x v="3603"/>
    <n v="1350"/>
    <n v="6292"/>
    <n v="994.96934869999995"/>
    <x v="0"/>
    <x v="3"/>
  </r>
  <r>
    <n v="13626"/>
    <d v="2024-07-01T00:00:00"/>
    <x v="2"/>
    <x v="2"/>
    <x v="1"/>
    <x v="1"/>
    <n v="8"/>
    <n v="18849"/>
    <x v="3604"/>
    <n v="619"/>
    <n v="150173"/>
    <n v="29610.281330000002"/>
    <x v="0"/>
    <x v="10"/>
  </r>
  <r>
    <n v="13627"/>
    <d v="2024-01-23T00:00:00"/>
    <x v="0"/>
    <x v="4"/>
    <x v="0"/>
    <x v="3"/>
    <n v="4"/>
    <n v="24344"/>
    <x v="3605"/>
    <n v="2548"/>
    <n v="94828"/>
    <n v="19779.042850000002"/>
    <x v="0"/>
    <x v="4"/>
  </r>
  <r>
    <n v="13628"/>
    <d v="2025-06-27T00:00:00"/>
    <x v="3"/>
    <x v="0"/>
    <x v="0"/>
    <x v="1"/>
    <n v="7"/>
    <n v="26214"/>
    <x v="3606"/>
    <n v="1378"/>
    <n v="182120"/>
    <n v="29748.27722"/>
    <x v="1"/>
    <x v="11"/>
  </r>
  <r>
    <n v="13629"/>
    <d v="2025-03-21T00:00:00"/>
    <x v="2"/>
    <x v="1"/>
    <x v="1"/>
    <x v="1"/>
    <n v="3"/>
    <n v="43226"/>
    <x v="3607"/>
    <n v="4058"/>
    <n v="125620"/>
    <n v="22660.279979999999"/>
    <x v="1"/>
    <x v="1"/>
  </r>
  <r>
    <n v="13630"/>
    <d v="2024-03-14T00:00:00"/>
    <x v="1"/>
    <x v="1"/>
    <x v="0"/>
    <x v="2"/>
    <n v="9"/>
    <n v="27522"/>
    <x v="3608"/>
    <n v="977"/>
    <n v="246721"/>
    <n v="33545.98558"/>
    <x v="0"/>
    <x v="1"/>
  </r>
  <r>
    <n v="13631"/>
    <d v="2024-01-10T00:00:00"/>
    <x v="1"/>
    <x v="1"/>
    <x v="2"/>
    <x v="3"/>
    <n v="5"/>
    <n v="11680"/>
    <x v="3609"/>
    <n v="1537"/>
    <n v="56863"/>
    <n v="9659.5033750000002"/>
    <x v="0"/>
    <x v="4"/>
  </r>
  <r>
    <n v="13632"/>
    <d v="2025-04-28T00:00:00"/>
    <x v="1"/>
    <x v="4"/>
    <x v="1"/>
    <x v="1"/>
    <n v="5"/>
    <n v="17507"/>
    <x v="3610"/>
    <n v="3772"/>
    <n v="83763"/>
    <n v="12281.33217"/>
    <x v="1"/>
    <x v="0"/>
  </r>
  <r>
    <n v="13633"/>
    <d v="2025-03-31T00:00:00"/>
    <x v="4"/>
    <x v="4"/>
    <x v="0"/>
    <x v="2"/>
    <n v="3"/>
    <n v="79955"/>
    <x v="3611"/>
    <n v="3578"/>
    <n v="236287"/>
    <n v="43032.278890000001"/>
    <x v="1"/>
    <x v="1"/>
  </r>
  <r>
    <n v="13634"/>
    <d v="2025-07-19T00:00:00"/>
    <x v="2"/>
    <x v="0"/>
    <x v="0"/>
    <x v="2"/>
    <n v="9"/>
    <n v="54007"/>
    <x v="3612"/>
    <n v="2533"/>
    <n v="483530"/>
    <n v="96939.811369999996"/>
    <x v="1"/>
    <x v="10"/>
  </r>
  <r>
    <n v="13635"/>
    <d v="2025-07-17T00:00:00"/>
    <x v="0"/>
    <x v="4"/>
    <x v="0"/>
    <x v="2"/>
    <n v="3"/>
    <n v="54353"/>
    <x v="3613"/>
    <n v="477"/>
    <n v="162582"/>
    <n v="31232.12903"/>
    <x v="1"/>
    <x v="10"/>
  </r>
  <r>
    <n v="13636"/>
    <d v="2025-10-21T00:00:00"/>
    <x v="1"/>
    <x v="0"/>
    <x v="1"/>
    <x v="0"/>
    <n v="2"/>
    <n v="73696"/>
    <x v="3614"/>
    <n v="3654"/>
    <n v="143738"/>
    <n v="31120.357059999998"/>
    <x v="1"/>
    <x v="8"/>
  </r>
  <r>
    <n v="13637"/>
    <d v="2024-06-08T00:00:00"/>
    <x v="1"/>
    <x v="4"/>
    <x v="2"/>
    <x v="2"/>
    <n v="9"/>
    <n v="49233"/>
    <x v="3615"/>
    <n v="1894"/>
    <n v="441203"/>
    <n v="46868.776019999998"/>
    <x v="0"/>
    <x v="11"/>
  </r>
  <r>
    <n v="13638"/>
    <d v="2024-01-14T00:00:00"/>
    <x v="4"/>
    <x v="4"/>
    <x v="2"/>
    <x v="2"/>
    <n v="9"/>
    <n v="55865"/>
    <x v="3616"/>
    <n v="2380"/>
    <n v="500405"/>
    <n v="55940.03183"/>
    <x v="0"/>
    <x v="4"/>
  </r>
  <r>
    <n v="13639"/>
    <d v="2024-06-26T00:00:00"/>
    <x v="0"/>
    <x v="4"/>
    <x v="1"/>
    <x v="0"/>
    <n v="4"/>
    <n v="12872"/>
    <x v="3617"/>
    <n v="1632"/>
    <n v="49856"/>
    <n v="6521.0210129999996"/>
    <x v="0"/>
    <x v="11"/>
  </r>
  <r>
    <n v="13640"/>
    <d v="2025-02-15T00:00:00"/>
    <x v="2"/>
    <x v="0"/>
    <x v="0"/>
    <x v="0"/>
    <n v="4"/>
    <n v="12839"/>
    <x v="3618"/>
    <n v="2040"/>
    <n v="49316"/>
    <n v="12223.97566"/>
    <x v="1"/>
    <x v="9"/>
  </r>
  <r>
    <n v="13641"/>
    <d v="2024-02-22T00:00:00"/>
    <x v="3"/>
    <x v="2"/>
    <x v="1"/>
    <x v="2"/>
    <n v="6"/>
    <n v="20652"/>
    <x v="3619"/>
    <n v="1565"/>
    <n v="122347"/>
    <n v="26921.259320000001"/>
    <x v="0"/>
    <x v="9"/>
  </r>
  <r>
    <n v="13642"/>
    <d v="2025-02-11T00:00:00"/>
    <x v="4"/>
    <x v="0"/>
    <x v="1"/>
    <x v="1"/>
    <n v="9"/>
    <n v="11859"/>
    <x v="3620"/>
    <n v="4125"/>
    <n v="102606"/>
    <n v="24483.654159999998"/>
    <x v="1"/>
    <x v="9"/>
  </r>
  <r>
    <n v="13643"/>
    <d v="2024-01-22T00:00:00"/>
    <x v="2"/>
    <x v="2"/>
    <x v="0"/>
    <x v="3"/>
    <n v="8"/>
    <n v="38520"/>
    <x v="3621"/>
    <n v="4822"/>
    <n v="303338"/>
    <n v="42714.101459999998"/>
    <x v="0"/>
    <x v="4"/>
  </r>
  <r>
    <n v="13644"/>
    <d v="2024-01-30T00:00:00"/>
    <x v="3"/>
    <x v="1"/>
    <x v="1"/>
    <x v="0"/>
    <n v="3"/>
    <n v="54266"/>
    <x v="3622"/>
    <n v="4268"/>
    <n v="158530"/>
    <n v="29499.020540000001"/>
    <x v="0"/>
    <x v="4"/>
  </r>
  <r>
    <n v="13645"/>
    <d v="2025-12-03T00:00:00"/>
    <x v="1"/>
    <x v="1"/>
    <x v="2"/>
    <x v="3"/>
    <n v="6"/>
    <n v="74516"/>
    <x v="3623"/>
    <n v="2839"/>
    <n v="444257"/>
    <n v="81402.418239999999"/>
    <x v="1"/>
    <x v="3"/>
  </r>
  <r>
    <n v="13646"/>
    <d v="2024-09-16T00:00:00"/>
    <x v="1"/>
    <x v="0"/>
    <x v="1"/>
    <x v="0"/>
    <n v="7"/>
    <n v="44093"/>
    <x v="3624"/>
    <n v="467"/>
    <n v="308184"/>
    <n v="57145.894269999997"/>
    <x v="0"/>
    <x v="2"/>
  </r>
  <r>
    <n v="13647"/>
    <d v="2024-07-23T00:00:00"/>
    <x v="0"/>
    <x v="2"/>
    <x v="0"/>
    <x v="2"/>
    <n v="6"/>
    <n v="56970"/>
    <x v="3625"/>
    <n v="3547"/>
    <n v="338273"/>
    <n v="70237.328269999998"/>
    <x v="0"/>
    <x v="10"/>
  </r>
  <r>
    <n v="13648"/>
    <d v="2024-02-28T00:00:00"/>
    <x v="3"/>
    <x v="2"/>
    <x v="1"/>
    <x v="0"/>
    <n v="3"/>
    <n v="54620"/>
    <x v="3626"/>
    <n v="1975"/>
    <n v="161885"/>
    <n v="25755.418610000001"/>
    <x v="0"/>
    <x v="9"/>
  </r>
  <r>
    <n v="13649"/>
    <d v="2025-04-15T00:00:00"/>
    <x v="1"/>
    <x v="2"/>
    <x v="2"/>
    <x v="2"/>
    <n v="9"/>
    <n v="5425"/>
    <x v="3627"/>
    <n v="3388"/>
    <n v="45437"/>
    <n v="9159.2610700000005"/>
    <x v="1"/>
    <x v="0"/>
  </r>
  <r>
    <n v="13650"/>
    <d v="2025-04-10T00:00:00"/>
    <x v="1"/>
    <x v="1"/>
    <x v="1"/>
    <x v="3"/>
    <n v="4"/>
    <n v="78677"/>
    <x v="3628"/>
    <n v="4220"/>
    <n v="310488"/>
    <n v="67768.836139999999"/>
    <x v="1"/>
    <x v="0"/>
  </r>
  <r>
    <n v="13651"/>
    <d v="2024-01-12T00:00:00"/>
    <x v="0"/>
    <x v="0"/>
    <x v="1"/>
    <x v="1"/>
    <n v="2"/>
    <n v="55727"/>
    <x v="3629"/>
    <n v="2743"/>
    <n v="108711"/>
    <n v="15584.916080000001"/>
    <x v="0"/>
    <x v="4"/>
  </r>
  <r>
    <n v="13652"/>
    <d v="2025-09-22T00:00:00"/>
    <x v="2"/>
    <x v="3"/>
    <x v="1"/>
    <x v="2"/>
    <n v="9"/>
    <n v="54985"/>
    <x v="3630"/>
    <n v="2574"/>
    <n v="492291"/>
    <n v="119066.2298"/>
    <x v="1"/>
    <x v="2"/>
  </r>
  <r>
    <n v="13653"/>
    <d v="2024-10-16T00:00:00"/>
    <x v="1"/>
    <x v="2"/>
    <x v="1"/>
    <x v="3"/>
    <n v="3"/>
    <n v="52084"/>
    <x v="3631"/>
    <n v="1419"/>
    <n v="154833"/>
    <n v="27514.93924"/>
    <x v="0"/>
    <x v="8"/>
  </r>
  <r>
    <n v="13654"/>
    <d v="2024-12-19T00:00:00"/>
    <x v="4"/>
    <x v="2"/>
    <x v="0"/>
    <x v="3"/>
    <n v="6"/>
    <n v="74642"/>
    <x v="3632"/>
    <n v="1877"/>
    <n v="445975"/>
    <n v="93616.577019999997"/>
    <x v="0"/>
    <x v="3"/>
  </r>
  <r>
    <n v="13655"/>
    <d v="2025-09-30T00:00:00"/>
    <x v="4"/>
    <x v="3"/>
    <x v="2"/>
    <x v="0"/>
    <n v="5"/>
    <n v="6408"/>
    <x v="3633"/>
    <n v="1026"/>
    <n v="31014"/>
    <n v="6492.4315280000001"/>
    <x v="1"/>
    <x v="2"/>
  </r>
  <r>
    <n v="13656"/>
    <d v="2024-03-15T00:00:00"/>
    <x v="2"/>
    <x v="0"/>
    <x v="2"/>
    <x v="2"/>
    <n v="2"/>
    <n v="60337"/>
    <x v="3634"/>
    <n v="4631"/>
    <n v="116043"/>
    <n v="21443.17957"/>
    <x v="0"/>
    <x v="1"/>
  </r>
  <r>
    <n v="13657"/>
    <d v="2025-12-16T00:00:00"/>
    <x v="3"/>
    <x v="2"/>
    <x v="2"/>
    <x v="3"/>
    <n v="1"/>
    <n v="44612"/>
    <x v="3635"/>
    <n v="600"/>
    <n v="44012"/>
    <n v="6531.4932150000004"/>
    <x v="1"/>
    <x v="3"/>
  </r>
  <r>
    <n v="13658"/>
    <d v="2025-07-14T00:00:00"/>
    <x v="0"/>
    <x v="0"/>
    <x v="1"/>
    <x v="1"/>
    <n v="9"/>
    <n v="44163"/>
    <x v="3636"/>
    <n v="3592"/>
    <n v="393875"/>
    <n v="78791.11709"/>
    <x v="1"/>
    <x v="10"/>
  </r>
  <r>
    <n v="13659"/>
    <d v="2025-08-13T00:00:00"/>
    <x v="4"/>
    <x v="2"/>
    <x v="2"/>
    <x v="0"/>
    <n v="3"/>
    <n v="20843"/>
    <x v="3637"/>
    <n v="987"/>
    <n v="61542"/>
    <n v="6959.952851"/>
    <x v="1"/>
    <x v="6"/>
  </r>
  <r>
    <n v="13660"/>
    <d v="2025-03-16T00:00:00"/>
    <x v="4"/>
    <x v="4"/>
    <x v="0"/>
    <x v="0"/>
    <n v="7"/>
    <n v="54364"/>
    <x v="3638"/>
    <n v="605"/>
    <n v="379943"/>
    <n v="93927.725829999996"/>
    <x v="1"/>
    <x v="1"/>
  </r>
  <r>
    <n v="13661"/>
    <d v="2024-08-28T00:00:00"/>
    <x v="2"/>
    <x v="2"/>
    <x v="1"/>
    <x v="3"/>
    <n v="9"/>
    <n v="33477"/>
    <x v="3639"/>
    <n v="2747"/>
    <n v="298546"/>
    <n v="38094.346960000003"/>
    <x v="0"/>
    <x v="6"/>
  </r>
  <r>
    <n v="13662"/>
    <d v="2024-06-02T00:00:00"/>
    <x v="3"/>
    <x v="4"/>
    <x v="1"/>
    <x v="2"/>
    <n v="9"/>
    <n v="66082"/>
    <x v="3640"/>
    <n v="138"/>
    <n v="594600"/>
    <n v="84025.261530000003"/>
    <x v="0"/>
    <x v="11"/>
  </r>
  <r>
    <n v="13663"/>
    <d v="2024-04-05T00:00:00"/>
    <x v="3"/>
    <x v="0"/>
    <x v="2"/>
    <x v="0"/>
    <n v="6"/>
    <n v="32330"/>
    <x v="3641"/>
    <n v="2057"/>
    <n v="191923"/>
    <n v="46669.123359999998"/>
    <x v="0"/>
    <x v="0"/>
  </r>
  <r>
    <n v="13664"/>
    <d v="2025-12-26T00:00:00"/>
    <x v="2"/>
    <x v="2"/>
    <x v="1"/>
    <x v="2"/>
    <n v="8"/>
    <n v="42569"/>
    <x v="3642"/>
    <n v="3586"/>
    <n v="336966"/>
    <n v="43125.315269999999"/>
    <x v="1"/>
    <x v="3"/>
  </r>
  <r>
    <n v="13665"/>
    <d v="2024-10-20T00:00:00"/>
    <x v="4"/>
    <x v="1"/>
    <x v="1"/>
    <x v="3"/>
    <n v="9"/>
    <n v="53114"/>
    <x v="3643"/>
    <n v="4225"/>
    <n v="473801"/>
    <n v="59468.613590000001"/>
    <x v="0"/>
    <x v="8"/>
  </r>
  <r>
    <n v="13666"/>
    <d v="2024-07-27T00:00:00"/>
    <x v="0"/>
    <x v="1"/>
    <x v="2"/>
    <x v="3"/>
    <n v="3"/>
    <n v="72294"/>
    <x v="3644"/>
    <n v="4496"/>
    <n v="212386"/>
    <n v="46869.426789999998"/>
    <x v="0"/>
    <x v="10"/>
  </r>
  <r>
    <n v="13667"/>
    <d v="2024-12-08T00:00:00"/>
    <x v="4"/>
    <x v="3"/>
    <x v="0"/>
    <x v="2"/>
    <n v="6"/>
    <n v="69106"/>
    <x v="3645"/>
    <n v="1244"/>
    <n v="413392"/>
    <n v="56921.277970000003"/>
    <x v="0"/>
    <x v="3"/>
  </r>
  <r>
    <n v="13668"/>
    <d v="2024-03-28T00:00:00"/>
    <x v="3"/>
    <x v="1"/>
    <x v="0"/>
    <x v="1"/>
    <n v="5"/>
    <n v="43548"/>
    <x v="3646"/>
    <n v="641"/>
    <n v="217099"/>
    <n v="24794.65713"/>
    <x v="0"/>
    <x v="1"/>
  </r>
  <r>
    <n v="13669"/>
    <d v="2025-01-24T00:00:00"/>
    <x v="4"/>
    <x v="4"/>
    <x v="2"/>
    <x v="0"/>
    <n v="7"/>
    <n v="67598"/>
    <x v="3647"/>
    <n v="436"/>
    <n v="472750"/>
    <n v="63346.823709999997"/>
    <x v="1"/>
    <x v="4"/>
  </r>
  <r>
    <n v="13670"/>
    <d v="2024-11-20T00:00:00"/>
    <x v="0"/>
    <x v="1"/>
    <x v="0"/>
    <x v="3"/>
    <n v="7"/>
    <n v="16260"/>
    <x v="3648"/>
    <n v="1423"/>
    <n v="112397"/>
    <n v="26217.278890000001"/>
    <x v="0"/>
    <x v="7"/>
  </r>
  <r>
    <n v="13671"/>
    <d v="2024-06-05T00:00:00"/>
    <x v="1"/>
    <x v="1"/>
    <x v="0"/>
    <x v="1"/>
    <n v="9"/>
    <n v="37350"/>
    <x v="3649"/>
    <n v="1136"/>
    <n v="335014"/>
    <n v="47588.027739999998"/>
    <x v="0"/>
    <x v="11"/>
  </r>
  <r>
    <n v="13672"/>
    <d v="2025-10-29T00:00:00"/>
    <x v="4"/>
    <x v="1"/>
    <x v="0"/>
    <x v="1"/>
    <n v="1"/>
    <n v="46741"/>
    <x v="3650"/>
    <n v="3721"/>
    <n v="43020"/>
    <n v="8787.2255120000009"/>
    <x v="1"/>
    <x v="8"/>
  </r>
  <r>
    <n v="13673"/>
    <d v="2025-10-12T00:00:00"/>
    <x v="2"/>
    <x v="2"/>
    <x v="1"/>
    <x v="2"/>
    <n v="6"/>
    <n v="50181"/>
    <x v="3651"/>
    <n v="3289"/>
    <n v="297797"/>
    <n v="47430.39157"/>
    <x v="1"/>
    <x v="8"/>
  </r>
  <r>
    <n v="13674"/>
    <d v="2025-09-24T00:00:00"/>
    <x v="1"/>
    <x v="3"/>
    <x v="1"/>
    <x v="2"/>
    <n v="5"/>
    <n v="5840"/>
    <x v="3652"/>
    <n v="57"/>
    <n v="29143"/>
    <n v="4060.1390839999999"/>
    <x v="1"/>
    <x v="2"/>
  </r>
  <r>
    <n v="13675"/>
    <d v="2025-07-30T00:00:00"/>
    <x v="2"/>
    <x v="0"/>
    <x v="1"/>
    <x v="2"/>
    <n v="4"/>
    <n v="67422"/>
    <x v="3653"/>
    <n v="1136"/>
    <n v="268552"/>
    <n v="32657.832890000001"/>
    <x v="1"/>
    <x v="10"/>
  </r>
  <r>
    <n v="13676"/>
    <d v="2025-09-10T00:00:00"/>
    <x v="2"/>
    <x v="3"/>
    <x v="0"/>
    <x v="1"/>
    <n v="1"/>
    <n v="22725"/>
    <x v="3654"/>
    <n v="699"/>
    <n v="22026"/>
    <n v="5414.6242519999996"/>
    <x v="1"/>
    <x v="2"/>
  </r>
  <r>
    <n v="13677"/>
    <d v="2025-10-20T00:00:00"/>
    <x v="2"/>
    <x v="4"/>
    <x v="1"/>
    <x v="0"/>
    <n v="4"/>
    <n v="17299"/>
    <x v="3655"/>
    <n v="1145"/>
    <n v="68051"/>
    <n v="12124.46509"/>
    <x v="1"/>
    <x v="8"/>
  </r>
  <r>
    <n v="13678"/>
    <d v="2024-05-16T00:00:00"/>
    <x v="4"/>
    <x v="2"/>
    <x v="0"/>
    <x v="2"/>
    <n v="7"/>
    <n v="55652"/>
    <x v="3656"/>
    <n v="2455"/>
    <n v="387109"/>
    <n v="45374.303599999999"/>
    <x v="0"/>
    <x v="5"/>
  </r>
  <r>
    <n v="13679"/>
    <d v="2025-11-04T00:00:00"/>
    <x v="3"/>
    <x v="2"/>
    <x v="2"/>
    <x v="0"/>
    <n v="4"/>
    <n v="76095"/>
    <x v="3657"/>
    <n v="1108"/>
    <n v="303272"/>
    <n v="39371.406819999997"/>
    <x v="1"/>
    <x v="7"/>
  </r>
  <r>
    <n v="13680"/>
    <d v="2025-03-03T00:00:00"/>
    <x v="1"/>
    <x v="1"/>
    <x v="0"/>
    <x v="2"/>
    <n v="1"/>
    <n v="37597"/>
    <x v="3658"/>
    <n v="4495"/>
    <n v="33102"/>
    <n v="5332.5521799999997"/>
    <x v="1"/>
    <x v="1"/>
  </r>
  <r>
    <n v="13681"/>
    <d v="2025-03-27T00:00:00"/>
    <x v="0"/>
    <x v="1"/>
    <x v="1"/>
    <x v="1"/>
    <n v="1"/>
    <n v="13707"/>
    <x v="3659"/>
    <n v="107"/>
    <n v="13600"/>
    <n v="2470.1078739999998"/>
    <x v="1"/>
    <x v="1"/>
  </r>
  <r>
    <n v="13682"/>
    <d v="2025-09-03T00:00:00"/>
    <x v="3"/>
    <x v="4"/>
    <x v="0"/>
    <x v="0"/>
    <n v="1"/>
    <n v="53943"/>
    <x v="3660"/>
    <n v="1984"/>
    <n v="51959"/>
    <n v="6612.7969759999996"/>
    <x v="1"/>
    <x v="2"/>
  </r>
  <r>
    <n v="13683"/>
    <d v="2024-05-20T00:00:00"/>
    <x v="4"/>
    <x v="2"/>
    <x v="1"/>
    <x v="0"/>
    <n v="5"/>
    <n v="68803"/>
    <x v="3661"/>
    <n v="4247"/>
    <n v="339768"/>
    <n v="48131.281300000002"/>
    <x v="0"/>
    <x v="5"/>
  </r>
  <r>
    <n v="13684"/>
    <d v="2024-03-23T00:00:00"/>
    <x v="2"/>
    <x v="0"/>
    <x v="1"/>
    <x v="1"/>
    <n v="7"/>
    <n v="8155"/>
    <x v="3662"/>
    <n v="905"/>
    <n v="56180"/>
    <n v="12222.2932"/>
    <x v="0"/>
    <x v="1"/>
  </r>
  <r>
    <n v="13685"/>
    <d v="2024-06-25T00:00:00"/>
    <x v="0"/>
    <x v="3"/>
    <x v="2"/>
    <x v="0"/>
    <n v="9"/>
    <n v="28572"/>
    <x v="3663"/>
    <n v="4945"/>
    <n v="252203"/>
    <n v="41013.816789999997"/>
    <x v="0"/>
    <x v="11"/>
  </r>
  <r>
    <n v="13686"/>
    <d v="2024-07-16T00:00:00"/>
    <x v="1"/>
    <x v="2"/>
    <x v="2"/>
    <x v="1"/>
    <n v="8"/>
    <n v="64694"/>
    <x v="3664"/>
    <n v="1992"/>
    <n v="515560"/>
    <n v="51664.450709999997"/>
    <x v="0"/>
    <x v="10"/>
  </r>
  <r>
    <n v="13687"/>
    <d v="2025-09-15T00:00:00"/>
    <x v="3"/>
    <x v="0"/>
    <x v="1"/>
    <x v="1"/>
    <n v="2"/>
    <n v="71514"/>
    <x v="3665"/>
    <n v="4122"/>
    <n v="138906"/>
    <n v="15014.49446"/>
    <x v="1"/>
    <x v="2"/>
  </r>
  <r>
    <n v="13688"/>
    <d v="2025-07-21T00:00:00"/>
    <x v="3"/>
    <x v="0"/>
    <x v="0"/>
    <x v="3"/>
    <n v="9"/>
    <n v="49843"/>
    <x v="3666"/>
    <n v="4214"/>
    <n v="444373"/>
    <n v="73721.154949999996"/>
    <x v="1"/>
    <x v="10"/>
  </r>
  <r>
    <n v="13689"/>
    <d v="2025-11-21T00:00:00"/>
    <x v="0"/>
    <x v="3"/>
    <x v="2"/>
    <x v="2"/>
    <n v="4"/>
    <n v="40357"/>
    <x v="3667"/>
    <n v="4818"/>
    <n v="156610"/>
    <n v="17073.255829999998"/>
    <x v="1"/>
    <x v="7"/>
  </r>
  <r>
    <n v="13690"/>
    <d v="2025-02-24T00:00:00"/>
    <x v="4"/>
    <x v="0"/>
    <x v="2"/>
    <x v="3"/>
    <n v="5"/>
    <n v="28167"/>
    <x v="3668"/>
    <n v="2147"/>
    <n v="138688"/>
    <n v="17486.56826"/>
    <x v="1"/>
    <x v="9"/>
  </r>
  <r>
    <n v="13691"/>
    <d v="2025-02-04T00:00:00"/>
    <x v="1"/>
    <x v="4"/>
    <x v="1"/>
    <x v="1"/>
    <n v="5"/>
    <n v="76478"/>
    <x v="3669"/>
    <n v="4098"/>
    <n v="378292"/>
    <n v="79131.675289999999"/>
    <x v="1"/>
    <x v="9"/>
  </r>
  <r>
    <n v="13692"/>
    <d v="2025-11-28T00:00:00"/>
    <x v="0"/>
    <x v="0"/>
    <x v="0"/>
    <x v="1"/>
    <n v="4"/>
    <n v="23983"/>
    <x v="3670"/>
    <n v="805"/>
    <n v="95127"/>
    <n v="16367.320809999999"/>
    <x v="1"/>
    <x v="7"/>
  </r>
  <r>
    <n v="13693"/>
    <d v="2025-04-15T00:00:00"/>
    <x v="2"/>
    <x v="4"/>
    <x v="2"/>
    <x v="0"/>
    <n v="6"/>
    <n v="40276"/>
    <x v="3671"/>
    <n v="1992"/>
    <n v="239664"/>
    <n v="41310.713510000001"/>
    <x v="1"/>
    <x v="0"/>
  </r>
  <r>
    <n v="13694"/>
    <d v="2024-08-05T00:00:00"/>
    <x v="1"/>
    <x v="0"/>
    <x v="2"/>
    <x v="1"/>
    <n v="1"/>
    <n v="50279"/>
    <x v="3672"/>
    <n v="3600"/>
    <n v="46679"/>
    <n v="8856.5333460000002"/>
    <x v="0"/>
    <x v="6"/>
  </r>
  <r>
    <n v="13695"/>
    <d v="2025-12-29T00:00:00"/>
    <x v="3"/>
    <x v="1"/>
    <x v="0"/>
    <x v="1"/>
    <n v="2"/>
    <n v="64483"/>
    <x v="3673"/>
    <n v="4399"/>
    <n v="124567"/>
    <n v="27190.210739999999"/>
    <x v="1"/>
    <x v="3"/>
  </r>
  <r>
    <n v="13696"/>
    <d v="2025-09-23T00:00:00"/>
    <x v="0"/>
    <x v="0"/>
    <x v="2"/>
    <x v="1"/>
    <n v="4"/>
    <n v="76451"/>
    <x v="3674"/>
    <n v="4272"/>
    <n v="301532"/>
    <n v="37326.010849999999"/>
    <x v="1"/>
    <x v="2"/>
  </r>
  <r>
    <n v="13697"/>
    <d v="2024-06-23T00:00:00"/>
    <x v="3"/>
    <x v="4"/>
    <x v="0"/>
    <x v="2"/>
    <n v="4"/>
    <n v="7045"/>
    <x v="3675"/>
    <n v="4010"/>
    <n v="24170"/>
    <n v="3044.384051"/>
    <x v="0"/>
    <x v="11"/>
  </r>
  <r>
    <n v="13698"/>
    <d v="2024-01-23T00:00:00"/>
    <x v="3"/>
    <x v="0"/>
    <x v="1"/>
    <x v="3"/>
    <n v="8"/>
    <n v="47344"/>
    <x v="3676"/>
    <n v="83"/>
    <n v="378669"/>
    <n v="44762.68118"/>
    <x v="0"/>
    <x v="4"/>
  </r>
  <r>
    <n v="13699"/>
    <d v="2025-12-25T00:00:00"/>
    <x v="3"/>
    <x v="0"/>
    <x v="2"/>
    <x v="3"/>
    <n v="9"/>
    <n v="14564"/>
    <x v="3677"/>
    <n v="4358"/>
    <n v="126718"/>
    <n v="30478.769850000001"/>
    <x v="1"/>
    <x v="3"/>
  </r>
  <r>
    <n v="13700"/>
    <d v="2024-08-22T00:00:00"/>
    <x v="4"/>
    <x v="0"/>
    <x v="1"/>
    <x v="2"/>
    <n v="4"/>
    <n v="16105"/>
    <x v="3678"/>
    <n v="3320"/>
    <n v="61100"/>
    <n v="11400.8649"/>
    <x v="0"/>
    <x v="6"/>
  </r>
  <r>
    <n v="13701"/>
    <d v="2024-01-13T00:00:00"/>
    <x v="3"/>
    <x v="4"/>
    <x v="0"/>
    <x v="2"/>
    <n v="6"/>
    <n v="61754"/>
    <x v="3679"/>
    <n v="2505"/>
    <n v="368019"/>
    <n v="41915.915370000002"/>
    <x v="0"/>
    <x v="4"/>
  </r>
  <r>
    <n v="13702"/>
    <d v="2024-04-10T00:00:00"/>
    <x v="2"/>
    <x v="0"/>
    <x v="1"/>
    <x v="2"/>
    <n v="4"/>
    <n v="25056"/>
    <x v="3680"/>
    <n v="2456"/>
    <n v="97768"/>
    <n v="13012.611279999999"/>
    <x v="0"/>
    <x v="0"/>
  </r>
  <r>
    <n v="13703"/>
    <d v="2025-06-19T00:00:00"/>
    <x v="2"/>
    <x v="3"/>
    <x v="1"/>
    <x v="3"/>
    <n v="4"/>
    <n v="68565"/>
    <x v="3681"/>
    <n v="3062"/>
    <n v="271198"/>
    <n v="56636.585550000003"/>
    <x v="1"/>
    <x v="11"/>
  </r>
  <r>
    <n v="13704"/>
    <d v="2025-06-06T00:00:00"/>
    <x v="1"/>
    <x v="3"/>
    <x v="1"/>
    <x v="3"/>
    <n v="9"/>
    <n v="52689"/>
    <x v="3682"/>
    <n v="3852"/>
    <n v="470349"/>
    <n v="49080.33107"/>
    <x v="1"/>
    <x v="11"/>
  </r>
  <r>
    <n v="13705"/>
    <d v="2025-03-27T00:00:00"/>
    <x v="3"/>
    <x v="4"/>
    <x v="0"/>
    <x v="1"/>
    <n v="4"/>
    <n v="37135"/>
    <x v="3683"/>
    <n v="4897"/>
    <n v="143643"/>
    <n v="29999.601200000001"/>
    <x v="1"/>
    <x v="1"/>
  </r>
  <r>
    <n v="13706"/>
    <d v="2025-03-06T00:00:00"/>
    <x v="3"/>
    <x v="1"/>
    <x v="0"/>
    <x v="3"/>
    <n v="6"/>
    <n v="37812"/>
    <x v="3684"/>
    <n v="4990"/>
    <n v="221882"/>
    <n v="52523.83221"/>
    <x v="1"/>
    <x v="1"/>
  </r>
  <r>
    <n v="13707"/>
    <d v="2025-08-28T00:00:00"/>
    <x v="0"/>
    <x v="3"/>
    <x v="0"/>
    <x v="0"/>
    <n v="9"/>
    <n v="75047"/>
    <x v="3685"/>
    <n v="4968"/>
    <n v="670455"/>
    <n v="72715.715519999998"/>
    <x v="1"/>
    <x v="6"/>
  </r>
  <r>
    <n v="13708"/>
    <d v="2025-12-13T00:00:00"/>
    <x v="4"/>
    <x v="2"/>
    <x v="0"/>
    <x v="3"/>
    <n v="3"/>
    <n v="27772"/>
    <x v="3686"/>
    <n v="387"/>
    <n v="82929"/>
    <n v="10611.84917"/>
    <x v="1"/>
    <x v="3"/>
  </r>
  <r>
    <n v="13709"/>
    <d v="2025-06-16T00:00:00"/>
    <x v="1"/>
    <x v="3"/>
    <x v="0"/>
    <x v="2"/>
    <n v="7"/>
    <n v="12775"/>
    <x v="3687"/>
    <n v="2003"/>
    <n v="87422"/>
    <n v="8773.3913169999996"/>
    <x v="1"/>
    <x v="11"/>
  </r>
  <r>
    <n v="13710"/>
    <d v="2025-12-23T00:00:00"/>
    <x v="3"/>
    <x v="2"/>
    <x v="2"/>
    <x v="3"/>
    <n v="7"/>
    <n v="59523"/>
    <x v="3688"/>
    <n v="1031"/>
    <n v="415630"/>
    <n v="48360.452920000003"/>
    <x v="1"/>
    <x v="3"/>
  </r>
  <r>
    <n v="13711"/>
    <d v="2025-10-13T00:00:00"/>
    <x v="0"/>
    <x v="4"/>
    <x v="2"/>
    <x v="1"/>
    <n v="1"/>
    <n v="15707"/>
    <x v="3689"/>
    <n v="1540"/>
    <n v="14167"/>
    <n v="2727.8378309999998"/>
    <x v="1"/>
    <x v="8"/>
  </r>
  <r>
    <n v="13712"/>
    <d v="2024-10-19T00:00:00"/>
    <x v="4"/>
    <x v="1"/>
    <x v="2"/>
    <x v="3"/>
    <n v="2"/>
    <n v="18372"/>
    <x v="3690"/>
    <n v="449"/>
    <n v="36295"/>
    <n v="3873.499288"/>
    <x v="0"/>
    <x v="8"/>
  </r>
  <r>
    <n v="13713"/>
    <d v="2024-04-10T00:00:00"/>
    <x v="1"/>
    <x v="2"/>
    <x v="1"/>
    <x v="2"/>
    <n v="5"/>
    <n v="66526"/>
    <x v="3691"/>
    <n v="3547"/>
    <n v="329083"/>
    <n v="53928.562619999997"/>
    <x v="0"/>
    <x v="0"/>
  </r>
  <r>
    <n v="13714"/>
    <d v="2025-05-16T00:00:00"/>
    <x v="1"/>
    <x v="2"/>
    <x v="1"/>
    <x v="0"/>
    <n v="8"/>
    <n v="70106"/>
    <x v="3692"/>
    <n v="4437"/>
    <n v="556411"/>
    <n v="97655.842050000007"/>
    <x v="1"/>
    <x v="5"/>
  </r>
  <r>
    <n v="13715"/>
    <d v="2024-10-30T00:00:00"/>
    <x v="3"/>
    <x v="3"/>
    <x v="0"/>
    <x v="2"/>
    <n v="6"/>
    <n v="58475"/>
    <x v="3693"/>
    <n v="1096"/>
    <n v="349754"/>
    <n v="82539.973050000001"/>
    <x v="0"/>
    <x v="8"/>
  </r>
  <r>
    <n v="13716"/>
    <d v="2025-06-23T00:00:00"/>
    <x v="1"/>
    <x v="2"/>
    <x v="0"/>
    <x v="0"/>
    <n v="7"/>
    <n v="62201"/>
    <x v="3694"/>
    <n v="859"/>
    <n v="434548"/>
    <n v="74370.088810000001"/>
    <x v="1"/>
    <x v="11"/>
  </r>
  <r>
    <n v="13717"/>
    <d v="2025-07-06T00:00:00"/>
    <x v="0"/>
    <x v="4"/>
    <x v="2"/>
    <x v="1"/>
    <n v="3"/>
    <n v="32957"/>
    <x v="3695"/>
    <n v="301"/>
    <n v="98570"/>
    <n v="11964.60677"/>
    <x v="1"/>
    <x v="10"/>
  </r>
  <r>
    <n v="13718"/>
    <d v="2024-12-20T00:00:00"/>
    <x v="1"/>
    <x v="4"/>
    <x v="0"/>
    <x v="1"/>
    <n v="6"/>
    <n v="61243"/>
    <x v="3696"/>
    <n v="2019"/>
    <n v="365439"/>
    <n v="52401.698640000002"/>
    <x v="0"/>
    <x v="3"/>
  </r>
  <r>
    <n v="13719"/>
    <d v="2024-10-29T00:00:00"/>
    <x v="2"/>
    <x v="4"/>
    <x v="1"/>
    <x v="3"/>
    <n v="9"/>
    <n v="78752"/>
    <x v="3697"/>
    <n v="880"/>
    <n v="707888"/>
    <n v="142164.655"/>
    <x v="0"/>
    <x v="8"/>
  </r>
  <r>
    <n v="13720"/>
    <d v="2025-05-10T00:00:00"/>
    <x v="0"/>
    <x v="3"/>
    <x v="0"/>
    <x v="1"/>
    <n v="3"/>
    <n v="38993"/>
    <x v="3698"/>
    <n v="2281"/>
    <n v="114698"/>
    <n v="13398.71888"/>
    <x v="1"/>
    <x v="5"/>
  </r>
  <r>
    <n v="13721"/>
    <d v="2025-10-19T00:00:00"/>
    <x v="4"/>
    <x v="1"/>
    <x v="2"/>
    <x v="1"/>
    <n v="6"/>
    <n v="39016"/>
    <x v="3699"/>
    <n v="4161"/>
    <n v="229935"/>
    <n v="30986.365989999998"/>
    <x v="1"/>
    <x v="8"/>
  </r>
  <r>
    <n v="13722"/>
    <d v="2024-08-14T00:00:00"/>
    <x v="4"/>
    <x v="3"/>
    <x v="0"/>
    <x v="2"/>
    <n v="7"/>
    <n v="30354"/>
    <x v="3700"/>
    <n v="229"/>
    <n v="212249"/>
    <n v="52927.804730000003"/>
    <x v="0"/>
    <x v="6"/>
  </r>
  <r>
    <n v="13723"/>
    <d v="2024-08-23T00:00:00"/>
    <x v="3"/>
    <x v="4"/>
    <x v="1"/>
    <x v="2"/>
    <n v="5"/>
    <n v="53637"/>
    <x v="3701"/>
    <n v="921"/>
    <n v="267264"/>
    <n v="26948.278730000002"/>
    <x v="0"/>
    <x v="6"/>
  </r>
  <r>
    <n v="13724"/>
    <d v="2025-03-30T00:00:00"/>
    <x v="3"/>
    <x v="3"/>
    <x v="2"/>
    <x v="3"/>
    <n v="8"/>
    <n v="9848"/>
    <x v="3702"/>
    <n v="1832"/>
    <n v="76952"/>
    <n v="9451.8215479999999"/>
    <x v="1"/>
    <x v="1"/>
  </r>
  <r>
    <n v="13725"/>
    <d v="2024-01-13T00:00:00"/>
    <x v="2"/>
    <x v="4"/>
    <x v="0"/>
    <x v="3"/>
    <n v="8"/>
    <n v="47673"/>
    <x v="3703"/>
    <n v="50"/>
    <n v="381334"/>
    <n v="86392.314490000004"/>
    <x v="0"/>
    <x v="4"/>
  </r>
  <r>
    <n v="13726"/>
    <d v="2024-07-28T00:00:00"/>
    <x v="4"/>
    <x v="0"/>
    <x v="1"/>
    <x v="3"/>
    <n v="6"/>
    <n v="16783"/>
    <x v="3704"/>
    <n v="3678"/>
    <n v="97020"/>
    <n v="11177.41258"/>
    <x v="0"/>
    <x v="10"/>
  </r>
  <r>
    <n v="13727"/>
    <d v="2025-01-31T00:00:00"/>
    <x v="4"/>
    <x v="0"/>
    <x v="2"/>
    <x v="3"/>
    <n v="7"/>
    <n v="69694"/>
    <x v="3705"/>
    <n v="4482"/>
    <n v="483376"/>
    <n v="50776.788209999999"/>
    <x v="1"/>
    <x v="4"/>
  </r>
  <r>
    <n v="13728"/>
    <d v="2024-04-09T00:00:00"/>
    <x v="4"/>
    <x v="2"/>
    <x v="2"/>
    <x v="2"/>
    <n v="3"/>
    <n v="66865"/>
    <x v="3706"/>
    <n v="3781"/>
    <n v="196814"/>
    <n v="23262.793969999999"/>
    <x v="0"/>
    <x v="0"/>
  </r>
  <r>
    <n v="13729"/>
    <d v="2024-01-31T00:00:00"/>
    <x v="4"/>
    <x v="1"/>
    <x v="1"/>
    <x v="3"/>
    <n v="7"/>
    <n v="58907"/>
    <x v="3707"/>
    <n v="752"/>
    <n v="411597"/>
    <n v="83982.078309999997"/>
    <x v="0"/>
    <x v="4"/>
  </r>
  <r>
    <n v="13730"/>
    <d v="2025-06-11T00:00:00"/>
    <x v="1"/>
    <x v="0"/>
    <x v="0"/>
    <x v="3"/>
    <n v="7"/>
    <n v="55669"/>
    <x v="3708"/>
    <n v="1478"/>
    <n v="388205"/>
    <n v="96650.071100000001"/>
    <x v="1"/>
    <x v="11"/>
  </r>
  <r>
    <n v="13731"/>
    <d v="2025-10-10T00:00:00"/>
    <x v="0"/>
    <x v="4"/>
    <x v="0"/>
    <x v="1"/>
    <n v="4"/>
    <n v="15924"/>
    <x v="3709"/>
    <n v="2088"/>
    <n v="61608"/>
    <n v="11618.981390000001"/>
    <x v="1"/>
    <x v="8"/>
  </r>
  <r>
    <n v="13732"/>
    <d v="2024-11-24T00:00:00"/>
    <x v="0"/>
    <x v="3"/>
    <x v="0"/>
    <x v="3"/>
    <n v="4"/>
    <n v="75178"/>
    <x v="3710"/>
    <n v="2993"/>
    <n v="297719"/>
    <n v="35323.597300000001"/>
    <x v="0"/>
    <x v="7"/>
  </r>
  <r>
    <n v="13733"/>
    <d v="2024-06-14T00:00:00"/>
    <x v="2"/>
    <x v="3"/>
    <x v="2"/>
    <x v="0"/>
    <n v="3"/>
    <n v="75732"/>
    <x v="3711"/>
    <n v="3795"/>
    <n v="223401"/>
    <n v="28498.554179999999"/>
    <x v="0"/>
    <x v="11"/>
  </r>
  <r>
    <n v="13734"/>
    <d v="2025-04-03T00:00:00"/>
    <x v="1"/>
    <x v="2"/>
    <x v="2"/>
    <x v="1"/>
    <n v="7"/>
    <n v="25152"/>
    <x v="3712"/>
    <n v="3340"/>
    <n v="172724"/>
    <n v="31202.988089999999"/>
    <x v="1"/>
    <x v="0"/>
  </r>
  <r>
    <n v="13735"/>
    <d v="2024-04-09T00:00:00"/>
    <x v="4"/>
    <x v="3"/>
    <x v="0"/>
    <x v="2"/>
    <n v="5"/>
    <n v="13072"/>
    <x v="3713"/>
    <n v="2343"/>
    <n v="63017"/>
    <n v="13066.4948"/>
    <x v="0"/>
    <x v="0"/>
  </r>
  <r>
    <n v="13736"/>
    <d v="2025-09-12T00:00:00"/>
    <x v="4"/>
    <x v="0"/>
    <x v="2"/>
    <x v="0"/>
    <n v="3"/>
    <n v="49687"/>
    <x v="3714"/>
    <n v="1238"/>
    <n v="147823"/>
    <n v="29481.350139999999"/>
    <x v="1"/>
    <x v="2"/>
  </r>
  <r>
    <n v="13737"/>
    <d v="2024-06-21T00:00:00"/>
    <x v="3"/>
    <x v="3"/>
    <x v="2"/>
    <x v="3"/>
    <n v="6"/>
    <n v="26942"/>
    <x v="3715"/>
    <n v="4520"/>
    <n v="157132"/>
    <n v="29259.388620000002"/>
    <x v="0"/>
    <x v="11"/>
  </r>
  <r>
    <n v="13738"/>
    <d v="2024-06-10T00:00:00"/>
    <x v="3"/>
    <x v="0"/>
    <x v="1"/>
    <x v="1"/>
    <n v="6"/>
    <n v="52417"/>
    <x v="3716"/>
    <n v="2236"/>
    <n v="312266"/>
    <n v="77423.377670000002"/>
    <x v="0"/>
    <x v="11"/>
  </r>
  <r>
    <n v="13739"/>
    <d v="2025-12-28T00:00:00"/>
    <x v="2"/>
    <x v="0"/>
    <x v="0"/>
    <x v="3"/>
    <n v="6"/>
    <n v="66259"/>
    <x v="3717"/>
    <n v="4256"/>
    <n v="393298"/>
    <n v="51012.753479999999"/>
    <x v="1"/>
    <x v="3"/>
  </r>
  <r>
    <n v="13740"/>
    <d v="2024-09-19T00:00:00"/>
    <x v="4"/>
    <x v="1"/>
    <x v="0"/>
    <x v="1"/>
    <n v="2"/>
    <n v="10490"/>
    <x v="3718"/>
    <n v="2428"/>
    <n v="18552"/>
    <n v="2336.3572260000001"/>
    <x v="0"/>
    <x v="2"/>
  </r>
  <r>
    <n v="13741"/>
    <d v="2024-09-30T00:00:00"/>
    <x v="2"/>
    <x v="2"/>
    <x v="0"/>
    <x v="3"/>
    <n v="7"/>
    <n v="26719"/>
    <x v="3719"/>
    <n v="4339"/>
    <n v="182694"/>
    <n v="41811.19932"/>
    <x v="0"/>
    <x v="2"/>
  </r>
  <r>
    <n v="13742"/>
    <d v="2024-01-03T00:00:00"/>
    <x v="1"/>
    <x v="4"/>
    <x v="2"/>
    <x v="0"/>
    <n v="7"/>
    <n v="54200"/>
    <x v="3720"/>
    <n v="182"/>
    <n v="379218"/>
    <n v="54464.52519"/>
    <x v="0"/>
    <x v="4"/>
  </r>
  <r>
    <n v="13743"/>
    <d v="2024-01-28T00:00:00"/>
    <x v="0"/>
    <x v="0"/>
    <x v="2"/>
    <x v="2"/>
    <n v="4"/>
    <n v="43684"/>
    <x v="3721"/>
    <n v="543"/>
    <n v="174193"/>
    <n v="26107.86508"/>
    <x v="0"/>
    <x v="4"/>
  </r>
  <r>
    <n v="13744"/>
    <d v="2024-11-21T00:00:00"/>
    <x v="4"/>
    <x v="2"/>
    <x v="2"/>
    <x v="0"/>
    <n v="6"/>
    <n v="23894"/>
    <x v="3722"/>
    <n v="2826"/>
    <n v="140538"/>
    <n v="25620.108459999999"/>
    <x v="0"/>
    <x v="7"/>
  </r>
  <r>
    <n v="13745"/>
    <d v="2024-05-28T00:00:00"/>
    <x v="1"/>
    <x v="4"/>
    <x v="0"/>
    <x v="0"/>
    <n v="4"/>
    <n v="35837"/>
    <x v="3723"/>
    <n v="92"/>
    <n v="143256"/>
    <n v="22518.5854"/>
    <x v="0"/>
    <x v="5"/>
  </r>
  <r>
    <n v="13746"/>
    <d v="2025-06-23T00:00:00"/>
    <x v="4"/>
    <x v="3"/>
    <x v="2"/>
    <x v="2"/>
    <n v="4"/>
    <n v="57812"/>
    <x v="3724"/>
    <n v="2415"/>
    <n v="228833"/>
    <n v="32756.543440000001"/>
    <x v="1"/>
    <x v="11"/>
  </r>
  <r>
    <n v="13747"/>
    <d v="2025-05-02T00:00:00"/>
    <x v="3"/>
    <x v="2"/>
    <x v="0"/>
    <x v="1"/>
    <n v="6"/>
    <n v="72282"/>
    <x v="3725"/>
    <n v="4254"/>
    <n v="429438"/>
    <n v="102024.2865"/>
    <x v="1"/>
    <x v="5"/>
  </r>
  <r>
    <n v="13748"/>
    <d v="2025-03-13T00:00:00"/>
    <x v="2"/>
    <x v="2"/>
    <x v="2"/>
    <x v="1"/>
    <n v="9"/>
    <n v="78706"/>
    <x v="3726"/>
    <n v="2445"/>
    <n v="705909"/>
    <n v="84279.274560000005"/>
    <x v="1"/>
    <x v="1"/>
  </r>
  <r>
    <n v="13749"/>
    <d v="2024-03-05T00:00:00"/>
    <x v="3"/>
    <x v="2"/>
    <x v="0"/>
    <x v="2"/>
    <n v="7"/>
    <n v="61132"/>
    <x v="3727"/>
    <n v="4533"/>
    <n v="423391"/>
    <n v="68014.998349999994"/>
    <x v="0"/>
    <x v="1"/>
  </r>
  <r>
    <n v="13750"/>
    <d v="2024-12-21T00:00:00"/>
    <x v="0"/>
    <x v="3"/>
    <x v="1"/>
    <x v="3"/>
    <n v="2"/>
    <n v="65161"/>
    <x v="3728"/>
    <n v="4401"/>
    <n v="125921"/>
    <n v="12648.142250000001"/>
    <x v="0"/>
    <x v="3"/>
  </r>
  <r>
    <n v="13751"/>
    <d v="2025-06-16T00:00:00"/>
    <x v="3"/>
    <x v="3"/>
    <x v="2"/>
    <x v="1"/>
    <n v="6"/>
    <n v="24104"/>
    <x v="3729"/>
    <n v="3032"/>
    <n v="141592"/>
    <n v="31308.54679"/>
    <x v="1"/>
    <x v="11"/>
  </r>
  <r>
    <n v="13752"/>
    <d v="2024-09-08T00:00:00"/>
    <x v="4"/>
    <x v="2"/>
    <x v="0"/>
    <x v="0"/>
    <n v="5"/>
    <n v="20140"/>
    <x v="3730"/>
    <n v="1973"/>
    <n v="98727"/>
    <n v="12366.823109999999"/>
    <x v="0"/>
    <x v="2"/>
  </r>
  <r>
    <n v="13753"/>
    <d v="2024-08-22T00:00:00"/>
    <x v="3"/>
    <x v="1"/>
    <x v="1"/>
    <x v="2"/>
    <n v="6"/>
    <n v="13152"/>
    <x v="3731"/>
    <n v="3289"/>
    <n v="75623"/>
    <n v="16330.67338"/>
    <x v="0"/>
    <x v="6"/>
  </r>
  <r>
    <n v="13754"/>
    <d v="2024-08-14T00:00:00"/>
    <x v="4"/>
    <x v="0"/>
    <x v="1"/>
    <x v="0"/>
    <n v="8"/>
    <n v="53486"/>
    <x v="3732"/>
    <n v="2376"/>
    <n v="425512"/>
    <n v="52036.061269999998"/>
    <x v="0"/>
    <x v="6"/>
  </r>
  <r>
    <n v="13755"/>
    <d v="2025-06-08T00:00:00"/>
    <x v="0"/>
    <x v="3"/>
    <x v="2"/>
    <x v="1"/>
    <n v="8"/>
    <n v="43147"/>
    <x v="3733"/>
    <n v="4438"/>
    <n v="340738"/>
    <n v="55373.61421"/>
    <x v="1"/>
    <x v="11"/>
  </r>
  <r>
    <n v="13756"/>
    <d v="2024-11-08T00:00:00"/>
    <x v="3"/>
    <x v="1"/>
    <x v="0"/>
    <x v="2"/>
    <n v="3"/>
    <n v="13666"/>
    <x v="3734"/>
    <n v="3234"/>
    <n v="37764"/>
    <n v="7901.2764029999998"/>
    <x v="0"/>
    <x v="7"/>
  </r>
  <r>
    <n v="13757"/>
    <d v="2024-02-18T00:00:00"/>
    <x v="2"/>
    <x v="3"/>
    <x v="2"/>
    <x v="2"/>
    <n v="9"/>
    <n v="39726"/>
    <x v="3735"/>
    <n v="1133"/>
    <n v="356401"/>
    <n v="50117.579239999999"/>
    <x v="0"/>
    <x v="9"/>
  </r>
  <r>
    <n v="13758"/>
    <d v="2024-04-27T00:00:00"/>
    <x v="2"/>
    <x v="2"/>
    <x v="1"/>
    <x v="1"/>
    <n v="6"/>
    <n v="53689"/>
    <x v="3736"/>
    <n v="3638"/>
    <n v="318496"/>
    <n v="46846.802329999999"/>
    <x v="0"/>
    <x v="0"/>
  </r>
  <r>
    <n v="13759"/>
    <d v="2024-02-23T00:00:00"/>
    <x v="2"/>
    <x v="1"/>
    <x v="2"/>
    <x v="1"/>
    <n v="7"/>
    <n v="51116"/>
    <x v="3737"/>
    <n v="2397"/>
    <n v="355415"/>
    <n v="71117.963669999997"/>
    <x v="0"/>
    <x v="9"/>
  </r>
  <r>
    <n v="13760"/>
    <d v="2025-10-11T00:00:00"/>
    <x v="3"/>
    <x v="4"/>
    <x v="0"/>
    <x v="2"/>
    <n v="9"/>
    <n v="76420"/>
    <x v="3738"/>
    <n v="2773"/>
    <n v="685007"/>
    <n v="87787.173150000002"/>
    <x v="1"/>
    <x v="8"/>
  </r>
  <r>
    <n v="13761"/>
    <d v="2025-07-18T00:00:00"/>
    <x v="3"/>
    <x v="0"/>
    <x v="1"/>
    <x v="3"/>
    <n v="7"/>
    <n v="8820"/>
    <x v="3739"/>
    <n v="4460"/>
    <n v="57280"/>
    <n v="13905.73142"/>
    <x v="1"/>
    <x v="10"/>
  </r>
  <r>
    <n v="13762"/>
    <d v="2024-02-13T00:00:00"/>
    <x v="3"/>
    <x v="0"/>
    <x v="2"/>
    <x v="2"/>
    <n v="9"/>
    <n v="9322"/>
    <x v="3740"/>
    <n v="1920"/>
    <n v="81978"/>
    <n v="10519.265520000001"/>
    <x v="0"/>
    <x v="9"/>
  </r>
  <r>
    <n v="13763"/>
    <d v="2024-02-22T00:00:00"/>
    <x v="4"/>
    <x v="3"/>
    <x v="2"/>
    <x v="3"/>
    <n v="1"/>
    <n v="43235"/>
    <x v="3741"/>
    <n v="2062"/>
    <n v="41173"/>
    <n v="8749.2344639999992"/>
    <x v="0"/>
    <x v="9"/>
  </r>
  <r>
    <n v="13764"/>
    <d v="2025-08-08T00:00:00"/>
    <x v="0"/>
    <x v="0"/>
    <x v="2"/>
    <x v="0"/>
    <n v="1"/>
    <n v="64961"/>
    <x v="3742"/>
    <n v="2200"/>
    <n v="62761"/>
    <n v="13831.88615"/>
    <x v="1"/>
    <x v="6"/>
  </r>
  <r>
    <n v="13765"/>
    <d v="2025-07-11T00:00:00"/>
    <x v="2"/>
    <x v="4"/>
    <x v="2"/>
    <x v="3"/>
    <n v="3"/>
    <n v="55356"/>
    <x v="3743"/>
    <n v="4627"/>
    <n v="161441"/>
    <n v="25209.91072"/>
    <x v="1"/>
    <x v="10"/>
  </r>
  <r>
    <n v="13766"/>
    <d v="2025-06-08T00:00:00"/>
    <x v="4"/>
    <x v="1"/>
    <x v="2"/>
    <x v="3"/>
    <n v="9"/>
    <n v="29923"/>
    <x v="3744"/>
    <n v="3014"/>
    <n v="266293"/>
    <n v="32870.108419999997"/>
    <x v="1"/>
    <x v="11"/>
  </r>
  <r>
    <n v="13767"/>
    <d v="2025-11-07T00:00:00"/>
    <x v="2"/>
    <x v="1"/>
    <x v="1"/>
    <x v="1"/>
    <n v="1"/>
    <n v="38750"/>
    <x v="3745"/>
    <n v="3471"/>
    <n v="35279"/>
    <n v="4405.8365210000002"/>
    <x v="1"/>
    <x v="7"/>
  </r>
  <r>
    <n v="13768"/>
    <d v="2024-04-11T00:00:00"/>
    <x v="4"/>
    <x v="2"/>
    <x v="1"/>
    <x v="2"/>
    <n v="1"/>
    <n v="26983"/>
    <x v="3746"/>
    <n v="4950"/>
    <n v="22033"/>
    <n v="5460.1641810000001"/>
    <x v="0"/>
    <x v="0"/>
  </r>
  <r>
    <n v="13769"/>
    <d v="2025-02-01T00:00:00"/>
    <x v="3"/>
    <x v="1"/>
    <x v="0"/>
    <x v="0"/>
    <n v="5"/>
    <n v="10905"/>
    <x v="3747"/>
    <n v="468"/>
    <n v="54057"/>
    <n v="11287.722739999999"/>
    <x v="1"/>
    <x v="9"/>
  </r>
  <r>
    <n v="13770"/>
    <d v="2024-05-17T00:00:00"/>
    <x v="2"/>
    <x v="3"/>
    <x v="2"/>
    <x v="2"/>
    <n v="8"/>
    <n v="60483"/>
    <x v="3748"/>
    <n v="1344"/>
    <n v="482520"/>
    <n v="80825.533370000005"/>
    <x v="0"/>
    <x v="5"/>
  </r>
  <r>
    <n v="13771"/>
    <d v="2025-11-05T00:00:00"/>
    <x v="3"/>
    <x v="4"/>
    <x v="0"/>
    <x v="3"/>
    <n v="2"/>
    <n v="30028"/>
    <x v="3749"/>
    <n v="878"/>
    <n v="59178"/>
    <n v="8202.2168729999994"/>
    <x v="1"/>
    <x v="7"/>
  </r>
  <r>
    <n v="13772"/>
    <d v="2025-01-21T00:00:00"/>
    <x v="2"/>
    <x v="2"/>
    <x v="1"/>
    <x v="3"/>
    <n v="4"/>
    <n v="74609"/>
    <x v="3750"/>
    <n v="4462"/>
    <n v="293974"/>
    <n v="30231.26266"/>
    <x v="1"/>
    <x v="4"/>
  </r>
  <r>
    <n v="13773"/>
    <d v="2024-04-20T00:00:00"/>
    <x v="1"/>
    <x v="3"/>
    <x v="2"/>
    <x v="3"/>
    <n v="6"/>
    <n v="57046"/>
    <x v="3751"/>
    <n v="3909"/>
    <n v="338367"/>
    <n v="67866.126569999993"/>
    <x v="0"/>
    <x v="0"/>
  </r>
  <r>
    <n v="13774"/>
    <d v="2025-09-05T00:00:00"/>
    <x v="4"/>
    <x v="3"/>
    <x v="0"/>
    <x v="2"/>
    <n v="1"/>
    <n v="7234"/>
    <x v="3752"/>
    <n v="3807"/>
    <n v="3427"/>
    <n v="834.60284799999999"/>
    <x v="1"/>
    <x v="2"/>
  </r>
  <r>
    <n v="13775"/>
    <d v="2024-01-17T00:00:00"/>
    <x v="1"/>
    <x v="3"/>
    <x v="2"/>
    <x v="3"/>
    <n v="4"/>
    <n v="78167"/>
    <x v="3753"/>
    <n v="4736"/>
    <n v="307932"/>
    <n v="35728.2664"/>
    <x v="0"/>
    <x v="4"/>
  </r>
  <r>
    <n v="13776"/>
    <d v="2024-06-30T00:00:00"/>
    <x v="4"/>
    <x v="0"/>
    <x v="2"/>
    <x v="2"/>
    <n v="4"/>
    <n v="60011"/>
    <x v="3754"/>
    <n v="4957"/>
    <n v="235087"/>
    <n v="50114.362569999998"/>
    <x v="0"/>
    <x v="11"/>
  </r>
  <r>
    <n v="13777"/>
    <d v="2025-06-19T00:00:00"/>
    <x v="0"/>
    <x v="3"/>
    <x v="0"/>
    <x v="0"/>
    <n v="9"/>
    <n v="17061"/>
    <x v="3755"/>
    <n v="2941"/>
    <n v="150608"/>
    <n v="18522.605169999999"/>
    <x v="1"/>
    <x v="11"/>
  </r>
  <r>
    <n v="13778"/>
    <d v="2025-06-24T00:00:00"/>
    <x v="2"/>
    <x v="0"/>
    <x v="1"/>
    <x v="0"/>
    <n v="9"/>
    <n v="54253"/>
    <x v="3756"/>
    <n v="3345"/>
    <n v="484932"/>
    <n v="106110.7726"/>
    <x v="1"/>
    <x v="11"/>
  </r>
  <r>
    <n v="13779"/>
    <d v="2024-06-19T00:00:00"/>
    <x v="0"/>
    <x v="1"/>
    <x v="0"/>
    <x v="2"/>
    <n v="6"/>
    <n v="49667"/>
    <x v="3757"/>
    <n v="588"/>
    <n v="297414"/>
    <n v="46273.432820000002"/>
    <x v="0"/>
    <x v="11"/>
  </r>
  <r>
    <n v="13780"/>
    <d v="2025-02-12T00:00:00"/>
    <x v="0"/>
    <x v="0"/>
    <x v="0"/>
    <x v="0"/>
    <n v="8"/>
    <n v="63796"/>
    <x v="3758"/>
    <n v="3883"/>
    <n v="506485"/>
    <n v="104745.77619999999"/>
    <x v="1"/>
    <x v="9"/>
  </r>
  <r>
    <n v="13781"/>
    <d v="2025-01-12T00:00:00"/>
    <x v="4"/>
    <x v="3"/>
    <x v="0"/>
    <x v="1"/>
    <n v="4"/>
    <n v="69065"/>
    <x v="3759"/>
    <n v="1329"/>
    <n v="274931"/>
    <n v="65692.662160000007"/>
    <x v="1"/>
    <x v="4"/>
  </r>
  <r>
    <n v="13782"/>
    <d v="2024-07-06T00:00:00"/>
    <x v="1"/>
    <x v="4"/>
    <x v="2"/>
    <x v="3"/>
    <n v="8"/>
    <n v="35638"/>
    <x v="3760"/>
    <n v="91"/>
    <n v="285013"/>
    <n v="55013.459849999999"/>
    <x v="0"/>
    <x v="10"/>
  </r>
  <r>
    <n v="13783"/>
    <d v="2024-08-17T00:00:00"/>
    <x v="3"/>
    <x v="4"/>
    <x v="1"/>
    <x v="3"/>
    <n v="3"/>
    <n v="28884"/>
    <x v="3761"/>
    <n v="457"/>
    <n v="86195"/>
    <n v="20523.44786"/>
    <x v="0"/>
    <x v="6"/>
  </r>
  <r>
    <n v="13784"/>
    <d v="2024-04-28T00:00:00"/>
    <x v="4"/>
    <x v="1"/>
    <x v="1"/>
    <x v="3"/>
    <n v="2"/>
    <n v="35697"/>
    <x v="3762"/>
    <n v="3341"/>
    <n v="68053"/>
    <n v="9204.4170780000004"/>
    <x v="0"/>
    <x v="0"/>
  </r>
  <r>
    <n v="13785"/>
    <d v="2024-06-04T00:00:00"/>
    <x v="3"/>
    <x v="3"/>
    <x v="2"/>
    <x v="1"/>
    <n v="6"/>
    <n v="12114"/>
    <x v="3763"/>
    <n v="1884"/>
    <n v="70800"/>
    <n v="17467.781060000001"/>
    <x v="0"/>
    <x v="11"/>
  </r>
  <r>
    <n v="13786"/>
    <d v="2025-11-17T00:00:00"/>
    <x v="0"/>
    <x v="0"/>
    <x v="1"/>
    <x v="3"/>
    <n v="5"/>
    <n v="35550"/>
    <x v="3764"/>
    <n v="3121"/>
    <n v="174629"/>
    <n v="40326.587890000003"/>
    <x v="1"/>
    <x v="7"/>
  </r>
  <r>
    <n v="13787"/>
    <d v="2025-04-09T00:00:00"/>
    <x v="3"/>
    <x v="4"/>
    <x v="0"/>
    <x v="2"/>
    <n v="8"/>
    <n v="12469"/>
    <x v="3765"/>
    <n v="2039"/>
    <n v="97713"/>
    <n v="11347.99698"/>
    <x v="1"/>
    <x v="0"/>
  </r>
  <r>
    <n v="13788"/>
    <d v="2024-04-13T00:00:00"/>
    <x v="1"/>
    <x v="2"/>
    <x v="1"/>
    <x v="3"/>
    <n v="1"/>
    <n v="52771"/>
    <x v="3766"/>
    <n v="1403"/>
    <n v="51368"/>
    <n v="8323.2064389999996"/>
    <x v="0"/>
    <x v="0"/>
  </r>
  <r>
    <n v="13789"/>
    <d v="2025-08-26T00:00:00"/>
    <x v="4"/>
    <x v="3"/>
    <x v="2"/>
    <x v="2"/>
    <n v="3"/>
    <n v="11492"/>
    <x v="3767"/>
    <n v="3703"/>
    <n v="30773"/>
    <n v="7356.4219320000002"/>
    <x v="1"/>
    <x v="6"/>
  </r>
  <r>
    <n v="13790"/>
    <d v="2025-11-28T00:00:00"/>
    <x v="1"/>
    <x v="3"/>
    <x v="1"/>
    <x v="0"/>
    <n v="7"/>
    <n v="6971"/>
    <x v="3768"/>
    <n v="4482"/>
    <n v="44315"/>
    <n v="4950.7523590000001"/>
    <x v="1"/>
    <x v="7"/>
  </r>
  <r>
    <n v="13791"/>
    <d v="2025-05-16T00:00:00"/>
    <x v="1"/>
    <x v="2"/>
    <x v="2"/>
    <x v="2"/>
    <n v="4"/>
    <n v="51350"/>
    <x v="3769"/>
    <n v="1981"/>
    <n v="203419"/>
    <n v="34187.495110000003"/>
    <x v="1"/>
    <x v="5"/>
  </r>
  <r>
    <n v="13792"/>
    <d v="2025-11-23T00:00:00"/>
    <x v="4"/>
    <x v="4"/>
    <x v="0"/>
    <x v="2"/>
    <n v="5"/>
    <n v="14644"/>
    <x v="3770"/>
    <n v="1792"/>
    <n v="71428"/>
    <n v="14895.52828"/>
    <x v="1"/>
    <x v="7"/>
  </r>
  <r>
    <n v="13793"/>
    <d v="2025-11-12T00:00:00"/>
    <x v="1"/>
    <x v="2"/>
    <x v="2"/>
    <x v="2"/>
    <n v="8"/>
    <n v="69194"/>
    <x v="3771"/>
    <n v="4466"/>
    <n v="549086"/>
    <n v="57663.417439999997"/>
    <x v="1"/>
    <x v="7"/>
  </r>
  <r>
    <n v="13794"/>
    <d v="2025-11-29T00:00:00"/>
    <x v="2"/>
    <x v="1"/>
    <x v="1"/>
    <x v="3"/>
    <n v="1"/>
    <n v="17534"/>
    <x v="3772"/>
    <n v="2231"/>
    <n v="15303"/>
    <n v="3258.3856989999999"/>
    <x v="1"/>
    <x v="7"/>
  </r>
  <r>
    <n v="13795"/>
    <d v="2024-06-23T00:00:00"/>
    <x v="2"/>
    <x v="0"/>
    <x v="0"/>
    <x v="1"/>
    <n v="1"/>
    <n v="17768"/>
    <x v="3773"/>
    <n v="771"/>
    <n v="16997"/>
    <n v="2620.6040320000002"/>
    <x v="0"/>
    <x v="11"/>
  </r>
  <r>
    <n v="13796"/>
    <d v="2025-11-04T00:00:00"/>
    <x v="2"/>
    <x v="0"/>
    <x v="1"/>
    <x v="1"/>
    <n v="7"/>
    <n v="27625"/>
    <x v="3774"/>
    <n v="204"/>
    <n v="193171"/>
    <n v="26542.81048"/>
    <x v="1"/>
    <x v="7"/>
  </r>
  <r>
    <n v="13797"/>
    <d v="2025-02-24T00:00:00"/>
    <x v="3"/>
    <x v="4"/>
    <x v="2"/>
    <x v="2"/>
    <n v="9"/>
    <n v="33660"/>
    <x v="3775"/>
    <n v="2219"/>
    <n v="300721"/>
    <n v="56053.142690000001"/>
    <x v="1"/>
    <x v="9"/>
  </r>
  <r>
    <n v="13798"/>
    <d v="2024-05-13T00:00:00"/>
    <x v="1"/>
    <x v="2"/>
    <x v="0"/>
    <x v="3"/>
    <n v="4"/>
    <n v="25032"/>
    <x v="3776"/>
    <n v="4920"/>
    <n v="95208"/>
    <n v="17294.502970000001"/>
    <x v="0"/>
    <x v="5"/>
  </r>
  <r>
    <n v="13799"/>
    <d v="2025-01-25T00:00:00"/>
    <x v="4"/>
    <x v="3"/>
    <x v="2"/>
    <x v="1"/>
    <n v="8"/>
    <n v="69935"/>
    <x v="3777"/>
    <n v="221"/>
    <n v="559259"/>
    <n v="129239.6617"/>
    <x v="1"/>
    <x v="4"/>
  </r>
  <r>
    <n v="13800"/>
    <d v="2025-05-15T00:00:00"/>
    <x v="4"/>
    <x v="3"/>
    <x v="1"/>
    <x v="0"/>
    <n v="7"/>
    <n v="42892"/>
    <x v="3778"/>
    <n v="1191"/>
    <n v="299053"/>
    <n v="60229.405890000002"/>
    <x v="1"/>
    <x v="5"/>
  </r>
  <r>
    <n v="13801"/>
    <d v="2025-10-26T00:00:00"/>
    <x v="3"/>
    <x v="3"/>
    <x v="2"/>
    <x v="0"/>
    <n v="2"/>
    <n v="79186"/>
    <x v="3779"/>
    <n v="3315"/>
    <n v="155057"/>
    <n v="25317.652890000001"/>
    <x v="1"/>
    <x v="8"/>
  </r>
  <r>
    <n v="13802"/>
    <d v="2024-02-02T00:00:00"/>
    <x v="4"/>
    <x v="1"/>
    <x v="1"/>
    <x v="3"/>
    <n v="5"/>
    <n v="73379"/>
    <x v="3780"/>
    <n v="3289"/>
    <n v="363606"/>
    <n v="71819.734110000005"/>
    <x v="0"/>
    <x v="9"/>
  </r>
  <r>
    <n v="13803"/>
    <d v="2024-02-24T00:00:00"/>
    <x v="2"/>
    <x v="1"/>
    <x v="1"/>
    <x v="0"/>
    <n v="9"/>
    <n v="29357"/>
    <x v="3781"/>
    <n v="1598"/>
    <n v="262615"/>
    <n v="55811.518940000002"/>
    <x v="0"/>
    <x v="9"/>
  </r>
  <r>
    <n v="13804"/>
    <d v="2025-06-02T00:00:00"/>
    <x v="1"/>
    <x v="3"/>
    <x v="0"/>
    <x v="0"/>
    <n v="9"/>
    <n v="5497"/>
    <x v="3782"/>
    <n v="1908"/>
    <n v="47565"/>
    <n v="11444.105089999999"/>
    <x v="1"/>
    <x v="11"/>
  </r>
  <r>
    <n v="13805"/>
    <d v="2025-09-29T00:00:00"/>
    <x v="4"/>
    <x v="4"/>
    <x v="0"/>
    <x v="0"/>
    <n v="3"/>
    <n v="7134"/>
    <x v="3783"/>
    <n v="4262"/>
    <n v="17140"/>
    <n v="3524.6565489999998"/>
    <x v="1"/>
    <x v="2"/>
  </r>
  <r>
    <n v="13806"/>
    <d v="2024-01-12T00:00:00"/>
    <x v="4"/>
    <x v="1"/>
    <x v="2"/>
    <x v="1"/>
    <n v="3"/>
    <n v="23833"/>
    <x v="3784"/>
    <n v="1542"/>
    <n v="69957"/>
    <n v="12702.85176"/>
    <x v="0"/>
    <x v="4"/>
  </r>
  <r>
    <n v="13807"/>
    <d v="2025-06-11T00:00:00"/>
    <x v="0"/>
    <x v="1"/>
    <x v="1"/>
    <x v="0"/>
    <n v="2"/>
    <n v="75948"/>
    <x v="3785"/>
    <n v="141"/>
    <n v="151755"/>
    <n v="23665.738870000001"/>
    <x v="1"/>
    <x v="11"/>
  </r>
  <r>
    <n v="13808"/>
    <d v="2025-12-20T00:00:00"/>
    <x v="0"/>
    <x v="0"/>
    <x v="1"/>
    <x v="2"/>
    <n v="7"/>
    <n v="37666"/>
    <x v="3786"/>
    <n v="89"/>
    <n v="263573"/>
    <n v="61602.952310000001"/>
    <x v="1"/>
    <x v="3"/>
  </r>
  <r>
    <n v="13809"/>
    <d v="2025-07-08T00:00:00"/>
    <x v="0"/>
    <x v="0"/>
    <x v="0"/>
    <x v="2"/>
    <n v="6"/>
    <n v="61600"/>
    <x v="3787"/>
    <n v="3985"/>
    <n v="365615"/>
    <n v="80025.059930000003"/>
    <x v="1"/>
    <x v="10"/>
  </r>
  <r>
    <n v="13810"/>
    <d v="2025-01-07T00:00:00"/>
    <x v="1"/>
    <x v="4"/>
    <x v="0"/>
    <x v="0"/>
    <n v="5"/>
    <n v="74828"/>
    <x v="3788"/>
    <n v="4406"/>
    <n v="369734"/>
    <n v="41253.880799999999"/>
    <x v="1"/>
    <x v="4"/>
  </r>
  <r>
    <n v="13811"/>
    <d v="2025-04-28T00:00:00"/>
    <x v="2"/>
    <x v="1"/>
    <x v="0"/>
    <x v="2"/>
    <n v="7"/>
    <n v="5026"/>
    <x v="3789"/>
    <n v="2263"/>
    <n v="32919"/>
    <n v="6746.1295389999996"/>
    <x v="1"/>
    <x v="0"/>
  </r>
  <r>
    <n v="13812"/>
    <d v="2025-10-08T00:00:00"/>
    <x v="2"/>
    <x v="1"/>
    <x v="0"/>
    <x v="1"/>
    <n v="4"/>
    <n v="17108"/>
    <x v="3790"/>
    <n v="3512"/>
    <n v="64920"/>
    <n v="11738.3434"/>
    <x v="1"/>
    <x v="8"/>
  </r>
  <r>
    <n v="13813"/>
    <d v="2024-08-15T00:00:00"/>
    <x v="2"/>
    <x v="2"/>
    <x v="2"/>
    <x v="3"/>
    <n v="5"/>
    <n v="19470"/>
    <x v="3791"/>
    <n v="3706"/>
    <n v="93644"/>
    <n v="10820.244780000001"/>
    <x v="0"/>
    <x v="6"/>
  </r>
  <r>
    <n v="13814"/>
    <d v="2025-09-14T00:00:00"/>
    <x v="1"/>
    <x v="4"/>
    <x v="2"/>
    <x v="2"/>
    <n v="9"/>
    <n v="34785"/>
    <x v="3792"/>
    <n v="1209"/>
    <n v="311856"/>
    <n v="57613.566220000001"/>
    <x v="1"/>
    <x v="2"/>
  </r>
  <r>
    <n v="13815"/>
    <d v="2024-11-02T00:00:00"/>
    <x v="1"/>
    <x v="4"/>
    <x v="2"/>
    <x v="0"/>
    <n v="9"/>
    <n v="7253"/>
    <x v="3793"/>
    <n v="4978"/>
    <n v="60299"/>
    <n v="7771.0872890000001"/>
    <x v="0"/>
    <x v="7"/>
  </r>
  <r>
    <n v="13816"/>
    <d v="2025-04-01T00:00:00"/>
    <x v="0"/>
    <x v="2"/>
    <x v="2"/>
    <x v="3"/>
    <n v="4"/>
    <n v="69538"/>
    <x v="3794"/>
    <n v="3224"/>
    <n v="274928"/>
    <n v="56696.128519999998"/>
    <x v="1"/>
    <x v="0"/>
  </r>
  <r>
    <n v="13817"/>
    <d v="2024-06-08T00:00:00"/>
    <x v="4"/>
    <x v="2"/>
    <x v="0"/>
    <x v="3"/>
    <n v="6"/>
    <n v="69889"/>
    <x v="3795"/>
    <n v="4856"/>
    <n v="414478"/>
    <n v="58760.212789999998"/>
    <x v="0"/>
    <x v="11"/>
  </r>
  <r>
    <n v="13818"/>
    <d v="2024-11-26T00:00:00"/>
    <x v="3"/>
    <x v="0"/>
    <x v="2"/>
    <x v="0"/>
    <n v="2"/>
    <n v="25026"/>
    <x v="3796"/>
    <n v="1359"/>
    <n v="48693"/>
    <n v="5967.4045740000001"/>
    <x v="0"/>
    <x v="7"/>
  </r>
  <r>
    <n v="13819"/>
    <d v="2024-08-12T00:00:00"/>
    <x v="3"/>
    <x v="4"/>
    <x v="2"/>
    <x v="2"/>
    <n v="3"/>
    <n v="57807"/>
    <x v="3797"/>
    <n v="1538"/>
    <n v="171883"/>
    <n v="19301.76268"/>
    <x v="0"/>
    <x v="6"/>
  </r>
  <r>
    <n v="13820"/>
    <d v="2025-12-29T00:00:00"/>
    <x v="4"/>
    <x v="4"/>
    <x v="2"/>
    <x v="1"/>
    <n v="9"/>
    <n v="67878"/>
    <x v="3798"/>
    <n v="148"/>
    <n v="610754"/>
    <n v="106039.0603"/>
    <x v="1"/>
    <x v="3"/>
  </r>
  <r>
    <n v="13821"/>
    <d v="2025-05-18T00:00:00"/>
    <x v="0"/>
    <x v="2"/>
    <x v="0"/>
    <x v="2"/>
    <n v="6"/>
    <n v="49258"/>
    <x v="3799"/>
    <n v="4810"/>
    <n v="290738"/>
    <n v="37780.012239999996"/>
    <x v="1"/>
    <x v="5"/>
  </r>
  <r>
    <n v="13822"/>
    <d v="2025-03-31T00:00:00"/>
    <x v="4"/>
    <x v="3"/>
    <x v="1"/>
    <x v="2"/>
    <n v="8"/>
    <n v="51147"/>
    <x v="3800"/>
    <n v="1425"/>
    <n v="407751"/>
    <n v="93076.984580000004"/>
    <x v="1"/>
    <x v="1"/>
  </r>
  <r>
    <n v="13823"/>
    <d v="2024-02-14T00:00:00"/>
    <x v="4"/>
    <x v="3"/>
    <x v="0"/>
    <x v="1"/>
    <n v="5"/>
    <n v="50417"/>
    <x v="3801"/>
    <n v="1717"/>
    <n v="250368"/>
    <n v="25149.507099999999"/>
    <x v="0"/>
    <x v="9"/>
  </r>
  <r>
    <n v="13824"/>
    <d v="2024-08-01T00:00:00"/>
    <x v="3"/>
    <x v="0"/>
    <x v="1"/>
    <x v="3"/>
    <n v="2"/>
    <n v="6086"/>
    <x v="3802"/>
    <n v="1354"/>
    <n v="10818"/>
    <n v="2450.7726640000001"/>
    <x v="0"/>
    <x v="6"/>
  </r>
  <r>
    <n v="13825"/>
    <d v="2024-02-28T00:00:00"/>
    <x v="0"/>
    <x v="3"/>
    <x v="1"/>
    <x v="1"/>
    <n v="7"/>
    <n v="29406"/>
    <x v="3803"/>
    <n v="2405"/>
    <n v="203437"/>
    <n v="36245.121370000001"/>
    <x v="0"/>
    <x v="9"/>
  </r>
  <r>
    <n v="13826"/>
    <d v="2025-10-05T00:00:00"/>
    <x v="1"/>
    <x v="3"/>
    <x v="2"/>
    <x v="1"/>
    <n v="6"/>
    <n v="77659"/>
    <x v="3804"/>
    <n v="2635"/>
    <n v="463319"/>
    <n v="110419.0327"/>
    <x v="1"/>
    <x v="8"/>
  </r>
  <r>
    <n v="13827"/>
    <d v="2025-09-07T00:00:00"/>
    <x v="3"/>
    <x v="3"/>
    <x v="2"/>
    <x v="0"/>
    <n v="2"/>
    <n v="12084"/>
    <x v="3805"/>
    <n v="2363"/>
    <n v="21805"/>
    <n v="2849.73227"/>
    <x v="1"/>
    <x v="2"/>
  </r>
  <r>
    <n v="13828"/>
    <d v="2024-07-13T00:00:00"/>
    <x v="1"/>
    <x v="1"/>
    <x v="2"/>
    <x v="0"/>
    <n v="6"/>
    <n v="58493"/>
    <x v="3806"/>
    <n v="2932"/>
    <n v="348026"/>
    <n v="40141.691160000002"/>
    <x v="0"/>
    <x v="10"/>
  </r>
  <r>
    <n v="13829"/>
    <d v="2025-05-03T00:00:00"/>
    <x v="0"/>
    <x v="0"/>
    <x v="0"/>
    <x v="2"/>
    <n v="8"/>
    <n v="27805"/>
    <x v="3807"/>
    <n v="3107"/>
    <n v="219333"/>
    <n v="42494.393839999997"/>
    <x v="1"/>
    <x v="5"/>
  </r>
  <r>
    <n v="13830"/>
    <d v="2024-06-05T00:00:00"/>
    <x v="4"/>
    <x v="2"/>
    <x v="0"/>
    <x v="0"/>
    <n v="1"/>
    <n v="66786"/>
    <x v="3808"/>
    <n v="1501"/>
    <n v="65285"/>
    <n v="13449.30494"/>
    <x v="0"/>
    <x v="11"/>
  </r>
  <r>
    <n v="13831"/>
    <d v="2025-09-01T00:00:00"/>
    <x v="2"/>
    <x v="3"/>
    <x v="2"/>
    <x v="1"/>
    <n v="4"/>
    <n v="19248"/>
    <x v="3809"/>
    <n v="1451"/>
    <n v="75541"/>
    <n v="11775.9172"/>
    <x v="1"/>
    <x v="2"/>
  </r>
  <r>
    <n v="13832"/>
    <d v="2024-08-13T00:00:00"/>
    <x v="2"/>
    <x v="1"/>
    <x v="0"/>
    <x v="1"/>
    <n v="1"/>
    <n v="75003"/>
    <x v="3810"/>
    <n v="449"/>
    <n v="74554"/>
    <n v="7608.3867490000002"/>
    <x v="0"/>
    <x v="6"/>
  </r>
  <r>
    <n v="13833"/>
    <d v="2025-02-15T00:00:00"/>
    <x v="0"/>
    <x v="3"/>
    <x v="0"/>
    <x v="0"/>
    <n v="2"/>
    <n v="30384"/>
    <x v="3811"/>
    <n v="1835"/>
    <n v="58933"/>
    <n v="9490.8277839999992"/>
    <x v="1"/>
    <x v="9"/>
  </r>
  <r>
    <n v="13834"/>
    <d v="2024-07-23T00:00:00"/>
    <x v="2"/>
    <x v="1"/>
    <x v="1"/>
    <x v="0"/>
    <n v="1"/>
    <n v="7896"/>
    <x v="3812"/>
    <n v="4185"/>
    <n v="3711"/>
    <n v="501.23749140000001"/>
    <x v="0"/>
    <x v="10"/>
  </r>
  <r>
    <n v="13835"/>
    <d v="2024-03-19T00:00:00"/>
    <x v="1"/>
    <x v="0"/>
    <x v="0"/>
    <x v="0"/>
    <n v="6"/>
    <n v="15362"/>
    <x v="3813"/>
    <n v="2588"/>
    <n v="89584"/>
    <n v="13627.55805"/>
    <x v="0"/>
    <x v="1"/>
  </r>
  <r>
    <n v="13836"/>
    <d v="2024-05-03T00:00:00"/>
    <x v="2"/>
    <x v="3"/>
    <x v="1"/>
    <x v="1"/>
    <n v="6"/>
    <n v="61032"/>
    <x v="3814"/>
    <n v="4271"/>
    <n v="361921"/>
    <n v="63702.862059999999"/>
    <x v="0"/>
    <x v="5"/>
  </r>
  <r>
    <n v="13837"/>
    <d v="2025-04-15T00:00:00"/>
    <x v="0"/>
    <x v="1"/>
    <x v="2"/>
    <x v="3"/>
    <n v="1"/>
    <n v="66022"/>
    <x v="3815"/>
    <n v="1443"/>
    <n v="64579"/>
    <n v="13261.37995"/>
    <x v="1"/>
    <x v="0"/>
  </r>
  <r>
    <n v="13838"/>
    <d v="2024-08-05T00:00:00"/>
    <x v="0"/>
    <x v="4"/>
    <x v="0"/>
    <x v="3"/>
    <n v="4"/>
    <n v="13937"/>
    <x v="3816"/>
    <n v="2948"/>
    <n v="52800"/>
    <n v="12908.744269999999"/>
    <x v="0"/>
    <x v="6"/>
  </r>
  <r>
    <n v="13839"/>
    <d v="2025-05-30T00:00:00"/>
    <x v="1"/>
    <x v="4"/>
    <x v="1"/>
    <x v="0"/>
    <n v="4"/>
    <n v="52391"/>
    <x v="3817"/>
    <n v="3935"/>
    <n v="205629"/>
    <n v="25004.481599999999"/>
    <x v="1"/>
    <x v="5"/>
  </r>
  <r>
    <n v="13840"/>
    <d v="2025-08-24T00:00:00"/>
    <x v="2"/>
    <x v="1"/>
    <x v="0"/>
    <x v="2"/>
    <n v="8"/>
    <n v="43696"/>
    <x v="3818"/>
    <n v="3709"/>
    <n v="345859"/>
    <n v="69858.300359999994"/>
    <x v="1"/>
    <x v="6"/>
  </r>
  <r>
    <n v="13841"/>
    <d v="2024-04-13T00:00:00"/>
    <x v="2"/>
    <x v="3"/>
    <x v="1"/>
    <x v="2"/>
    <n v="6"/>
    <n v="58954"/>
    <x v="3819"/>
    <n v="3242"/>
    <n v="350482"/>
    <n v="47308.662409999997"/>
    <x v="0"/>
    <x v="0"/>
  </r>
  <r>
    <n v="13842"/>
    <d v="2025-01-27T00:00:00"/>
    <x v="4"/>
    <x v="3"/>
    <x v="1"/>
    <x v="3"/>
    <n v="2"/>
    <n v="16226"/>
    <x v="3820"/>
    <n v="1289"/>
    <n v="31163"/>
    <n v="4147.9731019999999"/>
    <x v="1"/>
    <x v="4"/>
  </r>
  <r>
    <n v="13843"/>
    <d v="2025-09-22T00:00:00"/>
    <x v="3"/>
    <x v="0"/>
    <x v="0"/>
    <x v="0"/>
    <n v="5"/>
    <n v="21858"/>
    <x v="3821"/>
    <n v="503"/>
    <n v="108787"/>
    <n v="21217.067149999999"/>
    <x v="1"/>
    <x v="2"/>
  </r>
  <r>
    <n v="13844"/>
    <d v="2025-10-06T00:00:00"/>
    <x v="0"/>
    <x v="0"/>
    <x v="2"/>
    <x v="1"/>
    <n v="4"/>
    <n v="61848"/>
    <x v="3822"/>
    <n v="3097"/>
    <n v="244295"/>
    <n v="52865.420460000001"/>
    <x v="1"/>
    <x v="8"/>
  </r>
  <r>
    <n v="13845"/>
    <d v="2025-08-30T00:00:00"/>
    <x v="4"/>
    <x v="2"/>
    <x v="1"/>
    <x v="2"/>
    <n v="4"/>
    <n v="44300"/>
    <x v="3823"/>
    <n v="2147"/>
    <n v="175053"/>
    <n v="43179.983269999997"/>
    <x v="1"/>
    <x v="6"/>
  </r>
  <r>
    <n v="13846"/>
    <d v="2025-03-09T00:00:00"/>
    <x v="0"/>
    <x v="0"/>
    <x v="2"/>
    <x v="2"/>
    <n v="8"/>
    <n v="46470"/>
    <x v="3824"/>
    <n v="1465"/>
    <n v="370295"/>
    <n v="79733.630730000004"/>
    <x v="1"/>
    <x v="1"/>
  </r>
  <r>
    <n v="13847"/>
    <d v="2024-11-26T00:00:00"/>
    <x v="4"/>
    <x v="3"/>
    <x v="0"/>
    <x v="1"/>
    <n v="5"/>
    <n v="30113"/>
    <x v="3825"/>
    <n v="4520"/>
    <n v="146045"/>
    <n v="18050.759679999999"/>
    <x v="0"/>
    <x v="7"/>
  </r>
  <r>
    <n v="13848"/>
    <d v="2024-05-22T00:00:00"/>
    <x v="3"/>
    <x v="2"/>
    <x v="0"/>
    <x v="1"/>
    <n v="3"/>
    <n v="57096"/>
    <x v="3826"/>
    <n v="1897"/>
    <n v="169391"/>
    <n v="22666.2772"/>
    <x v="0"/>
    <x v="5"/>
  </r>
  <r>
    <n v="13849"/>
    <d v="2025-06-23T00:00:00"/>
    <x v="4"/>
    <x v="0"/>
    <x v="2"/>
    <x v="0"/>
    <n v="4"/>
    <n v="27016"/>
    <x v="3827"/>
    <n v="3716"/>
    <n v="104348"/>
    <n v="22352.22378"/>
    <x v="1"/>
    <x v="11"/>
  </r>
  <r>
    <n v="13850"/>
    <d v="2024-10-04T00:00:00"/>
    <x v="0"/>
    <x v="1"/>
    <x v="0"/>
    <x v="1"/>
    <n v="1"/>
    <n v="75920"/>
    <x v="3828"/>
    <n v="650"/>
    <n v="75270"/>
    <n v="13476.95693"/>
    <x v="0"/>
    <x v="8"/>
  </r>
  <r>
    <n v="13851"/>
    <d v="2024-08-20T00:00:00"/>
    <x v="2"/>
    <x v="4"/>
    <x v="1"/>
    <x v="1"/>
    <n v="6"/>
    <n v="22750"/>
    <x v="3829"/>
    <n v="3262"/>
    <n v="133238"/>
    <n v="19227.735929999999"/>
    <x v="0"/>
    <x v="6"/>
  </r>
  <r>
    <n v="13852"/>
    <d v="2025-06-12T00:00:00"/>
    <x v="0"/>
    <x v="0"/>
    <x v="2"/>
    <x v="1"/>
    <n v="4"/>
    <n v="22445"/>
    <x v="3830"/>
    <n v="1210"/>
    <n v="88570"/>
    <n v="15124.876319999999"/>
    <x v="1"/>
    <x v="11"/>
  </r>
  <r>
    <n v="13853"/>
    <d v="2025-07-24T00:00:00"/>
    <x v="1"/>
    <x v="0"/>
    <x v="0"/>
    <x v="3"/>
    <n v="6"/>
    <n v="40075"/>
    <x v="3831"/>
    <n v="2187"/>
    <n v="238263"/>
    <n v="56523.894699999997"/>
    <x v="1"/>
    <x v="10"/>
  </r>
  <r>
    <n v="13854"/>
    <d v="2024-03-30T00:00:00"/>
    <x v="1"/>
    <x v="1"/>
    <x v="0"/>
    <x v="1"/>
    <n v="2"/>
    <n v="21691"/>
    <x v="3832"/>
    <n v="3820"/>
    <n v="39562"/>
    <n v="8440.1533280000003"/>
    <x v="0"/>
    <x v="1"/>
  </r>
  <r>
    <n v="13855"/>
    <d v="2025-05-06T00:00:00"/>
    <x v="1"/>
    <x v="3"/>
    <x v="2"/>
    <x v="2"/>
    <n v="5"/>
    <n v="79724"/>
    <x v="3833"/>
    <n v="368"/>
    <n v="398252"/>
    <n v="66748.891640000002"/>
    <x v="1"/>
    <x v="5"/>
  </r>
  <r>
    <n v="13856"/>
    <d v="2024-07-17T00:00:00"/>
    <x v="1"/>
    <x v="1"/>
    <x v="1"/>
    <x v="0"/>
    <n v="9"/>
    <n v="30860"/>
    <x v="3834"/>
    <n v="2344"/>
    <n v="275396"/>
    <n v="68045.694289999999"/>
    <x v="0"/>
    <x v="10"/>
  </r>
  <r>
    <n v="13857"/>
    <d v="2024-12-27T00:00:00"/>
    <x v="3"/>
    <x v="0"/>
    <x v="2"/>
    <x v="0"/>
    <n v="8"/>
    <n v="35171"/>
    <x v="3835"/>
    <n v="3271"/>
    <n v="278097"/>
    <n v="60967.537349999999"/>
    <x v="0"/>
    <x v="3"/>
  </r>
  <r>
    <n v="13858"/>
    <d v="2025-03-16T00:00:00"/>
    <x v="2"/>
    <x v="3"/>
    <x v="0"/>
    <x v="0"/>
    <n v="3"/>
    <n v="34421"/>
    <x v="3836"/>
    <n v="2843"/>
    <n v="100420"/>
    <n v="10130.43353"/>
    <x v="1"/>
    <x v="1"/>
  </r>
  <r>
    <n v="13859"/>
    <d v="2024-01-26T00:00:00"/>
    <x v="2"/>
    <x v="2"/>
    <x v="0"/>
    <x v="3"/>
    <n v="1"/>
    <n v="47089"/>
    <x v="3837"/>
    <n v="3450"/>
    <n v="43639"/>
    <n v="5099.4391850000002"/>
    <x v="0"/>
    <x v="4"/>
  </r>
  <r>
    <n v="13860"/>
    <d v="2024-01-25T00:00:00"/>
    <x v="0"/>
    <x v="0"/>
    <x v="2"/>
    <x v="2"/>
    <n v="3"/>
    <n v="36990"/>
    <x v="3838"/>
    <n v="3151"/>
    <n v="107819"/>
    <n v="19741.154129999999"/>
    <x v="0"/>
    <x v="4"/>
  </r>
  <r>
    <n v="13861"/>
    <d v="2025-01-28T00:00:00"/>
    <x v="4"/>
    <x v="1"/>
    <x v="1"/>
    <x v="1"/>
    <n v="8"/>
    <n v="70839"/>
    <x v="3839"/>
    <n v="3518"/>
    <n v="563194"/>
    <n v="85883.213640000002"/>
    <x v="1"/>
    <x v="4"/>
  </r>
  <r>
    <n v="13862"/>
    <d v="2025-05-21T00:00:00"/>
    <x v="0"/>
    <x v="2"/>
    <x v="1"/>
    <x v="2"/>
    <n v="3"/>
    <n v="11486"/>
    <x v="3840"/>
    <n v="4354"/>
    <n v="30104"/>
    <n v="6679.5903539999999"/>
    <x v="1"/>
    <x v="5"/>
  </r>
  <r>
    <n v="13863"/>
    <d v="2024-10-27T00:00:00"/>
    <x v="0"/>
    <x v="4"/>
    <x v="1"/>
    <x v="0"/>
    <n v="5"/>
    <n v="76102"/>
    <x v="3841"/>
    <n v="1636"/>
    <n v="378874"/>
    <n v="88790.277900000001"/>
    <x v="0"/>
    <x v="8"/>
  </r>
  <r>
    <n v="13864"/>
    <d v="2024-12-04T00:00:00"/>
    <x v="0"/>
    <x v="2"/>
    <x v="2"/>
    <x v="1"/>
    <n v="2"/>
    <n v="74427"/>
    <x v="3842"/>
    <n v="3860"/>
    <n v="144994"/>
    <n v="19733.338889999999"/>
    <x v="0"/>
    <x v="3"/>
  </r>
  <r>
    <n v="13865"/>
    <d v="2024-09-23T00:00:00"/>
    <x v="0"/>
    <x v="1"/>
    <x v="1"/>
    <x v="0"/>
    <n v="1"/>
    <n v="14046"/>
    <x v="3843"/>
    <n v="1144"/>
    <n v="12902"/>
    <n v="2767.3870449999999"/>
    <x v="0"/>
    <x v="2"/>
  </r>
  <r>
    <n v="13866"/>
    <d v="2025-04-05T00:00:00"/>
    <x v="2"/>
    <x v="2"/>
    <x v="1"/>
    <x v="0"/>
    <n v="5"/>
    <n v="34741"/>
    <x v="3844"/>
    <n v="3126"/>
    <n v="170579"/>
    <n v="30757.03182"/>
    <x v="1"/>
    <x v="0"/>
  </r>
  <r>
    <n v="13867"/>
    <d v="2025-11-23T00:00:00"/>
    <x v="4"/>
    <x v="1"/>
    <x v="1"/>
    <x v="0"/>
    <n v="5"/>
    <n v="64089"/>
    <x v="3845"/>
    <n v="17"/>
    <n v="320428"/>
    <n v="50882.382230000003"/>
    <x v="1"/>
    <x v="7"/>
  </r>
  <r>
    <n v="13868"/>
    <d v="2025-03-31T00:00:00"/>
    <x v="0"/>
    <x v="0"/>
    <x v="1"/>
    <x v="2"/>
    <n v="6"/>
    <n v="10724"/>
    <x v="3846"/>
    <n v="1656"/>
    <n v="62688"/>
    <n v="13667.05018"/>
    <x v="1"/>
    <x v="1"/>
  </r>
  <r>
    <n v="13869"/>
    <d v="2024-12-25T00:00:00"/>
    <x v="2"/>
    <x v="3"/>
    <x v="0"/>
    <x v="2"/>
    <n v="2"/>
    <n v="53347"/>
    <x v="3847"/>
    <n v="4205"/>
    <n v="102489"/>
    <n v="18933.67107"/>
    <x v="0"/>
    <x v="3"/>
  </r>
  <r>
    <n v="13870"/>
    <d v="2024-03-08T00:00:00"/>
    <x v="0"/>
    <x v="4"/>
    <x v="2"/>
    <x v="0"/>
    <n v="9"/>
    <n v="27664"/>
    <x v="3848"/>
    <n v="4426"/>
    <n v="244550"/>
    <n v="47758.807159999997"/>
    <x v="0"/>
    <x v="1"/>
  </r>
  <r>
    <n v="13871"/>
    <d v="2025-02-15T00:00:00"/>
    <x v="1"/>
    <x v="3"/>
    <x v="2"/>
    <x v="0"/>
    <n v="2"/>
    <n v="75886"/>
    <x v="3849"/>
    <n v="1596"/>
    <n v="150176"/>
    <n v="16419.959770000001"/>
    <x v="1"/>
    <x v="9"/>
  </r>
  <r>
    <n v="13872"/>
    <d v="2025-05-05T00:00:00"/>
    <x v="0"/>
    <x v="3"/>
    <x v="1"/>
    <x v="1"/>
    <n v="2"/>
    <n v="14164"/>
    <x v="3850"/>
    <n v="945"/>
    <n v="27383"/>
    <n v="5144.7714859999996"/>
    <x v="1"/>
    <x v="5"/>
  </r>
  <r>
    <n v="13873"/>
    <d v="2024-02-18T00:00:00"/>
    <x v="0"/>
    <x v="3"/>
    <x v="2"/>
    <x v="0"/>
    <n v="5"/>
    <n v="79906"/>
    <x v="3851"/>
    <n v="1287"/>
    <n v="398243"/>
    <n v="57787.723839999999"/>
    <x v="0"/>
    <x v="9"/>
  </r>
  <r>
    <n v="13874"/>
    <d v="2025-11-17T00:00:00"/>
    <x v="3"/>
    <x v="1"/>
    <x v="2"/>
    <x v="0"/>
    <n v="9"/>
    <n v="37872"/>
    <x v="3852"/>
    <n v="267"/>
    <n v="340581"/>
    <n v="59259.096089999999"/>
    <x v="1"/>
    <x v="7"/>
  </r>
  <r>
    <n v="13875"/>
    <d v="2025-07-17T00:00:00"/>
    <x v="1"/>
    <x v="1"/>
    <x v="0"/>
    <x v="0"/>
    <n v="4"/>
    <n v="64879"/>
    <x v="3853"/>
    <n v="434"/>
    <n v="259082"/>
    <n v="34536.060060000003"/>
    <x v="1"/>
    <x v="10"/>
  </r>
  <r>
    <n v="13876"/>
    <d v="2024-04-11T00:00:00"/>
    <x v="4"/>
    <x v="4"/>
    <x v="2"/>
    <x v="0"/>
    <n v="6"/>
    <n v="52037"/>
    <x v="3854"/>
    <n v="2035"/>
    <n v="310187"/>
    <n v="59609.053939999998"/>
    <x v="0"/>
    <x v="0"/>
  </r>
  <r>
    <n v="13877"/>
    <d v="2024-08-03T00:00:00"/>
    <x v="0"/>
    <x v="1"/>
    <x v="0"/>
    <x v="2"/>
    <n v="2"/>
    <n v="27985"/>
    <x v="3855"/>
    <n v="2497"/>
    <n v="53473"/>
    <n v="6530.1401729999998"/>
    <x v="0"/>
    <x v="6"/>
  </r>
  <r>
    <n v="13878"/>
    <d v="2025-03-13T00:00:00"/>
    <x v="4"/>
    <x v="1"/>
    <x v="2"/>
    <x v="0"/>
    <n v="4"/>
    <n v="62868"/>
    <x v="3856"/>
    <n v="3208"/>
    <n v="248264"/>
    <n v="29403.292700000002"/>
    <x v="1"/>
    <x v="1"/>
  </r>
  <r>
    <n v="13879"/>
    <d v="2025-11-30T00:00:00"/>
    <x v="1"/>
    <x v="1"/>
    <x v="0"/>
    <x v="3"/>
    <n v="9"/>
    <n v="24347"/>
    <x v="3857"/>
    <n v="1613"/>
    <n v="217510"/>
    <n v="27898.204430000002"/>
    <x v="1"/>
    <x v="7"/>
  </r>
  <r>
    <n v="13880"/>
    <d v="2025-07-22T00:00:00"/>
    <x v="0"/>
    <x v="1"/>
    <x v="0"/>
    <x v="0"/>
    <n v="2"/>
    <n v="46623"/>
    <x v="3858"/>
    <n v="718"/>
    <n v="92528"/>
    <n v="20598.55387"/>
    <x v="1"/>
    <x v="10"/>
  </r>
  <r>
    <n v="13881"/>
    <d v="2025-07-12T00:00:00"/>
    <x v="3"/>
    <x v="0"/>
    <x v="2"/>
    <x v="2"/>
    <n v="1"/>
    <n v="21360"/>
    <x v="3859"/>
    <n v="3978"/>
    <n v="17382"/>
    <n v="1825.6330390000001"/>
    <x v="1"/>
    <x v="10"/>
  </r>
  <r>
    <n v="13882"/>
    <d v="2024-06-07T00:00:00"/>
    <x v="2"/>
    <x v="4"/>
    <x v="0"/>
    <x v="3"/>
    <n v="4"/>
    <n v="19214"/>
    <x v="3860"/>
    <n v="2231"/>
    <n v="74625"/>
    <n v="15629.20514"/>
    <x v="0"/>
    <x v="11"/>
  </r>
  <r>
    <n v="13883"/>
    <d v="2025-05-03T00:00:00"/>
    <x v="3"/>
    <x v="1"/>
    <x v="0"/>
    <x v="3"/>
    <n v="4"/>
    <n v="32222"/>
    <x v="3861"/>
    <n v="3672"/>
    <n v="125216"/>
    <n v="13582.9481"/>
    <x v="1"/>
    <x v="5"/>
  </r>
  <r>
    <n v="13884"/>
    <d v="2025-11-16T00:00:00"/>
    <x v="3"/>
    <x v="4"/>
    <x v="2"/>
    <x v="0"/>
    <n v="1"/>
    <n v="77279"/>
    <x v="3862"/>
    <n v="740"/>
    <n v="76539"/>
    <n v="14448.92418"/>
    <x v="1"/>
    <x v="7"/>
  </r>
  <r>
    <n v="13885"/>
    <d v="2024-08-29T00:00:00"/>
    <x v="2"/>
    <x v="2"/>
    <x v="0"/>
    <x v="0"/>
    <n v="4"/>
    <n v="39303"/>
    <x v="3299"/>
    <n v="804"/>
    <n v="156408"/>
    <n v="33789.410020000003"/>
    <x v="0"/>
    <x v="6"/>
  </r>
  <r>
    <n v="13886"/>
    <d v="2024-01-05T00:00:00"/>
    <x v="2"/>
    <x v="0"/>
    <x v="0"/>
    <x v="2"/>
    <n v="3"/>
    <n v="19698"/>
    <x v="3863"/>
    <n v="4512"/>
    <n v="54582"/>
    <n v="7350.0633939999998"/>
    <x v="0"/>
    <x v="4"/>
  </r>
  <r>
    <n v="13887"/>
    <d v="2025-08-18T00:00:00"/>
    <x v="2"/>
    <x v="1"/>
    <x v="0"/>
    <x v="3"/>
    <n v="2"/>
    <n v="34602"/>
    <x v="3864"/>
    <n v="4977"/>
    <n v="64227"/>
    <n v="8310.4626900000003"/>
    <x v="1"/>
    <x v="6"/>
  </r>
  <r>
    <n v="13888"/>
    <d v="2024-12-26T00:00:00"/>
    <x v="0"/>
    <x v="0"/>
    <x v="0"/>
    <x v="3"/>
    <n v="4"/>
    <n v="19947"/>
    <x v="3865"/>
    <n v="4886"/>
    <n v="74902"/>
    <n v="10739.203009999999"/>
    <x v="0"/>
    <x v="3"/>
  </r>
  <r>
    <n v="13889"/>
    <d v="2025-04-03T00:00:00"/>
    <x v="4"/>
    <x v="0"/>
    <x v="0"/>
    <x v="2"/>
    <n v="8"/>
    <n v="57338"/>
    <x v="3866"/>
    <n v="3771"/>
    <n v="454933"/>
    <n v="93234.874909999999"/>
    <x v="1"/>
    <x v="0"/>
  </r>
  <r>
    <n v="13890"/>
    <d v="2024-09-04T00:00:00"/>
    <x v="4"/>
    <x v="2"/>
    <x v="1"/>
    <x v="0"/>
    <n v="7"/>
    <n v="40537"/>
    <x v="3867"/>
    <n v="1726"/>
    <n v="282033"/>
    <n v="38983.726009999998"/>
    <x v="0"/>
    <x v="2"/>
  </r>
  <r>
    <n v="13891"/>
    <d v="2025-07-19T00:00:00"/>
    <x v="2"/>
    <x v="4"/>
    <x v="0"/>
    <x v="1"/>
    <n v="9"/>
    <n v="27469"/>
    <x v="3868"/>
    <n v="3512"/>
    <n v="243709"/>
    <n v="42713.779560000003"/>
    <x v="1"/>
    <x v="10"/>
  </r>
  <r>
    <n v="13892"/>
    <d v="2025-11-03T00:00:00"/>
    <x v="3"/>
    <x v="0"/>
    <x v="0"/>
    <x v="1"/>
    <n v="8"/>
    <n v="11486"/>
    <x v="3869"/>
    <n v="1098"/>
    <n v="90790"/>
    <n v="10910.22659"/>
    <x v="1"/>
    <x v="7"/>
  </r>
  <r>
    <n v="13893"/>
    <d v="2025-02-25T00:00:00"/>
    <x v="1"/>
    <x v="3"/>
    <x v="0"/>
    <x v="3"/>
    <n v="1"/>
    <n v="77777"/>
    <x v="3870"/>
    <n v="2621"/>
    <n v="75156"/>
    <n v="12714.84252"/>
    <x v="1"/>
    <x v="9"/>
  </r>
  <r>
    <n v="13894"/>
    <d v="2024-01-15T00:00:00"/>
    <x v="2"/>
    <x v="2"/>
    <x v="0"/>
    <x v="3"/>
    <n v="2"/>
    <n v="24371"/>
    <x v="3871"/>
    <n v="3805"/>
    <n v="44937"/>
    <n v="8704.7135180000005"/>
    <x v="0"/>
    <x v="4"/>
  </r>
  <r>
    <n v="13895"/>
    <d v="2025-07-26T00:00:00"/>
    <x v="3"/>
    <x v="3"/>
    <x v="2"/>
    <x v="0"/>
    <n v="2"/>
    <n v="37524"/>
    <x v="3872"/>
    <n v="3010"/>
    <n v="72038"/>
    <n v="7979.8537759999999"/>
    <x v="1"/>
    <x v="10"/>
  </r>
  <r>
    <n v="13896"/>
    <d v="2024-05-01T00:00:00"/>
    <x v="3"/>
    <x v="2"/>
    <x v="1"/>
    <x v="1"/>
    <n v="8"/>
    <n v="70101"/>
    <x v="3873"/>
    <n v="2983"/>
    <n v="557825"/>
    <n v="124012.0248"/>
    <x v="0"/>
    <x v="5"/>
  </r>
  <r>
    <n v="13897"/>
    <d v="2024-10-03T00:00:00"/>
    <x v="0"/>
    <x v="3"/>
    <x v="2"/>
    <x v="3"/>
    <n v="4"/>
    <n v="27474"/>
    <x v="3874"/>
    <n v="3704"/>
    <n v="106192"/>
    <n v="25551.429260000001"/>
    <x v="0"/>
    <x v="8"/>
  </r>
  <r>
    <n v="13898"/>
    <d v="2025-07-11T00:00:00"/>
    <x v="0"/>
    <x v="3"/>
    <x v="1"/>
    <x v="0"/>
    <n v="9"/>
    <n v="52141"/>
    <x v="3875"/>
    <n v="3383"/>
    <n v="465886"/>
    <n v="60114.278689999999"/>
    <x v="1"/>
    <x v="10"/>
  </r>
  <r>
    <n v="13899"/>
    <d v="2025-03-28T00:00:00"/>
    <x v="4"/>
    <x v="0"/>
    <x v="0"/>
    <x v="1"/>
    <n v="2"/>
    <n v="9405"/>
    <x v="3876"/>
    <n v="1844"/>
    <n v="16966"/>
    <n v="3629.2803939999999"/>
    <x v="1"/>
    <x v="1"/>
  </r>
  <r>
    <n v="13900"/>
    <d v="2025-01-24T00:00:00"/>
    <x v="4"/>
    <x v="0"/>
    <x v="0"/>
    <x v="2"/>
    <n v="4"/>
    <n v="7153"/>
    <x v="3877"/>
    <n v="3924"/>
    <n v="24688"/>
    <n v="3629.6297439999998"/>
    <x v="1"/>
    <x v="4"/>
  </r>
  <r>
    <n v="13901"/>
    <d v="2024-10-20T00:00:00"/>
    <x v="1"/>
    <x v="2"/>
    <x v="1"/>
    <x v="3"/>
    <n v="1"/>
    <n v="30131"/>
    <x v="3878"/>
    <n v="3099"/>
    <n v="27032"/>
    <n v="5447.182992"/>
    <x v="0"/>
    <x v="8"/>
  </r>
  <r>
    <n v="13902"/>
    <d v="2025-07-27T00:00:00"/>
    <x v="1"/>
    <x v="4"/>
    <x v="1"/>
    <x v="2"/>
    <n v="3"/>
    <n v="24680"/>
    <x v="3879"/>
    <n v="4521"/>
    <n v="69519"/>
    <n v="10149.885979999999"/>
    <x v="1"/>
    <x v="10"/>
  </r>
  <r>
    <n v="13903"/>
    <d v="2025-08-20T00:00:00"/>
    <x v="1"/>
    <x v="0"/>
    <x v="2"/>
    <x v="1"/>
    <n v="6"/>
    <n v="58644"/>
    <x v="3880"/>
    <n v="4978"/>
    <n v="346886"/>
    <n v="79558.813999999998"/>
    <x v="1"/>
    <x v="6"/>
  </r>
  <r>
    <n v="13904"/>
    <d v="2025-03-21T00:00:00"/>
    <x v="1"/>
    <x v="0"/>
    <x v="1"/>
    <x v="0"/>
    <n v="9"/>
    <n v="33283"/>
    <x v="3881"/>
    <n v="4881"/>
    <n v="294666"/>
    <n v="44808.742660000004"/>
    <x v="1"/>
    <x v="1"/>
  </r>
  <r>
    <n v="13905"/>
    <d v="2024-07-28T00:00:00"/>
    <x v="3"/>
    <x v="1"/>
    <x v="0"/>
    <x v="0"/>
    <n v="1"/>
    <n v="65357"/>
    <x v="3882"/>
    <n v="534"/>
    <n v="64823"/>
    <n v="14735.86285"/>
    <x v="0"/>
    <x v="10"/>
  </r>
  <r>
    <n v="13906"/>
    <d v="2025-08-12T00:00:00"/>
    <x v="3"/>
    <x v="0"/>
    <x v="2"/>
    <x v="1"/>
    <n v="5"/>
    <n v="24646"/>
    <x v="3883"/>
    <n v="284"/>
    <n v="122946"/>
    <n v="26423.724699999999"/>
    <x v="1"/>
    <x v="6"/>
  </r>
  <r>
    <n v="13907"/>
    <d v="2025-12-14T00:00:00"/>
    <x v="4"/>
    <x v="4"/>
    <x v="1"/>
    <x v="2"/>
    <n v="2"/>
    <n v="44804"/>
    <x v="3884"/>
    <n v="2669"/>
    <n v="86939"/>
    <n v="11254.13069"/>
    <x v="1"/>
    <x v="3"/>
  </r>
  <r>
    <n v="13908"/>
    <d v="2024-10-28T00:00:00"/>
    <x v="0"/>
    <x v="1"/>
    <x v="1"/>
    <x v="0"/>
    <n v="7"/>
    <n v="21036"/>
    <x v="3885"/>
    <n v="3786"/>
    <n v="143466"/>
    <n v="17724.214609999999"/>
    <x v="0"/>
    <x v="8"/>
  </r>
  <r>
    <n v="13909"/>
    <d v="2024-08-10T00:00:00"/>
    <x v="0"/>
    <x v="3"/>
    <x v="2"/>
    <x v="3"/>
    <n v="4"/>
    <n v="11726"/>
    <x v="3886"/>
    <n v="1129"/>
    <n v="45775"/>
    <n v="9930.8122189999995"/>
    <x v="0"/>
    <x v="6"/>
  </r>
  <r>
    <n v="13910"/>
    <d v="2024-01-03T00:00:00"/>
    <x v="2"/>
    <x v="3"/>
    <x v="1"/>
    <x v="2"/>
    <n v="5"/>
    <n v="46160"/>
    <x v="3887"/>
    <n v="503"/>
    <n v="230297"/>
    <n v="36512.550280000003"/>
    <x v="0"/>
    <x v="4"/>
  </r>
  <r>
    <n v="13911"/>
    <d v="2025-06-01T00:00:00"/>
    <x v="3"/>
    <x v="1"/>
    <x v="0"/>
    <x v="2"/>
    <n v="8"/>
    <n v="23274"/>
    <x v="3888"/>
    <n v="4141"/>
    <n v="182051"/>
    <n v="44130.79638"/>
    <x v="1"/>
    <x v="11"/>
  </r>
  <r>
    <n v="13912"/>
    <d v="2024-04-02T00:00:00"/>
    <x v="1"/>
    <x v="1"/>
    <x v="2"/>
    <x v="3"/>
    <n v="2"/>
    <n v="15168"/>
    <x v="3889"/>
    <n v="536"/>
    <n v="29800"/>
    <n v="7194.9787429999997"/>
    <x v="0"/>
    <x v="0"/>
  </r>
  <r>
    <n v="13913"/>
    <d v="2025-06-03T00:00:00"/>
    <x v="1"/>
    <x v="1"/>
    <x v="1"/>
    <x v="1"/>
    <n v="3"/>
    <n v="20103"/>
    <x v="3890"/>
    <n v="61"/>
    <n v="60248"/>
    <n v="12291.923150000001"/>
    <x v="1"/>
    <x v="11"/>
  </r>
  <r>
    <n v="13914"/>
    <d v="2025-03-03T00:00:00"/>
    <x v="2"/>
    <x v="2"/>
    <x v="0"/>
    <x v="0"/>
    <n v="5"/>
    <n v="35567"/>
    <x v="3891"/>
    <n v="2383"/>
    <n v="175452"/>
    <n v="30719.37326"/>
    <x v="1"/>
    <x v="1"/>
  </r>
  <r>
    <n v="13915"/>
    <d v="2025-05-07T00:00:00"/>
    <x v="0"/>
    <x v="4"/>
    <x v="1"/>
    <x v="2"/>
    <n v="4"/>
    <n v="28691"/>
    <x v="3892"/>
    <n v="210"/>
    <n v="114554"/>
    <n v="14805.542750000001"/>
    <x v="1"/>
    <x v="5"/>
  </r>
  <r>
    <n v="13916"/>
    <d v="2024-08-22T00:00:00"/>
    <x v="1"/>
    <x v="4"/>
    <x v="2"/>
    <x v="0"/>
    <n v="5"/>
    <n v="74092"/>
    <x v="3893"/>
    <n v="2447"/>
    <n v="368013"/>
    <n v="85511.099709999995"/>
    <x v="0"/>
    <x v="6"/>
  </r>
  <r>
    <n v="13917"/>
    <d v="2025-09-11T00:00:00"/>
    <x v="0"/>
    <x v="3"/>
    <x v="1"/>
    <x v="0"/>
    <n v="3"/>
    <n v="45072"/>
    <x v="3894"/>
    <n v="4804"/>
    <n v="130412"/>
    <n v="14645.227580000001"/>
    <x v="1"/>
    <x v="2"/>
  </r>
  <r>
    <n v="13918"/>
    <d v="2024-06-09T00:00:00"/>
    <x v="2"/>
    <x v="3"/>
    <x v="1"/>
    <x v="2"/>
    <n v="9"/>
    <n v="59118"/>
    <x v="3895"/>
    <n v="2394"/>
    <n v="529668"/>
    <n v="82391.283009999999"/>
    <x v="0"/>
    <x v="11"/>
  </r>
  <r>
    <n v="13919"/>
    <d v="2025-12-21T00:00:00"/>
    <x v="0"/>
    <x v="3"/>
    <x v="1"/>
    <x v="1"/>
    <n v="8"/>
    <n v="38133"/>
    <x v="3896"/>
    <n v="3269"/>
    <n v="301795"/>
    <n v="44630.327819999999"/>
    <x v="1"/>
    <x v="3"/>
  </r>
  <r>
    <n v="13920"/>
    <d v="2024-11-26T00:00:00"/>
    <x v="0"/>
    <x v="0"/>
    <x v="0"/>
    <x v="2"/>
    <n v="6"/>
    <n v="20893"/>
    <x v="3897"/>
    <n v="376"/>
    <n v="124982"/>
    <n v="30466.15279"/>
    <x v="0"/>
    <x v="7"/>
  </r>
  <r>
    <n v="13921"/>
    <d v="2024-11-28T00:00:00"/>
    <x v="0"/>
    <x v="3"/>
    <x v="0"/>
    <x v="1"/>
    <n v="1"/>
    <n v="5656"/>
    <x v="3898"/>
    <n v="1185"/>
    <n v="4471"/>
    <n v="526.31444610000005"/>
    <x v="0"/>
    <x v="7"/>
  </r>
  <r>
    <n v="13922"/>
    <d v="2024-02-19T00:00:00"/>
    <x v="1"/>
    <x v="1"/>
    <x v="1"/>
    <x v="3"/>
    <n v="4"/>
    <n v="46120"/>
    <x v="3899"/>
    <n v="3279"/>
    <n v="181201"/>
    <n v="42314.510430000002"/>
    <x v="0"/>
    <x v="9"/>
  </r>
  <r>
    <n v="13923"/>
    <d v="2025-06-06T00:00:00"/>
    <x v="4"/>
    <x v="3"/>
    <x v="1"/>
    <x v="1"/>
    <n v="7"/>
    <n v="62518"/>
    <x v="3900"/>
    <n v="3498"/>
    <n v="434128"/>
    <n v="73135.45809"/>
    <x v="1"/>
    <x v="11"/>
  </r>
  <r>
    <n v="13924"/>
    <d v="2025-10-29T00:00:00"/>
    <x v="3"/>
    <x v="1"/>
    <x v="2"/>
    <x v="1"/>
    <n v="5"/>
    <n v="24854"/>
    <x v="3901"/>
    <n v="2847"/>
    <n v="121423"/>
    <n v="13007.419"/>
    <x v="1"/>
    <x v="8"/>
  </r>
  <r>
    <n v="13925"/>
    <d v="2025-05-06T00:00:00"/>
    <x v="0"/>
    <x v="2"/>
    <x v="1"/>
    <x v="2"/>
    <n v="4"/>
    <n v="58212"/>
    <x v="3902"/>
    <n v="786"/>
    <n v="232062"/>
    <n v="48577.527520000003"/>
    <x v="1"/>
    <x v="5"/>
  </r>
  <r>
    <n v="13926"/>
    <d v="2025-08-04T00:00:00"/>
    <x v="0"/>
    <x v="0"/>
    <x v="2"/>
    <x v="0"/>
    <n v="9"/>
    <n v="54696"/>
    <x v="3903"/>
    <n v="732"/>
    <n v="491532"/>
    <n v="56591.007830000002"/>
    <x v="1"/>
    <x v="6"/>
  </r>
  <r>
    <n v="13927"/>
    <d v="2025-11-11T00:00:00"/>
    <x v="0"/>
    <x v="0"/>
    <x v="0"/>
    <x v="0"/>
    <n v="8"/>
    <n v="71492"/>
    <x v="3904"/>
    <n v="3868"/>
    <n v="568068"/>
    <n v="77001.964909999995"/>
    <x v="1"/>
    <x v="7"/>
  </r>
  <r>
    <n v="13928"/>
    <d v="2024-09-28T00:00:00"/>
    <x v="4"/>
    <x v="4"/>
    <x v="1"/>
    <x v="1"/>
    <n v="3"/>
    <n v="62795"/>
    <x v="3905"/>
    <n v="2699"/>
    <n v="185686"/>
    <n v="40843.367270000002"/>
    <x v="0"/>
    <x v="2"/>
  </r>
  <r>
    <n v="13929"/>
    <d v="2025-08-02T00:00:00"/>
    <x v="2"/>
    <x v="2"/>
    <x v="2"/>
    <x v="1"/>
    <n v="6"/>
    <n v="29560"/>
    <x v="3906"/>
    <n v="4617"/>
    <n v="172743"/>
    <n v="21283.630710000001"/>
    <x v="1"/>
    <x v="6"/>
  </r>
  <r>
    <n v="13930"/>
    <d v="2024-09-08T00:00:00"/>
    <x v="1"/>
    <x v="1"/>
    <x v="0"/>
    <x v="2"/>
    <n v="4"/>
    <n v="56317"/>
    <x v="3907"/>
    <n v="2158"/>
    <n v="223110"/>
    <n v="33203.343200000003"/>
    <x v="0"/>
    <x v="2"/>
  </r>
  <r>
    <n v="13931"/>
    <d v="2025-07-13T00:00:00"/>
    <x v="4"/>
    <x v="2"/>
    <x v="2"/>
    <x v="1"/>
    <n v="7"/>
    <n v="5645"/>
    <x v="3908"/>
    <n v="3620"/>
    <n v="35895"/>
    <n v="5533.2050419999996"/>
    <x v="1"/>
    <x v="10"/>
  </r>
  <r>
    <n v="13932"/>
    <d v="2025-11-26T00:00:00"/>
    <x v="0"/>
    <x v="0"/>
    <x v="0"/>
    <x v="2"/>
    <n v="1"/>
    <n v="38146"/>
    <x v="3909"/>
    <n v="3664"/>
    <n v="34482"/>
    <n v="6493.6635269999997"/>
    <x v="1"/>
    <x v="7"/>
  </r>
  <r>
    <n v="13933"/>
    <d v="2025-11-29T00:00:00"/>
    <x v="4"/>
    <x v="1"/>
    <x v="1"/>
    <x v="3"/>
    <n v="1"/>
    <n v="44877"/>
    <x v="3910"/>
    <n v="2655"/>
    <n v="42222"/>
    <n v="9225.0845480000007"/>
    <x v="1"/>
    <x v="7"/>
  </r>
  <r>
    <n v="13934"/>
    <d v="2024-03-30T00:00:00"/>
    <x v="4"/>
    <x v="2"/>
    <x v="2"/>
    <x v="1"/>
    <n v="6"/>
    <n v="57736"/>
    <x v="3911"/>
    <n v="1078"/>
    <n v="345338"/>
    <n v="46489.98489"/>
    <x v="0"/>
    <x v="1"/>
  </r>
  <r>
    <n v="13935"/>
    <d v="2025-03-21T00:00:00"/>
    <x v="4"/>
    <x v="0"/>
    <x v="1"/>
    <x v="3"/>
    <n v="7"/>
    <n v="49693"/>
    <x v="3912"/>
    <n v="3294"/>
    <n v="344557"/>
    <n v="45091.291799999999"/>
    <x v="1"/>
    <x v="1"/>
  </r>
  <r>
    <n v="13936"/>
    <d v="2024-11-27T00:00:00"/>
    <x v="2"/>
    <x v="1"/>
    <x v="2"/>
    <x v="1"/>
    <n v="9"/>
    <n v="25119"/>
    <x v="3913"/>
    <n v="3646"/>
    <n v="222425"/>
    <n v="29646.002659999998"/>
    <x v="0"/>
    <x v="7"/>
  </r>
  <r>
    <n v="13937"/>
    <d v="2024-05-18T00:00:00"/>
    <x v="3"/>
    <x v="1"/>
    <x v="0"/>
    <x v="1"/>
    <n v="7"/>
    <n v="52679"/>
    <x v="3914"/>
    <n v="4619"/>
    <n v="364134"/>
    <n v="57257.078730000001"/>
    <x v="0"/>
    <x v="5"/>
  </r>
  <r>
    <n v="13938"/>
    <d v="2024-12-22T00:00:00"/>
    <x v="1"/>
    <x v="0"/>
    <x v="2"/>
    <x v="3"/>
    <n v="9"/>
    <n v="18163"/>
    <x v="3915"/>
    <n v="2193"/>
    <n v="161274"/>
    <n v="29072.134119999999"/>
    <x v="0"/>
    <x v="3"/>
  </r>
  <r>
    <n v="13939"/>
    <d v="2025-08-23T00:00:00"/>
    <x v="2"/>
    <x v="1"/>
    <x v="2"/>
    <x v="3"/>
    <n v="9"/>
    <n v="35802"/>
    <x v="3916"/>
    <n v="2311"/>
    <n v="319907"/>
    <n v="32635.87026"/>
    <x v="1"/>
    <x v="6"/>
  </r>
  <r>
    <n v="13940"/>
    <d v="2024-09-30T00:00:00"/>
    <x v="2"/>
    <x v="0"/>
    <x v="1"/>
    <x v="2"/>
    <n v="8"/>
    <n v="57175"/>
    <x v="3917"/>
    <n v="4563"/>
    <n v="452837"/>
    <n v="98285.842650000006"/>
    <x v="0"/>
    <x v="2"/>
  </r>
  <r>
    <n v="13941"/>
    <d v="2024-01-19T00:00:00"/>
    <x v="3"/>
    <x v="3"/>
    <x v="1"/>
    <x v="2"/>
    <n v="7"/>
    <n v="15111"/>
    <x v="3918"/>
    <n v="1584"/>
    <n v="104193"/>
    <n v="24902.90091"/>
    <x v="0"/>
    <x v="4"/>
  </r>
  <r>
    <n v="13942"/>
    <d v="2024-11-06T00:00:00"/>
    <x v="2"/>
    <x v="3"/>
    <x v="1"/>
    <x v="3"/>
    <n v="3"/>
    <n v="64936"/>
    <x v="3919"/>
    <n v="3006"/>
    <n v="191802"/>
    <n v="43448.510730000002"/>
    <x v="0"/>
    <x v="7"/>
  </r>
  <r>
    <n v="13943"/>
    <d v="2024-06-02T00:00:00"/>
    <x v="4"/>
    <x v="1"/>
    <x v="0"/>
    <x v="1"/>
    <n v="3"/>
    <n v="70526"/>
    <x v="3920"/>
    <n v="4044"/>
    <n v="207534"/>
    <n v="21910.957569999999"/>
    <x v="0"/>
    <x v="11"/>
  </r>
  <r>
    <n v="13944"/>
    <d v="2025-01-24T00:00:00"/>
    <x v="4"/>
    <x v="1"/>
    <x v="1"/>
    <x v="2"/>
    <n v="5"/>
    <n v="26119"/>
    <x v="3921"/>
    <n v="1210"/>
    <n v="129385"/>
    <n v="23117.955890000001"/>
    <x v="1"/>
    <x v="4"/>
  </r>
  <r>
    <n v="13945"/>
    <d v="2024-09-16T00:00:00"/>
    <x v="0"/>
    <x v="0"/>
    <x v="2"/>
    <x v="1"/>
    <n v="7"/>
    <n v="66896"/>
    <x v="3922"/>
    <n v="3414"/>
    <n v="464858"/>
    <n v="103246.85219999999"/>
    <x v="0"/>
    <x v="2"/>
  </r>
  <r>
    <n v="13946"/>
    <d v="2025-09-11T00:00:00"/>
    <x v="2"/>
    <x v="1"/>
    <x v="0"/>
    <x v="0"/>
    <n v="7"/>
    <n v="40539"/>
    <x v="3923"/>
    <n v="1986"/>
    <n v="281787"/>
    <n v="42723.747560000003"/>
    <x v="1"/>
    <x v="2"/>
  </r>
  <r>
    <n v="13947"/>
    <d v="2025-07-24T00:00:00"/>
    <x v="0"/>
    <x v="4"/>
    <x v="1"/>
    <x v="2"/>
    <n v="1"/>
    <n v="60387"/>
    <x v="3924"/>
    <n v="3170"/>
    <n v="57217"/>
    <n v="13420.568149999999"/>
    <x v="1"/>
    <x v="10"/>
  </r>
  <r>
    <n v="13948"/>
    <d v="2024-05-04T00:00:00"/>
    <x v="1"/>
    <x v="3"/>
    <x v="2"/>
    <x v="2"/>
    <n v="8"/>
    <n v="47823"/>
    <x v="3925"/>
    <n v="2726"/>
    <n v="379858"/>
    <n v="88519.051139999996"/>
    <x v="0"/>
    <x v="5"/>
  </r>
  <r>
    <n v="13949"/>
    <d v="2024-12-19T00:00:00"/>
    <x v="4"/>
    <x v="1"/>
    <x v="2"/>
    <x v="2"/>
    <n v="1"/>
    <n v="74555"/>
    <x v="3926"/>
    <n v="1748"/>
    <n v="72807"/>
    <n v="8828.2621569999992"/>
    <x v="0"/>
    <x v="3"/>
  </r>
  <r>
    <n v="13950"/>
    <d v="2024-09-29T00:00:00"/>
    <x v="1"/>
    <x v="1"/>
    <x v="0"/>
    <x v="0"/>
    <n v="4"/>
    <n v="52418"/>
    <x v="3927"/>
    <n v="757"/>
    <n v="208915"/>
    <n v="36360.530850000003"/>
    <x v="0"/>
    <x v="2"/>
  </r>
  <r>
    <n v="13951"/>
    <d v="2025-09-10T00:00:00"/>
    <x v="3"/>
    <x v="2"/>
    <x v="2"/>
    <x v="3"/>
    <n v="2"/>
    <n v="53695"/>
    <x v="3928"/>
    <n v="1177"/>
    <n v="106213"/>
    <n v="11030.233050000001"/>
    <x v="1"/>
    <x v="2"/>
  </r>
  <r>
    <n v="13952"/>
    <d v="2024-09-01T00:00:00"/>
    <x v="4"/>
    <x v="1"/>
    <x v="1"/>
    <x v="1"/>
    <n v="5"/>
    <n v="66936"/>
    <x v="3929"/>
    <n v="918"/>
    <n v="333762"/>
    <n v="47487.303959999997"/>
    <x v="0"/>
    <x v="2"/>
  </r>
  <r>
    <n v="13953"/>
    <d v="2025-03-25T00:00:00"/>
    <x v="1"/>
    <x v="4"/>
    <x v="2"/>
    <x v="0"/>
    <n v="6"/>
    <n v="21418"/>
    <x v="3930"/>
    <n v="1119"/>
    <n v="127389"/>
    <n v="28252.450339999999"/>
    <x v="1"/>
    <x v="1"/>
  </r>
  <r>
    <n v="13954"/>
    <d v="2024-09-03T00:00:00"/>
    <x v="3"/>
    <x v="3"/>
    <x v="1"/>
    <x v="3"/>
    <n v="4"/>
    <n v="31742"/>
    <x v="3931"/>
    <n v="705"/>
    <n v="126263"/>
    <n v="31094.926739999999"/>
    <x v="0"/>
    <x v="2"/>
  </r>
  <r>
    <n v="13955"/>
    <d v="2025-06-03T00:00:00"/>
    <x v="1"/>
    <x v="2"/>
    <x v="1"/>
    <x v="2"/>
    <n v="4"/>
    <n v="53028"/>
    <x v="3932"/>
    <n v="4929"/>
    <n v="207183"/>
    <n v="49102.057829999998"/>
    <x v="1"/>
    <x v="11"/>
  </r>
  <r>
    <n v="13956"/>
    <d v="2024-05-20T00:00:00"/>
    <x v="3"/>
    <x v="0"/>
    <x v="0"/>
    <x v="3"/>
    <n v="7"/>
    <n v="12618"/>
    <x v="3933"/>
    <n v="3430"/>
    <n v="84896"/>
    <n v="9031.8354610000006"/>
    <x v="0"/>
    <x v="5"/>
  </r>
  <r>
    <n v="13957"/>
    <d v="2024-12-27T00:00:00"/>
    <x v="3"/>
    <x v="0"/>
    <x v="2"/>
    <x v="3"/>
    <n v="4"/>
    <n v="73916"/>
    <x v="3934"/>
    <n v="2861"/>
    <n v="292803"/>
    <n v="69982.721690000006"/>
    <x v="0"/>
    <x v="3"/>
  </r>
  <r>
    <n v="13958"/>
    <d v="2024-01-08T00:00:00"/>
    <x v="4"/>
    <x v="3"/>
    <x v="0"/>
    <x v="3"/>
    <n v="2"/>
    <n v="59628"/>
    <x v="3935"/>
    <n v="4494"/>
    <n v="114762"/>
    <n v="25637.51251"/>
    <x v="0"/>
    <x v="4"/>
  </r>
  <r>
    <n v="13959"/>
    <d v="2025-04-22T00:00:00"/>
    <x v="0"/>
    <x v="0"/>
    <x v="0"/>
    <x v="1"/>
    <n v="4"/>
    <n v="19725"/>
    <x v="3936"/>
    <n v="1807"/>
    <n v="77093"/>
    <n v="17743.36852"/>
    <x v="1"/>
    <x v="0"/>
  </r>
  <r>
    <n v="13960"/>
    <d v="2024-12-17T00:00:00"/>
    <x v="3"/>
    <x v="4"/>
    <x v="0"/>
    <x v="3"/>
    <n v="7"/>
    <n v="46135"/>
    <x v="3937"/>
    <n v="1399"/>
    <n v="321546"/>
    <n v="76278.433539999998"/>
    <x v="0"/>
    <x v="3"/>
  </r>
  <r>
    <n v="13961"/>
    <d v="2025-05-09T00:00:00"/>
    <x v="3"/>
    <x v="1"/>
    <x v="1"/>
    <x v="3"/>
    <n v="1"/>
    <n v="75223"/>
    <x v="3938"/>
    <n v="2649"/>
    <n v="72574"/>
    <n v="12571.7754"/>
    <x v="1"/>
    <x v="5"/>
  </r>
  <r>
    <n v="13962"/>
    <d v="2025-08-28T00:00:00"/>
    <x v="4"/>
    <x v="3"/>
    <x v="1"/>
    <x v="3"/>
    <n v="4"/>
    <n v="50969"/>
    <x v="3939"/>
    <n v="4423"/>
    <n v="199453"/>
    <n v="26264.518349999998"/>
    <x v="1"/>
    <x v="6"/>
  </r>
  <r>
    <n v="13963"/>
    <d v="2025-03-02T00:00:00"/>
    <x v="0"/>
    <x v="2"/>
    <x v="1"/>
    <x v="3"/>
    <n v="6"/>
    <n v="72122"/>
    <x v="3940"/>
    <n v="1295"/>
    <n v="431437"/>
    <n v="44504.285349999998"/>
    <x v="1"/>
    <x v="1"/>
  </r>
  <r>
    <n v="13964"/>
    <d v="2024-02-08T00:00:00"/>
    <x v="2"/>
    <x v="1"/>
    <x v="1"/>
    <x v="0"/>
    <n v="8"/>
    <n v="13056"/>
    <x v="3941"/>
    <n v="1620"/>
    <n v="102828"/>
    <n v="10646.01324"/>
    <x v="0"/>
    <x v="9"/>
  </r>
  <r>
    <n v="13965"/>
    <d v="2025-08-15T00:00:00"/>
    <x v="2"/>
    <x v="0"/>
    <x v="2"/>
    <x v="0"/>
    <n v="8"/>
    <n v="75958"/>
    <x v="3942"/>
    <n v="2442"/>
    <n v="605222"/>
    <n v="118851.5073"/>
    <x v="1"/>
    <x v="6"/>
  </r>
  <r>
    <n v="13966"/>
    <d v="2024-07-05T00:00:00"/>
    <x v="0"/>
    <x v="0"/>
    <x v="2"/>
    <x v="3"/>
    <n v="9"/>
    <n v="65346"/>
    <x v="3943"/>
    <n v="2595"/>
    <n v="585519"/>
    <n v="88174.485090000002"/>
    <x v="0"/>
    <x v="10"/>
  </r>
  <r>
    <n v="13967"/>
    <d v="2025-08-18T00:00:00"/>
    <x v="1"/>
    <x v="2"/>
    <x v="1"/>
    <x v="3"/>
    <n v="5"/>
    <n v="5952"/>
    <x v="3944"/>
    <n v="4172"/>
    <n v="25588"/>
    <n v="4462.1505310000002"/>
    <x v="1"/>
    <x v="6"/>
  </r>
  <r>
    <n v="13968"/>
    <d v="2025-08-22T00:00:00"/>
    <x v="4"/>
    <x v="4"/>
    <x v="1"/>
    <x v="3"/>
    <n v="2"/>
    <n v="17521"/>
    <x v="3945"/>
    <n v="1072"/>
    <n v="33970"/>
    <n v="4066.2183949999999"/>
    <x v="1"/>
    <x v="6"/>
  </r>
  <r>
    <n v="13969"/>
    <d v="2024-04-02T00:00:00"/>
    <x v="0"/>
    <x v="2"/>
    <x v="2"/>
    <x v="2"/>
    <n v="3"/>
    <n v="15906"/>
    <x v="3946"/>
    <n v="4075"/>
    <n v="43643"/>
    <n v="10750.449479999999"/>
    <x v="0"/>
    <x v="0"/>
  </r>
  <r>
    <n v="13970"/>
    <d v="2024-03-26T00:00:00"/>
    <x v="2"/>
    <x v="3"/>
    <x v="0"/>
    <x v="3"/>
    <n v="2"/>
    <n v="73514"/>
    <x v="3947"/>
    <n v="1449"/>
    <n v="145579"/>
    <n v="17395.445790000002"/>
    <x v="0"/>
    <x v="1"/>
  </r>
  <r>
    <n v="13971"/>
    <d v="2024-02-13T00:00:00"/>
    <x v="3"/>
    <x v="2"/>
    <x v="0"/>
    <x v="3"/>
    <n v="9"/>
    <n v="47769"/>
    <x v="3948"/>
    <n v="3942"/>
    <n v="425979"/>
    <n v="71019.624219999998"/>
    <x v="0"/>
    <x v="9"/>
  </r>
  <r>
    <n v="13972"/>
    <d v="2024-05-16T00:00:00"/>
    <x v="2"/>
    <x v="0"/>
    <x v="1"/>
    <x v="0"/>
    <n v="6"/>
    <n v="36275"/>
    <x v="3949"/>
    <n v="1771"/>
    <n v="215879"/>
    <n v="35944.507610000001"/>
    <x v="0"/>
    <x v="5"/>
  </r>
  <r>
    <n v="13973"/>
    <d v="2025-02-24T00:00:00"/>
    <x v="3"/>
    <x v="4"/>
    <x v="0"/>
    <x v="0"/>
    <n v="1"/>
    <n v="48766"/>
    <x v="3950"/>
    <n v="1017"/>
    <n v="47749"/>
    <n v="4836.7723640000004"/>
    <x v="1"/>
    <x v="9"/>
  </r>
  <r>
    <n v="13974"/>
    <d v="2024-03-14T00:00:00"/>
    <x v="4"/>
    <x v="4"/>
    <x v="1"/>
    <x v="0"/>
    <n v="3"/>
    <n v="17343"/>
    <x v="3951"/>
    <n v="3692"/>
    <n v="48337"/>
    <n v="9675.6026000000002"/>
    <x v="0"/>
    <x v="1"/>
  </r>
  <r>
    <n v="13975"/>
    <d v="2025-07-01T00:00:00"/>
    <x v="3"/>
    <x v="2"/>
    <x v="1"/>
    <x v="1"/>
    <n v="7"/>
    <n v="35521"/>
    <x v="3952"/>
    <n v="4224"/>
    <n v="244423"/>
    <n v="44174.956420000002"/>
    <x v="1"/>
    <x v="10"/>
  </r>
  <r>
    <n v="13976"/>
    <d v="2025-09-04T00:00:00"/>
    <x v="0"/>
    <x v="3"/>
    <x v="1"/>
    <x v="2"/>
    <n v="7"/>
    <n v="5805"/>
    <x v="3953"/>
    <n v="518"/>
    <n v="40117"/>
    <n v="7005.4081900000001"/>
    <x v="1"/>
    <x v="2"/>
  </r>
  <r>
    <n v="13977"/>
    <d v="2025-05-26T00:00:00"/>
    <x v="3"/>
    <x v="0"/>
    <x v="2"/>
    <x v="3"/>
    <n v="5"/>
    <n v="40868"/>
    <x v="3954"/>
    <n v="2351"/>
    <n v="201989"/>
    <n v="44985.520759999999"/>
    <x v="1"/>
    <x v="5"/>
  </r>
  <r>
    <n v="13978"/>
    <d v="2024-06-04T00:00:00"/>
    <x v="1"/>
    <x v="1"/>
    <x v="0"/>
    <x v="0"/>
    <n v="3"/>
    <n v="39343"/>
    <x v="3955"/>
    <n v="1135"/>
    <n v="116894"/>
    <n v="15917.52355"/>
    <x v="0"/>
    <x v="11"/>
  </r>
  <r>
    <n v="13979"/>
    <d v="2024-09-11T00:00:00"/>
    <x v="0"/>
    <x v="4"/>
    <x v="2"/>
    <x v="1"/>
    <n v="7"/>
    <n v="79327"/>
    <x v="3956"/>
    <n v="2772"/>
    <n v="552517"/>
    <n v="126617.2939"/>
    <x v="0"/>
    <x v="2"/>
  </r>
  <r>
    <n v="13980"/>
    <d v="2024-06-19T00:00:00"/>
    <x v="4"/>
    <x v="2"/>
    <x v="0"/>
    <x v="3"/>
    <n v="5"/>
    <n v="40383"/>
    <x v="3957"/>
    <n v="911"/>
    <n v="201004"/>
    <n v="46173.995560000003"/>
    <x v="0"/>
    <x v="11"/>
  </r>
  <r>
    <n v="13981"/>
    <d v="2025-12-28T00:00:00"/>
    <x v="0"/>
    <x v="3"/>
    <x v="2"/>
    <x v="3"/>
    <n v="6"/>
    <n v="20040"/>
    <x v="3958"/>
    <n v="815"/>
    <n v="119425"/>
    <n v="26754.704809999999"/>
    <x v="1"/>
    <x v="3"/>
  </r>
  <r>
    <n v="13982"/>
    <d v="2024-06-18T00:00:00"/>
    <x v="1"/>
    <x v="3"/>
    <x v="2"/>
    <x v="0"/>
    <n v="3"/>
    <n v="30187"/>
    <x v="3959"/>
    <n v="973"/>
    <n v="89588"/>
    <n v="13546.57158"/>
    <x v="0"/>
    <x v="11"/>
  </r>
  <r>
    <n v="13983"/>
    <d v="2024-11-17T00:00:00"/>
    <x v="4"/>
    <x v="0"/>
    <x v="1"/>
    <x v="3"/>
    <n v="6"/>
    <n v="67678"/>
    <x v="3960"/>
    <n v="1962"/>
    <n v="404106"/>
    <n v="50264.165520000002"/>
    <x v="0"/>
    <x v="7"/>
  </r>
  <r>
    <n v="13984"/>
    <d v="2025-07-20T00:00:00"/>
    <x v="2"/>
    <x v="4"/>
    <x v="1"/>
    <x v="3"/>
    <n v="7"/>
    <n v="31525"/>
    <x v="3961"/>
    <n v="2866"/>
    <n v="217809"/>
    <n v="37305.577649999999"/>
    <x v="1"/>
    <x v="10"/>
  </r>
  <r>
    <n v="13985"/>
    <d v="2025-03-31T00:00:00"/>
    <x v="1"/>
    <x v="0"/>
    <x v="2"/>
    <x v="3"/>
    <n v="8"/>
    <n v="43394"/>
    <x v="3962"/>
    <n v="2410"/>
    <n v="344742"/>
    <n v="47910.918919999996"/>
    <x v="1"/>
    <x v="1"/>
  </r>
  <r>
    <n v="13986"/>
    <d v="2025-08-25T00:00:00"/>
    <x v="4"/>
    <x v="1"/>
    <x v="0"/>
    <x v="0"/>
    <n v="2"/>
    <n v="68989"/>
    <x v="3963"/>
    <n v="3102"/>
    <n v="134876"/>
    <n v="14543.305710000001"/>
    <x v="1"/>
    <x v="6"/>
  </r>
  <r>
    <n v="13987"/>
    <d v="2025-09-04T00:00:00"/>
    <x v="3"/>
    <x v="1"/>
    <x v="0"/>
    <x v="1"/>
    <n v="2"/>
    <n v="44652"/>
    <x v="3964"/>
    <n v="1800"/>
    <n v="87504"/>
    <n v="12418.61159"/>
    <x v="1"/>
    <x v="2"/>
  </r>
  <r>
    <n v="13988"/>
    <d v="2024-06-03T00:00:00"/>
    <x v="0"/>
    <x v="1"/>
    <x v="1"/>
    <x v="3"/>
    <n v="6"/>
    <n v="79402"/>
    <x v="3965"/>
    <n v="808"/>
    <n v="475604"/>
    <n v="81028.295230000003"/>
    <x v="0"/>
    <x v="11"/>
  </r>
  <r>
    <n v="13989"/>
    <d v="2024-12-14T00:00:00"/>
    <x v="4"/>
    <x v="3"/>
    <x v="1"/>
    <x v="1"/>
    <n v="8"/>
    <n v="54200"/>
    <x v="3966"/>
    <n v="569"/>
    <n v="433031"/>
    <n v="50625.797769999997"/>
    <x v="0"/>
    <x v="3"/>
  </r>
  <r>
    <n v="13990"/>
    <d v="2025-03-26T00:00:00"/>
    <x v="0"/>
    <x v="4"/>
    <x v="0"/>
    <x v="3"/>
    <n v="5"/>
    <n v="20015"/>
    <x v="3967"/>
    <n v="969"/>
    <n v="99106"/>
    <n v="23948.970850000002"/>
    <x v="1"/>
    <x v="1"/>
  </r>
  <r>
    <n v="13991"/>
    <d v="2025-10-14T00:00:00"/>
    <x v="3"/>
    <x v="0"/>
    <x v="0"/>
    <x v="0"/>
    <n v="1"/>
    <n v="65911"/>
    <x v="3968"/>
    <n v="4079"/>
    <n v="61832"/>
    <n v="12268.40724"/>
    <x v="1"/>
    <x v="8"/>
  </r>
  <r>
    <n v="13992"/>
    <d v="2024-06-21T00:00:00"/>
    <x v="4"/>
    <x v="0"/>
    <x v="0"/>
    <x v="1"/>
    <n v="1"/>
    <n v="61221"/>
    <x v="3969"/>
    <n v="1879"/>
    <n v="59342"/>
    <n v="7147.8097500000003"/>
    <x v="0"/>
    <x v="11"/>
  </r>
  <r>
    <n v="13993"/>
    <d v="2024-01-10T00:00:00"/>
    <x v="2"/>
    <x v="1"/>
    <x v="1"/>
    <x v="0"/>
    <n v="9"/>
    <n v="25695"/>
    <x v="3970"/>
    <n v="3319"/>
    <n v="227936"/>
    <n v="50558.399850000002"/>
    <x v="0"/>
    <x v="4"/>
  </r>
  <r>
    <n v="13994"/>
    <d v="2024-09-21T00:00:00"/>
    <x v="1"/>
    <x v="4"/>
    <x v="0"/>
    <x v="2"/>
    <n v="4"/>
    <n v="29805"/>
    <x v="3971"/>
    <n v="4705"/>
    <n v="114515"/>
    <n v="27393.504679999998"/>
    <x v="0"/>
    <x v="2"/>
  </r>
  <r>
    <n v="13995"/>
    <d v="2025-03-13T00:00:00"/>
    <x v="4"/>
    <x v="4"/>
    <x v="1"/>
    <x v="3"/>
    <n v="1"/>
    <n v="29190"/>
    <x v="3972"/>
    <n v="387"/>
    <n v="28803"/>
    <n v="4015.6454399999998"/>
    <x v="1"/>
    <x v="1"/>
  </r>
  <r>
    <n v="13996"/>
    <d v="2024-09-03T00:00:00"/>
    <x v="3"/>
    <x v="2"/>
    <x v="2"/>
    <x v="2"/>
    <n v="8"/>
    <n v="12997"/>
    <x v="3973"/>
    <n v="4854"/>
    <n v="99122"/>
    <n v="12042.124970000001"/>
    <x v="0"/>
    <x v="2"/>
  </r>
  <r>
    <n v="13997"/>
    <d v="2025-10-28T00:00:00"/>
    <x v="4"/>
    <x v="4"/>
    <x v="2"/>
    <x v="2"/>
    <n v="2"/>
    <n v="27752"/>
    <x v="3974"/>
    <n v="2489"/>
    <n v="53015"/>
    <n v="7865.9058189999996"/>
    <x v="1"/>
    <x v="8"/>
  </r>
  <r>
    <n v="13998"/>
    <d v="2025-06-29T00:00:00"/>
    <x v="0"/>
    <x v="4"/>
    <x v="2"/>
    <x v="2"/>
    <n v="2"/>
    <n v="23069"/>
    <x v="3975"/>
    <n v="515"/>
    <n v="45623"/>
    <n v="10257.753049999999"/>
    <x v="1"/>
    <x v="11"/>
  </r>
  <r>
    <n v="13999"/>
    <d v="2025-05-13T00:00:00"/>
    <x v="4"/>
    <x v="0"/>
    <x v="0"/>
    <x v="3"/>
    <n v="1"/>
    <n v="66485"/>
    <x v="3976"/>
    <n v="3844"/>
    <n v="62641"/>
    <n v="7909.308481"/>
    <x v="1"/>
    <x v="5"/>
  </r>
  <r>
    <n v="14000"/>
    <d v="2024-05-08T00:00:00"/>
    <x v="2"/>
    <x v="4"/>
    <x v="1"/>
    <x v="0"/>
    <n v="1"/>
    <n v="62291"/>
    <x v="3977"/>
    <n v="2890"/>
    <n v="59401"/>
    <n v="12884.19499"/>
    <x v="0"/>
    <x v="5"/>
  </r>
  <r>
    <n v="14001"/>
    <d v="2025-11-02T00:00:00"/>
    <x v="4"/>
    <x v="4"/>
    <x v="0"/>
    <x v="2"/>
    <n v="9"/>
    <n v="35508"/>
    <x v="3978"/>
    <n v="4140"/>
    <n v="315432"/>
    <n v="65433.05298"/>
    <x v="1"/>
    <x v="7"/>
  </r>
  <r>
    <n v="14002"/>
    <d v="2025-08-23T00:00:00"/>
    <x v="1"/>
    <x v="0"/>
    <x v="1"/>
    <x v="1"/>
    <n v="1"/>
    <n v="56574"/>
    <x v="3979"/>
    <n v="1442"/>
    <n v="55132"/>
    <n v="10899.8724"/>
    <x v="1"/>
    <x v="6"/>
  </r>
  <r>
    <n v="14003"/>
    <d v="2025-08-27T00:00:00"/>
    <x v="4"/>
    <x v="4"/>
    <x v="0"/>
    <x v="3"/>
    <n v="6"/>
    <n v="56902"/>
    <x v="3980"/>
    <n v="722"/>
    <n v="340690"/>
    <n v="56213.040829999998"/>
    <x v="1"/>
    <x v="6"/>
  </r>
  <r>
    <n v="14004"/>
    <d v="2024-11-22T00:00:00"/>
    <x v="0"/>
    <x v="0"/>
    <x v="2"/>
    <x v="0"/>
    <n v="7"/>
    <n v="67426"/>
    <x v="3981"/>
    <n v="755"/>
    <n v="471227"/>
    <n v="73047.509019999998"/>
    <x v="0"/>
    <x v="7"/>
  </r>
  <r>
    <n v="14005"/>
    <d v="2025-02-07T00:00:00"/>
    <x v="4"/>
    <x v="2"/>
    <x v="1"/>
    <x v="0"/>
    <n v="4"/>
    <n v="13524"/>
    <x v="3982"/>
    <n v="2250"/>
    <n v="51846"/>
    <n v="5847.6427489999996"/>
    <x v="1"/>
    <x v="9"/>
  </r>
  <r>
    <n v="14006"/>
    <d v="2025-09-20T00:00:00"/>
    <x v="2"/>
    <x v="3"/>
    <x v="0"/>
    <x v="2"/>
    <n v="5"/>
    <n v="15071"/>
    <x v="3983"/>
    <n v="1908"/>
    <n v="73447"/>
    <n v="11281.706550000001"/>
    <x v="1"/>
    <x v="2"/>
  </r>
  <r>
    <n v="14007"/>
    <d v="2025-08-28T00:00:00"/>
    <x v="3"/>
    <x v="0"/>
    <x v="1"/>
    <x v="3"/>
    <n v="4"/>
    <n v="46466"/>
    <x v="3984"/>
    <n v="2586"/>
    <n v="183278"/>
    <n v="34873.454380000003"/>
    <x v="1"/>
    <x v="6"/>
  </r>
  <r>
    <n v="14008"/>
    <d v="2025-11-05T00:00:00"/>
    <x v="4"/>
    <x v="0"/>
    <x v="1"/>
    <x v="2"/>
    <n v="4"/>
    <n v="55094"/>
    <x v="3985"/>
    <n v="385"/>
    <n v="219991"/>
    <n v="51638.791550000002"/>
    <x v="1"/>
    <x v="7"/>
  </r>
  <r>
    <n v="14009"/>
    <d v="2025-09-02T00:00:00"/>
    <x v="4"/>
    <x v="4"/>
    <x v="0"/>
    <x v="1"/>
    <n v="1"/>
    <n v="45239"/>
    <x v="3986"/>
    <n v="3015"/>
    <n v="42224"/>
    <n v="9499.0775749999993"/>
    <x v="1"/>
    <x v="2"/>
  </r>
  <r>
    <n v="14010"/>
    <d v="2025-09-16T00:00:00"/>
    <x v="1"/>
    <x v="0"/>
    <x v="0"/>
    <x v="0"/>
    <n v="6"/>
    <n v="52560"/>
    <x v="3987"/>
    <n v="4455"/>
    <n v="310905"/>
    <n v="32592.904740000002"/>
    <x v="1"/>
    <x v="2"/>
  </r>
  <r>
    <n v="14011"/>
    <d v="2024-12-24T00:00:00"/>
    <x v="2"/>
    <x v="1"/>
    <x v="1"/>
    <x v="0"/>
    <n v="7"/>
    <n v="50924"/>
    <x v="3988"/>
    <n v="4087"/>
    <n v="352381"/>
    <n v="42577.996879999999"/>
    <x v="0"/>
    <x v="3"/>
  </r>
  <r>
    <n v="14012"/>
    <d v="2025-08-25T00:00:00"/>
    <x v="3"/>
    <x v="1"/>
    <x v="1"/>
    <x v="3"/>
    <n v="7"/>
    <n v="59542"/>
    <x v="3989"/>
    <n v="1491"/>
    <n v="415303"/>
    <n v="94387.240420000002"/>
    <x v="1"/>
    <x v="6"/>
  </r>
  <r>
    <n v="14013"/>
    <d v="2025-12-18T00:00:00"/>
    <x v="0"/>
    <x v="2"/>
    <x v="2"/>
    <x v="0"/>
    <n v="8"/>
    <n v="54264"/>
    <x v="3990"/>
    <n v="1967"/>
    <n v="432145"/>
    <n v="104102.7602"/>
    <x v="1"/>
    <x v="3"/>
  </r>
  <r>
    <n v="14014"/>
    <d v="2024-01-17T00:00:00"/>
    <x v="4"/>
    <x v="0"/>
    <x v="1"/>
    <x v="3"/>
    <n v="7"/>
    <n v="72799"/>
    <x v="3991"/>
    <n v="4300"/>
    <n v="505293"/>
    <n v="54759.272779999999"/>
    <x v="0"/>
    <x v="4"/>
  </r>
  <r>
    <n v="14015"/>
    <d v="2024-09-30T00:00:00"/>
    <x v="3"/>
    <x v="4"/>
    <x v="2"/>
    <x v="2"/>
    <n v="6"/>
    <n v="43022"/>
    <x v="3992"/>
    <n v="3318"/>
    <n v="254814"/>
    <n v="52284.726519999997"/>
    <x v="0"/>
    <x v="2"/>
  </r>
  <r>
    <n v="14016"/>
    <d v="2025-11-15T00:00:00"/>
    <x v="0"/>
    <x v="4"/>
    <x v="2"/>
    <x v="1"/>
    <n v="8"/>
    <n v="40579"/>
    <x v="3993"/>
    <n v="3038"/>
    <n v="321594"/>
    <n v="49802.03628"/>
    <x v="1"/>
    <x v="7"/>
  </r>
  <r>
    <n v="14017"/>
    <d v="2024-04-25T00:00:00"/>
    <x v="2"/>
    <x v="3"/>
    <x v="2"/>
    <x v="3"/>
    <n v="3"/>
    <n v="17571"/>
    <x v="3994"/>
    <n v="1072"/>
    <n v="51641"/>
    <n v="7985.9468999999999"/>
    <x v="0"/>
    <x v="0"/>
  </r>
  <r>
    <n v="14018"/>
    <d v="2025-11-23T00:00:00"/>
    <x v="2"/>
    <x v="2"/>
    <x v="1"/>
    <x v="2"/>
    <n v="9"/>
    <n v="53225"/>
    <x v="3995"/>
    <n v="4461"/>
    <n v="474564"/>
    <n v="93204.549400000004"/>
    <x v="1"/>
    <x v="7"/>
  </r>
  <r>
    <n v="14019"/>
    <d v="2024-03-31T00:00:00"/>
    <x v="3"/>
    <x v="4"/>
    <x v="2"/>
    <x v="1"/>
    <n v="3"/>
    <n v="12227"/>
    <x v="3996"/>
    <n v="2300"/>
    <n v="34381"/>
    <n v="7616.5058980000003"/>
    <x v="0"/>
    <x v="1"/>
  </r>
  <r>
    <n v="14020"/>
    <d v="2024-03-22T00:00:00"/>
    <x v="0"/>
    <x v="3"/>
    <x v="1"/>
    <x v="0"/>
    <n v="4"/>
    <n v="46189"/>
    <x v="3997"/>
    <n v="768"/>
    <n v="183988"/>
    <n v="25983.8217"/>
    <x v="0"/>
    <x v="1"/>
  </r>
  <r>
    <n v="14021"/>
    <d v="2024-11-19T00:00:00"/>
    <x v="2"/>
    <x v="4"/>
    <x v="1"/>
    <x v="1"/>
    <n v="6"/>
    <n v="19207"/>
    <x v="3998"/>
    <n v="2679"/>
    <n v="112563"/>
    <n v="23165.82015"/>
    <x v="0"/>
    <x v="7"/>
  </r>
  <r>
    <n v="14022"/>
    <d v="2024-04-23T00:00:00"/>
    <x v="3"/>
    <x v="3"/>
    <x v="0"/>
    <x v="1"/>
    <n v="8"/>
    <n v="58406"/>
    <x v="3999"/>
    <n v="986"/>
    <n v="466262"/>
    <n v="91098.943920000005"/>
    <x v="0"/>
    <x v="0"/>
  </r>
  <r>
    <n v="14023"/>
    <d v="2024-02-27T00:00:00"/>
    <x v="2"/>
    <x v="1"/>
    <x v="1"/>
    <x v="1"/>
    <n v="3"/>
    <n v="46783"/>
    <x v="4000"/>
    <n v="4512"/>
    <n v="135837"/>
    <n v="24124.39301"/>
    <x v="0"/>
    <x v="9"/>
  </r>
  <r>
    <n v="14024"/>
    <d v="2024-06-02T00:00:00"/>
    <x v="2"/>
    <x v="1"/>
    <x v="1"/>
    <x v="0"/>
    <n v="6"/>
    <n v="33879"/>
    <x v="4001"/>
    <n v="3106"/>
    <n v="200168"/>
    <n v="38104.75359"/>
    <x v="0"/>
    <x v="11"/>
  </r>
  <r>
    <n v="14025"/>
    <d v="2025-02-07T00:00:00"/>
    <x v="2"/>
    <x v="4"/>
    <x v="2"/>
    <x v="3"/>
    <n v="5"/>
    <n v="33845"/>
    <x v="4002"/>
    <n v="2359"/>
    <n v="166866"/>
    <n v="17138.47437"/>
    <x v="1"/>
    <x v="9"/>
  </r>
  <r>
    <n v="14026"/>
    <d v="2025-09-19T00:00:00"/>
    <x v="1"/>
    <x v="2"/>
    <x v="1"/>
    <x v="3"/>
    <n v="5"/>
    <n v="15015"/>
    <x v="4003"/>
    <n v="196"/>
    <n v="74879"/>
    <n v="7533.5679149999996"/>
    <x v="1"/>
    <x v="2"/>
  </r>
  <r>
    <n v="14027"/>
    <d v="2024-09-22T00:00:00"/>
    <x v="0"/>
    <x v="0"/>
    <x v="1"/>
    <x v="1"/>
    <n v="5"/>
    <n v="26496"/>
    <x v="4004"/>
    <n v="3044"/>
    <n v="129436"/>
    <n v="23630.58495"/>
    <x v="0"/>
    <x v="2"/>
  </r>
  <r>
    <n v="14028"/>
    <d v="2024-11-10T00:00:00"/>
    <x v="3"/>
    <x v="2"/>
    <x v="0"/>
    <x v="2"/>
    <n v="9"/>
    <n v="5707"/>
    <x v="4005"/>
    <n v="2307"/>
    <n v="49056"/>
    <n v="8762.1997269999993"/>
    <x v="0"/>
    <x v="7"/>
  </r>
  <r>
    <n v="14029"/>
    <d v="2025-12-15T00:00:00"/>
    <x v="3"/>
    <x v="2"/>
    <x v="0"/>
    <x v="2"/>
    <n v="7"/>
    <n v="22767"/>
    <x v="4006"/>
    <n v="1389"/>
    <n v="157980"/>
    <n v="17488.430359999998"/>
    <x v="1"/>
    <x v="3"/>
  </r>
  <r>
    <n v="14030"/>
    <d v="2024-02-10T00:00:00"/>
    <x v="0"/>
    <x v="0"/>
    <x v="2"/>
    <x v="1"/>
    <n v="9"/>
    <n v="31467"/>
    <x v="4007"/>
    <n v="3558"/>
    <n v="279645"/>
    <n v="48603.405319999998"/>
    <x v="0"/>
    <x v="9"/>
  </r>
  <r>
    <n v="14031"/>
    <d v="2024-04-14T00:00:00"/>
    <x v="0"/>
    <x v="1"/>
    <x v="2"/>
    <x v="1"/>
    <n v="9"/>
    <n v="12118"/>
    <x v="4008"/>
    <n v="2581"/>
    <n v="106481"/>
    <n v="22747.463220000001"/>
    <x v="0"/>
    <x v="0"/>
  </r>
  <r>
    <n v="14032"/>
    <d v="2024-07-11T00:00:00"/>
    <x v="0"/>
    <x v="1"/>
    <x v="0"/>
    <x v="2"/>
    <n v="6"/>
    <n v="68884"/>
    <x v="4009"/>
    <n v="2071"/>
    <n v="411233"/>
    <n v="74507.345700000005"/>
    <x v="0"/>
    <x v="10"/>
  </r>
  <r>
    <n v="14033"/>
    <d v="2025-02-04T00:00:00"/>
    <x v="0"/>
    <x v="0"/>
    <x v="0"/>
    <x v="1"/>
    <n v="6"/>
    <n v="16213"/>
    <x v="4010"/>
    <n v="2990"/>
    <n v="94288"/>
    <n v="16749.522440000001"/>
    <x v="1"/>
    <x v="9"/>
  </r>
  <r>
    <n v="14034"/>
    <d v="2024-10-04T00:00:00"/>
    <x v="4"/>
    <x v="3"/>
    <x v="1"/>
    <x v="1"/>
    <n v="4"/>
    <n v="13868"/>
    <x v="4011"/>
    <n v="1669"/>
    <n v="53803"/>
    <n v="11174.14428"/>
    <x v="0"/>
    <x v="8"/>
  </r>
  <r>
    <n v="14035"/>
    <d v="2024-12-19T00:00:00"/>
    <x v="3"/>
    <x v="2"/>
    <x v="2"/>
    <x v="3"/>
    <n v="8"/>
    <n v="56716"/>
    <x v="4012"/>
    <n v="1417"/>
    <n v="452311"/>
    <n v="56890.153760000001"/>
    <x v="0"/>
    <x v="3"/>
  </r>
  <r>
    <n v="14036"/>
    <d v="2025-08-02T00:00:00"/>
    <x v="4"/>
    <x v="4"/>
    <x v="2"/>
    <x v="3"/>
    <n v="2"/>
    <n v="47523"/>
    <x v="4013"/>
    <n v="2726"/>
    <n v="92320"/>
    <n v="15567.190409999999"/>
    <x v="1"/>
    <x v="6"/>
  </r>
  <r>
    <n v="14037"/>
    <d v="2025-12-09T00:00:00"/>
    <x v="2"/>
    <x v="1"/>
    <x v="1"/>
    <x v="1"/>
    <n v="5"/>
    <n v="39028"/>
    <x v="4014"/>
    <n v="4132"/>
    <n v="191008"/>
    <n v="23342.549330000002"/>
    <x v="1"/>
    <x v="3"/>
  </r>
  <r>
    <n v="14038"/>
    <d v="2024-09-12T00:00:00"/>
    <x v="2"/>
    <x v="4"/>
    <x v="1"/>
    <x v="1"/>
    <n v="1"/>
    <n v="15545"/>
    <x v="4015"/>
    <n v="2869"/>
    <n v="12676"/>
    <n v="2263.6299410000001"/>
    <x v="0"/>
    <x v="2"/>
  </r>
  <r>
    <n v="14039"/>
    <d v="2025-10-12T00:00:00"/>
    <x v="3"/>
    <x v="0"/>
    <x v="2"/>
    <x v="0"/>
    <n v="2"/>
    <n v="5357"/>
    <x v="4016"/>
    <n v="1586"/>
    <n v="9128"/>
    <n v="1723.2862090000001"/>
    <x v="1"/>
    <x v="8"/>
  </r>
  <r>
    <n v="14040"/>
    <d v="2025-10-22T00:00:00"/>
    <x v="2"/>
    <x v="4"/>
    <x v="0"/>
    <x v="3"/>
    <n v="1"/>
    <n v="26788"/>
    <x v="4017"/>
    <n v="4667"/>
    <n v="22121"/>
    <n v="2615.8302659999999"/>
    <x v="1"/>
    <x v="8"/>
  </r>
  <r>
    <n v="14041"/>
    <d v="2024-04-08T00:00:00"/>
    <x v="0"/>
    <x v="4"/>
    <x v="0"/>
    <x v="1"/>
    <n v="6"/>
    <n v="21802"/>
    <x v="4018"/>
    <n v="4402"/>
    <n v="126410"/>
    <n v="14072.881429999999"/>
    <x v="0"/>
    <x v="0"/>
  </r>
  <r>
    <n v="14042"/>
    <d v="2025-08-10T00:00:00"/>
    <x v="4"/>
    <x v="2"/>
    <x v="1"/>
    <x v="0"/>
    <n v="2"/>
    <n v="59739"/>
    <x v="4019"/>
    <n v="4400"/>
    <n v="115078"/>
    <n v="14385.905570000001"/>
    <x v="1"/>
    <x v="6"/>
  </r>
  <r>
    <n v="14043"/>
    <d v="2024-10-08T00:00:00"/>
    <x v="0"/>
    <x v="0"/>
    <x v="2"/>
    <x v="0"/>
    <n v="4"/>
    <n v="6593"/>
    <x v="1749"/>
    <n v="2226"/>
    <n v="24146"/>
    <n v="4538.2562379999999"/>
    <x v="0"/>
    <x v="8"/>
  </r>
  <r>
    <n v="14044"/>
    <d v="2025-02-06T00:00:00"/>
    <x v="2"/>
    <x v="4"/>
    <x v="1"/>
    <x v="0"/>
    <n v="5"/>
    <n v="9602"/>
    <x v="4020"/>
    <n v="3736"/>
    <n v="44274"/>
    <n v="5686.679811"/>
    <x v="1"/>
    <x v="9"/>
  </r>
  <r>
    <n v="14045"/>
    <d v="2024-04-18T00:00:00"/>
    <x v="4"/>
    <x v="1"/>
    <x v="0"/>
    <x v="0"/>
    <n v="7"/>
    <n v="15943"/>
    <x v="4021"/>
    <n v="931"/>
    <n v="110670"/>
    <n v="15636.17657"/>
    <x v="0"/>
    <x v="0"/>
  </r>
  <r>
    <n v="14046"/>
    <d v="2025-11-30T00:00:00"/>
    <x v="0"/>
    <x v="0"/>
    <x v="0"/>
    <x v="3"/>
    <n v="1"/>
    <n v="38012"/>
    <x v="4022"/>
    <n v="1542"/>
    <n v="36470"/>
    <n v="7490.277599"/>
    <x v="1"/>
    <x v="7"/>
  </r>
  <r>
    <n v="14047"/>
    <d v="2024-07-17T00:00:00"/>
    <x v="3"/>
    <x v="1"/>
    <x v="1"/>
    <x v="0"/>
    <n v="5"/>
    <n v="75108"/>
    <x v="4023"/>
    <n v="1992"/>
    <n v="373548"/>
    <n v="51270.107020000003"/>
    <x v="0"/>
    <x v="10"/>
  </r>
  <r>
    <n v="14048"/>
    <d v="2024-10-29T00:00:00"/>
    <x v="0"/>
    <x v="3"/>
    <x v="0"/>
    <x v="3"/>
    <n v="4"/>
    <n v="21250"/>
    <x v="4024"/>
    <n v="3706"/>
    <n v="81294"/>
    <n v="12976.88386"/>
    <x v="0"/>
    <x v="8"/>
  </r>
  <r>
    <n v="14049"/>
    <d v="2024-11-22T00:00:00"/>
    <x v="2"/>
    <x v="4"/>
    <x v="2"/>
    <x v="0"/>
    <n v="7"/>
    <n v="49053"/>
    <x v="4025"/>
    <n v="4059"/>
    <n v="339312"/>
    <n v="81206.4565"/>
    <x v="0"/>
    <x v="7"/>
  </r>
  <r>
    <n v="14050"/>
    <d v="2024-06-02T00:00:00"/>
    <x v="4"/>
    <x v="0"/>
    <x v="1"/>
    <x v="0"/>
    <n v="7"/>
    <n v="44388"/>
    <x v="4026"/>
    <n v="3549"/>
    <n v="307167"/>
    <n v="68728.460120000003"/>
    <x v="0"/>
    <x v="11"/>
  </r>
  <r>
    <n v="14051"/>
    <d v="2025-07-05T00:00:00"/>
    <x v="3"/>
    <x v="1"/>
    <x v="1"/>
    <x v="2"/>
    <n v="8"/>
    <n v="76405"/>
    <x v="4027"/>
    <n v="3144"/>
    <n v="608096"/>
    <n v="84112.348010000002"/>
    <x v="1"/>
    <x v="10"/>
  </r>
  <r>
    <n v="14052"/>
    <d v="2025-10-06T00:00:00"/>
    <x v="4"/>
    <x v="4"/>
    <x v="1"/>
    <x v="3"/>
    <n v="4"/>
    <n v="76507"/>
    <x v="4028"/>
    <n v="4892"/>
    <n v="301136"/>
    <n v="57106.337979999997"/>
    <x v="1"/>
    <x v="8"/>
  </r>
  <r>
    <n v="14053"/>
    <d v="2025-02-08T00:00:00"/>
    <x v="3"/>
    <x v="2"/>
    <x v="0"/>
    <x v="2"/>
    <n v="4"/>
    <n v="54662"/>
    <x v="4029"/>
    <n v="1534"/>
    <n v="217114"/>
    <n v="43394.719210000003"/>
    <x v="1"/>
    <x v="9"/>
  </r>
  <r>
    <n v="14054"/>
    <d v="2025-04-06T00:00:00"/>
    <x v="4"/>
    <x v="1"/>
    <x v="2"/>
    <x v="2"/>
    <n v="5"/>
    <n v="66311"/>
    <x v="4030"/>
    <n v="3136"/>
    <n v="328419"/>
    <n v="77190.362460000004"/>
    <x v="1"/>
    <x v="0"/>
  </r>
  <r>
    <n v="14055"/>
    <d v="2024-05-11T00:00:00"/>
    <x v="2"/>
    <x v="1"/>
    <x v="1"/>
    <x v="0"/>
    <n v="5"/>
    <n v="76504"/>
    <x v="4031"/>
    <n v="4842"/>
    <n v="377678"/>
    <n v="68782.754190000007"/>
    <x v="0"/>
    <x v="5"/>
  </r>
  <r>
    <n v="14056"/>
    <d v="2024-03-24T00:00:00"/>
    <x v="3"/>
    <x v="3"/>
    <x v="1"/>
    <x v="3"/>
    <n v="3"/>
    <n v="61657"/>
    <x v="4032"/>
    <n v="2674"/>
    <n v="182297"/>
    <n v="33577.837090000001"/>
    <x v="0"/>
    <x v="1"/>
  </r>
  <r>
    <n v="14057"/>
    <d v="2025-02-02T00:00:00"/>
    <x v="1"/>
    <x v="2"/>
    <x v="0"/>
    <x v="1"/>
    <n v="5"/>
    <n v="78183"/>
    <x v="4033"/>
    <n v="4548"/>
    <n v="386367"/>
    <n v="90126.702680000002"/>
    <x v="1"/>
    <x v="9"/>
  </r>
  <r>
    <n v="14058"/>
    <d v="2025-09-19T00:00:00"/>
    <x v="4"/>
    <x v="3"/>
    <x v="2"/>
    <x v="0"/>
    <n v="5"/>
    <n v="30499"/>
    <x v="4034"/>
    <n v="4926"/>
    <n v="147569"/>
    <n v="15960.659180000001"/>
    <x v="1"/>
    <x v="2"/>
  </r>
  <r>
    <n v="14059"/>
    <d v="2024-04-18T00:00:00"/>
    <x v="4"/>
    <x v="2"/>
    <x v="1"/>
    <x v="3"/>
    <n v="8"/>
    <n v="36785"/>
    <x v="4035"/>
    <n v="4853"/>
    <n v="289427"/>
    <n v="56212.858780000002"/>
    <x v="0"/>
    <x v="0"/>
  </r>
  <r>
    <n v="14060"/>
    <d v="2024-08-08T00:00:00"/>
    <x v="0"/>
    <x v="1"/>
    <x v="0"/>
    <x v="2"/>
    <n v="7"/>
    <n v="79536"/>
    <x v="4036"/>
    <n v="860"/>
    <n v="555892"/>
    <n v="90330.994099999996"/>
    <x v="0"/>
    <x v="6"/>
  </r>
  <r>
    <n v="14061"/>
    <d v="2025-07-06T00:00:00"/>
    <x v="3"/>
    <x v="3"/>
    <x v="1"/>
    <x v="3"/>
    <n v="8"/>
    <n v="57030"/>
    <x v="4037"/>
    <n v="1552"/>
    <n v="454688"/>
    <n v="107517.5741"/>
    <x v="1"/>
    <x v="10"/>
  </r>
  <r>
    <n v="14062"/>
    <d v="2025-01-02T00:00:00"/>
    <x v="1"/>
    <x v="4"/>
    <x v="0"/>
    <x v="0"/>
    <n v="5"/>
    <n v="42909"/>
    <x v="4038"/>
    <n v="4914"/>
    <n v="209631"/>
    <n v="51166.952649999999"/>
    <x v="1"/>
    <x v="4"/>
  </r>
  <r>
    <n v="14063"/>
    <d v="2024-05-26T00:00:00"/>
    <x v="2"/>
    <x v="2"/>
    <x v="2"/>
    <x v="3"/>
    <n v="2"/>
    <n v="39894"/>
    <x v="3865"/>
    <n v="1392"/>
    <n v="78396"/>
    <n v="9841.6056790000002"/>
    <x v="0"/>
    <x v="5"/>
  </r>
  <r>
    <n v="14064"/>
    <d v="2024-04-21T00:00:00"/>
    <x v="0"/>
    <x v="1"/>
    <x v="0"/>
    <x v="2"/>
    <n v="8"/>
    <n v="77006"/>
    <x v="4039"/>
    <n v="1879"/>
    <n v="614169"/>
    <n v="87347.281369999997"/>
    <x v="0"/>
    <x v="0"/>
  </r>
  <r>
    <n v="14065"/>
    <d v="2025-09-06T00:00:00"/>
    <x v="1"/>
    <x v="0"/>
    <x v="1"/>
    <x v="3"/>
    <n v="9"/>
    <n v="20473"/>
    <x v="4040"/>
    <n v="380"/>
    <n v="183877"/>
    <n v="25930.092820000002"/>
    <x v="1"/>
    <x v="2"/>
  </r>
  <r>
    <n v="14066"/>
    <d v="2025-07-11T00:00:00"/>
    <x v="3"/>
    <x v="2"/>
    <x v="1"/>
    <x v="3"/>
    <n v="2"/>
    <n v="25063"/>
    <x v="4041"/>
    <n v="648"/>
    <n v="49478"/>
    <n v="5694.6280610000003"/>
    <x v="1"/>
    <x v="10"/>
  </r>
  <r>
    <n v="14067"/>
    <d v="2025-05-08T00:00:00"/>
    <x v="1"/>
    <x v="2"/>
    <x v="0"/>
    <x v="2"/>
    <n v="1"/>
    <n v="16850"/>
    <x v="4042"/>
    <n v="4341"/>
    <n v="12509"/>
    <n v="2157.0717970000001"/>
    <x v="1"/>
    <x v="5"/>
  </r>
  <r>
    <n v="14068"/>
    <d v="2025-05-19T00:00:00"/>
    <x v="4"/>
    <x v="4"/>
    <x v="2"/>
    <x v="0"/>
    <n v="6"/>
    <n v="5984"/>
    <x v="4043"/>
    <n v="3621"/>
    <n v="32283"/>
    <n v="5712.8710769999998"/>
    <x v="1"/>
    <x v="5"/>
  </r>
  <r>
    <n v="14069"/>
    <d v="2025-04-19T00:00:00"/>
    <x v="4"/>
    <x v="2"/>
    <x v="2"/>
    <x v="1"/>
    <n v="3"/>
    <n v="55450"/>
    <x v="4044"/>
    <n v="4660"/>
    <n v="161690"/>
    <n v="30065.728220000001"/>
    <x v="1"/>
    <x v="0"/>
  </r>
  <r>
    <n v="14070"/>
    <d v="2024-09-27T00:00:00"/>
    <x v="0"/>
    <x v="2"/>
    <x v="1"/>
    <x v="2"/>
    <n v="1"/>
    <n v="61700"/>
    <x v="4045"/>
    <n v="3417"/>
    <n v="58283"/>
    <n v="11624.18037"/>
    <x v="0"/>
    <x v="2"/>
  </r>
  <r>
    <n v="14071"/>
    <d v="2025-02-24T00:00:00"/>
    <x v="3"/>
    <x v="4"/>
    <x v="1"/>
    <x v="2"/>
    <n v="6"/>
    <n v="77723"/>
    <x v="4046"/>
    <n v="820"/>
    <n v="465518"/>
    <n v="50945.180999999997"/>
    <x v="1"/>
    <x v="9"/>
  </r>
  <r>
    <n v="14072"/>
    <d v="2025-12-07T00:00:00"/>
    <x v="3"/>
    <x v="4"/>
    <x v="0"/>
    <x v="0"/>
    <n v="8"/>
    <n v="25339"/>
    <x v="4047"/>
    <n v="471"/>
    <n v="202241"/>
    <n v="39107.854220000001"/>
    <x v="1"/>
    <x v="3"/>
  </r>
  <r>
    <n v="14073"/>
    <d v="2025-01-01T00:00:00"/>
    <x v="1"/>
    <x v="3"/>
    <x v="0"/>
    <x v="0"/>
    <n v="9"/>
    <n v="43481"/>
    <x v="4048"/>
    <n v="2016"/>
    <n v="389313"/>
    <n v="92294.975309999994"/>
    <x v="1"/>
    <x v="4"/>
  </r>
  <r>
    <n v="14074"/>
    <d v="2024-10-06T00:00:00"/>
    <x v="0"/>
    <x v="1"/>
    <x v="0"/>
    <x v="3"/>
    <n v="6"/>
    <n v="69351"/>
    <x v="4049"/>
    <n v="121"/>
    <n v="415985"/>
    <n v="69988.913360000006"/>
    <x v="0"/>
    <x v="8"/>
  </r>
  <r>
    <n v="14075"/>
    <d v="2024-10-09T00:00:00"/>
    <x v="3"/>
    <x v="1"/>
    <x v="2"/>
    <x v="2"/>
    <n v="6"/>
    <n v="57839"/>
    <x v="4050"/>
    <n v="4876"/>
    <n v="342158"/>
    <n v="39692.677430000003"/>
    <x v="0"/>
    <x v="8"/>
  </r>
  <r>
    <n v="14076"/>
    <d v="2024-02-09T00:00:00"/>
    <x v="4"/>
    <x v="3"/>
    <x v="2"/>
    <x v="3"/>
    <n v="1"/>
    <n v="69236"/>
    <x v="4051"/>
    <n v="2795"/>
    <n v="66441"/>
    <n v="7500.6310620000004"/>
    <x v="0"/>
    <x v="9"/>
  </r>
  <r>
    <n v="14077"/>
    <d v="2024-07-07T00:00:00"/>
    <x v="1"/>
    <x v="1"/>
    <x v="1"/>
    <x v="3"/>
    <n v="5"/>
    <n v="53287"/>
    <x v="4052"/>
    <n v="4216"/>
    <n v="262219"/>
    <n v="37304.019489999999"/>
    <x v="0"/>
    <x v="10"/>
  </r>
  <r>
    <n v="14078"/>
    <d v="2024-06-12T00:00:00"/>
    <x v="2"/>
    <x v="2"/>
    <x v="1"/>
    <x v="0"/>
    <n v="3"/>
    <n v="65306"/>
    <x v="4053"/>
    <n v="2186"/>
    <n v="193732"/>
    <n v="41241.415139999997"/>
    <x v="0"/>
    <x v="11"/>
  </r>
  <r>
    <n v="14079"/>
    <d v="2025-06-19T00:00:00"/>
    <x v="4"/>
    <x v="3"/>
    <x v="1"/>
    <x v="0"/>
    <n v="7"/>
    <n v="57197"/>
    <x v="4054"/>
    <n v="2134"/>
    <n v="398245"/>
    <n v="55415.771159999997"/>
    <x v="1"/>
    <x v="11"/>
  </r>
  <r>
    <n v="14080"/>
    <d v="2025-06-19T00:00:00"/>
    <x v="0"/>
    <x v="3"/>
    <x v="0"/>
    <x v="3"/>
    <n v="9"/>
    <n v="30435"/>
    <x v="4055"/>
    <n v="2177"/>
    <n v="271738"/>
    <n v="60366.498019999999"/>
    <x v="1"/>
    <x v="11"/>
  </r>
  <r>
    <n v="14081"/>
    <d v="2024-01-04T00:00:00"/>
    <x v="3"/>
    <x v="1"/>
    <x v="2"/>
    <x v="2"/>
    <n v="6"/>
    <n v="72621"/>
    <x v="4056"/>
    <n v="2299"/>
    <n v="433427"/>
    <n v="96632.060759999993"/>
    <x v="0"/>
    <x v="4"/>
  </r>
  <r>
    <n v="14082"/>
    <d v="2024-10-16T00:00:00"/>
    <x v="4"/>
    <x v="0"/>
    <x v="1"/>
    <x v="2"/>
    <n v="5"/>
    <n v="35837"/>
    <x v="4057"/>
    <n v="1383"/>
    <n v="177802"/>
    <n v="29971.509849999999"/>
    <x v="0"/>
    <x v="8"/>
  </r>
  <r>
    <n v="14083"/>
    <d v="2025-03-08T00:00:00"/>
    <x v="2"/>
    <x v="1"/>
    <x v="1"/>
    <x v="3"/>
    <n v="7"/>
    <n v="40495"/>
    <x v="4058"/>
    <n v="3501"/>
    <n v="279964"/>
    <n v="40627.907140000003"/>
    <x v="1"/>
    <x v="1"/>
  </r>
  <r>
    <n v="14084"/>
    <d v="2025-04-15T00:00:00"/>
    <x v="2"/>
    <x v="0"/>
    <x v="1"/>
    <x v="1"/>
    <n v="9"/>
    <n v="44760"/>
    <x v="4059"/>
    <n v="4142"/>
    <n v="398698"/>
    <n v="75613.104770000005"/>
    <x v="1"/>
    <x v="0"/>
  </r>
  <r>
    <n v="14085"/>
    <d v="2024-06-29T00:00:00"/>
    <x v="0"/>
    <x v="3"/>
    <x v="1"/>
    <x v="1"/>
    <n v="5"/>
    <n v="27084"/>
    <x v="4060"/>
    <n v="1968"/>
    <n v="133452"/>
    <n v="29570.23042"/>
    <x v="0"/>
    <x v="11"/>
  </r>
  <r>
    <n v="14086"/>
    <d v="2024-09-04T00:00:00"/>
    <x v="4"/>
    <x v="0"/>
    <x v="1"/>
    <x v="0"/>
    <n v="5"/>
    <n v="42458"/>
    <x v="4061"/>
    <n v="3662"/>
    <n v="208628"/>
    <n v="22883.491470000001"/>
    <x v="0"/>
    <x v="2"/>
  </r>
  <r>
    <n v="14087"/>
    <d v="2025-09-19T00:00:00"/>
    <x v="1"/>
    <x v="2"/>
    <x v="1"/>
    <x v="2"/>
    <n v="4"/>
    <n v="56946"/>
    <x v="4062"/>
    <n v="1833"/>
    <n v="225951"/>
    <n v="54909.150459999997"/>
    <x v="1"/>
    <x v="2"/>
  </r>
  <r>
    <n v="14088"/>
    <d v="2024-10-05T00:00:00"/>
    <x v="4"/>
    <x v="4"/>
    <x v="2"/>
    <x v="3"/>
    <n v="5"/>
    <n v="71601"/>
    <x v="4063"/>
    <n v="3947"/>
    <n v="354058"/>
    <n v="69708.723929999993"/>
    <x v="0"/>
    <x v="8"/>
  </r>
  <r>
    <n v="14089"/>
    <d v="2025-08-03T00:00:00"/>
    <x v="2"/>
    <x v="0"/>
    <x v="1"/>
    <x v="3"/>
    <n v="7"/>
    <n v="74218"/>
    <x v="2660"/>
    <n v="2472"/>
    <n v="517054"/>
    <n v="82584.983500000002"/>
    <x v="1"/>
    <x v="6"/>
  </r>
  <r>
    <n v="14090"/>
    <d v="2024-09-10T00:00:00"/>
    <x v="0"/>
    <x v="4"/>
    <x v="2"/>
    <x v="2"/>
    <n v="3"/>
    <n v="64351"/>
    <x v="4064"/>
    <n v="4826"/>
    <n v="188227"/>
    <n v="33109.672400000003"/>
    <x v="0"/>
    <x v="2"/>
  </r>
  <r>
    <n v="14091"/>
    <d v="2024-06-29T00:00:00"/>
    <x v="0"/>
    <x v="2"/>
    <x v="0"/>
    <x v="0"/>
    <n v="4"/>
    <n v="52561"/>
    <x v="4065"/>
    <n v="4206"/>
    <n v="206038"/>
    <n v="32520.80603"/>
    <x v="0"/>
    <x v="11"/>
  </r>
  <r>
    <n v="14092"/>
    <d v="2025-11-11T00:00:00"/>
    <x v="1"/>
    <x v="4"/>
    <x v="2"/>
    <x v="0"/>
    <n v="9"/>
    <n v="55203"/>
    <x v="4066"/>
    <n v="1250"/>
    <n v="495577"/>
    <n v="80229.780400000003"/>
    <x v="1"/>
    <x v="7"/>
  </r>
  <r>
    <n v="14093"/>
    <d v="2025-05-23T00:00:00"/>
    <x v="0"/>
    <x v="2"/>
    <x v="0"/>
    <x v="1"/>
    <n v="2"/>
    <n v="13820"/>
    <x v="4067"/>
    <n v="3110"/>
    <n v="24530"/>
    <n v="4644.57132"/>
    <x v="1"/>
    <x v="5"/>
  </r>
  <r>
    <n v="14094"/>
    <d v="2025-11-30T00:00:00"/>
    <x v="0"/>
    <x v="4"/>
    <x v="2"/>
    <x v="2"/>
    <n v="8"/>
    <n v="62232"/>
    <x v="4068"/>
    <n v="134"/>
    <n v="497722"/>
    <n v="54269.65309"/>
    <x v="1"/>
    <x v="7"/>
  </r>
  <r>
    <n v="14095"/>
    <d v="2025-07-19T00:00:00"/>
    <x v="0"/>
    <x v="4"/>
    <x v="2"/>
    <x v="2"/>
    <n v="9"/>
    <n v="23757"/>
    <x v="4069"/>
    <n v="609"/>
    <n v="213204"/>
    <n v="26929.06568"/>
    <x v="1"/>
    <x v="10"/>
  </r>
  <r>
    <n v="14096"/>
    <d v="2024-11-21T00:00:00"/>
    <x v="0"/>
    <x v="1"/>
    <x v="1"/>
    <x v="3"/>
    <n v="5"/>
    <n v="51588"/>
    <x v="4070"/>
    <n v="1057"/>
    <n v="256883"/>
    <n v="34436.690869999999"/>
    <x v="0"/>
    <x v="7"/>
  </r>
  <r>
    <n v="14097"/>
    <d v="2024-12-22T00:00:00"/>
    <x v="0"/>
    <x v="0"/>
    <x v="2"/>
    <x v="2"/>
    <n v="7"/>
    <n v="13058"/>
    <x v="4071"/>
    <n v="3034"/>
    <n v="88372"/>
    <n v="14239.12772"/>
    <x v="0"/>
    <x v="3"/>
  </r>
  <r>
    <n v="14098"/>
    <d v="2025-10-11T00:00:00"/>
    <x v="2"/>
    <x v="4"/>
    <x v="2"/>
    <x v="1"/>
    <n v="6"/>
    <n v="41742"/>
    <x v="4072"/>
    <n v="1988"/>
    <n v="248464"/>
    <n v="38675.565699999999"/>
    <x v="1"/>
    <x v="8"/>
  </r>
  <r>
    <n v="14099"/>
    <d v="2025-11-10T00:00:00"/>
    <x v="4"/>
    <x v="3"/>
    <x v="1"/>
    <x v="2"/>
    <n v="1"/>
    <n v="77195"/>
    <x v="4073"/>
    <n v="3774"/>
    <n v="73421"/>
    <n v="15295.84715"/>
    <x v="1"/>
    <x v="7"/>
  </r>
  <r>
    <n v="14100"/>
    <d v="2025-01-25T00:00:00"/>
    <x v="3"/>
    <x v="1"/>
    <x v="0"/>
    <x v="3"/>
    <n v="8"/>
    <n v="61980"/>
    <x v="4074"/>
    <n v="2246"/>
    <n v="493594"/>
    <n v="68548.807199999996"/>
    <x v="1"/>
    <x v="4"/>
  </r>
  <r>
    <n v="14101"/>
    <d v="2025-09-06T00:00:00"/>
    <x v="0"/>
    <x v="0"/>
    <x v="1"/>
    <x v="1"/>
    <n v="9"/>
    <n v="75377"/>
    <x v="4075"/>
    <n v="4655"/>
    <n v="673738"/>
    <n v="73141.549769999998"/>
    <x v="1"/>
    <x v="2"/>
  </r>
  <r>
    <n v="14102"/>
    <d v="2024-03-25T00:00:00"/>
    <x v="3"/>
    <x v="1"/>
    <x v="1"/>
    <x v="3"/>
    <n v="1"/>
    <n v="23335"/>
    <x v="4076"/>
    <n v="258"/>
    <n v="23077"/>
    <n v="2499.6161069999998"/>
    <x v="0"/>
    <x v="1"/>
  </r>
  <r>
    <n v="14103"/>
    <d v="2024-11-12T00:00:00"/>
    <x v="3"/>
    <x v="0"/>
    <x v="1"/>
    <x v="2"/>
    <n v="8"/>
    <n v="52351"/>
    <x v="4077"/>
    <n v="3900"/>
    <n v="414908"/>
    <n v="42194.883470000001"/>
    <x v="0"/>
    <x v="7"/>
  </r>
  <r>
    <n v="14104"/>
    <d v="2024-07-30T00:00:00"/>
    <x v="2"/>
    <x v="2"/>
    <x v="0"/>
    <x v="0"/>
    <n v="3"/>
    <n v="73960"/>
    <x v="4078"/>
    <n v="915"/>
    <n v="220965"/>
    <n v="23356.86248"/>
    <x v="0"/>
    <x v="10"/>
  </r>
  <r>
    <n v="14105"/>
    <d v="2025-05-29T00:00:00"/>
    <x v="0"/>
    <x v="4"/>
    <x v="2"/>
    <x v="2"/>
    <n v="6"/>
    <n v="52501"/>
    <x v="4079"/>
    <n v="3942"/>
    <n v="311064"/>
    <n v="71171.163620000007"/>
    <x v="1"/>
    <x v="5"/>
  </r>
  <r>
    <n v="14106"/>
    <d v="2025-01-18T00:00:00"/>
    <x v="3"/>
    <x v="3"/>
    <x v="2"/>
    <x v="2"/>
    <n v="8"/>
    <n v="60877"/>
    <x v="4080"/>
    <n v="237"/>
    <n v="486779"/>
    <n v="99588.381540000002"/>
    <x v="1"/>
    <x v="4"/>
  </r>
  <r>
    <n v="14107"/>
    <d v="2025-11-21T00:00:00"/>
    <x v="0"/>
    <x v="1"/>
    <x v="1"/>
    <x v="3"/>
    <n v="5"/>
    <n v="19538"/>
    <x v="4081"/>
    <n v="3355"/>
    <n v="94335"/>
    <n v="23526.17498"/>
    <x v="1"/>
    <x v="7"/>
  </r>
  <r>
    <n v="14108"/>
    <d v="2024-12-07T00:00:00"/>
    <x v="1"/>
    <x v="1"/>
    <x v="1"/>
    <x v="0"/>
    <n v="8"/>
    <n v="8769"/>
    <x v="4082"/>
    <n v="687"/>
    <n v="69465"/>
    <n v="7158.1535489999997"/>
    <x v="0"/>
    <x v="3"/>
  </r>
  <r>
    <n v="14109"/>
    <d v="2024-02-07T00:00:00"/>
    <x v="1"/>
    <x v="1"/>
    <x v="2"/>
    <x v="2"/>
    <n v="7"/>
    <n v="36586"/>
    <x v="4083"/>
    <n v="1158"/>
    <n v="254944"/>
    <n v="57961.577720000001"/>
    <x v="0"/>
    <x v="9"/>
  </r>
  <r>
    <n v="14110"/>
    <d v="2025-05-25T00:00:00"/>
    <x v="1"/>
    <x v="1"/>
    <x v="2"/>
    <x v="1"/>
    <n v="7"/>
    <n v="72879"/>
    <x v="4084"/>
    <n v="2129"/>
    <n v="508024"/>
    <n v="103844.39810000001"/>
    <x v="1"/>
    <x v="5"/>
  </r>
  <r>
    <n v="14111"/>
    <d v="2025-02-23T00:00:00"/>
    <x v="3"/>
    <x v="4"/>
    <x v="2"/>
    <x v="1"/>
    <n v="7"/>
    <n v="73922"/>
    <x v="4085"/>
    <n v="594"/>
    <n v="516860"/>
    <n v="101331.1084"/>
    <x v="1"/>
    <x v="9"/>
  </r>
  <r>
    <n v="14112"/>
    <d v="2024-06-17T00:00:00"/>
    <x v="1"/>
    <x v="0"/>
    <x v="0"/>
    <x v="3"/>
    <n v="9"/>
    <n v="57219"/>
    <x v="4086"/>
    <n v="2701"/>
    <n v="512270"/>
    <n v="78623.106799999994"/>
    <x v="0"/>
    <x v="11"/>
  </r>
  <r>
    <n v="14113"/>
    <d v="2024-12-08T00:00:00"/>
    <x v="2"/>
    <x v="4"/>
    <x v="0"/>
    <x v="3"/>
    <n v="6"/>
    <n v="40107"/>
    <x v="4087"/>
    <n v="1750"/>
    <n v="238892"/>
    <n v="37388.774839999998"/>
    <x v="0"/>
    <x v="3"/>
  </r>
  <r>
    <n v="14114"/>
    <d v="2024-11-01T00:00:00"/>
    <x v="2"/>
    <x v="2"/>
    <x v="1"/>
    <x v="0"/>
    <n v="6"/>
    <n v="5683"/>
    <x v="4088"/>
    <n v="402"/>
    <n v="33696"/>
    <n v="7643.4044809999996"/>
    <x v="0"/>
    <x v="7"/>
  </r>
  <r>
    <n v="14115"/>
    <d v="2025-06-25T00:00:00"/>
    <x v="3"/>
    <x v="4"/>
    <x v="0"/>
    <x v="3"/>
    <n v="9"/>
    <n v="71590"/>
    <x v="4089"/>
    <n v="821"/>
    <n v="643489"/>
    <n v="133216.75409999999"/>
    <x v="1"/>
    <x v="11"/>
  </r>
  <r>
    <n v="14116"/>
    <d v="2025-12-02T00:00:00"/>
    <x v="0"/>
    <x v="4"/>
    <x v="1"/>
    <x v="0"/>
    <n v="6"/>
    <n v="66097"/>
    <x v="4090"/>
    <n v="3838"/>
    <n v="392744"/>
    <n v="78763.822260000001"/>
    <x v="1"/>
    <x v="3"/>
  </r>
  <r>
    <n v="14117"/>
    <d v="2025-06-20T00:00:00"/>
    <x v="4"/>
    <x v="2"/>
    <x v="2"/>
    <x v="2"/>
    <n v="7"/>
    <n v="68402"/>
    <x v="4091"/>
    <n v="2235"/>
    <n v="476579"/>
    <n v="49848.923949999997"/>
    <x v="1"/>
    <x v="11"/>
  </r>
  <r>
    <n v="14118"/>
    <d v="2024-04-21T00:00:00"/>
    <x v="0"/>
    <x v="4"/>
    <x v="2"/>
    <x v="1"/>
    <n v="7"/>
    <n v="28685"/>
    <x v="4092"/>
    <n v="2540"/>
    <n v="198255"/>
    <n v="25306.843400000002"/>
    <x v="0"/>
    <x v="0"/>
  </r>
  <r>
    <n v="14119"/>
    <d v="2025-02-14T00:00:00"/>
    <x v="0"/>
    <x v="0"/>
    <x v="1"/>
    <x v="1"/>
    <n v="2"/>
    <n v="70884"/>
    <x v="4093"/>
    <n v="2302"/>
    <n v="139466"/>
    <n v="34084.607450000003"/>
    <x v="1"/>
    <x v="9"/>
  </r>
  <r>
    <n v="14120"/>
    <d v="2024-07-24T00:00:00"/>
    <x v="0"/>
    <x v="3"/>
    <x v="2"/>
    <x v="1"/>
    <n v="8"/>
    <n v="21362"/>
    <x v="4094"/>
    <n v="1697"/>
    <n v="169199"/>
    <n v="28451.774160000001"/>
    <x v="0"/>
    <x v="10"/>
  </r>
  <r>
    <n v="14121"/>
    <d v="2024-07-03T00:00:00"/>
    <x v="0"/>
    <x v="2"/>
    <x v="1"/>
    <x v="3"/>
    <n v="6"/>
    <n v="5503"/>
    <x v="4095"/>
    <n v="3928"/>
    <n v="29090"/>
    <n v="6318.6093600000004"/>
    <x v="0"/>
    <x v="10"/>
  </r>
  <r>
    <n v="14122"/>
    <d v="2025-01-16T00:00:00"/>
    <x v="4"/>
    <x v="1"/>
    <x v="1"/>
    <x v="3"/>
    <n v="4"/>
    <n v="46045"/>
    <x v="4096"/>
    <n v="1613"/>
    <n v="182567"/>
    <n v="28918.390790000001"/>
    <x v="1"/>
    <x v="4"/>
  </r>
  <r>
    <n v="14123"/>
    <d v="2025-05-10T00:00:00"/>
    <x v="1"/>
    <x v="0"/>
    <x v="1"/>
    <x v="2"/>
    <n v="7"/>
    <n v="18576"/>
    <x v="4097"/>
    <n v="4580"/>
    <n v="125452"/>
    <n v="26928.07504"/>
    <x v="1"/>
    <x v="5"/>
  </r>
  <r>
    <n v="14124"/>
    <d v="2025-01-13T00:00:00"/>
    <x v="0"/>
    <x v="3"/>
    <x v="0"/>
    <x v="3"/>
    <n v="8"/>
    <n v="38290"/>
    <x v="4098"/>
    <n v="3679"/>
    <n v="302641"/>
    <n v="35675.891620000002"/>
    <x v="1"/>
    <x v="4"/>
  </r>
  <r>
    <n v="14125"/>
    <d v="2024-02-16T00:00:00"/>
    <x v="2"/>
    <x v="0"/>
    <x v="1"/>
    <x v="0"/>
    <n v="1"/>
    <n v="65495"/>
    <x v="4099"/>
    <n v="3552"/>
    <n v="61943"/>
    <n v="6585.7303879999999"/>
    <x v="0"/>
    <x v="9"/>
  </r>
  <r>
    <n v="14126"/>
    <d v="2025-07-04T00:00:00"/>
    <x v="3"/>
    <x v="0"/>
    <x v="1"/>
    <x v="1"/>
    <n v="4"/>
    <n v="16884"/>
    <x v="4100"/>
    <n v="2227"/>
    <n v="65309"/>
    <n v="11097.728859999999"/>
    <x v="1"/>
    <x v="10"/>
  </r>
  <r>
    <n v="14127"/>
    <d v="2025-06-11T00:00:00"/>
    <x v="3"/>
    <x v="1"/>
    <x v="1"/>
    <x v="2"/>
    <n v="4"/>
    <n v="56660"/>
    <x v="4101"/>
    <n v="3678"/>
    <n v="222962"/>
    <n v="42083.392899999999"/>
    <x v="1"/>
    <x v="11"/>
  </r>
  <r>
    <n v="14128"/>
    <d v="2025-05-18T00:00:00"/>
    <x v="2"/>
    <x v="3"/>
    <x v="0"/>
    <x v="0"/>
    <n v="9"/>
    <n v="30205"/>
    <x v="4102"/>
    <n v="4996"/>
    <n v="266849"/>
    <n v="39641.8289"/>
    <x v="1"/>
    <x v="5"/>
  </r>
  <r>
    <n v="14129"/>
    <d v="2024-01-22T00:00:00"/>
    <x v="0"/>
    <x v="0"/>
    <x v="2"/>
    <x v="0"/>
    <n v="6"/>
    <n v="68739"/>
    <x v="4103"/>
    <n v="1464"/>
    <n v="410970"/>
    <n v="85235.46329"/>
    <x v="0"/>
    <x v="4"/>
  </r>
  <r>
    <n v="14130"/>
    <d v="2024-07-31T00:00:00"/>
    <x v="4"/>
    <x v="1"/>
    <x v="0"/>
    <x v="3"/>
    <n v="4"/>
    <n v="37785"/>
    <x v="4104"/>
    <n v="4739"/>
    <n v="146401"/>
    <n v="25528.37386"/>
    <x v="0"/>
    <x v="10"/>
  </r>
  <r>
    <n v="14131"/>
    <d v="2024-11-05T00:00:00"/>
    <x v="1"/>
    <x v="2"/>
    <x v="1"/>
    <x v="3"/>
    <n v="1"/>
    <n v="6268"/>
    <x v="4105"/>
    <n v="4882"/>
    <n v="1386"/>
    <n v="331.59707259999999"/>
    <x v="0"/>
    <x v="7"/>
  </r>
  <r>
    <n v="14132"/>
    <d v="2025-10-22T00:00:00"/>
    <x v="3"/>
    <x v="1"/>
    <x v="0"/>
    <x v="1"/>
    <n v="8"/>
    <n v="71712"/>
    <x v="4106"/>
    <n v="3100"/>
    <n v="570596"/>
    <n v="64333.8874"/>
    <x v="1"/>
    <x v="8"/>
  </r>
  <r>
    <n v="14133"/>
    <d v="2024-09-28T00:00:00"/>
    <x v="1"/>
    <x v="4"/>
    <x v="2"/>
    <x v="2"/>
    <n v="9"/>
    <n v="23016"/>
    <x v="4107"/>
    <n v="4113"/>
    <n v="203031"/>
    <n v="22330.416239999999"/>
    <x v="0"/>
    <x v="2"/>
  </r>
  <r>
    <n v="14134"/>
    <d v="2025-07-24T00:00:00"/>
    <x v="4"/>
    <x v="1"/>
    <x v="2"/>
    <x v="0"/>
    <n v="5"/>
    <n v="66939"/>
    <x v="4108"/>
    <n v="1956"/>
    <n v="332739"/>
    <n v="78449.301000000007"/>
    <x v="1"/>
    <x v="10"/>
  </r>
  <r>
    <n v="14135"/>
    <d v="2024-07-20T00:00:00"/>
    <x v="3"/>
    <x v="1"/>
    <x v="1"/>
    <x v="3"/>
    <n v="5"/>
    <n v="54266"/>
    <x v="4109"/>
    <n v="4093"/>
    <n v="267237"/>
    <n v="53545.227429999999"/>
    <x v="0"/>
    <x v="10"/>
  </r>
  <r>
    <n v="14136"/>
    <d v="2024-02-01T00:00:00"/>
    <x v="1"/>
    <x v="1"/>
    <x v="2"/>
    <x v="3"/>
    <n v="8"/>
    <n v="46712"/>
    <x v="4110"/>
    <n v="4851"/>
    <n v="368845"/>
    <n v="74015.293749999997"/>
    <x v="0"/>
    <x v="9"/>
  </r>
  <r>
    <n v="14137"/>
    <d v="2025-03-18T00:00:00"/>
    <x v="4"/>
    <x v="0"/>
    <x v="0"/>
    <x v="2"/>
    <n v="8"/>
    <n v="11768"/>
    <x v="4111"/>
    <n v="686"/>
    <n v="93458"/>
    <n v="9732.0883950000007"/>
    <x v="1"/>
    <x v="1"/>
  </r>
  <r>
    <n v="14138"/>
    <d v="2024-06-10T00:00:00"/>
    <x v="1"/>
    <x v="3"/>
    <x v="0"/>
    <x v="2"/>
    <n v="5"/>
    <n v="64214"/>
    <x v="4112"/>
    <n v="2036"/>
    <n v="319034"/>
    <n v="76775.941680000004"/>
    <x v="0"/>
    <x v="11"/>
  </r>
  <r>
    <n v="14139"/>
    <d v="2024-09-10T00:00:00"/>
    <x v="0"/>
    <x v="1"/>
    <x v="2"/>
    <x v="3"/>
    <n v="4"/>
    <n v="23972"/>
    <x v="4113"/>
    <n v="3579"/>
    <n v="92309"/>
    <n v="19917.85986"/>
    <x v="0"/>
    <x v="2"/>
  </r>
  <r>
    <n v="14140"/>
    <d v="2025-06-04T00:00:00"/>
    <x v="4"/>
    <x v="1"/>
    <x v="1"/>
    <x v="3"/>
    <n v="6"/>
    <n v="78162"/>
    <x v="4114"/>
    <n v="600"/>
    <n v="468372"/>
    <n v="100534.749"/>
    <x v="1"/>
    <x v="11"/>
  </r>
  <r>
    <n v="14141"/>
    <d v="2025-10-12T00:00:00"/>
    <x v="1"/>
    <x v="4"/>
    <x v="1"/>
    <x v="1"/>
    <n v="5"/>
    <n v="68412"/>
    <x v="4115"/>
    <n v="1043"/>
    <n v="341017"/>
    <n v="80749.226580000002"/>
    <x v="1"/>
    <x v="8"/>
  </r>
  <r>
    <n v="14142"/>
    <d v="2025-04-24T00:00:00"/>
    <x v="0"/>
    <x v="4"/>
    <x v="0"/>
    <x v="2"/>
    <n v="8"/>
    <n v="50281"/>
    <x v="4116"/>
    <n v="1379"/>
    <n v="400869"/>
    <n v="74851.452229999995"/>
    <x v="1"/>
    <x v="0"/>
  </r>
  <r>
    <n v="14143"/>
    <d v="2024-01-10T00:00:00"/>
    <x v="0"/>
    <x v="2"/>
    <x v="2"/>
    <x v="0"/>
    <n v="9"/>
    <n v="33403"/>
    <x v="4117"/>
    <n v="4528"/>
    <n v="296099"/>
    <n v="47138.948539999998"/>
    <x v="0"/>
    <x v="4"/>
  </r>
  <r>
    <n v="14144"/>
    <d v="2025-12-26T00:00:00"/>
    <x v="4"/>
    <x v="2"/>
    <x v="0"/>
    <x v="3"/>
    <n v="1"/>
    <n v="35226"/>
    <x v="4118"/>
    <n v="1041"/>
    <n v="34185"/>
    <n v="5883.3026069999996"/>
    <x v="1"/>
    <x v="3"/>
  </r>
  <r>
    <n v="14145"/>
    <d v="2025-05-19T00:00:00"/>
    <x v="2"/>
    <x v="4"/>
    <x v="0"/>
    <x v="3"/>
    <n v="9"/>
    <n v="54985"/>
    <x v="3630"/>
    <n v="1573"/>
    <n v="493292"/>
    <n v="106840.19319999999"/>
    <x v="1"/>
    <x v="5"/>
  </r>
  <r>
    <n v="14146"/>
    <d v="2025-07-13T00:00:00"/>
    <x v="3"/>
    <x v="3"/>
    <x v="0"/>
    <x v="3"/>
    <n v="9"/>
    <n v="33783"/>
    <x v="4119"/>
    <n v="4471"/>
    <n v="299576"/>
    <n v="64501.557990000001"/>
    <x v="1"/>
    <x v="10"/>
  </r>
  <r>
    <n v="14147"/>
    <d v="2025-03-11T00:00:00"/>
    <x v="4"/>
    <x v="2"/>
    <x v="1"/>
    <x v="3"/>
    <n v="6"/>
    <n v="78939"/>
    <x v="4120"/>
    <n v="1363"/>
    <n v="472271"/>
    <n v="90410.61249"/>
    <x v="1"/>
    <x v="1"/>
  </r>
  <r>
    <n v="14148"/>
    <d v="2024-04-20T00:00:00"/>
    <x v="0"/>
    <x v="3"/>
    <x v="2"/>
    <x v="1"/>
    <n v="5"/>
    <n v="73155"/>
    <x v="4121"/>
    <n v="1010"/>
    <n v="364765"/>
    <n v="48408.712379999997"/>
    <x v="0"/>
    <x v="0"/>
  </r>
  <r>
    <n v="14149"/>
    <d v="2024-06-01T00:00:00"/>
    <x v="0"/>
    <x v="4"/>
    <x v="2"/>
    <x v="2"/>
    <n v="7"/>
    <n v="71883"/>
    <x v="4122"/>
    <n v="4811"/>
    <n v="498370"/>
    <n v="111053.0897"/>
    <x v="0"/>
    <x v="11"/>
  </r>
  <r>
    <n v="14150"/>
    <d v="2025-09-26T00:00:00"/>
    <x v="4"/>
    <x v="2"/>
    <x v="1"/>
    <x v="3"/>
    <n v="8"/>
    <n v="73700"/>
    <x v="4123"/>
    <n v="1256"/>
    <n v="588344"/>
    <n v="115954.504"/>
    <x v="1"/>
    <x v="2"/>
  </r>
  <r>
    <n v="14151"/>
    <d v="2024-04-11T00:00:00"/>
    <x v="2"/>
    <x v="1"/>
    <x v="0"/>
    <x v="2"/>
    <n v="9"/>
    <n v="32788"/>
    <x v="4124"/>
    <n v="1127"/>
    <n v="293965"/>
    <n v="39152.993499999997"/>
    <x v="0"/>
    <x v="0"/>
  </r>
  <r>
    <n v="14152"/>
    <d v="2024-07-09T00:00:00"/>
    <x v="3"/>
    <x v="4"/>
    <x v="0"/>
    <x v="0"/>
    <n v="9"/>
    <n v="12166"/>
    <x v="4125"/>
    <n v="1023"/>
    <n v="108471"/>
    <n v="18667.497619999998"/>
    <x v="0"/>
    <x v="10"/>
  </r>
  <r>
    <n v="14153"/>
    <d v="2025-12-29T00:00:00"/>
    <x v="1"/>
    <x v="2"/>
    <x v="1"/>
    <x v="0"/>
    <n v="3"/>
    <n v="40219"/>
    <x v="4126"/>
    <n v="3694"/>
    <n v="116963"/>
    <n v="29191.73661"/>
    <x v="1"/>
    <x v="3"/>
  </r>
  <r>
    <n v="14154"/>
    <d v="2025-07-16T00:00:00"/>
    <x v="4"/>
    <x v="3"/>
    <x v="2"/>
    <x v="0"/>
    <n v="8"/>
    <n v="70441"/>
    <x v="4127"/>
    <n v="2784"/>
    <n v="560744"/>
    <n v="83694.953670000003"/>
    <x v="1"/>
    <x v="10"/>
  </r>
  <r>
    <n v="14155"/>
    <d v="2024-03-21T00:00:00"/>
    <x v="3"/>
    <x v="3"/>
    <x v="1"/>
    <x v="0"/>
    <n v="1"/>
    <n v="5403"/>
    <x v="4128"/>
    <n v="4316"/>
    <n v="1087"/>
    <n v="127.7052082"/>
    <x v="0"/>
    <x v="1"/>
  </r>
  <r>
    <n v="14156"/>
    <d v="2025-05-03T00:00:00"/>
    <x v="3"/>
    <x v="2"/>
    <x v="2"/>
    <x v="2"/>
    <n v="7"/>
    <n v="32224"/>
    <x v="4129"/>
    <n v="1049"/>
    <n v="224519"/>
    <n v="23181.61203"/>
    <x v="1"/>
    <x v="5"/>
  </r>
  <r>
    <n v="14157"/>
    <d v="2024-03-28T00:00:00"/>
    <x v="0"/>
    <x v="3"/>
    <x v="2"/>
    <x v="0"/>
    <n v="5"/>
    <n v="8485"/>
    <x v="4130"/>
    <n v="2301"/>
    <n v="40124"/>
    <n v="5123.6283050000002"/>
    <x v="0"/>
    <x v="1"/>
  </r>
  <r>
    <n v="14158"/>
    <d v="2024-07-12T00:00:00"/>
    <x v="1"/>
    <x v="2"/>
    <x v="2"/>
    <x v="0"/>
    <n v="2"/>
    <n v="79984"/>
    <x v="4131"/>
    <n v="4921"/>
    <n v="155047"/>
    <n v="19852.98473"/>
    <x v="0"/>
    <x v="10"/>
  </r>
  <r>
    <n v="14159"/>
    <d v="2024-04-13T00:00:00"/>
    <x v="4"/>
    <x v="2"/>
    <x v="0"/>
    <x v="3"/>
    <n v="2"/>
    <n v="70491"/>
    <x v="4132"/>
    <n v="1154"/>
    <n v="139828"/>
    <n v="31980.099180000001"/>
    <x v="0"/>
    <x v="0"/>
  </r>
  <r>
    <n v="14160"/>
    <d v="2024-04-05T00:00:00"/>
    <x v="0"/>
    <x v="3"/>
    <x v="0"/>
    <x v="3"/>
    <n v="8"/>
    <n v="19262"/>
    <x v="4133"/>
    <n v="29"/>
    <n v="154067"/>
    <n v="19015.444060000002"/>
    <x v="0"/>
    <x v="0"/>
  </r>
  <r>
    <n v="14161"/>
    <d v="2025-02-26T00:00:00"/>
    <x v="0"/>
    <x v="0"/>
    <x v="1"/>
    <x v="3"/>
    <n v="5"/>
    <n v="32928"/>
    <x v="4134"/>
    <n v="786"/>
    <n v="163854"/>
    <n v="37587.721109999999"/>
    <x v="1"/>
    <x v="9"/>
  </r>
  <r>
    <n v="14162"/>
    <d v="2024-07-16T00:00:00"/>
    <x v="2"/>
    <x v="1"/>
    <x v="1"/>
    <x v="1"/>
    <n v="3"/>
    <n v="68179"/>
    <x v="4135"/>
    <n v="4105"/>
    <n v="200432"/>
    <n v="22650.314480000001"/>
    <x v="0"/>
    <x v="10"/>
  </r>
  <r>
    <n v="14163"/>
    <d v="2024-01-01T00:00:00"/>
    <x v="3"/>
    <x v="4"/>
    <x v="0"/>
    <x v="3"/>
    <n v="1"/>
    <n v="39712"/>
    <x v="4136"/>
    <n v="3160"/>
    <n v="36552"/>
    <n v="8626.149367"/>
    <x v="0"/>
    <x v="4"/>
  </r>
  <r>
    <n v="14164"/>
    <d v="2025-02-10T00:00:00"/>
    <x v="4"/>
    <x v="1"/>
    <x v="1"/>
    <x v="0"/>
    <n v="7"/>
    <n v="39328"/>
    <x v="4137"/>
    <n v="1170"/>
    <n v="274126"/>
    <n v="37953.574009999997"/>
    <x v="1"/>
    <x v="9"/>
  </r>
  <r>
    <n v="14165"/>
    <d v="2025-01-12T00:00:00"/>
    <x v="4"/>
    <x v="4"/>
    <x v="0"/>
    <x v="2"/>
    <n v="3"/>
    <n v="36632"/>
    <x v="3874"/>
    <n v="3198"/>
    <n v="106698"/>
    <n v="20456.643029999999"/>
    <x v="1"/>
    <x v="4"/>
  </r>
  <r>
    <n v="14166"/>
    <d v="2024-06-15T00:00:00"/>
    <x v="4"/>
    <x v="4"/>
    <x v="0"/>
    <x v="0"/>
    <n v="7"/>
    <n v="42515"/>
    <x v="4138"/>
    <n v="2745"/>
    <n v="294860"/>
    <n v="36550.573660000002"/>
    <x v="0"/>
    <x v="11"/>
  </r>
  <r>
    <n v="14167"/>
    <d v="2025-05-23T00:00:00"/>
    <x v="0"/>
    <x v="1"/>
    <x v="2"/>
    <x v="2"/>
    <n v="2"/>
    <n v="67074"/>
    <x v="4139"/>
    <n v="1364"/>
    <n v="132784"/>
    <n v="21047.372050000002"/>
    <x v="1"/>
    <x v="5"/>
  </r>
  <r>
    <n v="14168"/>
    <d v="2025-09-29T00:00:00"/>
    <x v="2"/>
    <x v="2"/>
    <x v="2"/>
    <x v="0"/>
    <n v="4"/>
    <n v="77690"/>
    <x v="4140"/>
    <n v="1541"/>
    <n v="309219"/>
    <n v="34900.055220000002"/>
    <x v="1"/>
    <x v="2"/>
  </r>
  <r>
    <n v="14169"/>
    <d v="2024-11-08T00:00:00"/>
    <x v="1"/>
    <x v="3"/>
    <x v="0"/>
    <x v="1"/>
    <n v="2"/>
    <n v="69947"/>
    <x v="4141"/>
    <n v="4146"/>
    <n v="135748"/>
    <n v="25375.269199999999"/>
    <x v="0"/>
    <x v="7"/>
  </r>
  <r>
    <n v="14170"/>
    <d v="2025-08-15T00:00:00"/>
    <x v="0"/>
    <x v="0"/>
    <x v="2"/>
    <x v="3"/>
    <n v="4"/>
    <n v="33170"/>
    <x v="4142"/>
    <n v="4493"/>
    <n v="128187"/>
    <n v="19469.249599999999"/>
    <x v="1"/>
    <x v="6"/>
  </r>
  <r>
    <n v="14171"/>
    <d v="2025-02-21T00:00:00"/>
    <x v="1"/>
    <x v="0"/>
    <x v="0"/>
    <x v="0"/>
    <n v="5"/>
    <n v="51857"/>
    <x v="4143"/>
    <n v="313"/>
    <n v="258972"/>
    <n v="58999.651720000002"/>
    <x v="1"/>
    <x v="9"/>
  </r>
  <r>
    <n v="14172"/>
    <d v="2025-11-11T00:00:00"/>
    <x v="2"/>
    <x v="0"/>
    <x v="2"/>
    <x v="3"/>
    <n v="8"/>
    <n v="54744"/>
    <x v="4144"/>
    <n v="2695"/>
    <n v="435257"/>
    <n v="55396.234230000002"/>
    <x v="1"/>
    <x v="7"/>
  </r>
  <r>
    <n v="14173"/>
    <d v="2025-04-21T00:00:00"/>
    <x v="3"/>
    <x v="1"/>
    <x v="1"/>
    <x v="1"/>
    <n v="2"/>
    <n v="10327"/>
    <x v="4145"/>
    <n v="4609"/>
    <n v="16045"/>
    <n v="2278.3612739999999"/>
    <x v="1"/>
    <x v="0"/>
  </r>
  <r>
    <n v="14174"/>
    <d v="2024-03-13T00:00:00"/>
    <x v="4"/>
    <x v="1"/>
    <x v="1"/>
    <x v="1"/>
    <n v="3"/>
    <n v="66246"/>
    <x v="4146"/>
    <n v="529"/>
    <n v="198209"/>
    <n v="25090.920849999999"/>
    <x v="0"/>
    <x v="1"/>
  </r>
  <r>
    <n v="14175"/>
    <d v="2024-05-20T00:00:00"/>
    <x v="1"/>
    <x v="2"/>
    <x v="0"/>
    <x v="3"/>
    <n v="5"/>
    <n v="38264"/>
    <x v="4147"/>
    <n v="4955"/>
    <n v="186365"/>
    <n v="34398.024870000001"/>
    <x v="0"/>
    <x v="5"/>
  </r>
  <r>
    <n v="14176"/>
    <d v="2025-08-04T00:00:00"/>
    <x v="0"/>
    <x v="0"/>
    <x v="0"/>
    <x v="3"/>
    <n v="9"/>
    <n v="20656"/>
    <x v="4148"/>
    <n v="2466"/>
    <n v="183438"/>
    <n v="21418.601979999999"/>
    <x v="1"/>
    <x v="6"/>
  </r>
  <r>
    <n v="14177"/>
    <d v="2024-09-18T00:00:00"/>
    <x v="1"/>
    <x v="2"/>
    <x v="2"/>
    <x v="2"/>
    <n v="5"/>
    <n v="23805"/>
    <x v="4149"/>
    <n v="2241"/>
    <n v="116784"/>
    <n v="14995.48028"/>
    <x v="0"/>
    <x v="2"/>
  </r>
  <r>
    <n v="14178"/>
    <d v="2024-12-05T00:00:00"/>
    <x v="3"/>
    <x v="0"/>
    <x v="2"/>
    <x v="3"/>
    <n v="9"/>
    <n v="33855"/>
    <x v="4150"/>
    <n v="311"/>
    <n v="304384"/>
    <n v="61416.622439999999"/>
    <x v="0"/>
    <x v="3"/>
  </r>
  <r>
    <n v="14179"/>
    <d v="2024-11-03T00:00:00"/>
    <x v="4"/>
    <x v="1"/>
    <x v="0"/>
    <x v="3"/>
    <n v="4"/>
    <n v="9127"/>
    <x v="4151"/>
    <n v="995"/>
    <n v="35513"/>
    <n v="3947.7024620000002"/>
    <x v="0"/>
    <x v="7"/>
  </r>
  <r>
    <n v="14180"/>
    <d v="2024-09-01T00:00:00"/>
    <x v="1"/>
    <x v="3"/>
    <x v="1"/>
    <x v="2"/>
    <n v="5"/>
    <n v="66722"/>
    <x v="4152"/>
    <n v="2523"/>
    <n v="331087"/>
    <n v="70016.474610000005"/>
    <x v="0"/>
    <x v="2"/>
  </r>
  <r>
    <n v="14181"/>
    <d v="2025-05-29T00:00:00"/>
    <x v="3"/>
    <x v="3"/>
    <x v="1"/>
    <x v="0"/>
    <n v="9"/>
    <n v="43319"/>
    <x v="4153"/>
    <n v="2631"/>
    <n v="387240"/>
    <n v="44784.315049999997"/>
    <x v="1"/>
    <x v="5"/>
  </r>
  <r>
    <n v="14182"/>
    <d v="2024-12-02T00:00:00"/>
    <x v="0"/>
    <x v="3"/>
    <x v="0"/>
    <x v="2"/>
    <n v="4"/>
    <n v="74126"/>
    <x v="4154"/>
    <n v="263"/>
    <n v="296241"/>
    <n v="55640.966339999999"/>
    <x v="0"/>
    <x v="3"/>
  </r>
  <r>
    <n v="14183"/>
    <d v="2025-07-28T00:00:00"/>
    <x v="2"/>
    <x v="3"/>
    <x v="1"/>
    <x v="0"/>
    <n v="5"/>
    <n v="17973"/>
    <x v="4155"/>
    <n v="3852"/>
    <n v="86013"/>
    <n v="21474.987710000001"/>
    <x v="1"/>
    <x v="10"/>
  </r>
  <r>
    <n v="14184"/>
    <d v="2025-07-14T00:00:00"/>
    <x v="0"/>
    <x v="4"/>
    <x v="0"/>
    <x v="0"/>
    <n v="5"/>
    <n v="53087"/>
    <x v="4156"/>
    <n v="20"/>
    <n v="265415"/>
    <n v="33464.567880000002"/>
    <x v="1"/>
    <x v="10"/>
  </r>
  <r>
    <n v="14185"/>
    <d v="2024-03-16T00:00:00"/>
    <x v="4"/>
    <x v="0"/>
    <x v="2"/>
    <x v="0"/>
    <n v="4"/>
    <n v="62711"/>
    <x v="4157"/>
    <n v="2524"/>
    <n v="248320"/>
    <n v="34556.943200000002"/>
    <x v="0"/>
    <x v="1"/>
  </r>
  <r>
    <n v="14186"/>
    <d v="2024-06-23T00:00:00"/>
    <x v="0"/>
    <x v="3"/>
    <x v="1"/>
    <x v="2"/>
    <n v="4"/>
    <n v="32281"/>
    <x v="4158"/>
    <n v="4644"/>
    <n v="124480"/>
    <n v="29223.422480000001"/>
    <x v="0"/>
    <x v="11"/>
  </r>
  <r>
    <n v="14187"/>
    <d v="2024-04-18T00:00:00"/>
    <x v="0"/>
    <x v="4"/>
    <x v="1"/>
    <x v="2"/>
    <n v="5"/>
    <n v="21549"/>
    <x v="4159"/>
    <n v="1196"/>
    <n v="106549"/>
    <n v="20664.43059"/>
    <x v="0"/>
    <x v="0"/>
  </r>
  <r>
    <n v="14188"/>
    <d v="2024-07-01T00:00:00"/>
    <x v="0"/>
    <x v="4"/>
    <x v="2"/>
    <x v="1"/>
    <n v="6"/>
    <n v="66426"/>
    <x v="4160"/>
    <n v="3133"/>
    <n v="395423"/>
    <n v="68756.030570000003"/>
    <x v="0"/>
    <x v="10"/>
  </r>
  <r>
    <n v="14189"/>
    <d v="2024-07-10T00:00:00"/>
    <x v="0"/>
    <x v="4"/>
    <x v="2"/>
    <x v="0"/>
    <n v="7"/>
    <n v="32623"/>
    <x v="4161"/>
    <n v="205"/>
    <n v="228156"/>
    <n v="42073.281629999998"/>
    <x v="0"/>
    <x v="10"/>
  </r>
  <r>
    <n v="14190"/>
    <d v="2024-03-05T00:00:00"/>
    <x v="4"/>
    <x v="2"/>
    <x v="1"/>
    <x v="2"/>
    <n v="6"/>
    <n v="9697"/>
    <x v="4162"/>
    <n v="1636"/>
    <n v="56546"/>
    <n v="8160.9619640000001"/>
    <x v="0"/>
    <x v="1"/>
  </r>
  <r>
    <n v="14191"/>
    <d v="2025-04-18T00:00:00"/>
    <x v="3"/>
    <x v="2"/>
    <x v="1"/>
    <x v="1"/>
    <n v="1"/>
    <n v="20730"/>
    <x v="4163"/>
    <n v="630"/>
    <n v="20100"/>
    <n v="4588.7951730000004"/>
    <x v="1"/>
    <x v="0"/>
  </r>
  <r>
    <n v="14192"/>
    <d v="2024-04-09T00:00:00"/>
    <x v="1"/>
    <x v="4"/>
    <x v="0"/>
    <x v="0"/>
    <n v="2"/>
    <n v="33245"/>
    <x v="4164"/>
    <n v="2226"/>
    <n v="64264"/>
    <n v="13610.495290000001"/>
    <x v="0"/>
    <x v="0"/>
  </r>
  <r>
    <n v="14193"/>
    <d v="2025-06-27T00:00:00"/>
    <x v="2"/>
    <x v="3"/>
    <x v="0"/>
    <x v="2"/>
    <n v="7"/>
    <n v="49134"/>
    <x v="4165"/>
    <n v="2389"/>
    <n v="341549"/>
    <n v="67069.965119999993"/>
    <x v="1"/>
    <x v="11"/>
  </r>
  <r>
    <n v="14194"/>
    <d v="2024-05-07T00:00:00"/>
    <x v="1"/>
    <x v="0"/>
    <x v="1"/>
    <x v="2"/>
    <n v="3"/>
    <n v="36313"/>
    <x v="4166"/>
    <n v="4535"/>
    <n v="104404"/>
    <n v="25032.048129999999"/>
    <x v="0"/>
    <x v="5"/>
  </r>
  <r>
    <n v="14195"/>
    <d v="2025-03-27T00:00:00"/>
    <x v="1"/>
    <x v="1"/>
    <x v="0"/>
    <x v="2"/>
    <n v="2"/>
    <n v="70573"/>
    <x v="4167"/>
    <n v="1098"/>
    <n v="140048"/>
    <n v="26149.29047"/>
    <x v="1"/>
    <x v="1"/>
  </r>
  <r>
    <n v="14196"/>
    <d v="2025-01-03T00:00:00"/>
    <x v="2"/>
    <x v="2"/>
    <x v="2"/>
    <x v="3"/>
    <n v="6"/>
    <n v="58595"/>
    <x v="4168"/>
    <n v="289"/>
    <n v="351281"/>
    <n v="62100.005389999998"/>
    <x v="1"/>
    <x v="4"/>
  </r>
  <r>
    <n v="14197"/>
    <d v="2024-02-12T00:00:00"/>
    <x v="4"/>
    <x v="3"/>
    <x v="0"/>
    <x v="1"/>
    <n v="4"/>
    <n v="34908"/>
    <x v="4169"/>
    <n v="2604"/>
    <n v="137028"/>
    <n v="33757.39733"/>
    <x v="0"/>
    <x v="9"/>
  </r>
  <r>
    <n v="14198"/>
    <d v="2025-02-22T00:00:00"/>
    <x v="2"/>
    <x v="3"/>
    <x v="0"/>
    <x v="2"/>
    <n v="5"/>
    <n v="72557"/>
    <x v="4170"/>
    <n v="207"/>
    <n v="362578"/>
    <n v="47462.227769999998"/>
    <x v="1"/>
    <x v="9"/>
  </r>
  <r>
    <n v="14199"/>
    <d v="2025-05-02T00:00:00"/>
    <x v="4"/>
    <x v="1"/>
    <x v="1"/>
    <x v="3"/>
    <n v="6"/>
    <n v="44648"/>
    <x v="4171"/>
    <n v="3814"/>
    <n v="264074"/>
    <n v="32030.915509999999"/>
    <x v="1"/>
    <x v="5"/>
  </r>
  <r>
    <n v="14200"/>
    <d v="2024-03-18T00:00:00"/>
    <x v="1"/>
    <x v="1"/>
    <x v="0"/>
    <x v="1"/>
    <n v="3"/>
    <n v="42289"/>
    <x v="4172"/>
    <n v="271"/>
    <n v="126596"/>
    <n v="15741.25432"/>
    <x v="0"/>
    <x v="1"/>
  </r>
  <r>
    <n v="14201"/>
    <d v="2024-09-26T00:00:00"/>
    <x v="4"/>
    <x v="3"/>
    <x v="1"/>
    <x v="1"/>
    <n v="1"/>
    <n v="67710"/>
    <x v="4173"/>
    <n v="3678"/>
    <n v="64032"/>
    <n v="15906.5926"/>
    <x v="0"/>
    <x v="2"/>
  </r>
  <r>
    <n v="14202"/>
    <d v="2025-11-04T00:00:00"/>
    <x v="3"/>
    <x v="1"/>
    <x v="1"/>
    <x v="3"/>
    <n v="3"/>
    <n v="13839"/>
    <x v="4174"/>
    <n v="414"/>
    <n v="41103"/>
    <n v="8131.7212659999996"/>
    <x v="1"/>
    <x v="7"/>
  </r>
  <r>
    <n v="14203"/>
    <d v="2025-12-01T00:00:00"/>
    <x v="2"/>
    <x v="3"/>
    <x v="1"/>
    <x v="1"/>
    <n v="3"/>
    <n v="73838"/>
    <x v="4175"/>
    <n v="3468"/>
    <n v="218046"/>
    <n v="31810.38911"/>
    <x v="1"/>
    <x v="3"/>
  </r>
  <r>
    <n v="14204"/>
    <d v="2025-12-28T00:00:00"/>
    <x v="3"/>
    <x v="1"/>
    <x v="2"/>
    <x v="3"/>
    <n v="6"/>
    <n v="13511"/>
    <x v="4176"/>
    <n v="4479"/>
    <n v="76587"/>
    <n v="10518.96947"/>
    <x v="1"/>
    <x v="3"/>
  </r>
  <r>
    <n v="14205"/>
    <d v="2024-11-10T00:00:00"/>
    <x v="1"/>
    <x v="1"/>
    <x v="0"/>
    <x v="0"/>
    <n v="4"/>
    <n v="14948"/>
    <x v="4177"/>
    <n v="1284"/>
    <n v="58508"/>
    <n v="6347.8715940000002"/>
    <x v="0"/>
    <x v="7"/>
  </r>
  <r>
    <n v="14206"/>
    <d v="2024-06-16T00:00:00"/>
    <x v="2"/>
    <x v="3"/>
    <x v="0"/>
    <x v="2"/>
    <n v="7"/>
    <n v="49638"/>
    <x v="4178"/>
    <n v="4986"/>
    <n v="342480"/>
    <n v="41026.39817"/>
    <x v="0"/>
    <x v="11"/>
  </r>
  <r>
    <n v="14207"/>
    <d v="2024-12-04T00:00:00"/>
    <x v="1"/>
    <x v="4"/>
    <x v="0"/>
    <x v="3"/>
    <n v="2"/>
    <n v="10873"/>
    <x v="4179"/>
    <n v="1662"/>
    <n v="20084"/>
    <n v="4744.3607190000002"/>
    <x v="0"/>
    <x v="3"/>
  </r>
  <r>
    <n v="14208"/>
    <d v="2024-07-11T00:00:00"/>
    <x v="3"/>
    <x v="3"/>
    <x v="1"/>
    <x v="1"/>
    <n v="4"/>
    <n v="36461"/>
    <x v="4180"/>
    <n v="4014"/>
    <n v="141830"/>
    <n v="30082.307400000002"/>
    <x v="0"/>
    <x v="10"/>
  </r>
  <r>
    <n v="14209"/>
    <d v="2025-03-28T00:00:00"/>
    <x v="1"/>
    <x v="0"/>
    <x v="2"/>
    <x v="1"/>
    <n v="8"/>
    <n v="78034"/>
    <x v="4181"/>
    <n v="1041"/>
    <n v="623231"/>
    <n v="150344.4822"/>
    <x v="1"/>
    <x v="1"/>
  </r>
  <r>
    <n v="14210"/>
    <d v="2024-10-09T00:00:00"/>
    <x v="2"/>
    <x v="1"/>
    <x v="1"/>
    <x v="0"/>
    <n v="6"/>
    <n v="32091"/>
    <x v="4182"/>
    <n v="4090"/>
    <n v="188456"/>
    <n v="30823.795600000001"/>
    <x v="0"/>
    <x v="8"/>
  </r>
  <r>
    <n v="14211"/>
    <d v="2024-12-01T00:00:00"/>
    <x v="2"/>
    <x v="2"/>
    <x v="0"/>
    <x v="0"/>
    <n v="3"/>
    <n v="76171"/>
    <x v="4183"/>
    <n v="2294"/>
    <n v="226219"/>
    <n v="43023.593289999997"/>
    <x v="0"/>
    <x v="3"/>
  </r>
  <r>
    <n v="14212"/>
    <d v="2025-01-24T00:00:00"/>
    <x v="1"/>
    <x v="1"/>
    <x v="1"/>
    <x v="0"/>
    <n v="2"/>
    <n v="57999"/>
    <x v="4184"/>
    <n v="3713"/>
    <n v="112285"/>
    <n v="19374.8541"/>
    <x v="1"/>
    <x v="4"/>
  </r>
  <r>
    <n v="14213"/>
    <d v="2025-06-08T00:00:00"/>
    <x v="2"/>
    <x v="0"/>
    <x v="1"/>
    <x v="0"/>
    <n v="3"/>
    <n v="38532"/>
    <x v="4185"/>
    <n v="2461"/>
    <n v="113135"/>
    <n v="26270.83052"/>
    <x v="1"/>
    <x v="11"/>
  </r>
  <r>
    <n v="14214"/>
    <d v="2024-08-27T00:00:00"/>
    <x v="2"/>
    <x v="2"/>
    <x v="0"/>
    <x v="0"/>
    <n v="1"/>
    <n v="27690"/>
    <x v="4186"/>
    <n v="1343"/>
    <n v="26347"/>
    <n v="6552.6907869999995"/>
    <x v="0"/>
    <x v="6"/>
  </r>
  <r>
    <n v="14215"/>
    <d v="2025-04-27T00:00:00"/>
    <x v="1"/>
    <x v="2"/>
    <x v="1"/>
    <x v="2"/>
    <n v="1"/>
    <n v="22036"/>
    <x v="4187"/>
    <n v="2762"/>
    <n v="19274"/>
    <n v="4624.1464029999997"/>
    <x v="1"/>
    <x v="0"/>
  </r>
  <r>
    <n v="14216"/>
    <d v="2025-10-20T00:00:00"/>
    <x v="3"/>
    <x v="3"/>
    <x v="1"/>
    <x v="3"/>
    <n v="2"/>
    <n v="50040"/>
    <x v="4188"/>
    <n v="2228"/>
    <n v="97852"/>
    <n v="18563.344120000002"/>
    <x v="1"/>
    <x v="8"/>
  </r>
  <r>
    <n v="14217"/>
    <d v="2025-12-16T00:00:00"/>
    <x v="2"/>
    <x v="4"/>
    <x v="2"/>
    <x v="0"/>
    <n v="3"/>
    <n v="61196"/>
    <x v="4189"/>
    <n v="3367"/>
    <n v="180221"/>
    <n v="19692.80212"/>
    <x v="1"/>
    <x v="3"/>
  </r>
  <r>
    <n v="14218"/>
    <d v="2025-08-14T00:00:00"/>
    <x v="2"/>
    <x v="3"/>
    <x v="1"/>
    <x v="0"/>
    <n v="9"/>
    <n v="52911"/>
    <x v="4190"/>
    <n v="943"/>
    <n v="475256"/>
    <n v="91548.084199999998"/>
    <x v="1"/>
    <x v="6"/>
  </r>
  <r>
    <n v="14219"/>
    <d v="2025-07-08T00:00:00"/>
    <x v="2"/>
    <x v="2"/>
    <x v="2"/>
    <x v="2"/>
    <n v="8"/>
    <n v="49562"/>
    <x v="4191"/>
    <n v="4988"/>
    <n v="391508"/>
    <n v="44850.026290000002"/>
    <x v="1"/>
    <x v="10"/>
  </r>
  <r>
    <n v="14220"/>
    <d v="2025-04-02T00:00:00"/>
    <x v="2"/>
    <x v="2"/>
    <x v="0"/>
    <x v="3"/>
    <n v="9"/>
    <n v="15321"/>
    <x v="4192"/>
    <n v="4156"/>
    <n v="133733"/>
    <n v="16158.051820000001"/>
    <x v="1"/>
    <x v="0"/>
  </r>
  <r>
    <n v="14221"/>
    <d v="2024-03-29T00:00:00"/>
    <x v="1"/>
    <x v="4"/>
    <x v="2"/>
    <x v="0"/>
    <n v="7"/>
    <n v="34152"/>
    <x v="4193"/>
    <n v="4059"/>
    <n v="235005"/>
    <n v="30245.544119999999"/>
    <x v="0"/>
    <x v="1"/>
  </r>
  <r>
    <n v="14222"/>
    <d v="2025-10-21T00:00:00"/>
    <x v="3"/>
    <x v="1"/>
    <x v="1"/>
    <x v="3"/>
    <n v="7"/>
    <n v="59911"/>
    <x v="4194"/>
    <n v="165"/>
    <n v="419212"/>
    <n v="64778.320599999999"/>
    <x v="1"/>
    <x v="8"/>
  </r>
  <r>
    <n v="14223"/>
    <d v="2024-04-04T00:00:00"/>
    <x v="3"/>
    <x v="4"/>
    <x v="0"/>
    <x v="3"/>
    <n v="5"/>
    <n v="5145"/>
    <x v="4195"/>
    <n v="1905"/>
    <n v="23820"/>
    <n v="4496.4531059999999"/>
    <x v="0"/>
    <x v="0"/>
  </r>
  <r>
    <n v="14224"/>
    <d v="2025-03-27T00:00:00"/>
    <x v="4"/>
    <x v="3"/>
    <x v="1"/>
    <x v="2"/>
    <n v="7"/>
    <n v="75637"/>
    <x v="4196"/>
    <n v="3056"/>
    <n v="526403"/>
    <n v="78977.848209999996"/>
    <x v="1"/>
    <x v="1"/>
  </r>
  <r>
    <n v="14225"/>
    <d v="2025-03-03T00:00:00"/>
    <x v="2"/>
    <x v="1"/>
    <x v="1"/>
    <x v="2"/>
    <n v="4"/>
    <n v="9247"/>
    <x v="4197"/>
    <n v="1323"/>
    <n v="35665"/>
    <n v="5986.0159569999996"/>
    <x v="1"/>
    <x v="1"/>
  </r>
  <r>
    <n v="14226"/>
    <d v="2024-05-30T00:00:00"/>
    <x v="2"/>
    <x v="3"/>
    <x v="2"/>
    <x v="0"/>
    <n v="5"/>
    <n v="74724"/>
    <x v="4198"/>
    <n v="4750"/>
    <n v="368870"/>
    <n v="39503.525849999998"/>
    <x v="0"/>
    <x v="5"/>
  </r>
  <r>
    <n v="14227"/>
    <d v="2025-05-28T00:00:00"/>
    <x v="4"/>
    <x v="4"/>
    <x v="1"/>
    <x v="1"/>
    <n v="1"/>
    <n v="68289"/>
    <x v="4199"/>
    <n v="350"/>
    <n v="67939"/>
    <n v="13109.75878"/>
    <x v="1"/>
    <x v="5"/>
  </r>
  <r>
    <n v="14228"/>
    <d v="2025-01-10T00:00:00"/>
    <x v="3"/>
    <x v="1"/>
    <x v="2"/>
    <x v="2"/>
    <n v="4"/>
    <n v="48547"/>
    <x v="4200"/>
    <n v="2310"/>
    <n v="191878"/>
    <n v="38098.291169999997"/>
    <x v="1"/>
    <x v="4"/>
  </r>
  <r>
    <n v="14229"/>
    <d v="2024-01-22T00:00:00"/>
    <x v="0"/>
    <x v="4"/>
    <x v="0"/>
    <x v="3"/>
    <n v="3"/>
    <n v="7696"/>
    <x v="4201"/>
    <n v="3309"/>
    <n v="19779"/>
    <n v="2272.7756610000001"/>
    <x v="0"/>
    <x v="4"/>
  </r>
  <r>
    <n v="14230"/>
    <d v="2024-11-08T00:00:00"/>
    <x v="0"/>
    <x v="0"/>
    <x v="0"/>
    <x v="3"/>
    <n v="2"/>
    <n v="67041"/>
    <x v="4202"/>
    <n v="931"/>
    <n v="133151"/>
    <n v="28995.970170000001"/>
    <x v="0"/>
    <x v="7"/>
  </r>
  <r>
    <n v="14231"/>
    <d v="2025-06-02T00:00:00"/>
    <x v="3"/>
    <x v="2"/>
    <x v="1"/>
    <x v="0"/>
    <n v="2"/>
    <n v="24713"/>
    <x v="4203"/>
    <n v="3838"/>
    <n v="45588"/>
    <n v="8986.2579470000001"/>
    <x v="1"/>
    <x v="11"/>
  </r>
  <r>
    <n v="14232"/>
    <d v="2024-07-24T00:00:00"/>
    <x v="2"/>
    <x v="1"/>
    <x v="2"/>
    <x v="0"/>
    <n v="8"/>
    <n v="49549"/>
    <x v="4204"/>
    <n v="1113"/>
    <n v="395279"/>
    <n v="68564.863859999998"/>
    <x v="0"/>
    <x v="10"/>
  </r>
  <r>
    <n v="14233"/>
    <d v="2025-01-09T00:00:00"/>
    <x v="0"/>
    <x v="2"/>
    <x v="1"/>
    <x v="0"/>
    <n v="1"/>
    <n v="48548"/>
    <x v="4205"/>
    <n v="2186"/>
    <n v="46362"/>
    <n v="8480.9534230000008"/>
    <x v="1"/>
    <x v="4"/>
  </r>
  <r>
    <n v="14234"/>
    <d v="2025-03-26T00:00:00"/>
    <x v="1"/>
    <x v="0"/>
    <x v="1"/>
    <x v="3"/>
    <n v="8"/>
    <n v="57633"/>
    <x v="4206"/>
    <n v="1989"/>
    <n v="459075"/>
    <n v="80547.858089999994"/>
    <x v="1"/>
    <x v="1"/>
  </r>
  <r>
    <n v="14235"/>
    <d v="2025-09-17T00:00:00"/>
    <x v="1"/>
    <x v="1"/>
    <x v="1"/>
    <x v="2"/>
    <n v="9"/>
    <n v="9641"/>
    <x v="4207"/>
    <n v="1385"/>
    <n v="85384"/>
    <n v="9227.3585060000005"/>
    <x v="1"/>
    <x v="2"/>
  </r>
  <r>
    <n v="14236"/>
    <d v="2025-08-17T00:00:00"/>
    <x v="4"/>
    <x v="2"/>
    <x v="1"/>
    <x v="1"/>
    <n v="6"/>
    <n v="76095"/>
    <x v="4208"/>
    <n v="3484"/>
    <n v="453086"/>
    <n v="95271.489300000001"/>
    <x v="1"/>
    <x v="6"/>
  </r>
  <r>
    <n v="14237"/>
    <d v="2024-06-27T00:00:00"/>
    <x v="3"/>
    <x v="2"/>
    <x v="2"/>
    <x v="2"/>
    <n v="1"/>
    <n v="16631"/>
    <x v="4209"/>
    <n v="1116"/>
    <n v="15515"/>
    <n v="2742.6113049999999"/>
    <x v="0"/>
    <x v="11"/>
  </r>
  <r>
    <n v="14238"/>
    <d v="2024-07-28T00:00:00"/>
    <x v="3"/>
    <x v="1"/>
    <x v="1"/>
    <x v="1"/>
    <n v="7"/>
    <n v="40816"/>
    <x v="4210"/>
    <n v="133"/>
    <n v="285579"/>
    <n v="35961.129489999999"/>
    <x v="0"/>
    <x v="10"/>
  </r>
  <r>
    <n v="14239"/>
    <d v="2025-05-14T00:00:00"/>
    <x v="0"/>
    <x v="2"/>
    <x v="0"/>
    <x v="2"/>
    <n v="5"/>
    <n v="7023"/>
    <x v="4211"/>
    <n v="3951"/>
    <n v="31164"/>
    <n v="6298.544449"/>
    <x v="1"/>
    <x v="5"/>
  </r>
  <r>
    <n v="14240"/>
    <d v="2025-04-08T00:00:00"/>
    <x v="2"/>
    <x v="2"/>
    <x v="2"/>
    <x v="0"/>
    <n v="9"/>
    <n v="30656"/>
    <x v="4212"/>
    <n v="1227"/>
    <n v="274677"/>
    <n v="56105.480320000002"/>
    <x v="1"/>
    <x v="0"/>
  </r>
  <r>
    <n v="14241"/>
    <d v="2024-05-03T00:00:00"/>
    <x v="3"/>
    <x v="1"/>
    <x v="1"/>
    <x v="3"/>
    <n v="7"/>
    <n v="39842"/>
    <x v="4213"/>
    <n v="3109"/>
    <n v="275785"/>
    <n v="36410.3272"/>
    <x v="0"/>
    <x v="5"/>
  </r>
  <r>
    <n v="14242"/>
    <d v="2024-04-22T00:00:00"/>
    <x v="0"/>
    <x v="2"/>
    <x v="2"/>
    <x v="1"/>
    <n v="5"/>
    <n v="60189"/>
    <x v="4214"/>
    <n v="2504"/>
    <n v="298441"/>
    <n v="65500.117899999997"/>
    <x v="0"/>
    <x v="0"/>
  </r>
  <r>
    <n v="14243"/>
    <d v="2024-01-12T00:00:00"/>
    <x v="0"/>
    <x v="2"/>
    <x v="1"/>
    <x v="2"/>
    <n v="2"/>
    <n v="50923"/>
    <x v="4215"/>
    <n v="3605"/>
    <n v="98241"/>
    <n v="16551.222119999999"/>
    <x v="0"/>
    <x v="4"/>
  </r>
  <r>
    <n v="14244"/>
    <d v="2024-05-05T00:00:00"/>
    <x v="3"/>
    <x v="3"/>
    <x v="0"/>
    <x v="3"/>
    <n v="4"/>
    <n v="40080"/>
    <x v="4216"/>
    <n v="1881"/>
    <n v="158439"/>
    <n v="20136.240959999999"/>
    <x v="0"/>
    <x v="5"/>
  </r>
  <r>
    <n v="14245"/>
    <d v="2025-07-18T00:00:00"/>
    <x v="0"/>
    <x v="3"/>
    <x v="0"/>
    <x v="1"/>
    <n v="2"/>
    <n v="8474"/>
    <x v="4217"/>
    <n v="4533"/>
    <n v="12415"/>
    <n v="2466.1528509999998"/>
    <x v="1"/>
    <x v="10"/>
  </r>
  <r>
    <n v="14246"/>
    <d v="2024-11-26T00:00:00"/>
    <x v="4"/>
    <x v="0"/>
    <x v="0"/>
    <x v="1"/>
    <n v="9"/>
    <n v="8260"/>
    <x v="4218"/>
    <n v="679"/>
    <n v="73661"/>
    <n v="13959.425740000001"/>
    <x v="0"/>
    <x v="7"/>
  </r>
  <r>
    <n v="14247"/>
    <d v="2024-10-09T00:00:00"/>
    <x v="4"/>
    <x v="3"/>
    <x v="2"/>
    <x v="3"/>
    <n v="2"/>
    <n v="65218"/>
    <x v="4219"/>
    <n v="2694"/>
    <n v="127742"/>
    <n v="16039.406730000001"/>
    <x v="0"/>
    <x v="8"/>
  </r>
  <r>
    <n v="14248"/>
    <d v="2024-05-19T00:00:00"/>
    <x v="3"/>
    <x v="3"/>
    <x v="0"/>
    <x v="0"/>
    <n v="2"/>
    <n v="54109"/>
    <x v="4220"/>
    <n v="2669"/>
    <n v="105549"/>
    <n v="24366.233100000001"/>
    <x v="0"/>
    <x v="5"/>
  </r>
  <r>
    <n v="14249"/>
    <d v="2025-02-04T00:00:00"/>
    <x v="2"/>
    <x v="0"/>
    <x v="1"/>
    <x v="3"/>
    <n v="2"/>
    <n v="10618"/>
    <x v="4221"/>
    <n v="1247"/>
    <n v="19989"/>
    <n v="4561.0930159999998"/>
    <x v="1"/>
    <x v="9"/>
  </r>
  <r>
    <n v="14250"/>
    <d v="2024-04-06T00:00:00"/>
    <x v="4"/>
    <x v="2"/>
    <x v="1"/>
    <x v="0"/>
    <n v="1"/>
    <n v="50765"/>
    <x v="4222"/>
    <n v="1191"/>
    <n v="49574"/>
    <n v="11175.79838"/>
    <x v="0"/>
    <x v="0"/>
  </r>
  <r>
    <n v="14251"/>
    <d v="2025-05-31T00:00:00"/>
    <x v="4"/>
    <x v="2"/>
    <x v="1"/>
    <x v="2"/>
    <n v="9"/>
    <n v="39118"/>
    <x v="4223"/>
    <n v="1130"/>
    <n v="350932"/>
    <n v="56108.474649999996"/>
    <x v="1"/>
    <x v="5"/>
  </r>
  <r>
    <n v="14252"/>
    <d v="2025-07-22T00:00:00"/>
    <x v="3"/>
    <x v="3"/>
    <x v="2"/>
    <x v="2"/>
    <n v="8"/>
    <n v="14285"/>
    <x v="4224"/>
    <n v="1403"/>
    <n v="112877"/>
    <n v="25249.84174"/>
    <x v="1"/>
    <x v="10"/>
  </r>
  <r>
    <n v="14253"/>
    <d v="2024-03-09T00:00:00"/>
    <x v="1"/>
    <x v="0"/>
    <x v="2"/>
    <x v="3"/>
    <n v="2"/>
    <n v="62083"/>
    <x v="4225"/>
    <n v="2071"/>
    <n v="122095"/>
    <n v="27681.29248"/>
    <x v="0"/>
    <x v="1"/>
  </r>
  <r>
    <n v="14254"/>
    <d v="2024-04-27T00:00:00"/>
    <x v="0"/>
    <x v="2"/>
    <x v="0"/>
    <x v="0"/>
    <n v="2"/>
    <n v="78677"/>
    <x v="4226"/>
    <n v="1330"/>
    <n v="156024"/>
    <n v="38925.029909999997"/>
    <x v="0"/>
    <x v="0"/>
  </r>
  <r>
    <n v="14255"/>
    <d v="2024-02-28T00:00:00"/>
    <x v="4"/>
    <x v="4"/>
    <x v="2"/>
    <x v="2"/>
    <n v="5"/>
    <n v="33352"/>
    <x v="4227"/>
    <n v="1381"/>
    <n v="165379"/>
    <n v="40293.054120000001"/>
    <x v="0"/>
    <x v="9"/>
  </r>
  <r>
    <n v="14256"/>
    <d v="2024-02-02T00:00:00"/>
    <x v="1"/>
    <x v="1"/>
    <x v="1"/>
    <x v="0"/>
    <n v="4"/>
    <n v="49056"/>
    <x v="4228"/>
    <n v="369"/>
    <n v="195855"/>
    <n v="30832.884719999998"/>
    <x v="0"/>
    <x v="9"/>
  </r>
  <r>
    <n v="14257"/>
    <d v="2024-11-13T00:00:00"/>
    <x v="2"/>
    <x v="1"/>
    <x v="1"/>
    <x v="0"/>
    <n v="2"/>
    <n v="68045"/>
    <x v="4229"/>
    <n v="3794"/>
    <n v="132296"/>
    <n v="17162.844420000001"/>
    <x v="0"/>
    <x v="7"/>
  </r>
  <r>
    <n v="14258"/>
    <d v="2024-02-19T00:00:00"/>
    <x v="1"/>
    <x v="1"/>
    <x v="1"/>
    <x v="0"/>
    <n v="8"/>
    <n v="28707"/>
    <x v="4230"/>
    <n v="2490"/>
    <n v="227166"/>
    <n v="32682.226790000001"/>
    <x v="0"/>
    <x v="9"/>
  </r>
  <r>
    <n v="14259"/>
    <d v="2025-05-03T00:00:00"/>
    <x v="3"/>
    <x v="3"/>
    <x v="2"/>
    <x v="3"/>
    <n v="8"/>
    <n v="27161"/>
    <x v="4231"/>
    <n v="1176"/>
    <n v="216112"/>
    <n v="37650.424070000001"/>
    <x v="1"/>
    <x v="5"/>
  </r>
  <r>
    <n v="14260"/>
    <d v="2024-01-19T00:00:00"/>
    <x v="2"/>
    <x v="1"/>
    <x v="1"/>
    <x v="0"/>
    <n v="4"/>
    <n v="72390"/>
    <x v="4232"/>
    <n v="375"/>
    <n v="289185"/>
    <n v="63857.439879999998"/>
    <x v="0"/>
    <x v="4"/>
  </r>
  <r>
    <n v="14261"/>
    <d v="2025-12-26T00:00:00"/>
    <x v="2"/>
    <x v="1"/>
    <x v="0"/>
    <x v="3"/>
    <n v="4"/>
    <n v="23650"/>
    <x v="4233"/>
    <n v="2760"/>
    <n v="91840"/>
    <n v="19143.82835"/>
    <x v="1"/>
    <x v="3"/>
  </r>
  <r>
    <n v="14262"/>
    <d v="2024-07-15T00:00:00"/>
    <x v="1"/>
    <x v="4"/>
    <x v="2"/>
    <x v="2"/>
    <n v="9"/>
    <n v="21944"/>
    <x v="4234"/>
    <n v="3290"/>
    <n v="194206"/>
    <n v="42367.381609999997"/>
    <x v="0"/>
    <x v="10"/>
  </r>
  <r>
    <n v="14263"/>
    <d v="2025-03-25T00:00:00"/>
    <x v="3"/>
    <x v="2"/>
    <x v="1"/>
    <x v="2"/>
    <n v="4"/>
    <n v="12546"/>
    <x v="4235"/>
    <n v="1943"/>
    <n v="48241"/>
    <n v="7573.3042240000004"/>
    <x v="1"/>
    <x v="1"/>
  </r>
  <r>
    <n v="14264"/>
    <d v="2025-07-12T00:00:00"/>
    <x v="4"/>
    <x v="4"/>
    <x v="1"/>
    <x v="1"/>
    <n v="9"/>
    <n v="59139"/>
    <x v="4236"/>
    <n v="957"/>
    <n v="531294"/>
    <n v="72806.243409999995"/>
    <x v="1"/>
    <x v="10"/>
  </r>
  <r>
    <n v="14265"/>
    <d v="2025-11-09T00:00:00"/>
    <x v="1"/>
    <x v="3"/>
    <x v="2"/>
    <x v="1"/>
    <n v="3"/>
    <n v="12207"/>
    <x v="4237"/>
    <n v="810"/>
    <n v="35811"/>
    <n v="3710.7161620000002"/>
    <x v="1"/>
    <x v="7"/>
  </r>
  <r>
    <n v="14266"/>
    <d v="2025-03-27T00:00:00"/>
    <x v="4"/>
    <x v="1"/>
    <x v="2"/>
    <x v="2"/>
    <n v="2"/>
    <n v="77022"/>
    <x v="4238"/>
    <n v="4922"/>
    <n v="149122"/>
    <n v="28918.863109999998"/>
    <x v="1"/>
    <x v="1"/>
  </r>
  <r>
    <n v="14267"/>
    <d v="2024-10-15T00:00:00"/>
    <x v="1"/>
    <x v="2"/>
    <x v="0"/>
    <x v="0"/>
    <n v="8"/>
    <n v="36222"/>
    <x v="4239"/>
    <n v="1533"/>
    <n v="288243"/>
    <n v="63198.909310000003"/>
    <x v="0"/>
    <x v="8"/>
  </r>
  <r>
    <n v="14268"/>
    <d v="2024-05-20T00:00:00"/>
    <x v="4"/>
    <x v="1"/>
    <x v="2"/>
    <x v="0"/>
    <n v="3"/>
    <n v="34121"/>
    <x v="4240"/>
    <n v="4430"/>
    <n v="97933"/>
    <n v="22854.7294"/>
    <x v="0"/>
    <x v="5"/>
  </r>
  <r>
    <n v="14269"/>
    <d v="2024-03-24T00:00:00"/>
    <x v="1"/>
    <x v="1"/>
    <x v="1"/>
    <x v="2"/>
    <n v="2"/>
    <n v="43915"/>
    <x v="4241"/>
    <n v="409"/>
    <n v="87421"/>
    <n v="14987.078799999999"/>
    <x v="0"/>
    <x v="1"/>
  </r>
  <r>
    <n v="14270"/>
    <d v="2025-11-24T00:00:00"/>
    <x v="2"/>
    <x v="3"/>
    <x v="0"/>
    <x v="2"/>
    <n v="8"/>
    <n v="15017"/>
    <x v="4242"/>
    <n v="53"/>
    <n v="120083"/>
    <n v="28717.4732"/>
    <x v="1"/>
    <x v="7"/>
  </r>
  <r>
    <n v="14271"/>
    <d v="2025-01-25T00:00:00"/>
    <x v="0"/>
    <x v="1"/>
    <x v="1"/>
    <x v="1"/>
    <n v="8"/>
    <n v="20094"/>
    <x v="4243"/>
    <n v="4796"/>
    <n v="155956"/>
    <n v="20330.706320000001"/>
    <x v="1"/>
    <x v="4"/>
  </r>
  <r>
    <n v="14272"/>
    <d v="2025-08-13T00:00:00"/>
    <x v="2"/>
    <x v="0"/>
    <x v="1"/>
    <x v="0"/>
    <n v="5"/>
    <n v="36236"/>
    <x v="4244"/>
    <n v="1098"/>
    <n v="180082"/>
    <n v="31902.73618"/>
    <x v="1"/>
    <x v="6"/>
  </r>
  <r>
    <n v="14273"/>
    <d v="2024-08-02T00:00:00"/>
    <x v="4"/>
    <x v="2"/>
    <x v="1"/>
    <x v="2"/>
    <n v="9"/>
    <n v="12664"/>
    <x v="4245"/>
    <n v="2396"/>
    <n v="111580"/>
    <n v="14735.830749999999"/>
    <x v="0"/>
    <x v="6"/>
  </r>
  <r>
    <n v="14274"/>
    <d v="2025-06-09T00:00:00"/>
    <x v="3"/>
    <x v="2"/>
    <x v="2"/>
    <x v="1"/>
    <n v="6"/>
    <n v="34921"/>
    <x v="4246"/>
    <n v="974"/>
    <n v="208552"/>
    <n v="26738.728650000001"/>
    <x v="1"/>
    <x v="11"/>
  </r>
  <r>
    <n v="14275"/>
    <d v="2024-08-02T00:00:00"/>
    <x v="2"/>
    <x v="0"/>
    <x v="2"/>
    <x v="1"/>
    <n v="5"/>
    <n v="72219"/>
    <x v="4247"/>
    <n v="4488"/>
    <n v="356607"/>
    <n v="86658.432239999995"/>
    <x v="0"/>
    <x v="6"/>
  </r>
  <r>
    <n v="14276"/>
    <d v="2025-02-06T00:00:00"/>
    <x v="0"/>
    <x v="3"/>
    <x v="1"/>
    <x v="0"/>
    <n v="3"/>
    <n v="68590"/>
    <x v="4248"/>
    <n v="4649"/>
    <n v="201121"/>
    <n v="44781.823759999999"/>
    <x v="1"/>
    <x v="9"/>
  </r>
  <r>
    <n v="14277"/>
    <d v="2024-05-07T00:00:00"/>
    <x v="4"/>
    <x v="1"/>
    <x v="2"/>
    <x v="1"/>
    <n v="7"/>
    <n v="14390"/>
    <x v="4249"/>
    <n v="2894"/>
    <n v="97836"/>
    <n v="9956.7682000000004"/>
    <x v="0"/>
    <x v="5"/>
  </r>
  <r>
    <n v="14278"/>
    <d v="2025-04-21T00:00:00"/>
    <x v="2"/>
    <x v="1"/>
    <x v="1"/>
    <x v="1"/>
    <n v="9"/>
    <n v="38777"/>
    <x v="4250"/>
    <n v="3279"/>
    <n v="345714"/>
    <n v="48495.705240000003"/>
    <x v="1"/>
    <x v="0"/>
  </r>
  <r>
    <n v="14279"/>
    <d v="2025-02-07T00:00:00"/>
    <x v="1"/>
    <x v="2"/>
    <x v="2"/>
    <x v="3"/>
    <n v="4"/>
    <n v="53588"/>
    <x v="4251"/>
    <n v="4921"/>
    <n v="209431"/>
    <n v="27387.35211"/>
    <x v="1"/>
    <x v="9"/>
  </r>
  <r>
    <n v="14280"/>
    <d v="2024-01-29T00:00:00"/>
    <x v="3"/>
    <x v="3"/>
    <x v="2"/>
    <x v="2"/>
    <n v="7"/>
    <n v="47667"/>
    <x v="4252"/>
    <n v="4839"/>
    <n v="328830"/>
    <n v="40140.319869999999"/>
    <x v="0"/>
    <x v="4"/>
  </r>
  <r>
    <n v="14281"/>
    <d v="2024-12-03T00:00:00"/>
    <x v="4"/>
    <x v="3"/>
    <x v="2"/>
    <x v="0"/>
    <n v="3"/>
    <n v="34980"/>
    <x v="4253"/>
    <n v="2224"/>
    <n v="102716"/>
    <n v="21016.912260000001"/>
    <x v="0"/>
    <x v="3"/>
  </r>
  <r>
    <n v="14282"/>
    <d v="2025-12-14T00:00:00"/>
    <x v="2"/>
    <x v="3"/>
    <x v="0"/>
    <x v="2"/>
    <n v="2"/>
    <n v="28808"/>
    <x v="4254"/>
    <n v="2558"/>
    <n v="55058"/>
    <n v="10187.143599999999"/>
    <x v="1"/>
    <x v="3"/>
  </r>
  <r>
    <n v="14283"/>
    <d v="2024-12-26T00:00:00"/>
    <x v="4"/>
    <x v="1"/>
    <x v="2"/>
    <x v="3"/>
    <n v="1"/>
    <n v="68470"/>
    <x v="4255"/>
    <n v="3690"/>
    <n v="64780"/>
    <n v="10888.88222"/>
    <x v="0"/>
    <x v="3"/>
  </r>
  <r>
    <n v="14284"/>
    <d v="2025-07-22T00:00:00"/>
    <x v="1"/>
    <x v="3"/>
    <x v="0"/>
    <x v="0"/>
    <n v="6"/>
    <n v="77762"/>
    <x v="4256"/>
    <n v="138"/>
    <n v="466434"/>
    <n v="59901.58064"/>
    <x v="1"/>
    <x v="10"/>
  </r>
  <r>
    <n v="14285"/>
    <d v="2025-01-26T00:00:00"/>
    <x v="0"/>
    <x v="0"/>
    <x v="0"/>
    <x v="2"/>
    <n v="5"/>
    <n v="22926"/>
    <x v="4257"/>
    <n v="3173"/>
    <n v="111457"/>
    <n v="15787.07135"/>
    <x v="1"/>
    <x v="4"/>
  </r>
  <r>
    <n v="14286"/>
    <d v="2024-08-05T00:00:00"/>
    <x v="2"/>
    <x v="4"/>
    <x v="0"/>
    <x v="1"/>
    <n v="2"/>
    <n v="22621"/>
    <x v="4258"/>
    <n v="2520"/>
    <n v="42722"/>
    <n v="6554.2023520000002"/>
    <x v="0"/>
    <x v="6"/>
  </r>
  <r>
    <n v="14287"/>
    <d v="2025-07-27T00:00:00"/>
    <x v="4"/>
    <x v="3"/>
    <x v="1"/>
    <x v="0"/>
    <n v="3"/>
    <n v="16167"/>
    <x v="4259"/>
    <n v="4637"/>
    <n v="43864"/>
    <n v="9554.5618799999993"/>
    <x v="1"/>
    <x v="10"/>
  </r>
  <r>
    <n v="14288"/>
    <d v="2025-10-30T00:00:00"/>
    <x v="4"/>
    <x v="4"/>
    <x v="2"/>
    <x v="3"/>
    <n v="9"/>
    <n v="76245"/>
    <x v="4260"/>
    <n v="2241"/>
    <n v="683964"/>
    <n v="169881.89430000001"/>
    <x v="1"/>
    <x v="8"/>
  </r>
  <r>
    <n v="14289"/>
    <d v="2024-07-20T00:00:00"/>
    <x v="4"/>
    <x v="1"/>
    <x v="1"/>
    <x v="1"/>
    <n v="3"/>
    <n v="40031"/>
    <x v="4261"/>
    <n v="3827"/>
    <n v="116266"/>
    <n v="14835.141439999999"/>
    <x v="0"/>
    <x v="10"/>
  </r>
  <r>
    <n v="14290"/>
    <d v="2024-01-17T00:00:00"/>
    <x v="0"/>
    <x v="3"/>
    <x v="0"/>
    <x v="3"/>
    <n v="7"/>
    <n v="37146"/>
    <x v="4262"/>
    <n v="1337"/>
    <n v="258685"/>
    <n v="39120.51874"/>
    <x v="0"/>
    <x v="4"/>
  </r>
  <r>
    <n v="14291"/>
    <d v="2024-11-17T00:00:00"/>
    <x v="4"/>
    <x v="2"/>
    <x v="2"/>
    <x v="1"/>
    <n v="1"/>
    <n v="12998"/>
    <x v="4263"/>
    <n v="4089"/>
    <n v="8909"/>
    <n v="1265.3473369999999"/>
    <x v="0"/>
    <x v="7"/>
  </r>
  <r>
    <n v="14292"/>
    <d v="2025-06-01T00:00:00"/>
    <x v="3"/>
    <x v="1"/>
    <x v="1"/>
    <x v="2"/>
    <n v="7"/>
    <n v="45508"/>
    <x v="4264"/>
    <n v="2852"/>
    <n v="315704"/>
    <n v="33657.237910000003"/>
    <x v="1"/>
    <x v="11"/>
  </r>
  <r>
    <n v="14293"/>
    <d v="2025-07-23T00:00:00"/>
    <x v="3"/>
    <x v="0"/>
    <x v="0"/>
    <x v="2"/>
    <n v="9"/>
    <n v="36101"/>
    <x v="4265"/>
    <n v="2294"/>
    <n v="322615"/>
    <n v="42869.993730000002"/>
    <x v="1"/>
    <x v="10"/>
  </r>
  <r>
    <n v="14294"/>
    <d v="2024-11-20T00:00:00"/>
    <x v="4"/>
    <x v="0"/>
    <x v="1"/>
    <x v="2"/>
    <n v="8"/>
    <n v="29747"/>
    <x v="4266"/>
    <n v="2677"/>
    <n v="235299"/>
    <n v="55352.228889999999"/>
    <x v="0"/>
    <x v="7"/>
  </r>
  <r>
    <n v="14295"/>
    <d v="2025-02-15T00:00:00"/>
    <x v="3"/>
    <x v="4"/>
    <x v="1"/>
    <x v="3"/>
    <n v="7"/>
    <n v="65800"/>
    <x v="4267"/>
    <n v="72"/>
    <n v="460528"/>
    <n v="104276.7687"/>
    <x v="1"/>
    <x v="9"/>
  </r>
  <r>
    <n v="14296"/>
    <d v="2024-11-13T00:00:00"/>
    <x v="2"/>
    <x v="4"/>
    <x v="2"/>
    <x v="0"/>
    <n v="8"/>
    <n v="6882"/>
    <x v="4268"/>
    <n v="2878"/>
    <n v="52178"/>
    <n v="6529.5339059999997"/>
    <x v="0"/>
    <x v="7"/>
  </r>
  <r>
    <n v="14297"/>
    <d v="2025-11-11T00:00:00"/>
    <x v="3"/>
    <x v="2"/>
    <x v="2"/>
    <x v="2"/>
    <n v="4"/>
    <n v="43955"/>
    <x v="4269"/>
    <n v="2141"/>
    <n v="173679"/>
    <n v="26907.123879999999"/>
    <x v="1"/>
    <x v="7"/>
  </r>
  <r>
    <n v="14298"/>
    <d v="2024-03-22T00:00:00"/>
    <x v="4"/>
    <x v="2"/>
    <x v="1"/>
    <x v="3"/>
    <n v="2"/>
    <n v="64965"/>
    <x v="4270"/>
    <n v="4530"/>
    <n v="125400"/>
    <n v="18386.205470000001"/>
    <x v="0"/>
    <x v="1"/>
  </r>
  <r>
    <n v="14299"/>
    <d v="2025-04-18T00:00:00"/>
    <x v="1"/>
    <x v="0"/>
    <x v="2"/>
    <x v="1"/>
    <n v="9"/>
    <n v="46560"/>
    <x v="4271"/>
    <n v="1806"/>
    <n v="417234"/>
    <n v="50969.773249999998"/>
    <x v="1"/>
    <x v="0"/>
  </r>
  <r>
    <n v="14300"/>
    <d v="2025-04-12T00:00:00"/>
    <x v="2"/>
    <x v="3"/>
    <x v="2"/>
    <x v="2"/>
    <n v="3"/>
    <n v="36343"/>
    <x v="4272"/>
    <n v="2045"/>
    <n v="106984"/>
    <n v="20683.348460000001"/>
    <x v="1"/>
    <x v="0"/>
  </r>
  <r>
    <n v="14301"/>
    <d v="2025-02-28T00:00:00"/>
    <x v="0"/>
    <x v="0"/>
    <x v="1"/>
    <x v="1"/>
    <n v="4"/>
    <n v="8950"/>
    <x v="4273"/>
    <n v="3502"/>
    <n v="32298"/>
    <n v="5929.74046"/>
    <x v="1"/>
    <x v="9"/>
  </r>
  <r>
    <n v="14302"/>
    <d v="2025-12-31T00:00:00"/>
    <x v="4"/>
    <x v="0"/>
    <x v="2"/>
    <x v="2"/>
    <n v="7"/>
    <n v="8889"/>
    <x v="4274"/>
    <n v="4552"/>
    <n v="57671"/>
    <n v="9460.8525730000001"/>
    <x v="1"/>
    <x v="3"/>
  </r>
  <r>
    <n v="14303"/>
    <d v="2025-11-19T00:00:00"/>
    <x v="0"/>
    <x v="2"/>
    <x v="2"/>
    <x v="1"/>
    <n v="2"/>
    <n v="35410"/>
    <x v="4275"/>
    <n v="3501"/>
    <n v="67319"/>
    <n v="15370.593790000001"/>
    <x v="1"/>
    <x v="7"/>
  </r>
  <r>
    <n v="14304"/>
    <d v="2024-07-22T00:00:00"/>
    <x v="1"/>
    <x v="4"/>
    <x v="0"/>
    <x v="3"/>
    <n v="8"/>
    <n v="23976"/>
    <x v="4276"/>
    <n v="2276"/>
    <n v="189532"/>
    <n v="36571.469449999997"/>
    <x v="0"/>
    <x v="10"/>
  </r>
  <r>
    <n v="14305"/>
    <d v="2025-08-05T00:00:00"/>
    <x v="0"/>
    <x v="2"/>
    <x v="2"/>
    <x v="2"/>
    <n v="8"/>
    <n v="28016"/>
    <x v="4277"/>
    <n v="2077"/>
    <n v="222051"/>
    <n v="30840.897069999999"/>
    <x v="1"/>
    <x v="6"/>
  </r>
  <r>
    <n v="14306"/>
    <d v="2025-01-21T00:00:00"/>
    <x v="4"/>
    <x v="2"/>
    <x v="0"/>
    <x v="3"/>
    <n v="5"/>
    <n v="79747"/>
    <x v="4278"/>
    <n v="1648"/>
    <n v="397087"/>
    <n v="61967.693950000001"/>
    <x v="1"/>
    <x v="4"/>
  </r>
  <r>
    <n v="14307"/>
    <d v="2024-04-07T00:00:00"/>
    <x v="4"/>
    <x v="2"/>
    <x v="1"/>
    <x v="3"/>
    <n v="9"/>
    <n v="27742"/>
    <x v="4279"/>
    <n v="334"/>
    <n v="249344"/>
    <n v="30550.501939999998"/>
    <x v="0"/>
    <x v="0"/>
  </r>
  <r>
    <n v="14308"/>
    <d v="2024-12-10T00:00:00"/>
    <x v="1"/>
    <x v="0"/>
    <x v="0"/>
    <x v="1"/>
    <n v="8"/>
    <n v="28553"/>
    <x v="4280"/>
    <n v="4755"/>
    <n v="223669"/>
    <n v="42207.680289999997"/>
    <x v="0"/>
    <x v="3"/>
  </r>
  <r>
    <n v="14309"/>
    <d v="2024-07-26T00:00:00"/>
    <x v="4"/>
    <x v="3"/>
    <x v="1"/>
    <x v="2"/>
    <n v="1"/>
    <n v="68338"/>
    <x v="4281"/>
    <n v="4664"/>
    <n v="63674"/>
    <n v="11970.353080000001"/>
    <x v="0"/>
    <x v="10"/>
  </r>
  <r>
    <n v="14310"/>
    <d v="2025-05-28T00:00:00"/>
    <x v="1"/>
    <x v="0"/>
    <x v="2"/>
    <x v="0"/>
    <n v="9"/>
    <n v="34332"/>
    <x v="4282"/>
    <n v="4272"/>
    <n v="304716"/>
    <n v="70245.433810000002"/>
    <x v="1"/>
    <x v="5"/>
  </r>
  <r>
    <n v="14311"/>
    <d v="2025-09-27T00:00:00"/>
    <x v="1"/>
    <x v="1"/>
    <x v="2"/>
    <x v="0"/>
    <n v="5"/>
    <n v="9436"/>
    <x v="4283"/>
    <n v="2871"/>
    <n v="44309"/>
    <n v="10118.957329999999"/>
    <x v="1"/>
    <x v="2"/>
  </r>
  <r>
    <n v="14312"/>
    <d v="2025-08-08T00:00:00"/>
    <x v="4"/>
    <x v="2"/>
    <x v="0"/>
    <x v="3"/>
    <n v="9"/>
    <n v="22087"/>
    <x v="4284"/>
    <n v="2615"/>
    <n v="196168"/>
    <n v="44243.986720000001"/>
    <x v="1"/>
    <x v="6"/>
  </r>
  <r>
    <n v="14313"/>
    <d v="2024-06-14T00:00:00"/>
    <x v="3"/>
    <x v="2"/>
    <x v="1"/>
    <x v="1"/>
    <n v="9"/>
    <n v="60702"/>
    <x v="4285"/>
    <n v="4872"/>
    <n v="541446"/>
    <n v="98728.805649999995"/>
    <x v="0"/>
    <x v="11"/>
  </r>
  <r>
    <n v="14314"/>
    <d v="2024-01-22T00:00:00"/>
    <x v="1"/>
    <x v="1"/>
    <x v="2"/>
    <x v="1"/>
    <n v="3"/>
    <n v="30428"/>
    <x v="4286"/>
    <n v="4172"/>
    <n v="87112"/>
    <n v="17231.012460000002"/>
    <x v="0"/>
    <x v="4"/>
  </r>
  <r>
    <n v="14315"/>
    <d v="2024-06-02T00:00:00"/>
    <x v="4"/>
    <x v="2"/>
    <x v="0"/>
    <x v="1"/>
    <n v="8"/>
    <n v="79033"/>
    <x v="4287"/>
    <n v="932"/>
    <n v="631332"/>
    <n v="136576.867"/>
    <x v="0"/>
    <x v="11"/>
  </r>
  <r>
    <n v="14316"/>
    <d v="2025-03-14T00:00:00"/>
    <x v="3"/>
    <x v="2"/>
    <x v="0"/>
    <x v="2"/>
    <n v="7"/>
    <n v="33154"/>
    <x v="4288"/>
    <n v="635"/>
    <n v="231443"/>
    <n v="26327.271850000001"/>
    <x v="1"/>
    <x v="1"/>
  </r>
  <r>
    <n v="14317"/>
    <d v="2024-10-21T00:00:00"/>
    <x v="1"/>
    <x v="2"/>
    <x v="0"/>
    <x v="2"/>
    <n v="7"/>
    <n v="49747"/>
    <x v="4289"/>
    <n v="3229"/>
    <n v="345000"/>
    <n v="50055.941079999997"/>
    <x v="0"/>
    <x v="8"/>
  </r>
  <r>
    <n v="14318"/>
    <d v="2024-08-06T00:00:00"/>
    <x v="3"/>
    <x v="1"/>
    <x v="2"/>
    <x v="1"/>
    <n v="2"/>
    <n v="39349"/>
    <x v="4290"/>
    <n v="1190"/>
    <n v="77508"/>
    <n v="9716.6734930000002"/>
    <x v="0"/>
    <x v="6"/>
  </r>
  <r>
    <n v="14319"/>
    <d v="2025-10-30T00:00:00"/>
    <x v="2"/>
    <x v="0"/>
    <x v="1"/>
    <x v="0"/>
    <n v="2"/>
    <n v="74493"/>
    <x v="4291"/>
    <n v="11"/>
    <n v="148975"/>
    <n v="26326.884959999999"/>
    <x v="1"/>
    <x v="8"/>
  </r>
  <r>
    <n v="14320"/>
    <d v="2025-05-09T00:00:00"/>
    <x v="2"/>
    <x v="2"/>
    <x v="2"/>
    <x v="0"/>
    <n v="2"/>
    <n v="42358"/>
    <x v="4292"/>
    <n v="4002"/>
    <n v="80714"/>
    <n v="18213.129720000001"/>
    <x v="1"/>
    <x v="5"/>
  </r>
  <r>
    <n v="14321"/>
    <d v="2024-08-17T00:00:00"/>
    <x v="3"/>
    <x v="3"/>
    <x v="2"/>
    <x v="2"/>
    <n v="2"/>
    <n v="57484"/>
    <x v="4293"/>
    <n v="4926"/>
    <n v="110042"/>
    <n v="14812.40098"/>
    <x v="0"/>
    <x v="6"/>
  </r>
  <r>
    <n v="14322"/>
    <d v="2024-01-20T00:00:00"/>
    <x v="1"/>
    <x v="1"/>
    <x v="1"/>
    <x v="1"/>
    <n v="4"/>
    <n v="55837"/>
    <x v="4294"/>
    <n v="1449"/>
    <n v="221899"/>
    <n v="46517.914530000002"/>
    <x v="0"/>
    <x v="4"/>
  </r>
  <r>
    <n v="14323"/>
    <d v="2025-07-06T00:00:00"/>
    <x v="4"/>
    <x v="4"/>
    <x v="0"/>
    <x v="0"/>
    <n v="7"/>
    <n v="12531"/>
    <x v="4295"/>
    <n v="448"/>
    <n v="87269"/>
    <n v="14039.27815"/>
    <x v="1"/>
    <x v="10"/>
  </r>
  <r>
    <n v="14324"/>
    <d v="2024-05-27T00:00:00"/>
    <x v="0"/>
    <x v="1"/>
    <x v="2"/>
    <x v="0"/>
    <n v="2"/>
    <n v="18825"/>
    <x v="4296"/>
    <n v="2496"/>
    <n v="35154"/>
    <n v="8277.4042570000001"/>
    <x v="0"/>
    <x v="5"/>
  </r>
  <r>
    <n v="14325"/>
    <d v="2024-04-17T00:00:00"/>
    <x v="4"/>
    <x v="0"/>
    <x v="0"/>
    <x v="2"/>
    <n v="5"/>
    <n v="69028"/>
    <x v="4297"/>
    <n v="426"/>
    <n v="344714"/>
    <n v="66880.869470000005"/>
    <x v="0"/>
    <x v="0"/>
  </r>
  <r>
    <n v="14326"/>
    <d v="2025-02-06T00:00:00"/>
    <x v="0"/>
    <x v="1"/>
    <x v="0"/>
    <x v="2"/>
    <n v="7"/>
    <n v="77447"/>
    <x v="4298"/>
    <n v="915"/>
    <n v="541214"/>
    <n v="133400.0238"/>
    <x v="1"/>
    <x v="9"/>
  </r>
  <r>
    <n v="14327"/>
    <d v="2025-08-18T00:00:00"/>
    <x v="0"/>
    <x v="4"/>
    <x v="1"/>
    <x v="0"/>
    <n v="9"/>
    <n v="37316"/>
    <x v="4299"/>
    <n v="3169"/>
    <n v="332675"/>
    <n v="45526.728900000002"/>
    <x v="1"/>
    <x v="6"/>
  </r>
  <r>
    <n v="14328"/>
    <d v="2025-04-27T00:00:00"/>
    <x v="1"/>
    <x v="3"/>
    <x v="1"/>
    <x v="1"/>
    <n v="8"/>
    <n v="76267"/>
    <x v="4300"/>
    <n v="4726"/>
    <n v="605410"/>
    <n v="144447.04629999999"/>
    <x v="1"/>
    <x v="0"/>
  </r>
  <r>
    <n v="14329"/>
    <d v="2025-01-01T00:00:00"/>
    <x v="3"/>
    <x v="4"/>
    <x v="1"/>
    <x v="0"/>
    <n v="9"/>
    <n v="22279"/>
    <x v="4301"/>
    <n v="4321"/>
    <n v="196190"/>
    <n v="30126.615570000002"/>
    <x v="1"/>
    <x v="4"/>
  </r>
  <r>
    <n v="14330"/>
    <d v="2025-02-17T00:00:00"/>
    <x v="4"/>
    <x v="1"/>
    <x v="0"/>
    <x v="0"/>
    <n v="7"/>
    <n v="49223"/>
    <x v="4302"/>
    <n v="446"/>
    <n v="344115"/>
    <n v="66515.749989999997"/>
    <x v="1"/>
    <x v="9"/>
  </r>
  <r>
    <n v="14331"/>
    <d v="2024-11-04T00:00:00"/>
    <x v="3"/>
    <x v="4"/>
    <x v="0"/>
    <x v="1"/>
    <n v="3"/>
    <n v="33000"/>
    <x v="4303"/>
    <n v="1910"/>
    <n v="97090"/>
    <n v="12250.45037"/>
    <x v="0"/>
    <x v="7"/>
  </r>
  <r>
    <n v="14332"/>
    <d v="2024-05-13T00:00:00"/>
    <x v="2"/>
    <x v="1"/>
    <x v="2"/>
    <x v="2"/>
    <n v="1"/>
    <n v="17045"/>
    <x v="4304"/>
    <n v="3735"/>
    <n v="13310"/>
    <n v="2847.9109920000001"/>
    <x v="0"/>
    <x v="5"/>
  </r>
  <r>
    <n v="14333"/>
    <d v="2025-12-19T00:00:00"/>
    <x v="1"/>
    <x v="3"/>
    <x v="0"/>
    <x v="1"/>
    <n v="7"/>
    <n v="56498"/>
    <x v="4305"/>
    <n v="2250"/>
    <n v="393236"/>
    <n v="97026.093150000001"/>
    <x v="1"/>
    <x v="3"/>
  </r>
  <r>
    <n v="14334"/>
    <d v="2024-10-09T00:00:00"/>
    <x v="1"/>
    <x v="3"/>
    <x v="1"/>
    <x v="1"/>
    <n v="6"/>
    <n v="41299"/>
    <x v="4306"/>
    <n v="4770"/>
    <n v="243024"/>
    <n v="53006.916680000002"/>
    <x v="0"/>
    <x v="8"/>
  </r>
  <r>
    <n v="14335"/>
    <d v="2024-03-13T00:00:00"/>
    <x v="2"/>
    <x v="0"/>
    <x v="1"/>
    <x v="1"/>
    <n v="2"/>
    <n v="23245"/>
    <x v="4307"/>
    <n v="2681"/>
    <n v="43809"/>
    <n v="8427.5159239999994"/>
    <x v="0"/>
    <x v="1"/>
  </r>
  <r>
    <n v="14336"/>
    <d v="2025-04-25T00:00:00"/>
    <x v="4"/>
    <x v="3"/>
    <x v="1"/>
    <x v="1"/>
    <n v="1"/>
    <n v="32339"/>
    <x v="4308"/>
    <n v="1401"/>
    <n v="30938"/>
    <n v="5173.8265959999999"/>
    <x v="1"/>
    <x v="0"/>
  </r>
  <r>
    <n v="14337"/>
    <d v="2024-12-17T00:00:00"/>
    <x v="2"/>
    <x v="2"/>
    <x v="1"/>
    <x v="2"/>
    <n v="4"/>
    <n v="75388"/>
    <x v="4309"/>
    <n v="3407"/>
    <n v="298145"/>
    <n v="45254.07185"/>
    <x v="0"/>
    <x v="3"/>
  </r>
  <r>
    <n v="14338"/>
    <d v="2025-07-13T00:00:00"/>
    <x v="4"/>
    <x v="4"/>
    <x v="0"/>
    <x v="0"/>
    <n v="4"/>
    <n v="68819"/>
    <x v="4310"/>
    <n v="1043"/>
    <n v="274233"/>
    <n v="44659.36303"/>
    <x v="1"/>
    <x v="10"/>
  </r>
  <r>
    <n v="14339"/>
    <d v="2024-11-21T00:00:00"/>
    <x v="0"/>
    <x v="4"/>
    <x v="1"/>
    <x v="3"/>
    <n v="6"/>
    <n v="33031"/>
    <x v="4311"/>
    <n v="3018"/>
    <n v="195168"/>
    <n v="29127.506010000001"/>
    <x v="0"/>
    <x v="7"/>
  </r>
  <r>
    <n v="14340"/>
    <d v="2025-03-18T00:00:00"/>
    <x v="1"/>
    <x v="1"/>
    <x v="2"/>
    <x v="2"/>
    <n v="5"/>
    <n v="21626"/>
    <x v="4312"/>
    <n v="391"/>
    <n v="107739"/>
    <n v="24231.199250000001"/>
    <x v="1"/>
    <x v="1"/>
  </r>
  <r>
    <n v="14341"/>
    <d v="2024-04-09T00:00:00"/>
    <x v="4"/>
    <x v="3"/>
    <x v="0"/>
    <x v="1"/>
    <n v="9"/>
    <n v="28302"/>
    <x v="4313"/>
    <n v="4819"/>
    <n v="249899"/>
    <n v="58468.036489999999"/>
    <x v="0"/>
    <x v="0"/>
  </r>
  <r>
    <n v="14342"/>
    <d v="2024-02-28T00:00:00"/>
    <x v="3"/>
    <x v="0"/>
    <x v="1"/>
    <x v="0"/>
    <n v="8"/>
    <n v="51691"/>
    <x v="4314"/>
    <n v="1285"/>
    <n v="412243"/>
    <n v="99947.76"/>
    <x v="0"/>
    <x v="9"/>
  </r>
  <r>
    <n v="14343"/>
    <d v="2025-05-22T00:00:00"/>
    <x v="3"/>
    <x v="0"/>
    <x v="2"/>
    <x v="0"/>
    <n v="9"/>
    <n v="35112"/>
    <x v="4315"/>
    <n v="4109"/>
    <n v="311899"/>
    <n v="50762.91848"/>
    <x v="1"/>
    <x v="5"/>
  </r>
  <r>
    <n v="14344"/>
    <d v="2024-09-14T00:00:00"/>
    <x v="1"/>
    <x v="0"/>
    <x v="1"/>
    <x v="1"/>
    <n v="7"/>
    <n v="76047"/>
    <x v="4316"/>
    <n v="2434"/>
    <n v="529895"/>
    <n v="96405.32372"/>
    <x v="0"/>
    <x v="2"/>
  </r>
  <r>
    <n v="14345"/>
    <d v="2025-02-16T00:00:00"/>
    <x v="2"/>
    <x v="2"/>
    <x v="0"/>
    <x v="2"/>
    <n v="9"/>
    <n v="75204"/>
    <x v="4317"/>
    <n v="641"/>
    <n v="676195"/>
    <n v="126133.5699"/>
    <x v="1"/>
    <x v="9"/>
  </r>
  <r>
    <n v="14346"/>
    <d v="2025-03-27T00:00:00"/>
    <x v="2"/>
    <x v="3"/>
    <x v="0"/>
    <x v="1"/>
    <n v="3"/>
    <n v="11087"/>
    <x v="4318"/>
    <n v="1045"/>
    <n v="32216"/>
    <n v="6367.9185079999997"/>
    <x v="1"/>
    <x v="1"/>
  </r>
  <r>
    <n v="14347"/>
    <d v="2024-03-05T00:00:00"/>
    <x v="4"/>
    <x v="0"/>
    <x v="2"/>
    <x v="0"/>
    <n v="9"/>
    <n v="77551"/>
    <x v="4319"/>
    <n v="4320"/>
    <n v="693639"/>
    <n v="69619.472080000007"/>
    <x v="0"/>
    <x v="1"/>
  </r>
  <r>
    <n v="14348"/>
    <d v="2025-08-17T00:00:00"/>
    <x v="2"/>
    <x v="2"/>
    <x v="0"/>
    <x v="0"/>
    <n v="2"/>
    <n v="36314"/>
    <x v="4320"/>
    <n v="4037"/>
    <n v="68591"/>
    <n v="15529.239089999999"/>
    <x v="1"/>
    <x v="6"/>
  </r>
  <r>
    <n v="14349"/>
    <d v="2024-06-02T00:00:00"/>
    <x v="1"/>
    <x v="4"/>
    <x v="2"/>
    <x v="2"/>
    <n v="9"/>
    <n v="74539"/>
    <x v="4321"/>
    <n v="3047"/>
    <n v="667804"/>
    <n v="93640.210200000001"/>
    <x v="0"/>
    <x v="11"/>
  </r>
  <r>
    <n v="14350"/>
    <d v="2024-09-22T00:00:00"/>
    <x v="4"/>
    <x v="1"/>
    <x v="1"/>
    <x v="3"/>
    <n v="6"/>
    <n v="31235"/>
    <x v="4322"/>
    <n v="1157"/>
    <n v="186253"/>
    <n v="31816.596140000001"/>
    <x v="0"/>
    <x v="2"/>
  </r>
  <r>
    <n v="14351"/>
    <d v="2024-03-19T00:00:00"/>
    <x v="0"/>
    <x v="3"/>
    <x v="0"/>
    <x v="1"/>
    <n v="4"/>
    <n v="65572"/>
    <x v="4323"/>
    <n v="3249"/>
    <n v="259039"/>
    <n v="58603.749960000001"/>
    <x v="0"/>
    <x v="1"/>
  </r>
  <r>
    <n v="14352"/>
    <d v="2024-11-10T00:00:00"/>
    <x v="2"/>
    <x v="3"/>
    <x v="1"/>
    <x v="3"/>
    <n v="2"/>
    <n v="38366"/>
    <x v="4324"/>
    <n v="3627"/>
    <n v="73105"/>
    <n v="18241.775290000001"/>
    <x v="0"/>
    <x v="7"/>
  </r>
  <r>
    <n v="14353"/>
    <d v="2025-10-23T00:00:00"/>
    <x v="2"/>
    <x v="4"/>
    <x v="1"/>
    <x v="0"/>
    <n v="3"/>
    <n v="56347"/>
    <x v="4325"/>
    <n v="1543"/>
    <n v="167498"/>
    <n v="36721.009590000001"/>
    <x v="1"/>
    <x v="8"/>
  </r>
  <r>
    <n v="14354"/>
    <d v="2025-07-13T00:00:00"/>
    <x v="4"/>
    <x v="3"/>
    <x v="0"/>
    <x v="3"/>
    <n v="5"/>
    <n v="37837"/>
    <x v="4326"/>
    <n v="791"/>
    <n v="188394"/>
    <n v="19541.164939999999"/>
    <x v="1"/>
    <x v="10"/>
  </r>
  <r>
    <n v="14355"/>
    <d v="2024-09-04T00:00:00"/>
    <x v="3"/>
    <x v="3"/>
    <x v="1"/>
    <x v="1"/>
    <n v="9"/>
    <n v="13139"/>
    <x v="4327"/>
    <n v="436"/>
    <n v="117815"/>
    <n v="18298.215889999999"/>
    <x v="0"/>
    <x v="2"/>
  </r>
  <r>
    <n v="14356"/>
    <d v="2025-09-01T00:00:00"/>
    <x v="2"/>
    <x v="3"/>
    <x v="2"/>
    <x v="1"/>
    <n v="7"/>
    <n v="14585"/>
    <x v="4328"/>
    <n v="3514"/>
    <n v="98581"/>
    <n v="13513.64076"/>
    <x v="1"/>
    <x v="2"/>
  </r>
  <r>
    <n v="14357"/>
    <d v="2025-02-17T00:00:00"/>
    <x v="1"/>
    <x v="3"/>
    <x v="2"/>
    <x v="0"/>
    <n v="3"/>
    <n v="8659"/>
    <x v="4329"/>
    <n v="4676"/>
    <n v="21301"/>
    <n v="5210.6455059999998"/>
    <x v="1"/>
    <x v="9"/>
  </r>
  <r>
    <n v="14358"/>
    <d v="2024-01-25T00:00:00"/>
    <x v="2"/>
    <x v="2"/>
    <x v="2"/>
    <x v="2"/>
    <n v="4"/>
    <n v="10634"/>
    <x v="4330"/>
    <n v="4782"/>
    <n v="37754"/>
    <n v="5271.7547770000001"/>
    <x v="0"/>
    <x v="4"/>
  </r>
  <r>
    <n v="14359"/>
    <d v="2024-10-10T00:00:00"/>
    <x v="0"/>
    <x v="2"/>
    <x v="0"/>
    <x v="2"/>
    <n v="2"/>
    <n v="8682"/>
    <x v="4331"/>
    <n v="4460"/>
    <n v="12904"/>
    <n v="3116.3486280000002"/>
    <x v="0"/>
    <x v="8"/>
  </r>
  <r>
    <n v="14360"/>
    <d v="2025-03-24T00:00:00"/>
    <x v="2"/>
    <x v="1"/>
    <x v="1"/>
    <x v="0"/>
    <n v="8"/>
    <n v="40451"/>
    <x v="4332"/>
    <n v="3959"/>
    <n v="319649"/>
    <n v="76916.380350000007"/>
    <x v="1"/>
    <x v="1"/>
  </r>
  <r>
    <n v="14361"/>
    <d v="2024-10-27T00:00:00"/>
    <x v="3"/>
    <x v="3"/>
    <x v="1"/>
    <x v="1"/>
    <n v="6"/>
    <n v="75098"/>
    <x v="4333"/>
    <n v="4364"/>
    <n v="446224"/>
    <n v="100807.1541"/>
    <x v="0"/>
    <x v="8"/>
  </r>
  <r>
    <n v="14362"/>
    <d v="2024-03-08T00:00:00"/>
    <x v="2"/>
    <x v="4"/>
    <x v="1"/>
    <x v="2"/>
    <n v="3"/>
    <n v="9652"/>
    <x v="4334"/>
    <n v="1716"/>
    <n v="27240"/>
    <n v="3124.721239"/>
    <x v="0"/>
    <x v="1"/>
  </r>
  <r>
    <n v="14363"/>
    <d v="2024-01-07T00:00:00"/>
    <x v="4"/>
    <x v="0"/>
    <x v="1"/>
    <x v="3"/>
    <n v="5"/>
    <n v="75249"/>
    <x v="4335"/>
    <n v="3636"/>
    <n v="372609"/>
    <n v="37372.415990000001"/>
    <x v="0"/>
    <x v="4"/>
  </r>
  <r>
    <n v="14364"/>
    <d v="2024-05-16T00:00:00"/>
    <x v="2"/>
    <x v="1"/>
    <x v="2"/>
    <x v="0"/>
    <n v="5"/>
    <n v="10413"/>
    <x v="4336"/>
    <n v="3364"/>
    <n v="48701"/>
    <n v="10669.53501"/>
    <x v="0"/>
    <x v="5"/>
  </r>
  <r>
    <n v="14365"/>
    <d v="2024-06-12T00:00:00"/>
    <x v="3"/>
    <x v="0"/>
    <x v="0"/>
    <x v="3"/>
    <n v="1"/>
    <n v="26984"/>
    <x v="4337"/>
    <n v="4173"/>
    <n v="22811"/>
    <n v="5166.5742200000004"/>
    <x v="0"/>
    <x v="11"/>
  </r>
  <r>
    <n v="14366"/>
    <d v="2024-03-23T00:00:00"/>
    <x v="4"/>
    <x v="0"/>
    <x v="2"/>
    <x v="1"/>
    <n v="5"/>
    <n v="25487"/>
    <x v="4338"/>
    <n v="188"/>
    <n v="127247"/>
    <n v="31089.910090000001"/>
    <x v="0"/>
    <x v="1"/>
  </r>
  <r>
    <n v="14367"/>
    <d v="2025-10-11T00:00:00"/>
    <x v="1"/>
    <x v="3"/>
    <x v="2"/>
    <x v="2"/>
    <n v="6"/>
    <n v="7075"/>
    <x v="4339"/>
    <n v="2718"/>
    <n v="39732"/>
    <n v="5274.7166880000004"/>
    <x v="1"/>
    <x v="8"/>
  </r>
  <r>
    <n v="14368"/>
    <d v="2025-02-23T00:00:00"/>
    <x v="4"/>
    <x v="4"/>
    <x v="0"/>
    <x v="1"/>
    <n v="2"/>
    <n v="38550"/>
    <x v="4340"/>
    <n v="2405"/>
    <n v="74695"/>
    <n v="15683.856309999999"/>
    <x v="1"/>
    <x v="9"/>
  </r>
  <r>
    <n v="14369"/>
    <d v="2024-03-13T00:00:00"/>
    <x v="0"/>
    <x v="0"/>
    <x v="0"/>
    <x v="3"/>
    <n v="3"/>
    <n v="47293"/>
    <x v="4341"/>
    <n v="3930"/>
    <n v="137949"/>
    <n v="24535.562600000001"/>
    <x v="0"/>
    <x v="1"/>
  </r>
  <r>
    <n v="14370"/>
    <d v="2024-08-24T00:00:00"/>
    <x v="4"/>
    <x v="0"/>
    <x v="2"/>
    <x v="1"/>
    <n v="5"/>
    <n v="34212"/>
    <x v="4342"/>
    <n v="3165"/>
    <n v="167895"/>
    <n v="25062.077979999998"/>
    <x v="0"/>
    <x v="6"/>
  </r>
  <r>
    <n v="14371"/>
    <d v="2024-02-15T00:00:00"/>
    <x v="1"/>
    <x v="1"/>
    <x v="1"/>
    <x v="1"/>
    <n v="3"/>
    <n v="19962"/>
    <x v="4343"/>
    <n v="902"/>
    <n v="58984"/>
    <n v="11262.620339999999"/>
    <x v="0"/>
    <x v="9"/>
  </r>
  <r>
    <n v="14372"/>
    <d v="2025-09-09T00:00:00"/>
    <x v="2"/>
    <x v="4"/>
    <x v="0"/>
    <x v="0"/>
    <n v="5"/>
    <n v="20853"/>
    <x v="4344"/>
    <n v="340"/>
    <n v="103925"/>
    <n v="18938.243299999998"/>
    <x v="1"/>
    <x v="2"/>
  </r>
  <r>
    <n v="14373"/>
    <d v="2024-09-18T00:00:00"/>
    <x v="4"/>
    <x v="4"/>
    <x v="0"/>
    <x v="0"/>
    <n v="5"/>
    <n v="55209"/>
    <x v="4345"/>
    <n v="2881"/>
    <n v="273164"/>
    <n v="39293.046090000003"/>
    <x v="0"/>
    <x v="2"/>
  </r>
  <r>
    <n v="14374"/>
    <d v="2024-06-24T00:00:00"/>
    <x v="4"/>
    <x v="0"/>
    <x v="2"/>
    <x v="1"/>
    <n v="8"/>
    <n v="50964"/>
    <x v="4346"/>
    <n v="4506"/>
    <n v="403206"/>
    <n v="56557.451330000004"/>
    <x v="0"/>
    <x v="11"/>
  </r>
  <r>
    <n v="14375"/>
    <d v="2024-06-14T00:00:00"/>
    <x v="4"/>
    <x v="4"/>
    <x v="1"/>
    <x v="0"/>
    <n v="9"/>
    <n v="72645"/>
    <x v="4347"/>
    <n v="4993"/>
    <n v="648812"/>
    <n v="112236.06329999999"/>
    <x v="0"/>
    <x v="11"/>
  </r>
  <r>
    <n v="14376"/>
    <d v="2025-10-18T00:00:00"/>
    <x v="4"/>
    <x v="1"/>
    <x v="0"/>
    <x v="1"/>
    <n v="8"/>
    <n v="65501"/>
    <x v="4348"/>
    <n v="643"/>
    <n v="523365"/>
    <n v="89550.617589999994"/>
    <x v="1"/>
    <x v="8"/>
  </r>
  <r>
    <n v="14377"/>
    <d v="2025-01-04T00:00:00"/>
    <x v="1"/>
    <x v="1"/>
    <x v="2"/>
    <x v="3"/>
    <n v="3"/>
    <n v="71856"/>
    <x v="4349"/>
    <n v="20"/>
    <n v="215548"/>
    <n v="31320.828409999998"/>
    <x v="1"/>
    <x v="4"/>
  </r>
  <r>
    <n v="14378"/>
    <d v="2024-02-23T00:00:00"/>
    <x v="3"/>
    <x v="1"/>
    <x v="0"/>
    <x v="0"/>
    <n v="1"/>
    <n v="42185"/>
    <x v="4350"/>
    <n v="3072"/>
    <n v="39113"/>
    <n v="5458.5975179999996"/>
    <x v="0"/>
    <x v="9"/>
  </r>
  <r>
    <n v="14379"/>
    <d v="2025-11-20T00:00:00"/>
    <x v="3"/>
    <x v="3"/>
    <x v="1"/>
    <x v="1"/>
    <n v="3"/>
    <n v="74235"/>
    <x v="4351"/>
    <n v="677"/>
    <n v="222028"/>
    <n v="53985.24482"/>
    <x v="1"/>
    <x v="7"/>
  </r>
  <r>
    <n v="14380"/>
    <d v="2025-02-22T00:00:00"/>
    <x v="4"/>
    <x v="0"/>
    <x v="2"/>
    <x v="0"/>
    <n v="1"/>
    <n v="54884"/>
    <x v="4352"/>
    <n v="1099"/>
    <n v="53785"/>
    <n v="12335.889639999999"/>
    <x v="1"/>
    <x v="9"/>
  </r>
  <r>
    <n v="14381"/>
    <d v="2025-05-21T00:00:00"/>
    <x v="1"/>
    <x v="4"/>
    <x v="2"/>
    <x v="1"/>
    <n v="9"/>
    <n v="67858"/>
    <x v="4353"/>
    <n v="2650"/>
    <n v="608072"/>
    <n v="135306.27559999999"/>
    <x v="1"/>
    <x v="5"/>
  </r>
  <r>
    <n v="14382"/>
    <d v="2024-12-06T00:00:00"/>
    <x v="1"/>
    <x v="1"/>
    <x v="1"/>
    <x v="0"/>
    <n v="3"/>
    <n v="69326"/>
    <x v="4354"/>
    <n v="3469"/>
    <n v="204509"/>
    <n v="27024.34389"/>
    <x v="0"/>
    <x v="3"/>
  </r>
  <r>
    <n v="14383"/>
    <d v="2024-05-06T00:00:00"/>
    <x v="4"/>
    <x v="0"/>
    <x v="2"/>
    <x v="2"/>
    <n v="8"/>
    <n v="44330"/>
    <x v="4355"/>
    <n v="4183"/>
    <n v="350457"/>
    <n v="44996.455240000003"/>
    <x v="0"/>
    <x v="5"/>
  </r>
  <r>
    <n v="14384"/>
    <d v="2025-02-12T00:00:00"/>
    <x v="0"/>
    <x v="0"/>
    <x v="1"/>
    <x v="1"/>
    <n v="6"/>
    <n v="51415"/>
    <x v="4356"/>
    <n v="2064"/>
    <n v="306426"/>
    <n v="67842.518060000002"/>
    <x v="1"/>
    <x v="9"/>
  </r>
  <r>
    <n v="14385"/>
    <d v="2025-01-01T00:00:00"/>
    <x v="4"/>
    <x v="3"/>
    <x v="2"/>
    <x v="2"/>
    <n v="3"/>
    <n v="66006"/>
    <x v="4357"/>
    <n v="3400"/>
    <n v="194618"/>
    <n v="24852.94283"/>
    <x v="1"/>
    <x v="4"/>
  </r>
  <r>
    <n v="14386"/>
    <d v="2024-09-27T00:00:00"/>
    <x v="0"/>
    <x v="4"/>
    <x v="1"/>
    <x v="1"/>
    <n v="9"/>
    <n v="54127"/>
    <x v="4358"/>
    <n v="2871"/>
    <n v="484272"/>
    <n v="85004.453200000004"/>
    <x v="0"/>
    <x v="2"/>
  </r>
  <r>
    <n v="14387"/>
    <d v="2025-10-05T00:00:00"/>
    <x v="4"/>
    <x v="4"/>
    <x v="0"/>
    <x v="2"/>
    <n v="8"/>
    <n v="27547"/>
    <x v="3985"/>
    <n v="2430"/>
    <n v="217946"/>
    <n v="29033.298910000001"/>
    <x v="1"/>
    <x v="8"/>
  </r>
  <r>
    <n v="14388"/>
    <d v="2025-08-27T00:00:00"/>
    <x v="0"/>
    <x v="1"/>
    <x v="0"/>
    <x v="1"/>
    <n v="3"/>
    <n v="27939"/>
    <x v="4359"/>
    <n v="2687"/>
    <n v="81130"/>
    <n v="12713.92023"/>
    <x v="1"/>
    <x v="6"/>
  </r>
  <r>
    <n v="14389"/>
    <d v="2025-01-13T00:00:00"/>
    <x v="0"/>
    <x v="1"/>
    <x v="0"/>
    <x v="0"/>
    <n v="7"/>
    <n v="79332"/>
    <x v="4360"/>
    <n v="1416"/>
    <n v="553908"/>
    <n v="126301.0686"/>
    <x v="1"/>
    <x v="4"/>
  </r>
  <r>
    <n v="14390"/>
    <d v="2024-03-13T00:00:00"/>
    <x v="4"/>
    <x v="0"/>
    <x v="2"/>
    <x v="2"/>
    <n v="5"/>
    <n v="6722"/>
    <x v="4361"/>
    <n v="4405"/>
    <n v="29205"/>
    <n v="6825.5809069999996"/>
    <x v="0"/>
    <x v="1"/>
  </r>
  <r>
    <n v="14391"/>
    <d v="2024-09-04T00:00:00"/>
    <x v="0"/>
    <x v="4"/>
    <x v="1"/>
    <x v="0"/>
    <n v="2"/>
    <n v="48364"/>
    <x v="4362"/>
    <n v="491"/>
    <n v="96237"/>
    <n v="24011.313160000002"/>
    <x v="0"/>
    <x v="2"/>
  </r>
  <r>
    <n v="14392"/>
    <d v="2024-02-12T00:00:00"/>
    <x v="2"/>
    <x v="4"/>
    <x v="1"/>
    <x v="1"/>
    <n v="8"/>
    <n v="16674"/>
    <x v="4363"/>
    <n v="759"/>
    <n v="132633"/>
    <n v="32042.228459999998"/>
    <x v="0"/>
    <x v="9"/>
  </r>
  <r>
    <n v="14393"/>
    <d v="2025-01-11T00:00:00"/>
    <x v="3"/>
    <x v="1"/>
    <x v="0"/>
    <x v="0"/>
    <n v="1"/>
    <n v="7812"/>
    <x v="4364"/>
    <n v="3501"/>
    <n v="4311"/>
    <n v="865.16428089999999"/>
    <x v="1"/>
    <x v="4"/>
  </r>
  <r>
    <n v="14394"/>
    <d v="2024-02-10T00:00:00"/>
    <x v="1"/>
    <x v="2"/>
    <x v="0"/>
    <x v="1"/>
    <n v="4"/>
    <n v="7278"/>
    <x v="4365"/>
    <n v="0"/>
    <n v="29112"/>
    <n v="4796.4610709999997"/>
    <x v="0"/>
    <x v="9"/>
  </r>
  <r>
    <n v="14395"/>
    <d v="2024-06-18T00:00:00"/>
    <x v="0"/>
    <x v="0"/>
    <x v="0"/>
    <x v="0"/>
    <n v="4"/>
    <n v="40118"/>
    <x v="4366"/>
    <n v="2088"/>
    <n v="158384"/>
    <n v="17209.032380000001"/>
    <x v="0"/>
    <x v="11"/>
  </r>
  <r>
    <n v="14396"/>
    <d v="2024-07-30T00:00:00"/>
    <x v="0"/>
    <x v="4"/>
    <x v="1"/>
    <x v="2"/>
    <n v="5"/>
    <n v="74159"/>
    <x v="4367"/>
    <n v="3656"/>
    <n v="367139"/>
    <n v="70206.124809999994"/>
    <x v="0"/>
    <x v="10"/>
  </r>
  <r>
    <n v="14397"/>
    <d v="2025-05-07T00:00:00"/>
    <x v="1"/>
    <x v="3"/>
    <x v="0"/>
    <x v="1"/>
    <n v="4"/>
    <n v="11530"/>
    <x v="4368"/>
    <n v="4767"/>
    <n v="41353"/>
    <n v="5442.1416120000004"/>
    <x v="1"/>
    <x v="5"/>
  </r>
  <r>
    <n v="14398"/>
    <d v="2025-11-10T00:00:00"/>
    <x v="0"/>
    <x v="3"/>
    <x v="2"/>
    <x v="0"/>
    <n v="1"/>
    <n v="54866"/>
    <x v="4369"/>
    <n v="211"/>
    <n v="54655"/>
    <n v="12435.129790000001"/>
    <x v="1"/>
    <x v="7"/>
  </r>
  <r>
    <n v="14399"/>
    <d v="2024-02-08T00:00:00"/>
    <x v="1"/>
    <x v="2"/>
    <x v="0"/>
    <x v="1"/>
    <n v="7"/>
    <n v="5924"/>
    <x v="4370"/>
    <n v="3722"/>
    <n v="37746"/>
    <n v="6882.4105650000001"/>
    <x v="0"/>
    <x v="9"/>
  </r>
  <r>
    <n v="14400"/>
    <d v="2025-01-03T00:00:00"/>
    <x v="4"/>
    <x v="1"/>
    <x v="0"/>
    <x v="1"/>
    <n v="2"/>
    <n v="24546"/>
    <x v="4371"/>
    <n v="3517"/>
    <n v="45575"/>
    <n v="9571.9008799999992"/>
    <x v="1"/>
    <x v="4"/>
  </r>
  <r>
    <n v="14401"/>
    <d v="2024-05-30T00:00:00"/>
    <x v="2"/>
    <x v="1"/>
    <x v="1"/>
    <x v="1"/>
    <n v="3"/>
    <n v="58305"/>
    <x v="4372"/>
    <n v="1965"/>
    <n v="172950"/>
    <n v="34767.144939999998"/>
    <x v="0"/>
    <x v="5"/>
  </r>
  <r>
    <n v="14402"/>
    <d v="2024-04-20T00:00:00"/>
    <x v="2"/>
    <x v="1"/>
    <x v="2"/>
    <x v="3"/>
    <n v="5"/>
    <n v="23953"/>
    <x v="4373"/>
    <n v="303"/>
    <n v="119462"/>
    <n v="18170.131829999998"/>
    <x v="0"/>
    <x v="0"/>
  </r>
  <r>
    <n v="14403"/>
    <d v="2025-04-24T00:00:00"/>
    <x v="3"/>
    <x v="3"/>
    <x v="1"/>
    <x v="1"/>
    <n v="8"/>
    <n v="40583"/>
    <x v="4374"/>
    <n v="4786"/>
    <n v="319878"/>
    <n v="68410.039139999993"/>
    <x v="1"/>
    <x v="0"/>
  </r>
  <r>
    <n v="14404"/>
    <d v="2025-03-11T00:00:00"/>
    <x v="0"/>
    <x v="1"/>
    <x v="2"/>
    <x v="0"/>
    <n v="8"/>
    <n v="75114"/>
    <x v="4375"/>
    <n v="3772"/>
    <n v="597140"/>
    <n v="135255.96400000001"/>
    <x v="1"/>
    <x v="1"/>
  </r>
  <r>
    <n v="14405"/>
    <d v="2024-02-16T00:00:00"/>
    <x v="3"/>
    <x v="3"/>
    <x v="2"/>
    <x v="3"/>
    <n v="2"/>
    <n v="9462"/>
    <x v="4376"/>
    <n v="1781"/>
    <n v="17143"/>
    <n v="3627.7942109999999"/>
    <x v="0"/>
    <x v="9"/>
  </r>
  <r>
    <n v="14406"/>
    <d v="2025-07-28T00:00:00"/>
    <x v="4"/>
    <x v="2"/>
    <x v="0"/>
    <x v="0"/>
    <n v="9"/>
    <n v="5888"/>
    <x v="4377"/>
    <n v="3225"/>
    <n v="49767"/>
    <n v="10775.60146"/>
    <x v="1"/>
    <x v="10"/>
  </r>
  <r>
    <n v="14407"/>
    <d v="2024-12-31T00:00:00"/>
    <x v="2"/>
    <x v="0"/>
    <x v="0"/>
    <x v="3"/>
    <n v="6"/>
    <n v="72259"/>
    <x v="4378"/>
    <n v="4711"/>
    <n v="428843"/>
    <n v="66042.821609999999"/>
    <x v="0"/>
    <x v="3"/>
  </r>
  <r>
    <n v="14408"/>
    <d v="2024-03-09T00:00:00"/>
    <x v="4"/>
    <x v="4"/>
    <x v="1"/>
    <x v="1"/>
    <n v="9"/>
    <n v="28410"/>
    <x v="4379"/>
    <n v="4618"/>
    <n v="251072"/>
    <n v="60647.2425"/>
    <x v="0"/>
    <x v="1"/>
  </r>
  <r>
    <n v="14409"/>
    <d v="2024-10-25T00:00:00"/>
    <x v="4"/>
    <x v="2"/>
    <x v="1"/>
    <x v="2"/>
    <n v="4"/>
    <n v="13602"/>
    <x v="4380"/>
    <n v="2072"/>
    <n v="52336"/>
    <n v="8566.6609580000004"/>
    <x v="0"/>
    <x v="8"/>
  </r>
  <r>
    <n v="14410"/>
    <d v="2024-10-22T00:00:00"/>
    <x v="0"/>
    <x v="3"/>
    <x v="1"/>
    <x v="2"/>
    <n v="3"/>
    <n v="23614"/>
    <x v="4381"/>
    <n v="807"/>
    <n v="70035"/>
    <n v="16427.236809999999"/>
    <x v="0"/>
    <x v="8"/>
  </r>
  <r>
    <n v="14411"/>
    <d v="2024-07-21T00:00:00"/>
    <x v="4"/>
    <x v="2"/>
    <x v="2"/>
    <x v="1"/>
    <n v="5"/>
    <n v="23444"/>
    <x v="4382"/>
    <n v="4120"/>
    <n v="113100"/>
    <n v="25862.7363"/>
    <x v="0"/>
    <x v="10"/>
  </r>
  <r>
    <n v="14412"/>
    <d v="2024-03-01T00:00:00"/>
    <x v="2"/>
    <x v="4"/>
    <x v="1"/>
    <x v="3"/>
    <n v="5"/>
    <n v="58050"/>
    <x v="4383"/>
    <n v="1776"/>
    <n v="288474"/>
    <n v="34227.338069999998"/>
    <x v="0"/>
    <x v="1"/>
  </r>
  <r>
    <n v="14413"/>
    <d v="2024-11-09T00:00:00"/>
    <x v="3"/>
    <x v="0"/>
    <x v="2"/>
    <x v="0"/>
    <n v="4"/>
    <n v="73149"/>
    <x v="4384"/>
    <n v="3190"/>
    <n v="289406"/>
    <n v="70887.274640000003"/>
    <x v="0"/>
    <x v="7"/>
  </r>
  <r>
    <n v="14414"/>
    <d v="2024-06-09T00:00:00"/>
    <x v="2"/>
    <x v="4"/>
    <x v="2"/>
    <x v="2"/>
    <n v="7"/>
    <n v="49866"/>
    <x v="4385"/>
    <n v="4042"/>
    <n v="345020"/>
    <n v="86065.671239999996"/>
    <x v="0"/>
    <x v="11"/>
  </r>
  <r>
    <n v="14415"/>
    <d v="2024-11-26T00:00:00"/>
    <x v="0"/>
    <x v="3"/>
    <x v="2"/>
    <x v="1"/>
    <n v="8"/>
    <n v="71213"/>
    <x v="4386"/>
    <n v="4203"/>
    <n v="565501"/>
    <n v="107966.5692"/>
    <x v="0"/>
    <x v="7"/>
  </r>
  <r>
    <n v="14416"/>
    <d v="2025-06-11T00:00:00"/>
    <x v="2"/>
    <x v="4"/>
    <x v="2"/>
    <x v="1"/>
    <n v="5"/>
    <n v="62239"/>
    <x v="4387"/>
    <n v="1353"/>
    <n v="309842"/>
    <n v="67380.257660000003"/>
    <x v="1"/>
    <x v="11"/>
  </r>
  <r>
    <n v="14417"/>
    <d v="2024-12-03T00:00:00"/>
    <x v="1"/>
    <x v="2"/>
    <x v="2"/>
    <x v="3"/>
    <n v="9"/>
    <n v="48211"/>
    <x v="4388"/>
    <n v="179"/>
    <n v="433720"/>
    <n v="104115.8113"/>
    <x v="0"/>
    <x v="3"/>
  </r>
  <r>
    <n v="14418"/>
    <d v="2025-08-28T00:00:00"/>
    <x v="3"/>
    <x v="1"/>
    <x v="0"/>
    <x v="2"/>
    <n v="7"/>
    <n v="8004"/>
    <x v="4389"/>
    <n v="880"/>
    <n v="55148"/>
    <n v="5680.4457629999997"/>
    <x v="1"/>
    <x v="6"/>
  </r>
  <r>
    <n v="14419"/>
    <d v="2024-10-30T00:00:00"/>
    <x v="1"/>
    <x v="2"/>
    <x v="2"/>
    <x v="1"/>
    <n v="7"/>
    <n v="68789"/>
    <x v="4390"/>
    <n v="1830"/>
    <n v="479693"/>
    <n v="114885.75569999999"/>
    <x v="0"/>
    <x v="8"/>
  </r>
  <r>
    <n v="14420"/>
    <d v="2025-05-17T00:00:00"/>
    <x v="1"/>
    <x v="3"/>
    <x v="2"/>
    <x v="2"/>
    <n v="8"/>
    <n v="79522"/>
    <x v="4391"/>
    <n v="4698"/>
    <n v="631478"/>
    <n v="122572.9871"/>
    <x v="1"/>
    <x v="5"/>
  </r>
  <r>
    <n v="14421"/>
    <d v="2025-10-11T00:00:00"/>
    <x v="0"/>
    <x v="0"/>
    <x v="0"/>
    <x v="0"/>
    <n v="4"/>
    <n v="69084"/>
    <x v="4392"/>
    <n v="4002"/>
    <n v="272334"/>
    <n v="61075.926800000001"/>
    <x v="1"/>
    <x v="8"/>
  </r>
  <r>
    <n v="14422"/>
    <d v="2024-12-03T00:00:00"/>
    <x v="4"/>
    <x v="4"/>
    <x v="0"/>
    <x v="1"/>
    <n v="6"/>
    <n v="31269"/>
    <x v="4393"/>
    <n v="2800"/>
    <n v="184814"/>
    <n v="33471.356919999998"/>
    <x v="0"/>
    <x v="3"/>
  </r>
  <r>
    <n v="14423"/>
    <d v="2025-07-03T00:00:00"/>
    <x v="1"/>
    <x v="0"/>
    <x v="0"/>
    <x v="1"/>
    <n v="5"/>
    <n v="26118"/>
    <x v="4394"/>
    <n v="4263"/>
    <n v="126327"/>
    <n v="22686.043430000002"/>
    <x v="1"/>
    <x v="10"/>
  </r>
  <r>
    <n v="14424"/>
    <d v="2025-09-30T00:00:00"/>
    <x v="2"/>
    <x v="3"/>
    <x v="1"/>
    <x v="0"/>
    <n v="1"/>
    <n v="19089"/>
    <x v="4395"/>
    <n v="222"/>
    <n v="18867"/>
    <n v="4426.7213979999997"/>
    <x v="1"/>
    <x v="2"/>
  </r>
  <r>
    <n v="14425"/>
    <d v="2024-10-01T00:00:00"/>
    <x v="4"/>
    <x v="4"/>
    <x v="1"/>
    <x v="1"/>
    <n v="9"/>
    <n v="47956"/>
    <x v="4396"/>
    <n v="4564"/>
    <n v="427040"/>
    <n v="75210.626850000001"/>
    <x v="0"/>
    <x v="8"/>
  </r>
  <r>
    <n v="14426"/>
    <d v="2024-06-12T00:00:00"/>
    <x v="2"/>
    <x v="2"/>
    <x v="2"/>
    <x v="3"/>
    <n v="2"/>
    <n v="18740"/>
    <x v="4397"/>
    <n v="4373"/>
    <n v="33107"/>
    <n v="5653.6296560000001"/>
    <x v="0"/>
    <x v="11"/>
  </r>
  <r>
    <n v="14427"/>
    <d v="2025-03-18T00:00:00"/>
    <x v="2"/>
    <x v="2"/>
    <x v="2"/>
    <x v="0"/>
    <n v="6"/>
    <n v="74581"/>
    <x v="4398"/>
    <n v="2237"/>
    <n v="445249"/>
    <n v="85144.218810000006"/>
    <x v="1"/>
    <x v="1"/>
  </r>
  <r>
    <n v="14428"/>
    <d v="2024-11-14T00:00:00"/>
    <x v="4"/>
    <x v="3"/>
    <x v="2"/>
    <x v="3"/>
    <n v="8"/>
    <n v="76160"/>
    <x v="4399"/>
    <n v="2578"/>
    <n v="606702"/>
    <n v="107862.8167"/>
    <x v="0"/>
    <x v="7"/>
  </r>
  <r>
    <n v="14429"/>
    <d v="2025-08-11T00:00:00"/>
    <x v="4"/>
    <x v="4"/>
    <x v="2"/>
    <x v="0"/>
    <n v="3"/>
    <n v="48779"/>
    <x v="4400"/>
    <n v="1778"/>
    <n v="144559"/>
    <n v="24133.119409999999"/>
    <x v="1"/>
    <x v="6"/>
  </r>
  <r>
    <n v="14430"/>
    <d v="2025-05-18T00:00:00"/>
    <x v="2"/>
    <x v="2"/>
    <x v="0"/>
    <x v="0"/>
    <n v="5"/>
    <n v="25495"/>
    <x v="4401"/>
    <n v="620"/>
    <n v="126855"/>
    <n v="16120.552530000001"/>
    <x v="1"/>
    <x v="5"/>
  </r>
  <r>
    <n v="14431"/>
    <d v="2025-11-16T00:00:00"/>
    <x v="0"/>
    <x v="3"/>
    <x v="1"/>
    <x v="3"/>
    <n v="7"/>
    <n v="44602"/>
    <x v="4402"/>
    <n v="1213"/>
    <n v="311001"/>
    <n v="49638.892330000002"/>
    <x v="1"/>
    <x v="7"/>
  </r>
  <r>
    <n v="14432"/>
    <d v="2025-01-21T00:00:00"/>
    <x v="3"/>
    <x v="3"/>
    <x v="0"/>
    <x v="0"/>
    <n v="4"/>
    <n v="14033"/>
    <x v="4403"/>
    <n v="4054"/>
    <n v="52078"/>
    <n v="7411.0564009999998"/>
    <x v="1"/>
    <x v="4"/>
  </r>
  <r>
    <n v="14433"/>
    <d v="2025-08-25T00:00:00"/>
    <x v="3"/>
    <x v="0"/>
    <x v="1"/>
    <x v="2"/>
    <n v="5"/>
    <n v="58103"/>
    <x v="4404"/>
    <n v="4313"/>
    <n v="286202"/>
    <n v="45812.270850000001"/>
    <x v="1"/>
    <x v="6"/>
  </r>
  <r>
    <n v="14434"/>
    <d v="2025-11-21T00:00:00"/>
    <x v="0"/>
    <x v="2"/>
    <x v="0"/>
    <x v="3"/>
    <n v="1"/>
    <n v="25442"/>
    <x v="4405"/>
    <n v="4263"/>
    <n v="21179"/>
    <n v="4002.27493"/>
    <x v="1"/>
    <x v="7"/>
  </r>
  <r>
    <n v="14435"/>
    <d v="2025-05-08T00:00:00"/>
    <x v="4"/>
    <x v="4"/>
    <x v="2"/>
    <x v="0"/>
    <n v="4"/>
    <n v="8247"/>
    <x v="4406"/>
    <n v="2827"/>
    <n v="30161"/>
    <n v="5770.6365859999996"/>
    <x v="1"/>
    <x v="5"/>
  </r>
  <r>
    <n v="14436"/>
    <d v="2025-05-04T00:00:00"/>
    <x v="2"/>
    <x v="2"/>
    <x v="1"/>
    <x v="3"/>
    <n v="7"/>
    <n v="55368"/>
    <x v="4407"/>
    <n v="2240"/>
    <n v="385336"/>
    <n v="52328.328909999997"/>
    <x v="1"/>
    <x v="5"/>
  </r>
  <r>
    <n v="14437"/>
    <d v="2025-12-21T00:00:00"/>
    <x v="3"/>
    <x v="2"/>
    <x v="2"/>
    <x v="0"/>
    <n v="7"/>
    <n v="60244"/>
    <x v="4408"/>
    <n v="1362"/>
    <n v="420346"/>
    <n v="47361.139179999998"/>
    <x v="1"/>
    <x v="3"/>
  </r>
  <r>
    <n v="14438"/>
    <d v="2024-03-13T00:00:00"/>
    <x v="2"/>
    <x v="2"/>
    <x v="1"/>
    <x v="0"/>
    <n v="4"/>
    <n v="30474"/>
    <x v="4409"/>
    <n v="2838"/>
    <n v="119058"/>
    <n v="25200.48936"/>
    <x v="0"/>
    <x v="1"/>
  </r>
  <r>
    <n v="14439"/>
    <d v="2025-05-23T00:00:00"/>
    <x v="0"/>
    <x v="3"/>
    <x v="1"/>
    <x v="2"/>
    <n v="6"/>
    <n v="69784"/>
    <x v="4410"/>
    <n v="2502"/>
    <n v="416202"/>
    <n v="74619.026920000004"/>
    <x v="1"/>
    <x v="5"/>
  </r>
  <r>
    <n v="14440"/>
    <d v="2025-01-24T00:00:00"/>
    <x v="2"/>
    <x v="1"/>
    <x v="2"/>
    <x v="2"/>
    <n v="5"/>
    <n v="10586"/>
    <x v="4411"/>
    <n v="2240"/>
    <n v="50690"/>
    <n v="8430.5176119999996"/>
    <x v="1"/>
    <x v="4"/>
  </r>
  <r>
    <n v="14441"/>
    <d v="2025-09-10T00:00:00"/>
    <x v="0"/>
    <x v="1"/>
    <x v="2"/>
    <x v="2"/>
    <n v="1"/>
    <n v="61228"/>
    <x v="4412"/>
    <n v="92"/>
    <n v="61136"/>
    <n v="7302.0422870000002"/>
    <x v="1"/>
    <x v="2"/>
  </r>
  <r>
    <n v="14442"/>
    <d v="2024-10-21T00:00:00"/>
    <x v="4"/>
    <x v="0"/>
    <x v="2"/>
    <x v="0"/>
    <n v="8"/>
    <n v="12940"/>
    <x v="4413"/>
    <n v="1238"/>
    <n v="102282"/>
    <n v="16590.095669999999"/>
    <x v="0"/>
    <x v="8"/>
  </r>
  <r>
    <n v="14443"/>
    <d v="2025-01-03T00:00:00"/>
    <x v="0"/>
    <x v="2"/>
    <x v="0"/>
    <x v="2"/>
    <n v="7"/>
    <n v="23606"/>
    <x v="4414"/>
    <n v="4608"/>
    <n v="160634"/>
    <n v="35777.41848"/>
    <x v="1"/>
    <x v="4"/>
  </r>
  <r>
    <n v="14444"/>
    <d v="2025-11-24T00:00:00"/>
    <x v="0"/>
    <x v="1"/>
    <x v="1"/>
    <x v="3"/>
    <n v="5"/>
    <n v="45747"/>
    <x v="435"/>
    <n v="3470"/>
    <n v="225265"/>
    <n v="42173.064559999999"/>
    <x v="1"/>
    <x v="7"/>
  </r>
  <r>
    <n v="14445"/>
    <d v="2025-07-02T00:00:00"/>
    <x v="3"/>
    <x v="0"/>
    <x v="1"/>
    <x v="0"/>
    <n v="7"/>
    <n v="69727"/>
    <x v="4415"/>
    <n v="3235"/>
    <n v="484854"/>
    <n v="55101.876190000003"/>
    <x v="1"/>
    <x v="10"/>
  </r>
  <r>
    <n v="14446"/>
    <d v="2025-10-10T00:00:00"/>
    <x v="2"/>
    <x v="3"/>
    <x v="1"/>
    <x v="3"/>
    <n v="3"/>
    <n v="39282"/>
    <x v="4416"/>
    <n v="4201"/>
    <n v="113645"/>
    <n v="17028.71113"/>
    <x v="1"/>
    <x v="8"/>
  </r>
  <r>
    <n v="14447"/>
    <d v="2025-07-21T00:00:00"/>
    <x v="3"/>
    <x v="2"/>
    <x v="2"/>
    <x v="2"/>
    <n v="8"/>
    <n v="62760"/>
    <x v="4417"/>
    <n v="2764"/>
    <n v="499316"/>
    <n v="123316.2243"/>
    <x v="1"/>
    <x v="10"/>
  </r>
  <r>
    <n v="14448"/>
    <d v="2024-07-05T00:00:00"/>
    <x v="1"/>
    <x v="4"/>
    <x v="1"/>
    <x v="0"/>
    <n v="5"/>
    <n v="67996"/>
    <x v="4418"/>
    <n v="3604"/>
    <n v="336376"/>
    <n v="61111.486779999999"/>
    <x v="0"/>
    <x v="10"/>
  </r>
  <r>
    <n v="14449"/>
    <d v="2025-03-20T00:00:00"/>
    <x v="0"/>
    <x v="3"/>
    <x v="1"/>
    <x v="3"/>
    <n v="2"/>
    <n v="7883"/>
    <x v="4419"/>
    <n v="2835"/>
    <n v="12931"/>
    <n v="1848.608156"/>
    <x v="1"/>
    <x v="1"/>
  </r>
  <r>
    <n v="14450"/>
    <d v="2025-07-23T00:00:00"/>
    <x v="1"/>
    <x v="0"/>
    <x v="2"/>
    <x v="1"/>
    <n v="2"/>
    <n v="41594"/>
    <x v="4420"/>
    <n v="3901"/>
    <n v="79287"/>
    <n v="18792.34404"/>
    <x v="1"/>
    <x v="10"/>
  </r>
  <r>
    <n v="14451"/>
    <d v="2024-12-28T00:00:00"/>
    <x v="3"/>
    <x v="3"/>
    <x v="2"/>
    <x v="3"/>
    <n v="4"/>
    <n v="74875"/>
    <x v="4421"/>
    <n v="3234"/>
    <n v="296266"/>
    <n v="44558.434580000001"/>
    <x v="0"/>
    <x v="3"/>
  </r>
  <r>
    <n v="14452"/>
    <d v="2024-05-02T00:00:00"/>
    <x v="2"/>
    <x v="4"/>
    <x v="1"/>
    <x v="0"/>
    <n v="7"/>
    <n v="20426"/>
    <x v="4422"/>
    <n v="3628"/>
    <n v="139354"/>
    <n v="29192.725999999999"/>
    <x v="0"/>
    <x v="5"/>
  </r>
  <r>
    <n v="14453"/>
    <d v="2024-07-06T00:00:00"/>
    <x v="3"/>
    <x v="3"/>
    <x v="0"/>
    <x v="1"/>
    <n v="4"/>
    <n v="21486"/>
    <x v="4423"/>
    <n v="1768"/>
    <n v="84176"/>
    <n v="10276.46499"/>
    <x v="0"/>
    <x v="10"/>
  </r>
  <r>
    <n v="14454"/>
    <d v="2025-11-10T00:00:00"/>
    <x v="2"/>
    <x v="0"/>
    <x v="2"/>
    <x v="2"/>
    <n v="9"/>
    <n v="8993"/>
    <x v="4424"/>
    <n v="3509"/>
    <n v="77428"/>
    <n v="9560.342326"/>
    <x v="1"/>
    <x v="7"/>
  </r>
  <r>
    <n v="14455"/>
    <d v="2025-02-23T00:00:00"/>
    <x v="2"/>
    <x v="4"/>
    <x v="0"/>
    <x v="2"/>
    <n v="2"/>
    <n v="17219"/>
    <x v="4425"/>
    <n v="2901"/>
    <n v="31537"/>
    <n v="5809.0240389999999"/>
    <x v="1"/>
    <x v="9"/>
  </r>
  <r>
    <n v="14456"/>
    <d v="2025-09-17T00:00:00"/>
    <x v="4"/>
    <x v="4"/>
    <x v="0"/>
    <x v="3"/>
    <n v="6"/>
    <n v="8708"/>
    <x v="4426"/>
    <n v="1541"/>
    <n v="50707"/>
    <n v="6894.8081519999996"/>
    <x v="1"/>
    <x v="2"/>
  </r>
  <r>
    <n v="14457"/>
    <d v="2024-09-08T00:00:00"/>
    <x v="0"/>
    <x v="3"/>
    <x v="0"/>
    <x v="2"/>
    <n v="4"/>
    <n v="33788"/>
    <x v="4427"/>
    <n v="2091"/>
    <n v="133061"/>
    <n v="14290.72651"/>
    <x v="0"/>
    <x v="2"/>
  </r>
  <r>
    <n v="14458"/>
    <d v="2025-09-10T00:00:00"/>
    <x v="3"/>
    <x v="4"/>
    <x v="0"/>
    <x v="3"/>
    <n v="6"/>
    <n v="6495"/>
    <x v="4428"/>
    <n v="2650"/>
    <n v="36320"/>
    <n v="8679.3837170000006"/>
    <x v="1"/>
    <x v="2"/>
  </r>
  <r>
    <n v="14459"/>
    <d v="2025-07-02T00:00:00"/>
    <x v="2"/>
    <x v="3"/>
    <x v="2"/>
    <x v="3"/>
    <n v="9"/>
    <n v="41160"/>
    <x v="4429"/>
    <n v="1731"/>
    <n v="368709"/>
    <n v="39967.477570000003"/>
    <x v="1"/>
    <x v="10"/>
  </r>
  <r>
    <n v="14460"/>
    <d v="2024-11-30T00:00:00"/>
    <x v="3"/>
    <x v="2"/>
    <x v="1"/>
    <x v="3"/>
    <n v="9"/>
    <n v="12537"/>
    <x v="4430"/>
    <n v="91"/>
    <n v="112742"/>
    <n v="23407.00733"/>
    <x v="0"/>
    <x v="7"/>
  </r>
  <r>
    <n v="14461"/>
    <d v="2024-04-01T00:00:00"/>
    <x v="3"/>
    <x v="4"/>
    <x v="1"/>
    <x v="3"/>
    <n v="9"/>
    <n v="40553"/>
    <x v="4431"/>
    <n v="4854"/>
    <n v="360123"/>
    <n v="53999.678010000003"/>
    <x v="0"/>
    <x v="0"/>
  </r>
  <r>
    <n v="14462"/>
    <d v="2025-06-13T00:00:00"/>
    <x v="2"/>
    <x v="3"/>
    <x v="2"/>
    <x v="0"/>
    <n v="9"/>
    <n v="27203"/>
    <x v="4432"/>
    <n v="730"/>
    <n v="244097"/>
    <n v="58589.56422"/>
    <x v="1"/>
    <x v="11"/>
  </r>
  <r>
    <n v="14463"/>
    <d v="2024-03-03T00:00:00"/>
    <x v="1"/>
    <x v="2"/>
    <x v="2"/>
    <x v="0"/>
    <n v="3"/>
    <n v="59032"/>
    <x v="4433"/>
    <n v="4432"/>
    <n v="172664"/>
    <n v="42804.762459999998"/>
    <x v="0"/>
    <x v="1"/>
  </r>
  <r>
    <n v="14464"/>
    <d v="2025-10-23T00:00:00"/>
    <x v="0"/>
    <x v="4"/>
    <x v="0"/>
    <x v="1"/>
    <n v="9"/>
    <n v="76124"/>
    <x v="4434"/>
    <n v="3814"/>
    <n v="681302"/>
    <n v="102409.636"/>
    <x v="1"/>
    <x v="8"/>
  </r>
  <r>
    <n v="14465"/>
    <d v="2025-05-26T00:00:00"/>
    <x v="0"/>
    <x v="2"/>
    <x v="0"/>
    <x v="1"/>
    <n v="3"/>
    <n v="42659"/>
    <x v="4435"/>
    <n v="699"/>
    <n v="127278"/>
    <n v="24013.034070000002"/>
    <x v="1"/>
    <x v="5"/>
  </r>
  <r>
    <n v="14466"/>
    <d v="2024-05-18T00:00:00"/>
    <x v="4"/>
    <x v="4"/>
    <x v="2"/>
    <x v="2"/>
    <n v="3"/>
    <n v="69043"/>
    <x v="4436"/>
    <n v="3014"/>
    <n v="204115"/>
    <n v="44078.167479999996"/>
    <x v="0"/>
    <x v="5"/>
  </r>
  <r>
    <n v="14467"/>
    <d v="2025-11-28T00:00:00"/>
    <x v="4"/>
    <x v="0"/>
    <x v="1"/>
    <x v="0"/>
    <n v="5"/>
    <n v="8525"/>
    <x v="4437"/>
    <n v="2311"/>
    <n v="40314"/>
    <n v="4777.6686799999998"/>
    <x v="1"/>
    <x v="7"/>
  </r>
  <r>
    <n v="14468"/>
    <d v="2024-07-03T00:00:00"/>
    <x v="4"/>
    <x v="0"/>
    <x v="0"/>
    <x v="1"/>
    <n v="6"/>
    <n v="9777"/>
    <x v="4438"/>
    <n v="2016"/>
    <n v="56646"/>
    <n v="11692.830250000001"/>
    <x v="0"/>
    <x v="10"/>
  </r>
  <r>
    <n v="14469"/>
    <d v="2024-07-23T00:00:00"/>
    <x v="0"/>
    <x v="3"/>
    <x v="2"/>
    <x v="0"/>
    <n v="9"/>
    <n v="74725"/>
    <x v="4439"/>
    <n v="3490"/>
    <n v="669035"/>
    <n v="157845.17509999999"/>
    <x v="0"/>
    <x v="10"/>
  </r>
  <r>
    <n v="14470"/>
    <d v="2024-08-01T00:00:00"/>
    <x v="1"/>
    <x v="1"/>
    <x v="2"/>
    <x v="0"/>
    <n v="1"/>
    <n v="50791"/>
    <x v="4440"/>
    <n v="977"/>
    <n v="49814"/>
    <n v="6315.1888829999998"/>
    <x v="0"/>
    <x v="6"/>
  </r>
  <r>
    <n v="14471"/>
    <d v="2024-09-12T00:00:00"/>
    <x v="0"/>
    <x v="0"/>
    <x v="2"/>
    <x v="2"/>
    <n v="8"/>
    <n v="36501"/>
    <x v="4441"/>
    <n v="4210"/>
    <n v="287798"/>
    <n v="64986.663030000003"/>
    <x v="0"/>
    <x v="2"/>
  </r>
  <r>
    <n v="14472"/>
    <d v="2024-05-14T00:00:00"/>
    <x v="0"/>
    <x v="1"/>
    <x v="0"/>
    <x v="2"/>
    <n v="4"/>
    <n v="70258"/>
    <x v="4442"/>
    <n v="1258"/>
    <n v="279774"/>
    <n v="32828.826889999997"/>
    <x v="0"/>
    <x v="5"/>
  </r>
  <r>
    <n v="14473"/>
    <d v="2025-07-26T00:00:00"/>
    <x v="0"/>
    <x v="2"/>
    <x v="2"/>
    <x v="3"/>
    <n v="7"/>
    <n v="28719"/>
    <x v="4443"/>
    <n v="3855"/>
    <n v="197178"/>
    <n v="36526.288789999999"/>
    <x v="1"/>
    <x v="10"/>
  </r>
  <r>
    <n v="14474"/>
    <d v="2024-03-28T00:00:00"/>
    <x v="0"/>
    <x v="2"/>
    <x v="1"/>
    <x v="0"/>
    <n v="6"/>
    <n v="71686"/>
    <x v="4444"/>
    <n v="1297"/>
    <n v="428819"/>
    <n v="64710.738389999999"/>
    <x v="0"/>
    <x v="1"/>
  </r>
  <r>
    <n v="14475"/>
    <d v="2024-07-25T00:00:00"/>
    <x v="1"/>
    <x v="1"/>
    <x v="2"/>
    <x v="3"/>
    <n v="6"/>
    <n v="33434"/>
    <x v="4445"/>
    <n v="1978"/>
    <n v="198626"/>
    <n v="33916.855179999999"/>
    <x v="0"/>
    <x v="10"/>
  </r>
  <r>
    <n v="14476"/>
    <d v="2024-05-08T00:00:00"/>
    <x v="4"/>
    <x v="3"/>
    <x v="0"/>
    <x v="3"/>
    <n v="7"/>
    <n v="25520"/>
    <x v="4446"/>
    <n v="4129"/>
    <n v="174511"/>
    <n v="25320.643479999999"/>
    <x v="0"/>
    <x v="5"/>
  </r>
  <r>
    <n v="14477"/>
    <d v="2024-01-03T00:00:00"/>
    <x v="3"/>
    <x v="4"/>
    <x v="1"/>
    <x v="3"/>
    <n v="4"/>
    <n v="61881"/>
    <x v="4447"/>
    <n v="1732"/>
    <n v="245792"/>
    <n v="34184.973980000002"/>
    <x v="0"/>
    <x v="4"/>
  </r>
  <r>
    <n v="14478"/>
    <d v="2024-04-30T00:00:00"/>
    <x v="4"/>
    <x v="1"/>
    <x v="1"/>
    <x v="0"/>
    <n v="6"/>
    <n v="6510"/>
    <x v="2571"/>
    <n v="2942"/>
    <n v="36118"/>
    <n v="7637.9051890000001"/>
    <x v="0"/>
    <x v="0"/>
  </r>
  <r>
    <n v="14479"/>
    <d v="2025-01-19T00:00:00"/>
    <x v="4"/>
    <x v="1"/>
    <x v="2"/>
    <x v="0"/>
    <n v="3"/>
    <n v="33546"/>
    <x v="4448"/>
    <n v="2509"/>
    <n v="98129"/>
    <n v="13096.9815"/>
    <x v="1"/>
    <x v="4"/>
  </r>
  <r>
    <n v="14480"/>
    <d v="2025-09-05T00:00:00"/>
    <x v="3"/>
    <x v="1"/>
    <x v="2"/>
    <x v="3"/>
    <n v="5"/>
    <n v="18982"/>
    <x v="4449"/>
    <n v="448"/>
    <n v="94462"/>
    <n v="15233.12695"/>
    <x v="1"/>
    <x v="2"/>
  </r>
  <r>
    <n v="14481"/>
    <d v="2024-02-07T00:00:00"/>
    <x v="0"/>
    <x v="1"/>
    <x v="1"/>
    <x v="0"/>
    <n v="2"/>
    <n v="74451"/>
    <x v="4450"/>
    <n v="1237"/>
    <n v="147665"/>
    <n v="20847.87067"/>
    <x v="0"/>
    <x v="9"/>
  </r>
  <r>
    <n v="14482"/>
    <d v="2024-12-06T00:00:00"/>
    <x v="1"/>
    <x v="1"/>
    <x v="2"/>
    <x v="3"/>
    <n v="3"/>
    <n v="24636"/>
    <x v="4451"/>
    <n v="4500"/>
    <n v="69408"/>
    <n v="9425.2775880000008"/>
    <x v="0"/>
    <x v="3"/>
  </r>
  <r>
    <n v="14483"/>
    <d v="2025-10-06T00:00:00"/>
    <x v="1"/>
    <x v="3"/>
    <x v="0"/>
    <x v="1"/>
    <n v="9"/>
    <n v="63087"/>
    <x v="4452"/>
    <n v="332"/>
    <n v="567451"/>
    <n v="110122.04730000001"/>
    <x v="1"/>
    <x v="8"/>
  </r>
  <r>
    <n v="14484"/>
    <d v="2025-12-14T00:00:00"/>
    <x v="4"/>
    <x v="0"/>
    <x v="1"/>
    <x v="0"/>
    <n v="6"/>
    <n v="15957"/>
    <x v="4453"/>
    <n v="4323"/>
    <n v="91419"/>
    <n v="9764.8557999999994"/>
    <x v="1"/>
    <x v="3"/>
  </r>
  <r>
    <n v="14485"/>
    <d v="2024-01-21T00:00:00"/>
    <x v="3"/>
    <x v="4"/>
    <x v="2"/>
    <x v="2"/>
    <n v="3"/>
    <n v="41706"/>
    <x v="4454"/>
    <n v="165"/>
    <n v="124953"/>
    <n v="27281.58958"/>
    <x v="0"/>
    <x v="4"/>
  </r>
  <r>
    <n v="14486"/>
    <d v="2024-08-29T00:00:00"/>
    <x v="2"/>
    <x v="0"/>
    <x v="1"/>
    <x v="2"/>
    <n v="2"/>
    <n v="67871"/>
    <x v="4455"/>
    <n v="4680"/>
    <n v="131062"/>
    <n v="23844.779330000001"/>
    <x v="0"/>
    <x v="6"/>
  </r>
  <r>
    <n v="14487"/>
    <d v="2025-03-30T00:00:00"/>
    <x v="0"/>
    <x v="1"/>
    <x v="2"/>
    <x v="3"/>
    <n v="5"/>
    <n v="66737"/>
    <x v="4456"/>
    <n v="4832"/>
    <n v="328853"/>
    <n v="73750.418449999997"/>
    <x v="1"/>
    <x v="1"/>
  </r>
  <r>
    <n v="14488"/>
    <d v="2025-09-12T00:00:00"/>
    <x v="4"/>
    <x v="0"/>
    <x v="2"/>
    <x v="1"/>
    <n v="5"/>
    <n v="45975"/>
    <x v="4457"/>
    <n v="4693"/>
    <n v="225182"/>
    <n v="29713.304779999999"/>
    <x v="1"/>
    <x v="2"/>
  </r>
  <r>
    <n v="14489"/>
    <d v="2024-10-29T00:00:00"/>
    <x v="1"/>
    <x v="3"/>
    <x v="0"/>
    <x v="0"/>
    <n v="1"/>
    <n v="33129"/>
    <x v="4458"/>
    <n v="4688"/>
    <n v="28441"/>
    <n v="5870.5325810000004"/>
    <x v="0"/>
    <x v="8"/>
  </r>
  <r>
    <n v="14490"/>
    <d v="2025-08-18T00:00:00"/>
    <x v="3"/>
    <x v="2"/>
    <x v="2"/>
    <x v="3"/>
    <n v="3"/>
    <n v="42939"/>
    <x v="4459"/>
    <n v="4027"/>
    <n v="124790"/>
    <n v="20351.698639999999"/>
    <x v="1"/>
    <x v="6"/>
  </r>
  <r>
    <n v="14491"/>
    <d v="2025-08-17T00:00:00"/>
    <x v="3"/>
    <x v="0"/>
    <x v="2"/>
    <x v="1"/>
    <n v="7"/>
    <n v="70059"/>
    <x v="4460"/>
    <n v="2774"/>
    <n v="487639"/>
    <n v="54381.79219"/>
    <x v="1"/>
    <x v="6"/>
  </r>
  <r>
    <n v="14492"/>
    <d v="2024-03-09T00:00:00"/>
    <x v="4"/>
    <x v="4"/>
    <x v="2"/>
    <x v="1"/>
    <n v="9"/>
    <n v="13298"/>
    <x v="4461"/>
    <n v="1699"/>
    <n v="117983"/>
    <n v="25115.213329999999"/>
    <x v="0"/>
    <x v="1"/>
  </r>
  <r>
    <n v="14493"/>
    <d v="2024-05-08T00:00:00"/>
    <x v="2"/>
    <x v="3"/>
    <x v="0"/>
    <x v="0"/>
    <n v="5"/>
    <n v="69422"/>
    <x v="4462"/>
    <n v="1413"/>
    <n v="345697"/>
    <n v="74092.576109999995"/>
    <x v="0"/>
    <x v="5"/>
  </r>
  <r>
    <n v="14494"/>
    <d v="2024-07-14T00:00:00"/>
    <x v="1"/>
    <x v="2"/>
    <x v="2"/>
    <x v="2"/>
    <n v="4"/>
    <n v="11480"/>
    <x v="4463"/>
    <n v="1446"/>
    <n v="44474"/>
    <n v="6254.7135040000003"/>
    <x v="0"/>
    <x v="10"/>
  </r>
  <r>
    <n v="14495"/>
    <d v="2024-05-19T00:00:00"/>
    <x v="4"/>
    <x v="3"/>
    <x v="2"/>
    <x v="2"/>
    <n v="3"/>
    <n v="65389"/>
    <x v="4464"/>
    <n v="3482"/>
    <n v="192685"/>
    <n v="45744.749069999998"/>
    <x v="0"/>
    <x v="5"/>
  </r>
  <r>
    <n v="14496"/>
    <d v="2025-03-19T00:00:00"/>
    <x v="2"/>
    <x v="1"/>
    <x v="2"/>
    <x v="1"/>
    <n v="9"/>
    <n v="73393"/>
    <x v="4465"/>
    <n v="4744"/>
    <n v="655793"/>
    <n v="140730.20670000001"/>
    <x v="1"/>
    <x v="1"/>
  </r>
  <r>
    <n v="14497"/>
    <d v="2024-10-09T00:00:00"/>
    <x v="3"/>
    <x v="2"/>
    <x v="1"/>
    <x v="2"/>
    <n v="7"/>
    <n v="9349"/>
    <x v="4466"/>
    <n v="1687"/>
    <n v="63756"/>
    <n v="9309.2434240000002"/>
    <x v="0"/>
    <x v="8"/>
  </r>
  <r>
    <n v="14498"/>
    <d v="2024-11-07T00:00:00"/>
    <x v="0"/>
    <x v="4"/>
    <x v="0"/>
    <x v="1"/>
    <n v="7"/>
    <n v="71964"/>
    <x v="4467"/>
    <n v="446"/>
    <n v="503302"/>
    <n v="68381.801340000005"/>
    <x v="0"/>
    <x v="7"/>
  </r>
  <r>
    <n v="14499"/>
    <d v="2025-06-18T00:00:00"/>
    <x v="1"/>
    <x v="2"/>
    <x v="1"/>
    <x v="1"/>
    <n v="8"/>
    <n v="44491"/>
    <x v="4468"/>
    <n v="3474"/>
    <n v="352454"/>
    <n v="58512.098639999997"/>
    <x v="1"/>
    <x v="11"/>
  </r>
  <r>
    <n v="14500"/>
    <d v="2025-10-26T00:00:00"/>
    <x v="1"/>
    <x v="4"/>
    <x v="0"/>
    <x v="1"/>
    <n v="1"/>
    <n v="51778"/>
    <x v="4469"/>
    <n v="96"/>
    <n v="51682"/>
    <n v="7437.9944809999997"/>
    <x v="1"/>
    <x v="8"/>
  </r>
  <r>
    <n v="14501"/>
    <d v="2024-10-03T00:00:00"/>
    <x v="2"/>
    <x v="1"/>
    <x v="0"/>
    <x v="2"/>
    <n v="4"/>
    <n v="32677"/>
    <x v="4470"/>
    <n v="2426"/>
    <n v="128282"/>
    <n v="17004.222709999998"/>
    <x v="0"/>
    <x v="8"/>
  </r>
  <r>
    <n v="14502"/>
    <d v="2024-03-01T00:00:00"/>
    <x v="4"/>
    <x v="4"/>
    <x v="1"/>
    <x v="3"/>
    <n v="5"/>
    <n v="18272"/>
    <x v="4471"/>
    <n v="2717"/>
    <n v="88643"/>
    <n v="14170.92326"/>
    <x v="0"/>
    <x v="1"/>
  </r>
  <r>
    <n v="14503"/>
    <d v="2024-11-14T00:00:00"/>
    <x v="3"/>
    <x v="3"/>
    <x v="0"/>
    <x v="2"/>
    <n v="5"/>
    <n v="16828"/>
    <x v="144"/>
    <n v="3257"/>
    <n v="80883"/>
    <n v="8400.1551980000004"/>
    <x v="0"/>
    <x v="7"/>
  </r>
  <r>
    <n v="14504"/>
    <d v="2024-02-21T00:00:00"/>
    <x v="2"/>
    <x v="0"/>
    <x v="0"/>
    <x v="3"/>
    <n v="1"/>
    <n v="49431"/>
    <x v="4472"/>
    <n v="4726"/>
    <n v="44705"/>
    <n v="7162.2622869999996"/>
    <x v="0"/>
    <x v="9"/>
  </r>
  <r>
    <n v="14505"/>
    <d v="2024-06-01T00:00:00"/>
    <x v="0"/>
    <x v="3"/>
    <x v="1"/>
    <x v="2"/>
    <n v="3"/>
    <n v="12856"/>
    <x v="4473"/>
    <n v="502"/>
    <n v="38066"/>
    <n v="5072.2714409999999"/>
    <x v="0"/>
    <x v="11"/>
  </r>
  <r>
    <n v="14506"/>
    <d v="2024-11-06T00:00:00"/>
    <x v="0"/>
    <x v="3"/>
    <x v="2"/>
    <x v="0"/>
    <n v="2"/>
    <n v="16223"/>
    <x v="4474"/>
    <n v="4383"/>
    <n v="28063"/>
    <n v="3919.0015429999999"/>
    <x v="0"/>
    <x v="7"/>
  </r>
  <r>
    <n v="14507"/>
    <d v="2025-06-27T00:00:00"/>
    <x v="0"/>
    <x v="2"/>
    <x v="0"/>
    <x v="0"/>
    <n v="7"/>
    <n v="44413"/>
    <x v="4475"/>
    <n v="4464"/>
    <n v="306427"/>
    <n v="34437.183380000002"/>
    <x v="1"/>
    <x v="11"/>
  </r>
  <r>
    <n v="14508"/>
    <d v="2025-07-20T00:00:00"/>
    <x v="2"/>
    <x v="1"/>
    <x v="1"/>
    <x v="2"/>
    <n v="5"/>
    <n v="61822"/>
    <x v="4476"/>
    <n v="64"/>
    <n v="309046"/>
    <n v="58205.647169999997"/>
    <x v="1"/>
    <x v="10"/>
  </r>
  <r>
    <n v="14509"/>
    <d v="2025-01-23T00:00:00"/>
    <x v="3"/>
    <x v="0"/>
    <x v="0"/>
    <x v="0"/>
    <n v="3"/>
    <n v="40689"/>
    <x v="4477"/>
    <n v="4257"/>
    <n v="117810"/>
    <n v="20122.111069999999"/>
    <x v="1"/>
    <x v="4"/>
  </r>
  <r>
    <n v="14510"/>
    <d v="2025-07-01T00:00:00"/>
    <x v="1"/>
    <x v="4"/>
    <x v="1"/>
    <x v="0"/>
    <n v="8"/>
    <n v="78702"/>
    <x v="4478"/>
    <n v="661"/>
    <n v="628955"/>
    <n v="133712.12640000001"/>
    <x v="1"/>
    <x v="10"/>
  </r>
  <r>
    <n v="14511"/>
    <d v="2025-09-13T00:00:00"/>
    <x v="4"/>
    <x v="2"/>
    <x v="2"/>
    <x v="0"/>
    <n v="1"/>
    <n v="61396"/>
    <x v="4479"/>
    <n v="3489"/>
    <n v="57907"/>
    <n v="14364.68801"/>
    <x v="1"/>
    <x v="2"/>
  </r>
  <r>
    <n v="14512"/>
    <d v="2024-06-25T00:00:00"/>
    <x v="1"/>
    <x v="1"/>
    <x v="0"/>
    <x v="0"/>
    <n v="1"/>
    <n v="17637"/>
    <x v="4480"/>
    <n v="480"/>
    <n v="17157"/>
    <n v="2023.326748"/>
    <x v="0"/>
    <x v="11"/>
  </r>
  <r>
    <n v="14513"/>
    <d v="2024-12-27T00:00:00"/>
    <x v="3"/>
    <x v="0"/>
    <x v="2"/>
    <x v="3"/>
    <n v="6"/>
    <n v="51534"/>
    <x v="4481"/>
    <n v="4662"/>
    <n v="304542"/>
    <n v="42898.932220000002"/>
    <x v="0"/>
    <x v="3"/>
  </r>
  <r>
    <n v="14514"/>
    <d v="2024-11-09T00:00:00"/>
    <x v="1"/>
    <x v="3"/>
    <x v="2"/>
    <x v="1"/>
    <n v="1"/>
    <n v="71414"/>
    <x v="4482"/>
    <n v="3261"/>
    <n v="68153"/>
    <n v="13791.994430000001"/>
    <x v="0"/>
    <x v="7"/>
  </r>
  <r>
    <n v="14515"/>
    <d v="2024-04-06T00:00:00"/>
    <x v="2"/>
    <x v="1"/>
    <x v="1"/>
    <x v="3"/>
    <n v="4"/>
    <n v="79038"/>
    <x v="4483"/>
    <n v="405"/>
    <n v="315747"/>
    <n v="42814.283239999997"/>
    <x v="0"/>
    <x v="0"/>
  </r>
  <r>
    <n v="14516"/>
    <d v="2024-07-31T00:00:00"/>
    <x v="0"/>
    <x v="1"/>
    <x v="0"/>
    <x v="1"/>
    <n v="6"/>
    <n v="20266"/>
    <x v="4484"/>
    <n v="4860"/>
    <n v="116736"/>
    <n v="12201.495059999999"/>
    <x v="0"/>
    <x v="10"/>
  </r>
  <r>
    <n v="14517"/>
    <d v="2024-05-16T00:00:00"/>
    <x v="3"/>
    <x v="1"/>
    <x v="0"/>
    <x v="1"/>
    <n v="1"/>
    <n v="53068"/>
    <x v="4485"/>
    <n v="3560"/>
    <n v="49508"/>
    <n v="5766.2459509999999"/>
    <x v="0"/>
    <x v="5"/>
  </r>
  <r>
    <n v="14518"/>
    <d v="2024-01-06T00:00:00"/>
    <x v="3"/>
    <x v="3"/>
    <x v="0"/>
    <x v="2"/>
    <n v="9"/>
    <n v="49356"/>
    <x v="4486"/>
    <n v="3383"/>
    <n v="440821"/>
    <n v="72754.878370000006"/>
    <x v="0"/>
    <x v="4"/>
  </r>
  <r>
    <n v="14519"/>
    <d v="2024-04-18T00:00:00"/>
    <x v="1"/>
    <x v="4"/>
    <x v="0"/>
    <x v="2"/>
    <n v="4"/>
    <n v="20046"/>
    <x v="4487"/>
    <n v="3667"/>
    <n v="76517"/>
    <n v="12596.052379999999"/>
    <x v="0"/>
    <x v="0"/>
  </r>
  <r>
    <n v="14520"/>
    <d v="2025-06-30T00:00:00"/>
    <x v="2"/>
    <x v="2"/>
    <x v="0"/>
    <x v="2"/>
    <n v="9"/>
    <n v="30270"/>
    <x v="4488"/>
    <n v="4961"/>
    <n v="267469"/>
    <n v="65756.104489999998"/>
    <x v="1"/>
    <x v="11"/>
  </r>
  <r>
    <n v="14521"/>
    <d v="2024-02-08T00:00:00"/>
    <x v="1"/>
    <x v="4"/>
    <x v="1"/>
    <x v="2"/>
    <n v="9"/>
    <n v="42988"/>
    <x v="4489"/>
    <n v="1117"/>
    <n v="385775"/>
    <n v="65540.281149999995"/>
    <x v="0"/>
    <x v="9"/>
  </r>
  <r>
    <n v="14522"/>
    <d v="2025-10-23T00:00:00"/>
    <x v="1"/>
    <x v="0"/>
    <x v="0"/>
    <x v="2"/>
    <n v="6"/>
    <n v="57179"/>
    <x v="4490"/>
    <n v="2437"/>
    <n v="340637"/>
    <n v="68709.942450000002"/>
    <x v="1"/>
    <x v="8"/>
  </r>
  <r>
    <n v="14523"/>
    <d v="2025-02-28T00:00:00"/>
    <x v="3"/>
    <x v="2"/>
    <x v="2"/>
    <x v="3"/>
    <n v="7"/>
    <n v="40892"/>
    <x v="4491"/>
    <n v="3482"/>
    <n v="282762"/>
    <n v="49152.560949999999"/>
    <x v="1"/>
    <x v="9"/>
  </r>
  <r>
    <n v="14524"/>
    <d v="2025-09-21T00:00:00"/>
    <x v="1"/>
    <x v="0"/>
    <x v="2"/>
    <x v="3"/>
    <n v="1"/>
    <n v="34512"/>
    <x v="290"/>
    <n v="3709"/>
    <n v="30803"/>
    <n v="4327.4449279999999"/>
    <x v="1"/>
    <x v="2"/>
  </r>
  <r>
    <n v="14525"/>
    <d v="2024-09-17T00:00:00"/>
    <x v="0"/>
    <x v="3"/>
    <x v="0"/>
    <x v="0"/>
    <n v="5"/>
    <n v="64165"/>
    <x v="4492"/>
    <n v="3440"/>
    <n v="317385"/>
    <n v="36758.787949999998"/>
    <x v="0"/>
    <x v="2"/>
  </r>
  <r>
    <n v="14526"/>
    <d v="2025-03-01T00:00:00"/>
    <x v="1"/>
    <x v="4"/>
    <x v="1"/>
    <x v="3"/>
    <n v="3"/>
    <n v="10099"/>
    <x v="4493"/>
    <n v="741"/>
    <n v="29556"/>
    <n v="6764.2187430000004"/>
    <x v="1"/>
    <x v="1"/>
  </r>
  <r>
    <n v="14527"/>
    <d v="2024-03-27T00:00:00"/>
    <x v="0"/>
    <x v="1"/>
    <x v="1"/>
    <x v="3"/>
    <n v="6"/>
    <n v="58487"/>
    <x v="4494"/>
    <n v="3239"/>
    <n v="347683"/>
    <n v="42730.033539999997"/>
    <x v="0"/>
    <x v="1"/>
  </r>
  <r>
    <n v="14528"/>
    <d v="2025-04-09T00:00:00"/>
    <x v="3"/>
    <x v="2"/>
    <x v="0"/>
    <x v="2"/>
    <n v="4"/>
    <n v="79088"/>
    <x v="4495"/>
    <n v="2921"/>
    <n v="313431"/>
    <n v="35898.519439999996"/>
    <x v="1"/>
    <x v="0"/>
  </r>
  <r>
    <n v="14529"/>
    <d v="2024-03-16T00:00:00"/>
    <x v="2"/>
    <x v="1"/>
    <x v="2"/>
    <x v="0"/>
    <n v="9"/>
    <n v="55003"/>
    <x v="4496"/>
    <n v="1831"/>
    <n v="493196"/>
    <n v="65138.512349999997"/>
    <x v="0"/>
    <x v="1"/>
  </r>
  <r>
    <n v="14530"/>
    <d v="2025-04-15T00:00:00"/>
    <x v="0"/>
    <x v="0"/>
    <x v="0"/>
    <x v="3"/>
    <n v="7"/>
    <n v="71886"/>
    <x v="4497"/>
    <n v="4138"/>
    <n v="499064"/>
    <n v="50092.698539999998"/>
    <x v="1"/>
    <x v="0"/>
  </r>
  <r>
    <n v="14531"/>
    <d v="2025-02-17T00:00:00"/>
    <x v="2"/>
    <x v="1"/>
    <x v="0"/>
    <x v="3"/>
    <n v="4"/>
    <n v="16739"/>
    <x v="4498"/>
    <n v="910"/>
    <n v="66046"/>
    <n v="7317.5515429999996"/>
    <x v="1"/>
    <x v="9"/>
  </r>
  <r>
    <n v="14532"/>
    <d v="2025-12-26T00:00:00"/>
    <x v="2"/>
    <x v="1"/>
    <x v="0"/>
    <x v="0"/>
    <n v="6"/>
    <n v="17384"/>
    <x v="4499"/>
    <n v="4012"/>
    <n v="100292"/>
    <n v="19584.973139999998"/>
    <x v="1"/>
    <x v="3"/>
  </r>
  <r>
    <n v="14533"/>
    <d v="2025-04-01T00:00:00"/>
    <x v="0"/>
    <x v="3"/>
    <x v="1"/>
    <x v="1"/>
    <n v="2"/>
    <n v="38094"/>
    <x v="4500"/>
    <n v="4702"/>
    <n v="71486"/>
    <n v="9760.1366340000004"/>
    <x v="1"/>
    <x v="0"/>
  </r>
  <r>
    <n v="14534"/>
    <d v="2024-10-11T00:00:00"/>
    <x v="3"/>
    <x v="3"/>
    <x v="1"/>
    <x v="2"/>
    <n v="3"/>
    <n v="7120"/>
    <x v="3859"/>
    <n v="1418"/>
    <n v="19942"/>
    <n v="3006.791232"/>
    <x v="0"/>
    <x v="8"/>
  </r>
  <r>
    <n v="14535"/>
    <d v="2024-08-26T00:00:00"/>
    <x v="4"/>
    <x v="4"/>
    <x v="2"/>
    <x v="3"/>
    <n v="7"/>
    <n v="5993"/>
    <x v="4501"/>
    <n v="4814"/>
    <n v="37137"/>
    <n v="8366.7790490000007"/>
    <x v="0"/>
    <x v="6"/>
  </r>
  <r>
    <n v="14536"/>
    <d v="2025-11-07T00:00:00"/>
    <x v="2"/>
    <x v="0"/>
    <x v="2"/>
    <x v="3"/>
    <n v="4"/>
    <n v="23150"/>
    <x v="4502"/>
    <n v="4309"/>
    <n v="88291"/>
    <n v="19065.111560000001"/>
    <x v="1"/>
    <x v="7"/>
  </r>
  <r>
    <n v="14537"/>
    <d v="2025-08-21T00:00:00"/>
    <x v="2"/>
    <x v="3"/>
    <x v="0"/>
    <x v="0"/>
    <n v="7"/>
    <n v="69681"/>
    <x v="4503"/>
    <n v="4038"/>
    <n v="483729"/>
    <n v="84090.102249999996"/>
    <x v="1"/>
    <x v="6"/>
  </r>
  <r>
    <n v="14538"/>
    <d v="2025-10-14T00:00:00"/>
    <x v="3"/>
    <x v="3"/>
    <x v="2"/>
    <x v="3"/>
    <n v="9"/>
    <n v="50388"/>
    <x v="4504"/>
    <n v="3639"/>
    <n v="449853"/>
    <n v="86347.708299999998"/>
    <x v="1"/>
    <x v="8"/>
  </r>
  <r>
    <n v="14539"/>
    <d v="2025-11-02T00:00:00"/>
    <x v="3"/>
    <x v="4"/>
    <x v="0"/>
    <x v="2"/>
    <n v="5"/>
    <n v="56116"/>
    <x v="4505"/>
    <n v="3445"/>
    <n v="277135"/>
    <n v="31280.6963"/>
    <x v="1"/>
    <x v="7"/>
  </r>
  <r>
    <n v="14540"/>
    <d v="2025-07-11T00:00:00"/>
    <x v="1"/>
    <x v="2"/>
    <x v="2"/>
    <x v="3"/>
    <n v="1"/>
    <n v="60753"/>
    <x v="4506"/>
    <n v="131"/>
    <n v="60622"/>
    <n v="12987.6091"/>
    <x v="1"/>
    <x v="10"/>
  </r>
  <r>
    <n v="14541"/>
    <d v="2025-01-06T00:00:00"/>
    <x v="3"/>
    <x v="4"/>
    <x v="0"/>
    <x v="1"/>
    <n v="5"/>
    <n v="44787"/>
    <x v="4507"/>
    <n v="2056"/>
    <n v="221879"/>
    <n v="39367.706969999999"/>
    <x v="1"/>
    <x v="4"/>
  </r>
  <r>
    <n v="14542"/>
    <d v="2025-05-09T00:00:00"/>
    <x v="2"/>
    <x v="1"/>
    <x v="1"/>
    <x v="2"/>
    <n v="6"/>
    <n v="40673"/>
    <x v="4508"/>
    <n v="152"/>
    <n v="243886"/>
    <n v="45275.573900000003"/>
    <x v="1"/>
    <x v="5"/>
  </r>
  <r>
    <n v="14543"/>
    <d v="2025-09-15T00:00:00"/>
    <x v="0"/>
    <x v="1"/>
    <x v="0"/>
    <x v="1"/>
    <n v="2"/>
    <n v="13290"/>
    <x v="4509"/>
    <n v="2478"/>
    <n v="24102"/>
    <n v="4816.279638"/>
    <x v="1"/>
    <x v="2"/>
  </r>
  <r>
    <n v="14544"/>
    <d v="2024-02-14T00:00:00"/>
    <x v="4"/>
    <x v="3"/>
    <x v="1"/>
    <x v="0"/>
    <n v="8"/>
    <n v="65123"/>
    <x v="4510"/>
    <n v="482"/>
    <n v="520502"/>
    <n v="91101.536529999998"/>
    <x v="0"/>
    <x v="9"/>
  </r>
  <r>
    <n v="14545"/>
    <d v="2025-02-04T00:00:00"/>
    <x v="1"/>
    <x v="3"/>
    <x v="1"/>
    <x v="2"/>
    <n v="2"/>
    <n v="21627"/>
    <x v="4511"/>
    <n v="304"/>
    <n v="42950"/>
    <n v="7656.0047699999996"/>
    <x v="1"/>
    <x v="9"/>
  </r>
  <r>
    <n v="14546"/>
    <d v="2024-09-03T00:00:00"/>
    <x v="0"/>
    <x v="4"/>
    <x v="2"/>
    <x v="3"/>
    <n v="9"/>
    <n v="78474"/>
    <x v="4512"/>
    <n v="2519"/>
    <n v="703747"/>
    <n v="123117.2568"/>
    <x v="0"/>
    <x v="2"/>
  </r>
  <r>
    <n v="14547"/>
    <d v="2025-09-07T00:00:00"/>
    <x v="4"/>
    <x v="4"/>
    <x v="2"/>
    <x v="2"/>
    <n v="2"/>
    <n v="63844"/>
    <x v="4513"/>
    <n v="992"/>
    <n v="126696"/>
    <n v="22111.318080000001"/>
    <x v="1"/>
    <x v="2"/>
  </r>
  <r>
    <n v="14548"/>
    <d v="2025-08-19T00:00:00"/>
    <x v="4"/>
    <x v="0"/>
    <x v="1"/>
    <x v="2"/>
    <n v="3"/>
    <n v="67904"/>
    <x v="4514"/>
    <n v="2237"/>
    <n v="201475"/>
    <n v="42819.641940000001"/>
    <x v="1"/>
    <x v="6"/>
  </r>
  <r>
    <n v="14549"/>
    <d v="2025-03-25T00:00:00"/>
    <x v="4"/>
    <x v="1"/>
    <x v="0"/>
    <x v="2"/>
    <n v="8"/>
    <n v="69705"/>
    <x v="4515"/>
    <n v="2559"/>
    <n v="555081"/>
    <n v="91078.400469999993"/>
    <x v="1"/>
    <x v="1"/>
  </r>
  <r>
    <n v="14550"/>
    <d v="2025-04-29T00:00:00"/>
    <x v="0"/>
    <x v="4"/>
    <x v="0"/>
    <x v="1"/>
    <n v="6"/>
    <n v="73245"/>
    <x v="4516"/>
    <n v="4438"/>
    <n v="435032"/>
    <n v="43692.002919999999"/>
    <x v="1"/>
    <x v="0"/>
  </r>
  <r>
    <n v="14551"/>
    <d v="2025-10-07T00:00:00"/>
    <x v="1"/>
    <x v="2"/>
    <x v="2"/>
    <x v="0"/>
    <n v="1"/>
    <n v="32629"/>
    <x v="4517"/>
    <n v="714"/>
    <n v="31915"/>
    <n v="6121.59944"/>
    <x v="1"/>
    <x v="8"/>
  </r>
  <r>
    <n v="14552"/>
    <d v="2025-09-11T00:00:00"/>
    <x v="1"/>
    <x v="0"/>
    <x v="0"/>
    <x v="2"/>
    <n v="4"/>
    <n v="49186"/>
    <x v="4518"/>
    <n v="1709"/>
    <n v="195035"/>
    <n v="47373.87887"/>
    <x v="1"/>
    <x v="2"/>
  </r>
  <r>
    <n v="14553"/>
    <d v="2024-01-18T00:00:00"/>
    <x v="4"/>
    <x v="4"/>
    <x v="0"/>
    <x v="3"/>
    <n v="5"/>
    <n v="51537"/>
    <x v="4519"/>
    <n v="1057"/>
    <n v="256628"/>
    <n v="35554.263120000003"/>
    <x v="0"/>
    <x v="4"/>
  </r>
  <r>
    <n v="14554"/>
    <d v="2025-08-28T00:00:00"/>
    <x v="0"/>
    <x v="3"/>
    <x v="0"/>
    <x v="2"/>
    <n v="3"/>
    <n v="35832"/>
    <x v="4520"/>
    <n v="470"/>
    <n v="107026"/>
    <n v="23805.686119999998"/>
    <x v="1"/>
    <x v="6"/>
  </r>
  <r>
    <n v="14555"/>
    <d v="2025-10-23T00:00:00"/>
    <x v="4"/>
    <x v="4"/>
    <x v="1"/>
    <x v="2"/>
    <n v="1"/>
    <n v="28472"/>
    <x v="4521"/>
    <n v="3465"/>
    <n v="25007"/>
    <n v="4209.2665459999998"/>
    <x v="1"/>
    <x v="8"/>
  </r>
  <r>
    <n v="14556"/>
    <d v="2024-10-15T00:00:00"/>
    <x v="3"/>
    <x v="3"/>
    <x v="1"/>
    <x v="0"/>
    <n v="3"/>
    <n v="53850"/>
    <x v="4522"/>
    <n v="740"/>
    <n v="160810"/>
    <n v="31590.691999999999"/>
    <x v="0"/>
    <x v="8"/>
  </r>
  <r>
    <n v="14557"/>
    <d v="2025-02-17T00:00:00"/>
    <x v="1"/>
    <x v="3"/>
    <x v="0"/>
    <x v="3"/>
    <n v="9"/>
    <n v="14507"/>
    <x v="4523"/>
    <n v="3566"/>
    <n v="126997"/>
    <n v="29670.44368"/>
    <x v="1"/>
    <x v="9"/>
  </r>
  <r>
    <n v="14558"/>
    <d v="2025-12-21T00:00:00"/>
    <x v="2"/>
    <x v="1"/>
    <x v="2"/>
    <x v="3"/>
    <n v="2"/>
    <n v="60696"/>
    <x v="4524"/>
    <n v="512"/>
    <n v="120880"/>
    <n v="26068.018830000001"/>
    <x v="1"/>
    <x v="3"/>
  </r>
  <r>
    <n v="14559"/>
    <d v="2025-09-29T00:00:00"/>
    <x v="4"/>
    <x v="1"/>
    <x v="0"/>
    <x v="1"/>
    <n v="1"/>
    <n v="77247"/>
    <x v="4525"/>
    <n v="3393"/>
    <n v="73854"/>
    <n v="17184.792450000001"/>
    <x v="1"/>
    <x v="2"/>
  </r>
  <r>
    <n v="14560"/>
    <d v="2024-08-22T00:00:00"/>
    <x v="3"/>
    <x v="4"/>
    <x v="2"/>
    <x v="3"/>
    <n v="7"/>
    <n v="61373"/>
    <x v="4526"/>
    <n v="3285"/>
    <n v="426326"/>
    <n v="43241.392180000003"/>
    <x v="0"/>
    <x v="6"/>
  </r>
  <r>
    <n v="14561"/>
    <d v="2025-02-19T00:00:00"/>
    <x v="1"/>
    <x v="4"/>
    <x v="1"/>
    <x v="3"/>
    <n v="7"/>
    <n v="66264"/>
    <x v="4527"/>
    <n v="3837"/>
    <n v="460011"/>
    <n v="58926.14301"/>
    <x v="1"/>
    <x v="9"/>
  </r>
  <r>
    <n v="14562"/>
    <d v="2025-05-13T00:00:00"/>
    <x v="0"/>
    <x v="2"/>
    <x v="0"/>
    <x v="3"/>
    <n v="5"/>
    <n v="20979"/>
    <x v="4528"/>
    <n v="2192"/>
    <n v="102703"/>
    <n v="16794.421999999999"/>
    <x v="1"/>
    <x v="5"/>
  </r>
  <r>
    <n v="14563"/>
    <d v="2025-09-25T00:00:00"/>
    <x v="1"/>
    <x v="0"/>
    <x v="0"/>
    <x v="2"/>
    <n v="2"/>
    <n v="20049"/>
    <x v="4529"/>
    <n v="4654"/>
    <n v="35444"/>
    <n v="8052.0357000000004"/>
    <x v="1"/>
    <x v="2"/>
  </r>
  <r>
    <n v="14564"/>
    <d v="2025-10-11T00:00:00"/>
    <x v="0"/>
    <x v="0"/>
    <x v="2"/>
    <x v="1"/>
    <n v="1"/>
    <n v="64081"/>
    <x v="4530"/>
    <n v="4887"/>
    <n v="59194"/>
    <n v="13363.5658"/>
    <x v="1"/>
    <x v="8"/>
  </r>
  <r>
    <n v="14565"/>
    <d v="2024-04-24T00:00:00"/>
    <x v="0"/>
    <x v="4"/>
    <x v="2"/>
    <x v="3"/>
    <n v="5"/>
    <n v="29997"/>
    <x v="4531"/>
    <n v="359"/>
    <n v="149626"/>
    <n v="19117.8711"/>
    <x v="0"/>
    <x v="0"/>
  </r>
  <r>
    <n v="14566"/>
    <d v="2025-11-04T00:00:00"/>
    <x v="4"/>
    <x v="1"/>
    <x v="0"/>
    <x v="3"/>
    <n v="4"/>
    <n v="61144"/>
    <x v="4532"/>
    <n v="284"/>
    <n v="244292"/>
    <n v="29641.503270000001"/>
    <x v="1"/>
    <x v="7"/>
  </r>
  <r>
    <n v="14567"/>
    <d v="2025-12-13T00:00:00"/>
    <x v="4"/>
    <x v="2"/>
    <x v="0"/>
    <x v="3"/>
    <n v="9"/>
    <n v="45830"/>
    <x v="4533"/>
    <n v="3316"/>
    <n v="409154"/>
    <n v="92143.676030000002"/>
    <x v="1"/>
    <x v="3"/>
  </r>
  <r>
    <n v="14568"/>
    <d v="2024-08-21T00:00:00"/>
    <x v="1"/>
    <x v="0"/>
    <x v="2"/>
    <x v="2"/>
    <n v="5"/>
    <n v="26746"/>
    <x v="4534"/>
    <n v="3277"/>
    <n v="130453"/>
    <n v="23640.05919"/>
    <x v="0"/>
    <x v="6"/>
  </r>
  <r>
    <n v="14569"/>
    <d v="2025-06-23T00:00:00"/>
    <x v="3"/>
    <x v="4"/>
    <x v="1"/>
    <x v="2"/>
    <n v="2"/>
    <n v="14603"/>
    <x v="4535"/>
    <n v="2631"/>
    <n v="26575"/>
    <n v="5155.9609389999996"/>
    <x v="1"/>
    <x v="11"/>
  </r>
  <r>
    <n v="14570"/>
    <d v="2024-01-11T00:00:00"/>
    <x v="1"/>
    <x v="1"/>
    <x v="2"/>
    <x v="1"/>
    <n v="4"/>
    <n v="9570"/>
    <x v="4536"/>
    <n v="1757"/>
    <n v="36523"/>
    <n v="8085.4950200000003"/>
    <x v="0"/>
    <x v="4"/>
  </r>
  <r>
    <n v="14571"/>
    <d v="2024-07-24T00:00:00"/>
    <x v="2"/>
    <x v="1"/>
    <x v="0"/>
    <x v="0"/>
    <n v="9"/>
    <n v="37316"/>
    <x v="4299"/>
    <n v="2774"/>
    <n v="333070"/>
    <n v="43885.959190000001"/>
    <x v="0"/>
    <x v="10"/>
  </r>
  <r>
    <n v="14572"/>
    <d v="2025-11-09T00:00:00"/>
    <x v="0"/>
    <x v="1"/>
    <x v="1"/>
    <x v="1"/>
    <n v="8"/>
    <n v="56604"/>
    <x v="793"/>
    <n v="1522"/>
    <n v="451310"/>
    <n v="54370.543259999999"/>
    <x v="1"/>
    <x v="7"/>
  </r>
  <r>
    <n v="14573"/>
    <d v="2024-09-03T00:00:00"/>
    <x v="0"/>
    <x v="3"/>
    <x v="1"/>
    <x v="2"/>
    <n v="3"/>
    <n v="23467"/>
    <x v="4537"/>
    <n v="1245"/>
    <n v="69156"/>
    <n v="15826.80976"/>
    <x v="0"/>
    <x v="2"/>
  </r>
  <r>
    <n v="14574"/>
    <d v="2025-07-12T00:00:00"/>
    <x v="4"/>
    <x v="1"/>
    <x v="1"/>
    <x v="3"/>
    <n v="8"/>
    <n v="49638"/>
    <x v="4538"/>
    <n v="1412"/>
    <n v="395692"/>
    <n v="46203.417930000003"/>
    <x v="1"/>
    <x v="10"/>
  </r>
  <r>
    <n v="14575"/>
    <d v="2024-05-06T00:00:00"/>
    <x v="3"/>
    <x v="4"/>
    <x v="1"/>
    <x v="3"/>
    <n v="2"/>
    <n v="31943"/>
    <x v="4539"/>
    <n v="4838"/>
    <n v="59048"/>
    <n v="6685.8354310000004"/>
    <x v="0"/>
    <x v="5"/>
  </r>
  <r>
    <n v="14576"/>
    <d v="2024-05-26T00:00:00"/>
    <x v="4"/>
    <x v="2"/>
    <x v="0"/>
    <x v="1"/>
    <n v="3"/>
    <n v="75369"/>
    <x v="4540"/>
    <n v="1416"/>
    <n v="224691"/>
    <n v="31807.544740000001"/>
    <x v="0"/>
    <x v="5"/>
  </r>
  <r>
    <n v="14577"/>
    <d v="2024-04-27T00:00:00"/>
    <x v="2"/>
    <x v="4"/>
    <x v="1"/>
    <x v="3"/>
    <n v="5"/>
    <n v="8340"/>
    <x v="4541"/>
    <n v="357"/>
    <n v="41343"/>
    <n v="6099.2223640000002"/>
    <x v="0"/>
    <x v="0"/>
  </r>
  <r>
    <n v="14578"/>
    <d v="2025-01-16T00:00:00"/>
    <x v="1"/>
    <x v="1"/>
    <x v="2"/>
    <x v="2"/>
    <n v="8"/>
    <n v="48532"/>
    <x v="4542"/>
    <n v="3465"/>
    <n v="384791"/>
    <n v="52397.107100000001"/>
    <x v="1"/>
    <x v="4"/>
  </r>
  <r>
    <n v="14579"/>
    <d v="2025-02-15T00:00:00"/>
    <x v="1"/>
    <x v="2"/>
    <x v="2"/>
    <x v="1"/>
    <n v="1"/>
    <n v="71175"/>
    <x v="4543"/>
    <n v="4135"/>
    <n v="67040"/>
    <n v="14161.763629999999"/>
    <x v="1"/>
    <x v="9"/>
  </r>
  <r>
    <n v="14580"/>
    <d v="2025-10-25T00:00:00"/>
    <x v="3"/>
    <x v="0"/>
    <x v="2"/>
    <x v="0"/>
    <n v="4"/>
    <n v="63918"/>
    <x v="4544"/>
    <n v="2949"/>
    <n v="252723"/>
    <n v="62170.64572"/>
    <x v="1"/>
    <x v="8"/>
  </r>
  <r>
    <n v="14581"/>
    <d v="2025-08-06T00:00:00"/>
    <x v="4"/>
    <x v="0"/>
    <x v="0"/>
    <x v="2"/>
    <n v="1"/>
    <n v="49188"/>
    <x v="4545"/>
    <n v="3141"/>
    <n v="46047"/>
    <n v="5983.2873840000002"/>
    <x v="1"/>
    <x v="6"/>
  </r>
  <r>
    <n v="14582"/>
    <d v="2024-12-28T00:00:00"/>
    <x v="4"/>
    <x v="4"/>
    <x v="1"/>
    <x v="2"/>
    <n v="1"/>
    <n v="20211"/>
    <x v="4546"/>
    <n v="2876"/>
    <n v="17335"/>
    <n v="3766.511156"/>
    <x v="0"/>
    <x v="3"/>
  </r>
  <r>
    <n v="14583"/>
    <d v="2025-05-23T00:00:00"/>
    <x v="2"/>
    <x v="2"/>
    <x v="2"/>
    <x v="3"/>
    <n v="5"/>
    <n v="18496"/>
    <x v="4547"/>
    <n v="4553"/>
    <n v="87927"/>
    <n v="9376.2127230000006"/>
    <x v="1"/>
    <x v="5"/>
  </r>
  <r>
    <n v="14584"/>
    <d v="2024-05-16T00:00:00"/>
    <x v="1"/>
    <x v="4"/>
    <x v="2"/>
    <x v="2"/>
    <n v="6"/>
    <n v="62248"/>
    <x v="4548"/>
    <n v="196"/>
    <n v="373292"/>
    <n v="43987.011789999997"/>
    <x v="0"/>
    <x v="5"/>
  </r>
  <r>
    <n v="14585"/>
    <d v="2024-06-23T00:00:00"/>
    <x v="4"/>
    <x v="2"/>
    <x v="2"/>
    <x v="2"/>
    <n v="1"/>
    <n v="46145"/>
    <x v="4549"/>
    <n v="1874"/>
    <n v="44271"/>
    <n v="7847.8144750000001"/>
    <x v="0"/>
    <x v="11"/>
  </r>
  <r>
    <n v="14586"/>
    <d v="2024-10-15T00:00:00"/>
    <x v="3"/>
    <x v="2"/>
    <x v="1"/>
    <x v="0"/>
    <n v="6"/>
    <n v="34672"/>
    <x v="4550"/>
    <n v="937"/>
    <n v="207095"/>
    <n v="51761.599820000003"/>
    <x v="0"/>
    <x v="8"/>
  </r>
  <r>
    <n v="14587"/>
    <d v="2025-04-25T00:00:00"/>
    <x v="1"/>
    <x v="4"/>
    <x v="2"/>
    <x v="3"/>
    <n v="5"/>
    <n v="79255"/>
    <x v="4551"/>
    <n v="2194"/>
    <n v="394081"/>
    <n v="95527.144690000001"/>
    <x v="1"/>
    <x v="0"/>
  </r>
  <r>
    <n v="14588"/>
    <d v="2024-01-19T00:00:00"/>
    <x v="2"/>
    <x v="2"/>
    <x v="1"/>
    <x v="2"/>
    <n v="4"/>
    <n v="41027"/>
    <x v="4552"/>
    <n v="3530"/>
    <n v="160578"/>
    <n v="18754.136020000002"/>
    <x v="0"/>
    <x v="4"/>
  </r>
  <r>
    <n v="14589"/>
    <d v="2024-07-13T00:00:00"/>
    <x v="3"/>
    <x v="1"/>
    <x v="1"/>
    <x v="3"/>
    <n v="5"/>
    <n v="41251"/>
    <x v="4553"/>
    <n v="4125"/>
    <n v="202130"/>
    <n v="27480.187450000001"/>
    <x v="0"/>
    <x v="10"/>
  </r>
  <r>
    <n v="14590"/>
    <d v="2024-11-25T00:00:00"/>
    <x v="0"/>
    <x v="2"/>
    <x v="1"/>
    <x v="2"/>
    <n v="8"/>
    <n v="24403"/>
    <x v="4554"/>
    <n v="389"/>
    <n v="194835"/>
    <n v="47124.503259999998"/>
    <x v="0"/>
    <x v="7"/>
  </r>
  <r>
    <n v="14591"/>
    <d v="2024-06-23T00:00:00"/>
    <x v="2"/>
    <x v="2"/>
    <x v="0"/>
    <x v="0"/>
    <n v="9"/>
    <n v="30150"/>
    <x v="4555"/>
    <n v="2926"/>
    <n v="268424"/>
    <n v="32911.087059999998"/>
    <x v="0"/>
    <x v="11"/>
  </r>
  <r>
    <n v="14592"/>
    <d v="2025-03-24T00:00:00"/>
    <x v="3"/>
    <x v="4"/>
    <x v="0"/>
    <x v="3"/>
    <n v="2"/>
    <n v="51940"/>
    <x v="4556"/>
    <n v="346"/>
    <n v="103534"/>
    <n v="21888.987059999999"/>
    <x v="1"/>
    <x v="1"/>
  </r>
  <r>
    <n v="14593"/>
    <d v="2024-12-19T00:00:00"/>
    <x v="4"/>
    <x v="0"/>
    <x v="1"/>
    <x v="3"/>
    <n v="6"/>
    <n v="55476"/>
    <x v="4557"/>
    <n v="2844"/>
    <n v="330012"/>
    <n v="33056.049149999999"/>
    <x v="0"/>
    <x v="3"/>
  </r>
  <r>
    <n v="14594"/>
    <d v="2025-05-13T00:00:00"/>
    <x v="0"/>
    <x v="3"/>
    <x v="1"/>
    <x v="0"/>
    <n v="3"/>
    <n v="39202"/>
    <x v="4558"/>
    <n v="118"/>
    <n v="117488"/>
    <n v="22881.588729999999"/>
    <x v="1"/>
    <x v="5"/>
  </r>
  <r>
    <n v="14595"/>
    <d v="2024-05-20T00:00:00"/>
    <x v="2"/>
    <x v="2"/>
    <x v="0"/>
    <x v="1"/>
    <n v="2"/>
    <n v="13729"/>
    <x v="4559"/>
    <n v="4615"/>
    <n v="22843"/>
    <n v="3979.0236150000001"/>
    <x v="0"/>
    <x v="5"/>
  </r>
  <r>
    <n v="14596"/>
    <d v="2024-04-02T00:00:00"/>
    <x v="4"/>
    <x v="3"/>
    <x v="0"/>
    <x v="2"/>
    <n v="1"/>
    <n v="28938"/>
    <x v="4560"/>
    <n v="1238"/>
    <n v="27700"/>
    <n v="4727.1100370000004"/>
    <x v="0"/>
    <x v="0"/>
  </r>
  <r>
    <n v="14597"/>
    <d v="2024-08-26T00:00:00"/>
    <x v="0"/>
    <x v="2"/>
    <x v="1"/>
    <x v="2"/>
    <n v="4"/>
    <n v="78920"/>
    <x v="4561"/>
    <n v="2780"/>
    <n v="312900"/>
    <n v="70208.114820000003"/>
    <x v="0"/>
    <x v="6"/>
  </r>
  <r>
    <n v="14598"/>
    <d v="2024-07-23T00:00:00"/>
    <x v="1"/>
    <x v="4"/>
    <x v="0"/>
    <x v="1"/>
    <n v="8"/>
    <n v="30762"/>
    <x v="4562"/>
    <n v="2127"/>
    <n v="243969"/>
    <n v="27351.401620000001"/>
    <x v="0"/>
    <x v="10"/>
  </r>
  <r>
    <n v="14599"/>
    <d v="2025-07-13T00:00:00"/>
    <x v="4"/>
    <x v="4"/>
    <x v="2"/>
    <x v="3"/>
    <n v="3"/>
    <n v="33724"/>
    <x v="4563"/>
    <n v="2466"/>
    <n v="98706"/>
    <n v="15457.341990000001"/>
    <x v="1"/>
    <x v="10"/>
  </r>
  <r>
    <n v="14600"/>
    <d v="2025-03-08T00:00:00"/>
    <x v="3"/>
    <x v="2"/>
    <x v="1"/>
    <x v="3"/>
    <n v="5"/>
    <n v="25653"/>
    <x v="4564"/>
    <n v="583"/>
    <n v="127682"/>
    <n v="21310.864020000001"/>
    <x v="1"/>
    <x v="1"/>
  </r>
  <r>
    <n v="14601"/>
    <d v="2024-09-01T00:00:00"/>
    <x v="2"/>
    <x v="4"/>
    <x v="1"/>
    <x v="0"/>
    <n v="5"/>
    <n v="18507"/>
    <x v="4565"/>
    <n v="2759"/>
    <n v="89776"/>
    <n v="10646.44462"/>
    <x v="0"/>
    <x v="2"/>
  </r>
  <r>
    <n v="14602"/>
    <d v="2024-11-12T00:00:00"/>
    <x v="0"/>
    <x v="4"/>
    <x v="0"/>
    <x v="0"/>
    <n v="5"/>
    <n v="77914"/>
    <x v="4566"/>
    <n v="1708"/>
    <n v="387862"/>
    <n v="43770.219700000001"/>
    <x v="0"/>
    <x v="7"/>
  </r>
  <r>
    <n v="14603"/>
    <d v="2024-10-21T00:00:00"/>
    <x v="4"/>
    <x v="2"/>
    <x v="2"/>
    <x v="0"/>
    <n v="9"/>
    <n v="47773"/>
    <x v="4567"/>
    <n v="2704"/>
    <n v="427253"/>
    <n v="54236.41257"/>
    <x v="0"/>
    <x v="8"/>
  </r>
  <r>
    <n v="14604"/>
    <d v="2025-10-01T00:00:00"/>
    <x v="1"/>
    <x v="0"/>
    <x v="0"/>
    <x v="1"/>
    <n v="8"/>
    <n v="40205"/>
    <x v="4568"/>
    <n v="4837"/>
    <n v="316803"/>
    <n v="43134.996359999997"/>
    <x v="1"/>
    <x v="8"/>
  </r>
  <r>
    <n v="14605"/>
    <d v="2024-10-08T00:00:00"/>
    <x v="2"/>
    <x v="2"/>
    <x v="2"/>
    <x v="1"/>
    <n v="8"/>
    <n v="16571"/>
    <x v="4569"/>
    <n v="671"/>
    <n v="131897"/>
    <n v="32302.773799999999"/>
    <x v="0"/>
    <x v="8"/>
  </r>
  <r>
    <n v="14606"/>
    <d v="2024-01-17T00:00:00"/>
    <x v="2"/>
    <x v="0"/>
    <x v="2"/>
    <x v="3"/>
    <n v="1"/>
    <n v="42320"/>
    <x v="4570"/>
    <n v="1771"/>
    <n v="40549"/>
    <n v="6947.749057"/>
    <x v="0"/>
    <x v="4"/>
  </r>
  <r>
    <n v="14607"/>
    <d v="2024-03-11T00:00:00"/>
    <x v="4"/>
    <x v="4"/>
    <x v="1"/>
    <x v="0"/>
    <n v="1"/>
    <n v="53853"/>
    <x v="4571"/>
    <n v="1685"/>
    <n v="52168"/>
    <n v="9209.9137379999993"/>
    <x v="0"/>
    <x v="1"/>
  </r>
  <r>
    <n v="14608"/>
    <d v="2024-09-25T00:00:00"/>
    <x v="1"/>
    <x v="0"/>
    <x v="2"/>
    <x v="3"/>
    <n v="2"/>
    <n v="35190"/>
    <x v="4572"/>
    <n v="2077"/>
    <n v="68303"/>
    <n v="14073.814759999999"/>
    <x v="0"/>
    <x v="2"/>
  </r>
  <r>
    <n v="14609"/>
    <d v="2024-11-20T00:00:00"/>
    <x v="0"/>
    <x v="4"/>
    <x v="1"/>
    <x v="1"/>
    <n v="8"/>
    <n v="41522"/>
    <x v="4573"/>
    <n v="2485"/>
    <n v="329691"/>
    <n v="66808.590729999996"/>
    <x v="0"/>
    <x v="7"/>
  </r>
  <r>
    <n v="14610"/>
    <d v="2024-10-31T00:00:00"/>
    <x v="4"/>
    <x v="0"/>
    <x v="2"/>
    <x v="2"/>
    <n v="1"/>
    <n v="76801"/>
    <x v="4574"/>
    <n v="1696"/>
    <n v="75105"/>
    <n v="13174.66452"/>
    <x v="0"/>
    <x v="8"/>
  </r>
  <r>
    <n v="14611"/>
    <d v="2025-03-26T00:00:00"/>
    <x v="0"/>
    <x v="0"/>
    <x v="1"/>
    <x v="3"/>
    <n v="4"/>
    <n v="49489"/>
    <x v="4575"/>
    <n v="3601"/>
    <n v="194355"/>
    <n v="29342.893670000001"/>
    <x v="1"/>
    <x v="1"/>
  </r>
  <r>
    <n v="14612"/>
    <d v="2024-01-07T00:00:00"/>
    <x v="2"/>
    <x v="2"/>
    <x v="2"/>
    <x v="1"/>
    <n v="9"/>
    <n v="77277"/>
    <x v="4576"/>
    <n v="4158"/>
    <n v="691335"/>
    <n v="103463.6434"/>
    <x v="0"/>
    <x v="4"/>
  </r>
  <r>
    <n v="14613"/>
    <d v="2024-11-09T00:00:00"/>
    <x v="0"/>
    <x v="0"/>
    <x v="0"/>
    <x v="0"/>
    <n v="2"/>
    <n v="6837"/>
    <x v="4577"/>
    <n v="1453"/>
    <n v="12221"/>
    <n v="1327.8924320000001"/>
    <x v="0"/>
    <x v="7"/>
  </r>
  <r>
    <n v="14614"/>
    <d v="2024-04-12T00:00:00"/>
    <x v="1"/>
    <x v="4"/>
    <x v="2"/>
    <x v="2"/>
    <n v="3"/>
    <n v="58763"/>
    <x v="4578"/>
    <n v="3206"/>
    <n v="173083"/>
    <n v="40664.90251"/>
    <x v="0"/>
    <x v="0"/>
  </r>
  <r>
    <n v="14615"/>
    <d v="2024-07-11T00:00:00"/>
    <x v="3"/>
    <x v="2"/>
    <x v="0"/>
    <x v="2"/>
    <n v="6"/>
    <n v="61964"/>
    <x v="4579"/>
    <n v="4252"/>
    <n v="367532"/>
    <n v="79169.766210000002"/>
    <x v="0"/>
    <x v="10"/>
  </r>
  <r>
    <n v="14616"/>
    <d v="2025-07-27T00:00:00"/>
    <x v="1"/>
    <x v="0"/>
    <x v="2"/>
    <x v="2"/>
    <n v="3"/>
    <n v="61398"/>
    <x v="4580"/>
    <n v="2990"/>
    <n v="181204"/>
    <n v="35063.243300000002"/>
    <x v="1"/>
    <x v="10"/>
  </r>
  <r>
    <n v="14617"/>
    <d v="2025-06-12T00:00:00"/>
    <x v="0"/>
    <x v="2"/>
    <x v="2"/>
    <x v="0"/>
    <n v="4"/>
    <n v="58198"/>
    <x v="4581"/>
    <n v="4872"/>
    <n v="227920"/>
    <n v="36333.242639999997"/>
    <x v="1"/>
    <x v="11"/>
  </r>
  <r>
    <n v="14618"/>
    <d v="2024-06-19T00:00:00"/>
    <x v="4"/>
    <x v="3"/>
    <x v="1"/>
    <x v="2"/>
    <n v="9"/>
    <n v="40143"/>
    <x v="4582"/>
    <n v="2301"/>
    <n v="358986"/>
    <n v="67263.156419999999"/>
    <x v="0"/>
    <x v="11"/>
  </r>
  <r>
    <n v="14619"/>
    <d v="2025-06-20T00:00:00"/>
    <x v="2"/>
    <x v="2"/>
    <x v="2"/>
    <x v="1"/>
    <n v="9"/>
    <n v="54427"/>
    <x v="4583"/>
    <n v="3258"/>
    <n v="486585"/>
    <n v="84064.113410000005"/>
    <x v="1"/>
    <x v="11"/>
  </r>
  <r>
    <n v="14620"/>
    <d v="2024-09-07T00:00:00"/>
    <x v="3"/>
    <x v="3"/>
    <x v="2"/>
    <x v="3"/>
    <n v="5"/>
    <n v="11859"/>
    <x v="4584"/>
    <n v="1350"/>
    <n v="57945"/>
    <n v="8175.4743490000001"/>
    <x v="0"/>
    <x v="2"/>
  </r>
  <r>
    <n v="14621"/>
    <d v="2025-01-21T00:00:00"/>
    <x v="4"/>
    <x v="3"/>
    <x v="2"/>
    <x v="2"/>
    <n v="7"/>
    <n v="50507"/>
    <x v="4585"/>
    <n v="4101"/>
    <n v="349448"/>
    <n v="50595.147380000002"/>
    <x v="1"/>
    <x v="4"/>
  </r>
  <r>
    <n v="14622"/>
    <d v="2024-07-25T00:00:00"/>
    <x v="4"/>
    <x v="2"/>
    <x v="0"/>
    <x v="2"/>
    <n v="9"/>
    <n v="39356"/>
    <x v="4586"/>
    <n v="3949"/>
    <n v="350255"/>
    <n v="80969.133440000005"/>
    <x v="0"/>
    <x v="10"/>
  </r>
  <r>
    <n v="14623"/>
    <d v="2025-06-24T00:00:00"/>
    <x v="1"/>
    <x v="4"/>
    <x v="1"/>
    <x v="1"/>
    <n v="8"/>
    <n v="67570"/>
    <x v="4587"/>
    <n v="1279"/>
    <n v="539281"/>
    <n v="105287.179"/>
    <x v="1"/>
    <x v="11"/>
  </r>
  <r>
    <n v="14624"/>
    <d v="2025-09-20T00:00:00"/>
    <x v="0"/>
    <x v="4"/>
    <x v="1"/>
    <x v="0"/>
    <n v="7"/>
    <n v="17854"/>
    <x v="4588"/>
    <n v="820"/>
    <n v="124158"/>
    <n v="12442.291929999999"/>
    <x v="1"/>
    <x v="2"/>
  </r>
  <r>
    <n v="14625"/>
    <d v="2025-02-19T00:00:00"/>
    <x v="1"/>
    <x v="4"/>
    <x v="2"/>
    <x v="2"/>
    <n v="8"/>
    <n v="38013"/>
    <x v="4589"/>
    <n v="1343"/>
    <n v="302761"/>
    <n v="45120.703370000003"/>
    <x v="1"/>
    <x v="9"/>
  </r>
  <r>
    <n v="14626"/>
    <d v="2025-01-14T00:00:00"/>
    <x v="0"/>
    <x v="1"/>
    <x v="2"/>
    <x v="1"/>
    <n v="5"/>
    <n v="36654"/>
    <x v="4590"/>
    <n v="2295"/>
    <n v="180975"/>
    <n v="27325.744569999999"/>
    <x v="1"/>
    <x v="4"/>
  </r>
  <r>
    <n v="14627"/>
    <d v="2024-05-23T00:00:00"/>
    <x v="1"/>
    <x v="3"/>
    <x v="0"/>
    <x v="1"/>
    <n v="5"/>
    <n v="28054"/>
    <x v="4591"/>
    <n v="3"/>
    <n v="140267"/>
    <n v="28888.035489999998"/>
    <x v="0"/>
    <x v="5"/>
  </r>
  <r>
    <n v="14628"/>
    <d v="2024-01-25T00:00:00"/>
    <x v="4"/>
    <x v="2"/>
    <x v="2"/>
    <x v="0"/>
    <n v="5"/>
    <n v="78728"/>
    <x v="4592"/>
    <n v="2560"/>
    <n v="391080"/>
    <n v="80197.993979999999"/>
    <x v="0"/>
    <x v="4"/>
  </r>
  <r>
    <n v="14629"/>
    <d v="2025-10-29T00:00:00"/>
    <x v="2"/>
    <x v="4"/>
    <x v="1"/>
    <x v="0"/>
    <n v="1"/>
    <n v="65254"/>
    <x v="4593"/>
    <n v="2553"/>
    <n v="62701"/>
    <n v="10635.54602"/>
    <x v="1"/>
    <x v="8"/>
  </r>
  <r>
    <n v="14630"/>
    <d v="2024-03-13T00:00:00"/>
    <x v="0"/>
    <x v="4"/>
    <x v="1"/>
    <x v="3"/>
    <n v="6"/>
    <n v="72720"/>
    <x v="4594"/>
    <n v="30"/>
    <n v="436290"/>
    <n v="105864.4212"/>
    <x v="0"/>
    <x v="1"/>
  </r>
  <r>
    <n v="14631"/>
    <d v="2025-09-23T00:00:00"/>
    <x v="3"/>
    <x v="2"/>
    <x v="0"/>
    <x v="2"/>
    <n v="5"/>
    <n v="50206"/>
    <x v="4595"/>
    <n v="1652"/>
    <n v="249378"/>
    <n v="57565.014880000002"/>
    <x v="1"/>
    <x v="2"/>
  </r>
  <r>
    <n v="14632"/>
    <d v="2024-04-02T00:00:00"/>
    <x v="3"/>
    <x v="3"/>
    <x v="0"/>
    <x v="3"/>
    <n v="8"/>
    <n v="41019"/>
    <x v="4596"/>
    <n v="1298"/>
    <n v="326854"/>
    <n v="75154.065539999996"/>
    <x v="0"/>
    <x v="0"/>
  </r>
  <r>
    <n v="14633"/>
    <d v="2025-05-19T00:00:00"/>
    <x v="4"/>
    <x v="2"/>
    <x v="1"/>
    <x v="1"/>
    <n v="8"/>
    <n v="21281"/>
    <x v="4597"/>
    <n v="4804"/>
    <n v="165444"/>
    <n v="25187.16588"/>
    <x v="1"/>
    <x v="5"/>
  </r>
  <r>
    <n v="14634"/>
    <d v="2025-08-20T00:00:00"/>
    <x v="1"/>
    <x v="1"/>
    <x v="0"/>
    <x v="2"/>
    <n v="2"/>
    <n v="10863"/>
    <x v="4598"/>
    <n v="885"/>
    <n v="20841"/>
    <n v="3431.4699909999999"/>
    <x v="1"/>
    <x v="6"/>
  </r>
  <r>
    <n v="14635"/>
    <d v="2024-12-01T00:00:00"/>
    <x v="1"/>
    <x v="1"/>
    <x v="2"/>
    <x v="1"/>
    <n v="6"/>
    <n v="57203"/>
    <x v="4599"/>
    <n v="1200"/>
    <n v="342018"/>
    <n v="55695.677929999998"/>
    <x v="0"/>
    <x v="3"/>
  </r>
  <r>
    <n v="14636"/>
    <d v="2025-02-28T00:00:00"/>
    <x v="4"/>
    <x v="2"/>
    <x v="2"/>
    <x v="1"/>
    <n v="6"/>
    <n v="41539"/>
    <x v="4600"/>
    <n v="3358"/>
    <n v="245876"/>
    <n v="40825.258999999998"/>
    <x v="1"/>
    <x v="9"/>
  </r>
  <r>
    <n v="14637"/>
    <d v="2025-05-13T00:00:00"/>
    <x v="3"/>
    <x v="3"/>
    <x v="0"/>
    <x v="1"/>
    <n v="3"/>
    <n v="47088"/>
    <x v="4601"/>
    <n v="1979"/>
    <n v="139285"/>
    <n v="32506.558840000002"/>
    <x v="1"/>
    <x v="5"/>
  </r>
  <r>
    <n v="14638"/>
    <d v="2024-12-29T00:00:00"/>
    <x v="3"/>
    <x v="4"/>
    <x v="1"/>
    <x v="0"/>
    <n v="1"/>
    <n v="67438"/>
    <x v="4602"/>
    <n v="4843"/>
    <n v="62595"/>
    <n v="8598.5565279999992"/>
    <x v="0"/>
    <x v="3"/>
  </r>
  <r>
    <n v="14639"/>
    <d v="2025-09-21T00:00:00"/>
    <x v="1"/>
    <x v="1"/>
    <x v="0"/>
    <x v="0"/>
    <n v="7"/>
    <n v="21077"/>
    <x v="4603"/>
    <n v="4038"/>
    <n v="143501"/>
    <n v="31617.469229999999"/>
    <x v="1"/>
    <x v="2"/>
  </r>
  <r>
    <n v="14640"/>
    <d v="2024-07-17T00:00:00"/>
    <x v="0"/>
    <x v="1"/>
    <x v="1"/>
    <x v="2"/>
    <n v="5"/>
    <n v="30273"/>
    <x v="4604"/>
    <n v="2126"/>
    <n v="149239"/>
    <n v="26431.121780000001"/>
    <x v="0"/>
    <x v="10"/>
  </r>
  <r>
    <n v="14641"/>
    <d v="2025-12-18T00:00:00"/>
    <x v="2"/>
    <x v="3"/>
    <x v="0"/>
    <x v="1"/>
    <n v="5"/>
    <n v="36052"/>
    <x v="4605"/>
    <n v="2290"/>
    <n v="177970"/>
    <n v="24446.426879999999"/>
    <x v="1"/>
    <x v="3"/>
  </r>
  <r>
    <n v="14642"/>
    <d v="2025-02-16T00:00:00"/>
    <x v="0"/>
    <x v="1"/>
    <x v="0"/>
    <x v="1"/>
    <n v="8"/>
    <n v="72955"/>
    <x v="4606"/>
    <n v="3894"/>
    <n v="579746"/>
    <n v="103829.0689"/>
    <x v="1"/>
    <x v="9"/>
  </r>
  <r>
    <n v="14643"/>
    <d v="2024-12-04T00:00:00"/>
    <x v="3"/>
    <x v="1"/>
    <x v="0"/>
    <x v="2"/>
    <n v="5"/>
    <n v="18518"/>
    <x v="4607"/>
    <n v="4596"/>
    <n v="87994"/>
    <n v="11379.0535"/>
    <x v="0"/>
    <x v="3"/>
  </r>
  <r>
    <n v="14644"/>
    <d v="2025-10-20T00:00:00"/>
    <x v="0"/>
    <x v="3"/>
    <x v="2"/>
    <x v="3"/>
    <n v="5"/>
    <n v="12396"/>
    <x v="4608"/>
    <n v="204"/>
    <n v="61776"/>
    <n v="7180.0326420000001"/>
    <x v="1"/>
    <x v="8"/>
  </r>
  <r>
    <n v="14645"/>
    <d v="2025-03-04T00:00:00"/>
    <x v="2"/>
    <x v="2"/>
    <x v="2"/>
    <x v="1"/>
    <n v="1"/>
    <n v="45077"/>
    <x v="4609"/>
    <n v="1483"/>
    <n v="43594"/>
    <n v="9840.3259529999996"/>
    <x v="1"/>
    <x v="1"/>
  </r>
  <r>
    <n v="14646"/>
    <d v="2024-05-18T00:00:00"/>
    <x v="0"/>
    <x v="4"/>
    <x v="1"/>
    <x v="0"/>
    <n v="2"/>
    <n v="16981"/>
    <x v="4610"/>
    <n v="2770"/>
    <n v="31192"/>
    <n v="6391.1878829999996"/>
    <x v="0"/>
    <x v="5"/>
  </r>
  <r>
    <n v="14647"/>
    <d v="2025-11-23T00:00:00"/>
    <x v="0"/>
    <x v="4"/>
    <x v="0"/>
    <x v="3"/>
    <n v="5"/>
    <n v="73292"/>
    <x v="4611"/>
    <n v="4428"/>
    <n v="362032"/>
    <n v="47334.54307"/>
    <x v="1"/>
    <x v="7"/>
  </r>
  <r>
    <n v="14648"/>
    <d v="2025-06-25T00:00:00"/>
    <x v="0"/>
    <x v="1"/>
    <x v="2"/>
    <x v="3"/>
    <n v="7"/>
    <n v="69842"/>
    <x v="4612"/>
    <n v="2650"/>
    <n v="486244"/>
    <n v="117352.1738"/>
    <x v="1"/>
    <x v="11"/>
  </r>
  <r>
    <n v="14649"/>
    <d v="2024-02-26T00:00:00"/>
    <x v="0"/>
    <x v="4"/>
    <x v="0"/>
    <x v="3"/>
    <n v="3"/>
    <n v="10023"/>
    <x v="4613"/>
    <n v="4261"/>
    <n v="25808"/>
    <n v="2675.2509829999999"/>
    <x v="0"/>
    <x v="9"/>
  </r>
  <r>
    <n v="14650"/>
    <d v="2024-08-19T00:00:00"/>
    <x v="4"/>
    <x v="2"/>
    <x v="1"/>
    <x v="3"/>
    <n v="1"/>
    <n v="26219"/>
    <x v="4614"/>
    <n v="2208"/>
    <n v="24011"/>
    <n v="3601.4585860000002"/>
    <x v="0"/>
    <x v="6"/>
  </r>
  <r>
    <n v="14651"/>
    <d v="2025-10-19T00:00:00"/>
    <x v="3"/>
    <x v="1"/>
    <x v="2"/>
    <x v="3"/>
    <n v="2"/>
    <n v="22094"/>
    <x v="4615"/>
    <n v="5"/>
    <n v="44183"/>
    <n v="4561.8044300000001"/>
    <x v="1"/>
    <x v="8"/>
  </r>
  <r>
    <n v="14652"/>
    <d v="2025-03-10T00:00:00"/>
    <x v="2"/>
    <x v="4"/>
    <x v="1"/>
    <x v="3"/>
    <n v="3"/>
    <n v="42853"/>
    <x v="4616"/>
    <n v="531"/>
    <n v="128028"/>
    <n v="15535.51144"/>
    <x v="1"/>
    <x v="1"/>
  </r>
  <r>
    <n v="14653"/>
    <d v="2025-01-18T00:00:00"/>
    <x v="3"/>
    <x v="0"/>
    <x v="2"/>
    <x v="2"/>
    <n v="9"/>
    <n v="10646"/>
    <x v="4617"/>
    <n v="2092"/>
    <n v="93722"/>
    <n v="11903.80989"/>
    <x v="1"/>
    <x v="4"/>
  </r>
  <r>
    <n v="14654"/>
    <d v="2025-07-13T00:00:00"/>
    <x v="4"/>
    <x v="0"/>
    <x v="0"/>
    <x v="2"/>
    <n v="8"/>
    <n v="59045"/>
    <x v="4618"/>
    <n v="4552"/>
    <n v="467808"/>
    <n v="103642.97010000001"/>
    <x v="1"/>
    <x v="10"/>
  </r>
  <r>
    <n v="14655"/>
    <d v="2024-07-12T00:00:00"/>
    <x v="4"/>
    <x v="0"/>
    <x v="1"/>
    <x v="3"/>
    <n v="4"/>
    <n v="51925"/>
    <x v="4619"/>
    <n v="226"/>
    <n v="207474"/>
    <n v="51651.886890000002"/>
    <x v="0"/>
    <x v="10"/>
  </r>
  <r>
    <n v="14656"/>
    <d v="2025-10-09T00:00:00"/>
    <x v="4"/>
    <x v="0"/>
    <x v="2"/>
    <x v="0"/>
    <n v="8"/>
    <n v="48927"/>
    <x v="4620"/>
    <n v="2099"/>
    <n v="389317"/>
    <n v="89581.079100000003"/>
    <x v="1"/>
    <x v="8"/>
  </r>
  <r>
    <n v="14657"/>
    <d v="2025-06-17T00:00:00"/>
    <x v="4"/>
    <x v="0"/>
    <x v="2"/>
    <x v="2"/>
    <n v="9"/>
    <n v="16991"/>
    <x v="4621"/>
    <n v="4566"/>
    <n v="148353"/>
    <n v="28968.88264"/>
    <x v="1"/>
    <x v="11"/>
  </r>
  <r>
    <n v="14658"/>
    <d v="2025-06-01T00:00:00"/>
    <x v="0"/>
    <x v="1"/>
    <x v="0"/>
    <x v="2"/>
    <n v="3"/>
    <n v="23978"/>
    <x v="4622"/>
    <n v="896"/>
    <n v="71038"/>
    <n v="14807.055189999999"/>
    <x v="1"/>
    <x v="11"/>
  </r>
  <r>
    <n v="14659"/>
    <d v="2025-12-16T00:00:00"/>
    <x v="3"/>
    <x v="3"/>
    <x v="1"/>
    <x v="3"/>
    <n v="6"/>
    <n v="40723"/>
    <x v="4623"/>
    <n v="1320"/>
    <n v="243018"/>
    <n v="43360.036849999997"/>
    <x v="1"/>
    <x v="3"/>
  </r>
  <r>
    <n v="14660"/>
    <d v="2024-07-03T00:00:00"/>
    <x v="1"/>
    <x v="3"/>
    <x v="1"/>
    <x v="0"/>
    <n v="8"/>
    <n v="29787"/>
    <x v="2678"/>
    <n v="2661"/>
    <n v="235635"/>
    <n v="38498.40941"/>
    <x v="0"/>
    <x v="10"/>
  </r>
  <r>
    <n v="14661"/>
    <d v="2024-10-18T00:00:00"/>
    <x v="2"/>
    <x v="1"/>
    <x v="1"/>
    <x v="3"/>
    <n v="7"/>
    <n v="54092"/>
    <x v="4624"/>
    <n v="2559"/>
    <n v="376085"/>
    <n v="76655.652849999999"/>
    <x v="0"/>
    <x v="8"/>
  </r>
  <r>
    <n v="14662"/>
    <d v="2024-11-30T00:00:00"/>
    <x v="4"/>
    <x v="1"/>
    <x v="0"/>
    <x v="0"/>
    <n v="9"/>
    <n v="49791"/>
    <x v="4625"/>
    <n v="1664"/>
    <n v="446455"/>
    <n v="109813.4215"/>
    <x v="0"/>
    <x v="7"/>
  </r>
  <r>
    <n v="14663"/>
    <d v="2024-04-25T00:00:00"/>
    <x v="3"/>
    <x v="2"/>
    <x v="2"/>
    <x v="0"/>
    <n v="7"/>
    <n v="19932"/>
    <x v="4626"/>
    <n v="1525"/>
    <n v="137999"/>
    <n v="14398.002339999999"/>
    <x v="0"/>
    <x v="0"/>
  </r>
  <r>
    <n v="14664"/>
    <d v="2024-02-18T00:00:00"/>
    <x v="4"/>
    <x v="3"/>
    <x v="2"/>
    <x v="1"/>
    <n v="1"/>
    <n v="41911"/>
    <x v="4627"/>
    <n v="3750"/>
    <n v="38161"/>
    <n v="5613.969368"/>
    <x v="0"/>
    <x v="9"/>
  </r>
  <r>
    <n v="14665"/>
    <d v="2025-11-15T00:00:00"/>
    <x v="4"/>
    <x v="0"/>
    <x v="1"/>
    <x v="2"/>
    <n v="9"/>
    <n v="14946"/>
    <x v="4628"/>
    <n v="3654"/>
    <n v="130860"/>
    <n v="19564.743869999998"/>
    <x v="1"/>
    <x v="7"/>
  </r>
  <r>
    <n v="14666"/>
    <d v="2024-03-22T00:00:00"/>
    <x v="4"/>
    <x v="1"/>
    <x v="2"/>
    <x v="3"/>
    <n v="5"/>
    <n v="19387"/>
    <x v="4629"/>
    <n v="2567"/>
    <n v="94368"/>
    <n v="15300.603709999999"/>
    <x v="0"/>
    <x v="1"/>
  </r>
  <r>
    <n v="14667"/>
    <d v="2024-11-28T00:00:00"/>
    <x v="4"/>
    <x v="0"/>
    <x v="1"/>
    <x v="2"/>
    <n v="6"/>
    <n v="74141"/>
    <x v="4630"/>
    <n v="4769"/>
    <n v="440077"/>
    <n v="85389.8223"/>
    <x v="0"/>
    <x v="7"/>
  </r>
  <r>
    <n v="14668"/>
    <d v="2025-07-10T00:00:00"/>
    <x v="4"/>
    <x v="3"/>
    <x v="0"/>
    <x v="2"/>
    <n v="2"/>
    <n v="54573"/>
    <x v="4631"/>
    <n v="1096"/>
    <n v="108050"/>
    <n v="19131.65438"/>
    <x v="1"/>
    <x v="10"/>
  </r>
  <r>
    <n v="14669"/>
    <d v="2024-11-30T00:00:00"/>
    <x v="2"/>
    <x v="4"/>
    <x v="0"/>
    <x v="0"/>
    <n v="2"/>
    <n v="46405"/>
    <x v="4632"/>
    <n v="3098"/>
    <n v="89712"/>
    <n v="9223.2330669999992"/>
    <x v="0"/>
    <x v="7"/>
  </r>
  <r>
    <n v="14670"/>
    <d v="2025-06-15T00:00:00"/>
    <x v="3"/>
    <x v="4"/>
    <x v="0"/>
    <x v="2"/>
    <n v="4"/>
    <n v="14152"/>
    <x v="4633"/>
    <n v="3240"/>
    <n v="53368"/>
    <n v="8631.8169969999999"/>
    <x v="1"/>
    <x v="11"/>
  </r>
  <r>
    <n v="14671"/>
    <d v="2024-08-08T00:00:00"/>
    <x v="4"/>
    <x v="1"/>
    <x v="1"/>
    <x v="1"/>
    <n v="4"/>
    <n v="40415"/>
    <x v="4634"/>
    <n v="2822"/>
    <n v="158838"/>
    <n v="30642.598999999998"/>
    <x v="0"/>
    <x v="6"/>
  </r>
  <r>
    <n v="14672"/>
    <d v="2025-09-26T00:00:00"/>
    <x v="4"/>
    <x v="2"/>
    <x v="2"/>
    <x v="3"/>
    <n v="5"/>
    <n v="36848"/>
    <x v="4635"/>
    <n v="2927"/>
    <n v="181313"/>
    <n v="31860.9928"/>
    <x v="1"/>
    <x v="2"/>
  </r>
  <r>
    <n v="14673"/>
    <d v="2024-11-18T00:00:00"/>
    <x v="4"/>
    <x v="0"/>
    <x v="0"/>
    <x v="2"/>
    <n v="7"/>
    <n v="48394"/>
    <x v="4636"/>
    <n v="4993"/>
    <n v="333765"/>
    <n v="77036.059210000007"/>
    <x v="0"/>
    <x v="7"/>
  </r>
  <r>
    <n v="14674"/>
    <d v="2024-01-03T00:00:00"/>
    <x v="4"/>
    <x v="1"/>
    <x v="1"/>
    <x v="3"/>
    <n v="1"/>
    <n v="74265"/>
    <x v="4637"/>
    <n v="3614"/>
    <n v="70651"/>
    <n v="11289.277410000001"/>
    <x v="0"/>
    <x v="4"/>
  </r>
  <r>
    <n v="14675"/>
    <d v="2025-11-24T00:00:00"/>
    <x v="0"/>
    <x v="2"/>
    <x v="1"/>
    <x v="2"/>
    <n v="4"/>
    <n v="36455"/>
    <x v="4638"/>
    <n v="847"/>
    <n v="144973"/>
    <n v="14770.40042"/>
    <x v="1"/>
    <x v="7"/>
  </r>
  <r>
    <n v="14676"/>
    <d v="2024-07-24T00:00:00"/>
    <x v="0"/>
    <x v="0"/>
    <x v="0"/>
    <x v="3"/>
    <n v="9"/>
    <n v="71560"/>
    <x v="4639"/>
    <n v="3616"/>
    <n v="640424"/>
    <n v="91410.777230000007"/>
    <x v="0"/>
    <x v="10"/>
  </r>
  <r>
    <n v="14677"/>
    <d v="2024-02-09T00:00:00"/>
    <x v="1"/>
    <x v="3"/>
    <x v="0"/>
    <x v="3"/>
    <n v="8"/>
    <n v="21921"/>
    <x v="4640"/>
    <n v="2704"/>
    <n v="172664"/>
    <n v="20780.266769999998"/>
    <x v="0"/>
    <x v="9"/>
  </r>
  <r>
    <n v="14678"/>
    <d v="2024-02-28T00:00:00"/>
    <x v="4"/>
    <x v="4"/>
    <x v="0"/>
    <x v="3"/>
    <n v="3"/>
    <n v="37179"/>
    <x v="4641"/>
    <n v="3893"/>
    <n v="107644"/>
    <n v="14804.76894"/>
    <x v="0"/>
    <x v="9"/>
  </r>
  <r>
    <n v="14679"/>
    <d v="2025-07-27T00:00:00"/>
    <x v="1"/>
    <x v="2"/>
    <x v="2"/>
    <x v="2"/>
    <n v="6"/>
    <n v="57235"/>
    <x v="4642"/>
    <n v="3381"/>
    <n v="340029"/>
    <n v="52470.964"/>
    <x v="1"/>
    <x v="10"/>
  </r>
  <r>
    <n v="14680"/>
    <d v="2025-10-05T00:00:00"/>
    <x v="2"/>
    <x v="0"/>
    <x v="2"/>
    <x v="1"/>
    <n v="9"/>
    <n v="37037"/>
    <x v="4643"/>
    <n v="3071"/>
    <n v="330262"/>
    <n v="66547.247359999994"/>
    <x v="1"/>
    <x v="8"/>
  </r>
  <r>
    <n v="14681"/>
    <d v="2025-05-21T00:00:00"/>
    <x v="1"/>
    <x v="1"/>
    <x v="1"/>
    <x v="3"/>
    <n v="8"/>
    <n v="38275"/>
    <x v="4644"/>
    <n v="2994"/>
    <n v="303206"/>
    <n v="45064.14314"/>
    <x v="1"/>
    <x v="5"/>
  </r>
  <r>
    <n v="14682"/>
    <d v="2025-07-25T00:00:00"/>
    <x v="3"/>
    <x v="0"/>
    <x v="0"/>
    <x v="0"/>
    <n v="7"/>
    <n v="41692"/>
    <x v="4645"/>
    <n v="4742"/>
    <n v="287102"/>
    <n v="66784.626860000004"/>
    <x v="1"/>
    <x v="10"/>
  </r>
  <r>
    <n v="14683"/>
    <d v="2024-05-01T00:00:00"/>
    <x v="0"/>
    <x v="1"/>
    <x v="0"/>
    <x v="0"/>
    <n v="7"/>
    <n v="13872"/>
    <x v="4646"/>
    <n v="4533"/>
    <n v="92571"/>
    <n v="13416.79514"/>
    <x v="0"/>
    <x v="5"/>
  </r>
  <r>
    <n v="14684"/>
    <d v="2025-04-23T00:00:00"/>
    <x v="0"/>
    <x v="4"/>
    <x v="2"/>
    <x v="0"/>
    <n v="1"/>
    <n v="56764"/>
    <x v="4647"/>
    <n v="1500"/>
    <n v="55264"/>
    <n v="6661.5232130000004"/>
    <x v="1"/>
    <x v="0"/>
  </r>
  <r>
    <n v="14685"/>
    <d v="2025-09-10T00:00:00"/>
    <x v="4"/>
    <x v="4"/>
    <x v="0"/>
    <x v="1"/>
    <n v="5"/>
    <n v="57299"/>
    <x v="4648"/>
    <n v="2442"/>
    <n v="284053"/>
    <n v="35600.309260000002"/>
    <x v="1"/>
    <x v="2"/>
  </r>
  <r>
    <n v="14686"/>
    <d v="2024-04-05T00:00:00"/>
    <x v="4"/>
    <x v="0"/>
    <x v="1"/>
    <x v="3"/>
    <n v="7"/>
    <n v="39961"/>
    <x v="4649"/>
    <n v="1725"/>
    <n v="278002"/>
    <n v="66772.460699999996"/>
    <x v="0"/>
    <x v="0"/>
  </r>
  <r>
    <n v="14687"/>
    <d v="2025-02-17T00:00:00"/>
    <x v="2"/>
    <x v="0"/>
    <x v="0"/>
    <x v="1"/>
    <n v="2"/>
    <n v="29466"/>
    <x v="4650"/>
    <n v="1565"/>
    <n v="57367"/>
    <n v="9650.4012660000008"/>
    <x v="1"/>
    <x v="9"/>
  </r>
  <r>
    <n v="14688"/>
    <d v="2024-08-22T00:00:00"/>
    <x v="2"/>
    <x v="1"/>
    <x v="2"/>
    <x v="3"/>
    <n v="6"/>
    <n v="20762"/>
    <x v="4651"/>
    <n v="1743"/>
    <n v="122829"/>
    <n v="19710.235769999999"/>
    <x v="0"/>
    <x v="6"/>
  </r>
  <r>
    <n v="14689"/>
    <d v="2024-03-02T00:00:00"/>
    <x v="3"/>
    <x v="1"/>
    <x v="1"/>
    <x v="1"/>
    <n v="2"/>
    <n v="23930"/>
    <x v="4652"/>
    <n v="325"/>
    <n v="47535"/>
    <n v="5244.7805070000004"/>
    <x v="0"/>
    <x v="1"/>
  </r>
  <r>
    <n v="14690"/>
    <d v="2024-09-12T00:00:00"/>
    <x v="4"/>
    <x v="2"/>
    <x v="1"/>
    <x v="3"/>
    <n v="3"/>
    <n v="59213"/>
    <x v="4653"/>
    <n v="4417"/>
    <n v="173222"/>
    <n v="36376.301330000002"/>
    <x v="0"/>
    <x v="2"/>
  </r>
  <r>
    <n v="14691"/>
    <d v="2025-07-14T00:00:00"/>
    <x v="4"/>
    <x v="2"/>
    <x v="0"/>
    <x v="0"/>
    <n v="1"/>
    <n v="75191"/>
    <x v="4654"/>
    <n v="2230"/>
    <n v="72961"/>
    <n v="14898.48144"/>
    <x v="1"/>
    <x v="10"/>
  </r>
  <r>
    <n v="14692"/>
    <d v="2024-12-13T00:00:00"/>
    <x v="2"/>
    <x v="2"/>
    <x v="1"/>
    <x v="3"/>
    <n v="3"/>
    <n v="55374"/>
    <x v="4655"/>
    <n v="2666"/>
    <n v="163456"/>
    <n v="25558.157090000001"/>
    <x v="0"/>
    <x v="3"/>
  </r>
  <r>
    <n v="14693"/>
    <d v="2025-11-01T00:00:00"/>
    <x v="2"/>
    <x v="0"/>
    <x v="0"/>
    <x v="1"/>
    <n v="7"/>
    <n v="61902"/>
    <x v="4656"/>
    <n v="1209"/>
    <n v="432105"/>
    <n v="88047.673299999995"/>
    <x v="1"/>
    <x v="7"/>
  </r>
  <r>
    <n v="14694"/>
    <d v="2024-05-03T00:00:00"/>
    <x v="2"/>
    <x v="2"/>
    <x v="0"/>
    <x v="3"/>
    <n v="5"/>
    <n v="75555"/>
    <x v="4657"/>
    <n v="4361"/>
    <n v="373414"/>
    <n v="57923.144760000003"/>
    <x v="0"/>
    <x v="5"/>
  </r>
  <r>
    <n v="14695"/>
    <d v="2025-04-26T00:00:00"/>
    <x v="0"/>
    <x v="0"/>
    <x v="2"/>
    <x v="2"/>
    <n v="4"/>
    <n v="59875"/>
    <x v="4658"/>
    <n v="841"/>
    <n v="238659"/>
    <n v="26484.873029999999"/>
    <x v="1"/>
    <x v="0"/>
  </r>
  <r>
    <n v="14696"/>
    <d v="2024-11-12T00:00:00"/>
    <x v="1"/>
    <x v="4"/>
    <x v="1"/>
    <x v="3"/>
    <n v="8"/>
    <n v="44314"/>
    <x v="4659"/>
    <n v="4424"/>
    <n v="350088"/>
    <n v="73768.760219999996"/>
    <x v="0"/>
    <x v="7"/>
  </r>
  <r>
    <n v="14697"/>
    <d v="2025-05-18T00:00:00"/>
    <x v="1"/>
    <x v="3"/>
    <x v="0"/>
    <x v="0"/>
    <n v="8"/>
    <n v="57175"/>
    <x v="3917"/>
    <n v="3901"/>
    <n v="453499"/>
    <n v="111007.5732"/>
    <x v="1"/>
    <x v="5"/>
  </r>
  <r>
    <n v="14698"/>
    <d v="2025-12-19T00:00:00"/>
    <x v="4"/>
    <x v="4"/>
    <x v="0"/>
    <x v="3"/>
    <n v="1"/>
    <n v="53978"/>
    <x v="4660"/>
    <n v="3436"/>
    <n v="50542"/>
    <n v="9969.084981"/>
    <x v="1"/>
    <x v="3"/>
  </r>
  <r>
    <n v="14699"/>
    <d v="2024-02-17T00:00:00"/>
    <x v="0"/>
    <x v="0"/>
    <x v="0"/>
    <x v="2"/>
    <n v="9"/>
    <n v="63415"/>
    <x v="4661"/>
    <n v="4778"/>
    <n v="565957"/>
    <n v="80065.475690000007"/>
    <x v="0"/>
    <x v="9"/>
  </r>
  <r>
    <n v="14700"/>
    <d v="2025-02-12T00:00:00"/>
    <x v="2"/>
    <x v="0"/>
    <x v="1"/>
    <x v="2"/>
    <n v="9"/>
    <n v="51255"/>
    <x v="4662"/>
    <n v="2071"/>
    <n v="459224"/>
    <n v="64515.48098"/>
    <x v="1"/>
    <x v="9"/>
  </r>
  <r>
    <n v="14701"/>
    <d v="2024-05-15T00:00:00"/>
    <x v="4"/>
    <x v="3"/>
    <x v="1"/>
    <x v="2"/>
    <n v="2"/>
    <n v="54662"/>
    <x v="4663"/>
    <n v="1284"/>
    <n v="108040"/>
    <n v="25859.01093"/>
    <x v="0"/>
    <x v="5"/>
  </r>
  <r>
    <n v="14702"/>
    <d v="2024-07-19T00:00:00"/>
    <x v="0"/>
    <x v="1"/>
    <x v="1"/>
    <x v="1"/>
    <n v="2"/>
    <n v="54496"/>
    <x v="4664"/>
    <n v="1378"/>
    <n v="107614"/>
    <n v="15657.142470000001"/>
    <x v="0"/>
    <x v="10"/>
  </r>
  <r>
    <n v="14703"/>
    <d v="2024-09-06T00:00:00"/>
    <x v="3"/>
    <x v="1"/>
    <x v="0"/>
    <x v="2"/>
    <n v="8"/>
    <n v="52791"/>
    <x v="4665"/>
    <n v="2658"/>
    <n v="419670"/>
    <n v="90325.085189999998"/>
    <x v="0"/>
    <x v="2"/>
  </r>
  <r>
    <n v="14704"/>
    <d v="2024-11-09T00:00:00"/>
    <x v="0"/>
    <x v="1"/>
    <x v="1"/>
    <x v="1"/>
    <n v="6"/>
    <n v="62235"/>
    <x v="4666"/>
    <n v="3561"/>
    <n v="369849"/>
    <n v="72652.119489999997"/>
    <x v="0"/>
    <x v="7"/>
  </r>
  <r>
    <n v="14705"/>
    <d v="2025-01-02T00:00:00"/>
    <x v="4"/>
    <x v="2"/>
    <x v="0"/>
    <x v="2"/>
    <n v="3"/>
    <n v="44140"/>
    <x v="4667"/>
    <n v="1887"/>
    <n v="130533"/>
    <n v="24656.413830000001"/>
    <x v="1"/>
    <x v="4"/>
  </r>
  <r>
    <n v="14706"/>
    <d v="2025-03-04T00:00:00"/>
    <x v="1"/>
    <x v="1"/>
    <x v="1"/>
    <x v="1"/>
    <n v="2"/>
    <n v="37076"/>
    <x v="4668"/>
    <n v="4012"/>
    <n v="70140"/>
    <n v="8919.0888269999996"/>
    <x v="1"/>
    <x v="1"/>
  </r>
  <r>
    <n v="14707"/>
    <d v="2025-04-24T00:00:00"/>
    <x v="2"/>
    <x v="2"/>
    <x v="1"/>
    <x v="2"/>
    <n v="5"/>
    <n v="49782"/>
    <x v="4669"/>
    <n v="1978"/>
    <n v="246932"/>
    <n v="25967.778259999999"/>
    <x v="1"/>
    <x v="0"/>
  </r>
  <r>
    <n v="14708"/>
    <d v="2024-11-09T00:00:00"/>
    <x v="3"/>
    <x v="2"/>
    <x v="0"/>
    <x v="2"/>
    <n v="8"/>
    <n v="56632"/>
    <x v="4670"/>
    <n v="4727"/>
    <n v="448329"/>
    <n v="77696.119439999995"/>
    <x v="0"/>
    <x v="7"/>
  </r>
  <r>
    <n v="14709"/>
    <d v="2025-05-14T00:00:00"/>
    <x v="0"/>
    <x v="1"/>
    <x v="1"/>
    <x v="3"/>
    <n v="6"/>
    <n v="27203"/>
    <x v="4671"/>
    <n v="4416"/>
    <n v="158802"/>
    <n v="39418.43447"/>
    <x v="1"/>
    <x v="5"/>
  </r>
  <r>
    <n v="14710"/>
    <d v="2025-12-21T00:00:00"/>
    <x v="4"/>
    <x v="1"/>
    <x v="0"/>
    <x v="2"/>
    <n v="3"/>
    <n v="50642"/>
    <x v="4672"/>
    <n v="4298"/>
    <n v="147628"/>
    <n v="19097.746469999998"/>
    <x v="1"/>
    <x v="3"/>
  </r>
  <r>
    <n v="14711"/>
    <d v="2024-12-20T00:00:00"/>
    <x v="4"/>
    <x v="3"/>
    <x v="1"/>
    <x v="3"/>
    <n v="9"/>
    <n v="14486"/>
    <x v="4673"/>
    <n v="3161"/>
    <n v="127213"/>
    <n v="22965.865699999998"/>
    <x v="0"/>
    <x v="3"/>
  </r>
  <r>
    <n v="14712"/>
    <d v="2025-04-29T00:00:00"/>
    <x v="2"/>
    <x v="3"/>
    <x v="1"/>
    <x v="2"/>
    <n v="8"/>
    <n v="65595"/>
    <x v="4674"/>
    <n v="2224"/>
    <n v="522536"/>
    <n v="104845.2255"/>
    <x v="1"/>
    <x v="0"/>
  </r>
  <r>
    <n v="14713"/>
    <d v="2024-07-29T00:00:00"/>
    <x v="4"/>
    <x v="2"/>
    <x v="1"/>
    <x v="2"/>
    <n v="6"/>
    <n v="37158"/>
    <x v="4675"/>
    <n v="4722"/>
    <n v="218226"/>
    <n v="37655.258000000002"/>
    <x v="0"/>
    <x v="10"/>
  </r>
  <r>
    <n v="14714"/>
    <d v="2025-12-04T00:00:00"/>
    <x v="4"/>
    <x v="3"/>
    <x v="1"/>
    <x v="3"/>
    <n v="1"/>
    <n v="19681"/>
    <x v="4676"/>
    <n v="2079"/>
    <n v="17602"/>
    <n v="3098.65733"/>
    <x v="1"/>
    <x v="3"/>
  </r>
  <r>
    <n v="14715"/>
    <d v="2024-02-13T00:00:00"/>
    <x v="2"/>
    <x v="2"/>
    <x v="2"/>
    <x v="3"/>
    <n v="2"/>
    <n v="59790"/>
    <x v="4677"/>
    <n v="4822"/>
    <n v="114758"/>
    <n v="22857.971890000001"/>
    <x v="0"/>
    <x v="9"/>
  </r>
  <r>
    <n v="14716"/>
    <d v="2025-06-24T00:00:00"/>
    <x v="3"/>
    <x v="0"/>
    <x v="0"/>
    <x v="1"/>
    <n v="4"/>
    <n v="60052"/>
    <x v="4678"/>
    <n v="953"/>
    <n v="239255"/>
    <n v="53171.032200000001"/>
    <x v="1"/>
    <x v="11"/>
  </r>
  <r>
    <n v="14717"/>
    <d v="2025-07-24T00:00:00"/>
    <x v="1"/>
    <x v="2"/>
    <x v="2"/>
    <x v="0"/>
    <n v="2"/>
    <n v="20372"/>
    <x v="4679"/>
    <n v="2867"/>
    <n v="37877"/>
    <n v="5681.2902400000003"/>
    <x v="1"/>
    <x v="10"/>
  </r>
  <r>
    <n v="14718"/>
    <d v="2025-08-05T00:00:00"/>
    <x v="1"/>
    <x v="2"/>
    <x v="1"/>
    <x v="3"/>
    <n v="3"/>
    <n v="31611"/>
    <x v="4680"/>
    <n v="2290"/>
    <n v="92543"/>
    <n v="21737.544160000001"/>
    <x v="1"/>
    <x v="6"/>
  </r>
  <r>
    <n v="14719"/>
    <d v="2024-04-01T00:00:00"/>
    <x v="0"/>
    <x v="3"/>
    <x v="1"/>
    <x v="1"/>
    <n v="8"/>
    <n v="10523"/>
    <x v="4681"/>
    <n v="69"/>
    <n v="84115"/>
    <n v="14529.615540000001"/>
    <x v="0"/>
    <x v="0"/>
  </r>
  <r>
    <n v="14720"/>
    <d v="2024-09-21T00:00:00"/>
    <x v="3"/>
    <x v="0"/>
    <x v="0"/>
    <x v="2"/>
    <n v="9"/>
    <n v="50793"/>
    <x v="4682"/>
    <n v="1094"/>
    <n v="456043"/>
    <n v="90880.988209999996"/>
    <x v="0"/>
    <x v="2"/>
  </r>
  <r>
    <n v="14721"/>
    <d v="2024-08-07T00:00:00"/>
    <x v="0"/>
    <x v="4"/>
    <x v="0"/>
    <x v="3"/>
    <n v="6"/>
    <n v="25233"/>
    <x v="4683"/>
    <n v="4253"/>
    <n v="147145"/>
    <n v="17065.442299999999"/>
    <x v="0"/>
    <x v="6"/>
  </r>
  <r>
    <n v="14722"/>
    <d v="2025-03-17T00:00:00"/>
    <x v="1"/>
    <x v="4"/>
    <x v="0"/>
    <x v="3"/>
    <n v="4"/>
    <n v="29955"/>
    <x v="4684"/>
    <n v="548"/>
    <n v="119272"/>
    <n v="20738.048419999999"/>
    <x v="1"/>
    <x v="1"/>
  </r>
  <r>
    <n v="14723"/>
    <d v="2025-02-04T00:00:00"/>
    <x v="2"/>
    <x v="4"/>
    <x v="0"/>
    <x v="2"/>
    <n v="2"/>
    <n v="74299"/>
    <x v="4685"/>
    <n v="1839"/>
    <n v="146759"/>
    <n v="15030.464889999999"/>
    <x v="1"/>
    <x v="9"/>
  </r>
  <r>
    <n v="14724"/>
    <d v="2025-02-03T00:00:00"/>
    <x v="4"/>
    <x v="0"/>
    <x v="1"/>
    <x v="2"/>
    <n v="7"/>
    <n v="52524"/>
    <x v="4686"/>
    <n v="1951"/>
    <n v="365717"/>
    <n v="58022.35916"/>
    <x v="1"/>
    <x v="9"/>
  </r>
  <r>
    <n v="14725"/>
    <d v="2025-12-27T00:00:00"/>
    <x v="1"/>
    <x v="1"/>
    <x v="0"/>
    <x v="2"/>
    <n v="7"/>
    <n v="47621"/>
    <x v="4687"/>
    <n v="1058"/>
    <n v="332289"/>
    <n v="35944.575080000002"/>
    <x v="1"/>
    <x v="3"/>
  </r>
  <r>
    <n v="14726"/>
    <d v="2025-07-29T00:00:00"/>
    <x v="3"/>
    <x v="0"/>
    <x v="2"/>
    <x v="2"/>
    <n v="9"/>
    <n v="73001"/>
    <x v="4688"/>
    <n v="3551"/>
    <n v="653458"/>
    <n v="153266.69560000001"/>
    <x v="1"/>
    <x v="10"/>
  </r>
  <r>
    <n v="14727"/>
    <d v="2025-05-04T00:00:00"/>
    <x v="1"/>
    <x v="3"/>
    <x v="0"/>
    <x v="0"/>
    <n v="5"/>
    <n v="74987"/>
    <x v="4689"/>
    <n v="2507"/>
    <n v="372428"/>
    <n v="74828.519830000005"/>
    <x v="1"/>
    <x v="5"/>
  </r>
  <r>
    <n v="14728"/>
    <d v="2025-04-29T00:00:00"/>
    <x v="3"/>
    <x v="2"/>
    <x v="0"/>
    <x v="3"/>
    <n v="4"/>
    <n v="5015"/>
    <x v="4690"/>
    <n v="3907"/>
    <n v="16153"/>
    <n v="3533.9768170000002"/>
    <x v="1"/>
    <x v="0"/>
  </r>
  <r>
    <n v="14729"/>
    <d v="2025-04-14T00:00:00"/>
    <x v="3"/>
    <x v="2"/>
    <x v="2"/>
    <x v="2"/>
    <n v="6"/>
    <n v="9410"/>
    <x v="4691"/>
    <n v="4981"/>
    <n v="51479"/>
    <n v="8759.2508269999998"/>
    <x v="1"/>
    <x v="0"/>
  </r>
  <r>
    <n v="14730"/>
    <d v="2025-07-27T00:00:00"/>
    <x v="3"/>
    <x v="3"/>
    <x v="2"/>
    <x v="2"/>
    <n v="2"/>
    <n v="23964"/>
    <x v="4692"/>
    <n v="3490"/>
    <n v="44438"/>
    <n v="10122.294760000001"/>
    <x v="1"/>
    <x v="10"/>
  </r>
  <r>
    <n v="14731"/>
    <d v="2025-11-12T00:00:00"/>
    <x v="0"/>
    <x v="3"/>
    <x v="2"/>
    <x v="0"/>
    <n v="2"/>
    <n v="75671"/>
    <x v="4693"/>
    <n v="4606"/>
    <n v="146736"/>
    <n v="33889.5726"/>
    <x v="1"/>
    <x v="7"/>
  </r>
  <r>
    <n v="14732"/>
    <d v="2025-03-20T00:00:00"/>
    <x v="2"/>
    <x v="2"/>
    <x v="2"/>
    <x v="3"/>
    <n v="9"/>
    <n v="78484"/>
    <x v="4694"/>
    <n v="4463"/>
    <n v="701893"/>
    <n v="107756.5337"/>
    <x v="1"/>
    <x v="1"/>
  </r>
  <r>
    <n v="14733"/>
    <d v="2024-09-25T00:00:00"/>
    <x v="1"/>
    <x v="1"/>
    <x v="0"/>
    <x v="1"/>
    <n v="7"/>
    <n v="75325"/>
    <x v="4695"/>
    <n v="2959"/>
    <n v="524316"/>
    <n v="82070.258719999998"/>
    <x v="0"/>
    <x v="2"/>
  </r>
  <r>
    <n v="14734"/>
    <d v="2024-09-23T00:00:00"/>
    <x v="2"/>
    <x v="1"/>
    <x v="2"/>
    <x v="3"/>
    <n v="7"/>
    <n v="13602"/>
    <x v="4696"/>
    <n v="882"/>
    <n v="94332"/>
    <n v="16624.704379999999"/>
    <x v="0"/>
    <x v="2"/>
  </r>
  <r>
    <n v="14735"/>
    <d v="2024-02-23T00:00:00"/>
    <x v="4"/>
    <x v="1"/>
    <x v="1"/>
    <x v="1"/>
    <n v="5"/>
    <n v="12232"/>
    <x v="4697"/>
    <n v="2625"/>
    <n v="58535"/>
    <n v="6224.4084469999998"/>
    <x v="0"/>
    <x v="9"/>
  </r>
  <r>
    <n v="14736"/>
    <d v="2025-06-11T00:00:00"/>
    <x v="1"/>
    <x v="3"/>
    <x v="0"/>
    <x v="0"/>
    <n v="7"/>
    <n v="62245"/>
    <x v="4698"/>
    <n v="4764"/>
    <n v="430951"/>
    <n v="107464.2015"/>
    <x v="1"/>
    <x v="11"/>
  </r>
  <r>
    <n v="14737"/>
    <d v="2025-06-03T00:00:00"/>
    <x v="2"/>
    <x v="2"/>
    <x v="1"/>
    <x v="2"/>
    <n v="9"/>
    <n v="52950"/>
    <x v="4699"/>
    <n v="2153"/>
    <n v="474397"/>
    <n v="72998.874979999993"/>
    <x v="1"/>
    <x v="11"/>
  </r>
  <r>
    <n v="14738"/>
    <d v="2025-09-07T00:00:00"/>
    <x v="2"/>
    <x v="2"/>
    <x v="0"/>
    <x v="0"/>
    <n v="5"/>
    <n v="75371"/>
    <x v="4700"/>
    <n v="4761"/>
    <n v="372094"/>
    <n v="63489.095780000003"/>
    <x v="1"/>
    <x v="2"/>
  </r>
  <r>
    <n v="14739"/>
    <d v="2024-02-28T00:00:00"/>
    <x v="4"/>
    <x v="2"/>
    <x v="0"/>
    <x v="3"/>
    <n v="9"/>
    <n v="33381"/>
    <x v="4701"/>
    <n v="3566"/>
    <n v="296863"/>
    <n v="63295.217570000001"/>
    <x v="0"/>
    <x v="9"/>
  </r>
  <r>
    <n v="14740"/>
    <d v="2024-02-09T00:00:00"/>
    <x v="3"/>
    <x v="0"/>
    <x v="1"/>
    <x v="2"/>
    <n v="1"/>
    <n v="61025"/>
    <x v="4702"/>
    <n v="259"/>
    <n v="60766"/>
    <n v="8788.4058100000002"/>
    <x v="0"/>
    <x v="9"/>
  </r>
  <r>
    <n v="14741"/>
    <d v="2024-08-24T00:00:00"/>
    <x v="1"/>
    <x v="0"/>
    <x v="2"/>
    <x v="3"/>
    <n v="3"/>
    <n v="58706"/>
    <x v="4703"/>
    <n v="1508"/>
    <n v="174610"/>
    <n v="22742.029429999999"/>
    <x v="0"/>
    <x v="6"/>
  </r>
  <r>
    <n v="14742"/>
    <d v="2025-01-20T00:00:00"/>
    <x v="1"/>
    <x v="4"/>
    <x v="2"/>
    <x v="1"/>
    <n v="7"/>
    <n v="5819"/>
    <x v="4704"/>
    <n v="312"/>
    <n v="40421"/>
    <n v="4814.849201"/>
    <x v="1"/>
    <x v="4"/>
  </r>
  <r>
    <n v="14743"/>
    <d v="2025-08-28T00:00:00"/>
    <x v="4"/>
    <x v="0"/>
    <x v="1"/>
    <x v="3"/>
    <n v="4"/>
    <n v="40383"/>
    <x v="4705"/>
    <n v="2678"/>
    <n v="158854"/>
    <n v="28467.04924"/>
    <x v="1"/>
    <x v="6"/>
  </r>
  <r>
    <n v="14744"/>
    <d v="2025-12-16T00:00:00"/>
    <x v="3"/>
    <x v="1"/>
    <x v="2"/>
    <x v="0"/>
    <n v="2"/>
    <n v="76605"/>
    <x v="4706"/>
    <n v="1844"/>
    <n v="151366"/>
    <n v="15261.43807"/>
    <x v="1"/>
    <x v="3"/>
  </r>
  <r>
    <n v="14745"/>
    <d v="2025-10-11T00:00:00"/>
    <x v="1"/>
    <x v="1"/>
    <x v="0"/>
    <x v="0"/>
    <n v="3"/>
    <n v="10640"/>
    <x v="4707"/>
    <n v="2584"/>
    <n v="29336"/>
    <n v="6055.7748490000004"/>
    <x v="1"/>
    <x v="8"/>
  </r>
  <r>
    <n v="14746"/>
    <d v="2024-10-26T00:00:00"/>
    <x v="1"/>
    <x v="1"/>
    <x v="0"/>
    <x v="0"/>
    <n v="7"/>
    <n v="64888"/>
    <x v="4708"/>
    <n v="4014"/>
    <n v="450202"/>
    <n v="76177.971380000003"/>
    <x v="0"/>
    <x v="8"/>
  </r>
  <r>
    <n v="14747"/>
    <d v="2025-01-29T00:00:00"/>
    <x v="1"/>
    <x v="1"/>
    <x v="0"/>
    <x v="2"/>
    <n v="8"/>
    <n v="67244"/>
    <x v="4709"/>
    <n v="3251"/>
    <n v="534701"/>
    <n v="96125.029500000004"/>
    <x v="1"/>
    <x v="4"/>
  </r>
  <r>
    <n v="14748"/>
    <d v="2024-07-25T00:00:00"/>
    <x v="3"/>
    <x v="4"/>
    <x v="2"/>
    <x v="3"/>
    <n v="9"/>
    <n v="78237"/>
    <x v="4710"/>
    <n v="1533"/>
    <n v="702600"/>
    <n v="97999.137950000004"/>
    <x v="0"/>
    <x v="10"/>
  </r>
  <r>
    <n v="14749"/>
    <d v="2024-12-01T00:00:00"/>
    <x v="4"/>
    <x v="1"/>
    <x v="2"/>
    <x v="2"/>
    <n v="6"/>
    <n v="73575"/>
    <x v="4711"/>
    <n v="4769"/>
    <n v="436681"/>
    <n v="55344.058349999999"/>
    <x v="0"/>
    <x v="3"/>
  </r>
  <r>
    <n v="14750"/>
    <d v="2025-08-15T00:00:00"/>
    <x v="1"/>
    <x v="3"/>
    <x v="1"/>
    <x v="3"/>
    <n v="9"/>
    <n v="59087"/>
    <x v="4712"/>
    <n v="1423"/>
    <n v="530360"/>
    <n v="108722.9783"/>
    <x v="1"/>
    <x v="6"/>
  </r>
  <r>
    <n v="14751"/>
    <d v="2025-12-30T00:00:00"/>
    <x v="2"/>
    <x v="3"/>
    <x v="0"/>
    <x v="1"/>
    <n v="4"/>
    <n v="36915"/>
    <x v="4713"/>
    <n v="2020"/>
    <n v="145640"/>
    <n v="19157.635620000001"/>
    <x v="1"/>
    <x v="3"/>
  </r>
  <r>
    <n v="14752"/>
    <d v="2025-05-28T00:00:00"/>
    <x v="3"/>
    <x v="3"/>
    <x v="1"/>
    <x v="3"/>
    <n v="5"/>
    <n v="48642"/>
    <x v="4714"/>
    <n v="1691"/>
    <n v="241519"/>
    <n v="52412.737090000002"/>
    <x v="1"/>
    <x v="5"/>
  </r>
  <r>
    <n v="14753"/>
    <d v="2024-06-26T00:00:00"/>
    <x v="0"/>
    <x v="0"/>
    <x v="2"/>
    <x v="3"/>
    <n v="1"/>
    <n v="61611"/>
    <x v="4715"/>
    <n v="1728"/>
    <n v="59883"/>
    <n v="7817.7782230000003"/>
    <x v="0"/>
    <x v="11"/>
  </r>
  <r>
    <n v="14754"/>
    <d v="2025-01-30T00:00:00"/>
    <x v="4"/>
    <x v="2"/>
    <x v="1"/>
    <x v="3"/>
    <n v="9"/>
    <n v="51889"/>
    <x v="4716"/>
    <n v="327"/>
    <n v="466674"/>
    <n v="89555.891170000003"/>
    <x v="1"/>
    <x v="4"/>
  </r>
  <r>
    <n v="14755"/>
    <d v="2025-01-05T00:00:00"/>
    <x v="2"/>
    <x v="4"/>
    <x v="2"/>
    <x v="3"/>
    <n v="9"/>
    <n v="46215"/>
    <x v="4717"/>
    <n v="1588"/>
    <n v="414347"/>
    <n v="81452.668720000001"/>
    <x v="1"/>
    <x v="4"/>
  </r>
  <r>
    <n v="14756"/>
    <d v="2025-10-19T00:00:00"/>
    <x v="1"/>
    <x v="3"/>
    <x v="0"/>
    <x v="1"/>
    <n v="9"/>
    <n v="7487"/>
    <x v="4718"/>
    <n v="3753"/>
    <n v="63630"/>
    <n v="11189.134340000001"/>
    <x v="1"/>
    <x v="8"/>
  </r>
  <r>
    <n v="14757"/>
    <d v="2024-11-13T00:00:00"/>
    <x v="0"/>
    <x v="3"/>
    <x v="0"/>
    <x v="2"/>
    <n v="3"/>
    <n v="66045"/>
    <x v="4719"/>
    <n v="2894"/>
    <n v="195241"/>
    <n v="48716.263870000002"/>
    <x v="0"/>
    <x v="7"/>
  </r>
  <r>
    <n v="14758"/>
    <d v="2025-01-03T00:00:00"/>
    <x v="4"/>
    <x v="1"/>
    <x v="2"/>
    <x v="0"/>
    <n v="8"/>
    <n v="79035"/>
    <x v="4720"/>
    <n v="97"/>
    <n v="632183"/>
    <n v="98858.534360000005"/>
    <x v="1"/>
    <x v="4"/>
  </r>
  <r>
    <n v="14759"/>
    <d v="2025-01-18T00:00:00"/>
    <x v="3"/>
    <x v="3"/>
    <x v="2"/>
    <x v="3"/>
    <n v="3"/>
    <n v="76667"/>
    <x v="4721"/>
    <n v="4754"/>
    <n v="225247"/>
    <n v="52369.515700000004"/>
    <x v="1"/>
    <x v="4"/>
  </r>
  <r>
    <n v="14760"/>
    <d v="2024-03-02T00:00:00"/>
    <x v="0"/>
    <x v="1"/>
    <x v="2"/>
    <x v="0"/>
    <n v="6"/>
    <n v="64040"/>
    <x v="4722"/>
    <n v="2347"/>
    <n v="381893"/>
    <n v="47883.35931"/>
    <x v="0"/>
    <x v="1"/>
  </r>
  <r>
    <n v="14761"/>
    <d v="2025-05-19T00:00:00"/>
    <x v="0"/>
    <x v="1"/>
    <x v="0"/>
    <x v="0"/>
    <n v="5"/>
    <n v="66295"/>
    <x v="4723"/>
    <n v="1097"/>
    <n v="330378"/>
    <n v="49748.858039999999"/>
    <x v="1"/>
    <x v="5"/>
  </r>
  <r>
    <n v="14762"/>
    <d v="2024-08-26T00:00:00"/>
    <x v="2"/>
    <x v="2"/>
    <x v="2"/>
    <x v="0"/>
    <n v="8"/>
    <n v="5825"/>
    <x v="4724"/>
    <n v="4734"/>
    <n v="41866"/>
    <n v="5099.4909829999997"/>
    <x v="0"/>
    <x v="6"/>
  </r>
  <r>
    <n v="14763"/>
    <d v="2024-07-13T00:00:00"/>
    <x v="4"/>
    <x v="0"/>
    <x v="0"/>
    <x v="0"/>
    <n v="3"/>
    <n v="6191"/>
    <x v="4725"/>
    <n v="84"/>
    <n v="18489"/>
    <n v="3522.962066"/>
    <x v="0"/>
    <x v="10"/>
  </r>
  <r>
    <n v="14764"/>
    <d v="2025-11-08T00:00:00"/>
    <x v="2"/>
    <x v="1"/>
    <x v="1"/>
    <x v="3"/>
    <n v="1"/>
    <n v="48094"/>
    <x v="4726"/>
    <n v="1277"/>
    <n v="46817"/>
    <n v="9163.8938030000008"/>
    <x v="1"/>
    <x v="7"/>
  </r>
  <r>
    <n v="14765"/>
    <d v="2024-08-09T00:00:00"/>
    <x v="2"/>
    <x v="1"/>
    <x v="0"/>
    <x v="0"/>
    <n v="9"/>
    <n v="68490"/>
    <x v="4727"/>
    <n v="2711"/>
    <n v="613699"/>
    <n v="103117.1413"/>
    <x v="0"/>
    <x v="6"/>
  </r>
  <r>
    <n v="14766"/>
    <d v="2024-03-01T00:00:00"/>
    <x v="1"/>
    <x v="2"/>
    <x v="1"/>
    <x v="3"/>
    <n v="9"/>
    <n v="59799"/>
    <x v="4728"/>
    <n v="518"/>
    <n v="537673"/>
    <n v="111848.9728"/>
    <x v="0"/>
    <x v="1"/>
  </r>
  <r>
    <n v="14767"/>
    <d v="2024-05-08T00:00:00"/>
    <x v="3"/>
    <x v="1"/>
    <x v="0"/>
    <x v="1"/>
    <n v="3"/>
    <n v="44553"/>
    <x v="4729"/>
    <n v="3523"/>
    <n v="130136"/>
    <n v="29950.522970000002"/>
    <x v="0"/>
    <x v="5"/>
  </r>
  <r>
    <n v="14768"/>
    <d v="2025-11-15T00:00:00"/>
    <x v="0"/>
    <x v="4"/>
    <x v="0"/>
    <x v="2"/>
    <n v="2"/>
    <n v="11813"/>
    <x v="4730"/>
    <n v="183"/>
    <n v="23443"/>
    <n v="5075.031986"/>
    <x v="1"/>
    <x v="7"/>
  </r>
  <r>
    <n v="14769"/>
    <d v="2024-06-04T00:00:00"/>
    <x v="4"/>
    <x v="0"/>
    <x v="2"/>
    <x v="2"/>
    <n v="4"/>
    <n v="31350"/>
    <x v="4731"/>
    <n v="972"/>
    <n v="124428"/>
    <n v="16953.234560000001"/>
    <x v="0"/>
    <x v="11"/>
  </r>
  <r>
    <n v="14770"/>
    <d v="2025-01-12T00:00:00"/>
    <x v="3"/>
    <x v="4"/>
    <x v="0"/>
    <x v="3"/>
    <n v="8"/>
    <n v="33992"/>
    <x v="4732"/>
    <n v="3385"/>
    <n v="268551"/>
    <n v="39761.631050000004"/>
    <x v="1"/>
    <x v="4"/>
  </r>
  <r>
    <n v="14771"/>
    <d v="2025-09-13T00:00:00"/>
    <x v="3"/>
    <x v="3"/>
    <x v="2"/>
    <x v="3"/>
    <n v="6"/>
    <n v="38975"/>
    <x v="4733"/>
    <n v="2388"/>
    <n v="231462"/>
    <n v="36349.135759999997"/>
    <x v="1"/>
    <x v="2"/>
  </r>
  <r>
    <n v="14772"/>
    <d v="2025-08-08T00:00:00"/>
    <x v="4"/>
    <x v="0"/>
    <x v="2"/>
    <x v="2"/>
    <n v="1"/>
    <n v="29992"/>
    <x v="4734"/>
    <n v="4322"/>
    <n v="25670"/>
    <n v="3351.6019820000001"/>
    <x v="1"/>
    <x v="6"/>
  </r>
  <r>
    <n v="14773"/>
    <d v="2025-03-12T00:00:00"/>
    <x v="3"/>
    <x v="3"/>
    <x v="2"/>
    <x v="0"/>
    <n v="8"/>
    <n v="48736"/>
    <x v="4735"/>
    <n v="4932"/>
    <n v="384956"/>
    <n v="59354.608500000002"/>
    <x v="1"/>
    <x v="1"/>
  </r>
  <r>
    <n v="14774"/>
    <d v="2024-07-25T00:00:00"/>
    <x v="1"/>
    <x v="1"/>
    <x v="0"/>
    <x v="3"/>
    <n v="5"/>
    <n v="6237"/>
    <x v="4736"/>
    <n v="3827"/>
    <n v="27358"/>
    <n v="3712.668044"/>
    <x v="0"/>
    <x v="10"/>
  </r>
  <r>
    <n v="14775"/>
    <d v="2025-01-22T00:00:00"/>
    <x v="3"/>
    <x v="2"/>
    <x v="2"/>
    <x v="0"/>
    <n v="6"/>
    <n v="9943"/>
    <x v="4737"/>
    <n v="2311"/>
    <n v="57347"/>
    <n v="14300.0008"/>
    <x v="1"/>
    <x v="4"/>
  </r>
  <r>
    <n v="14776"/>
    <d v="2025-04-24T00:00:00"/>
    <x v="1"/>
    <x v="4"/>
    <x v="1"/>
    <x v="3"/>
    <n v="5"/>
    <n v="58917"/>
    <x v="4738"/>
    <n v="2497"/>
    <n v="292088"/>
    <n v="63525.503810000002"/>
    <x v="1"/>
    <x v="0"/>
  </r>
  <r>
    <n v="14777"/>
    <d v="2024-12-05T00:00:00"/>
    <x v="0"/>
    <x v="3"/>
    <x v="1"/>
    <x v="3"/>
    <n v="5"/>
    <n v="26220"/>
    <x v="4739"/>
    <n v="3479"/>
    <n v="127621"/>
    <n v="29225.535769999999"/>
    <x v="0"/>
    <x v="3"/>
  </r>
  <r>
    <n v="14778"/>
    <d v="2024-12-05T00:00:00"/>
    <x v="0"/>
    <x v="1"/>
    <x v="0"/>
    <x v="1"/>
    <n v="3"/>
    <n v="52798"/>
    <x v="4740"/>
    <n v="4265"/>
    <n v="154129"/>
    <n v="36732.336860000003"/>
    <x v="0"/>
    <x v="3"/>
  </r>
  <r>
    <n v="14779"/>
    <d v="2024-07-22T00:00:00"/>
    <x v="2"/>
    <x v="4"/>
    <x v="2"/>
    <x v="1"/>
    <n v="4"/>
    <n v="33694"/>
    <x v="4741"/>
    <n v="565"/>
    <n v="134211"/>
    <n v="26808.66721"/>
    <x v="0"/>
    <x v="10"/>
  </r>
  <r>
    <n v="14780"/>
    <d v="2024-06-09T00:00:00"/>
    <x v="1"/>
    <x v="4"/>
    <x v="1"/>
    <x v="2"/>
    <n v="5"/>
    <n v="33250"/>
    <x v="4742"/>
    <n v="1935"/>
    <n v="164315"/>
    <n v="20768.838459999999"/>
    <x v="0"/>
    <x v="11"/>
  </r>
  <r>
    <n v="14781"/>
    <d v="2025-06-23T00:00:00"/>
    <x v="0"/>
    <x v="3"/>
    <x v="0"/>
    <x v="1"/>
    <n v="2"/>
    <n v="38227"/>
    <x v="4743"/>
    <n v="826"/>
    <n v="75628"/>
    <n v="16167.67144"/>
    <x v="1"/>
    <x v="11"/>
  </r>
  <r>
    <n v="14782"/>
    <d v="2025-01-26T00:00:00"/>
    <x v="3"/>
    <x v="1"/>
    <x v="0"/>
    <x v="1"/>
    <n v="6"/>
    <n v="58920"/>
    <x v="4744"/>
    <n v="4701"/>
    <n v="348819"/>
    <n v="35698.736429999997"/>
    <x v="1"/>
    <x v="4"/>
  </r>
  <r>
    <n v="14783"/>
    <d v="2025-11-07T00:00:00"/>
    <x v="4"/>
    <x v="2"/>
    <x v="0"/>
    <x v="2"/>
    <n v="2"/>
    <n v="15447"/>
    <x v="4745"/>
    <n v="3117"/>
    <n v="27777"/>
    <n v="3249.480286"/>
    <x v="1"/>
    <x v="7"/>
  </r>
  <r>
    <n v="14784"/>
    <d v="2025-07-28T00:00:00"/>
    <x v="4"/>
    <x v="3"/>
    <x v="0"/>
    <x v="0"/>
    <n v="4"/>
    <n v="79045"/>
    <x v="4746"/>
    <n v="349"/>
    <n v="315831"/>
    <n v="32984.653359999997"/>
    <x v="1"/>
    <x v="10"/>
  </r>
  <r>
    <n v="14785"/>
    <d v="2025-06-17T00:00:00"/>
    <x v="1"/>
    <x v="4"/>
    <x v="0"/>
    <x v="1"/>
    <n v="1"/>
    <n v="27865"/>
    <x v="4747"/>
    <n v="98"/>
    <n v="27767"/>
    <n v="3340.8356819999999"/>
    <x v="1"/>
    <x v="11"/>
  </r>
  <r>
    <n v="14786"/>
    <d v="2024-03-10T00:00:00"/>
    <x v="2"/>
    <x v="4"/>
    <x v="2"/>
    <x v="0"/>
    <n v="4"/>
    <n v="60450"/>
    <x v="4748"/>
    <n v="1769"/>
    <n v="240031"/>
    <n v="51078.749450000003"/>
    <x v="0"/>
    <x v="1"/>
  </r>
  <r>
    <n v="14787"/>
    <d v="2025-02-08T00:00:00"/>
    <x v="3"/>
    <x v="0"/>
    <x v="2"/>
    <x v="2"/>
    <n v="7"/>
    <n v="21134"/>
    <x v="4749"/>
    <n v="1804"/>
    <n v="146134"/>
    <n v="34023.222609999997"/>
    <x v="1"/>
    <x v="9"/>
  </r>
  <r>
    <n v="14788"/>
    <d v="2025-08-30T00:00:00"/>
    <x v="1"/>
    <x v="1"/>
    <x v="2"/>
    <x v="3"/>
    <n v="8"/>
    <n v="57378"/>
    <x v="4750"/>
    <n v="1060"/>
    <n v="457964"/>
    <n v="64951.221530000003"/>
    <x v="1"/>
    <x v="6"/>
  </r>
  <r>
    <n v="14789"/>
    <d v="2025-11-05T00:00:00"/>
    <x v="4"/>
    <x v="0"/>
    <x v="2"/>
    <x v="0"/>
    <n v="2"/>
    <n v="21201"/>
    <x v="4751"/>
    <n v="3509"/>
    <n v="38893"/>
    <n v="4584.2821089999998"/>
    <x v="1"/>
    <x v="7"/>
  </r>
  <r>
    <n v="14790"/>
    <d v="2025-08-13T00:00:00"/>
    <x v="1"/>
    <x v="2"/>
    <x v="0"/>
    <x v="2"/>
    <n v="3"/>
    <n v="23936"/>
    <x v="4752"/>
    <n v="3056"/>
    <n v="68752"/>
    <n v="9690.1786769999999"/>
    <x v="1"/>
    <x v="6"/>
  </r>
  <r>
    <n v="14791"/>
    <d v="2025-05-31T00:00:00"/>
    <x v="3"/>
    <x v="3"/>
    <x v="0"/>
    <x v="0"/>
    <n v="1"/>
    <n v="66752"/>
    <x v="4753"/>
    <n v="4170"/>
    <n v="62582"/>
    <n v="12332.850930000001"/>
    <x v="1"/>
    <x v="5"/>
  </r>
  <r>
    <n v="14792"/>
    <d v="2024-04-29T00:00:00"/>
    <x v="0"/>
    <x v="4"/>
    <x v="1"/>
    <x v="2"/>
    <n v="7"/>
    <n v="70309"/>
    <x v="4754"/>
    <n v="2105"/>
    <n v="490058"/>
    <n v="74748.770229999995"/>
    <x v="0"/>
    <x v="0"/>
  </r>
  <r>
    <n v="14793"/>
    <d v="2025-11-20T00:00:00"/>
    <x v="3"/>
    <x v="1"/>
    <x v="1"/>
    <x v="2"/>
    <n v="4"/>
    <n v="26762"/>
    <x v="4755"/>
    <n v="3090"/>
    <n v="103958"/>
    <n v="25383.622759999998"/>
    <x v="1"/>
    <x v="7"/>
  </r>
  <r>
    <n v="14794"/>
    <d v="2025-11-18T00:00:00"/>
    <x v="0"/>
    <x v="4"/>
    <x v="2"/>
    <x v="3"/>
    <n v="8"/>
    <n v="8228"/>
    <x v="4756"/>
    <n v="401"/>
    <n v="65423"/>
    <n v="7827.6538700000001"/>
    <x v="1"/>
    <x v="7"/>
  </r>
  <r>
    <n v="14795"/>
    <d v="2024-08-04T00:00:00"/>
    <x v="0"/>
    <x v="0"/>
    <x v="0"/>
    <x v="0"/>
    <n v="5"/>
    <n v="64405"/>
    <x v="4757"/>
    <n v="187"/>
    <n v="321838"/>
    <n v="79993.278579999998"/>
    <x v="0"/>
    <x v="6"/>
  </r>
  <r>
    <n v="14796"/>
    <d v="2024-02-25T00:00:00"/>
    <x v="0"/>
    <x v="0"/>
    <x v="1"/>
    <x v="3"/>
    <n v="9"/>
    <n v="73946"/>
    <x v="4758"/>
    <n v="3984"/>
    <n v="661530"/>
    <n v="67388.575119999994"/>
    <x v="0"/>
    <x v="9"/>
  </r>
  <r>
    <n v="14797"/>
    <d v="2024-12-31T00:00:00"/>
    <x v="1"/>
    <x v="3"/>
    <x v="1"/>
    <x v="3"/>
    <n v="6"/>
    <n v="5408"/>
    <x v="4759"/>
    <n v="138"/>
    <n v="32310"/>
    <n v="5420.1299580000004"/>
    <x v="0"/>
    <x v="3"/>
  </r>
  <r>
    <n v="14798"/>
    <d v="2025-11-29T00:00:00"/>
    <x v="4"/>
    <x v="1"/>
    <x v="1"/>
    <x v="0"/>
    <n v="2"/>
    <n v="52497"/>
    <x v="4760"/>
    <n v="142"/>
    <n v="104852"/>
    <n v="14445.645210000001"/>
    <x v="1"/>
    <x v="7"/>
  </r>
  <r>
    <n v="14799"/>
    <d v="2025-05-18T00:00:00"/>
    <x v="1"/>
    <x v="1"/>
    <x v="1"/>
    <x v="0"/>
    <n v="1"/>
    <n v="56419"/>
    <x v="4761"/>
    <n v="4203"/>
    <n v="52216"/>
    <n v="9656.9743080000007"/>
    <x v="1"/>
    <x v="5"/>
  </r>
  <r>
    <n v="14800"/>
    <d v="2025-03-30T00:00:00"/>
    <x v="4"/>
    <x v="3"/>
    <x v="2"/>
    <x v="2"/>
    <n v="1"/>
    <n v="63087"/>
    <x v="4762"/>
    <n v="220"/>
    <n v="62867"/>
    <n v="7197.1791730000004"/>
    <x v="1"/>
    <x v="1"/>
  </r>
  <r>
    <n v="14801"/>
    <d v="2024-04-13T00:00:00"/>
    <x v="3"/>
    <x v="0"/>
    <x v="0"/>
    <x v="0"/>
    <n v="9"/>
    <n v="10773"/>
    <x v="4763"/>
    <n v="4240"/>
    <n v="92717"/>
    <n v="21452.25043"/>
    <x v="0"/>
    <x v="0"/>
  </r>
  <r>
    <n v="14802"/>
    <d v="2024-03-17T00:00:00"/>
    <x v="2"/>
    <x v="0"/>
    <x v="2"/>
    <x v="2"/>
    <n v="1"/>
    <n v="57986"/>
    <x v="4764"/>
    <n v="4605"/>
    <n v="53381"/>
    <n v="6431.2873669999999"/>
    <x v="0"/>
    <x v="1"/>
  </r>
  <r>
    <n v="14803"/>
    <d v="2024-08-17T00:00:00"/>
    <x v="3"/>
    <x v="0"/>
    <x v="1"/>
    <x v="2"/>
    <n v="3"/>
    <n v="64175"/>
    <x v="4765"/>
    <n v="2423"/>
    <n v="190102"/>
    <n v="35759.783029999999"/>
    <x v="0"/>
    <x v="6"/>
  </r>
  <r>
    <n v="14804"/>
    <d v="2024-09-14T00:00:00"/>
    <x v="1"/>
    <x v="4"/>
    <x v="1"/>
    <x v="2"/>
    <n v="2"/>
    <n v="79715"/>
    <x v="4766"/>
    <n v="4100"/>
    <n v="155330"/>
    <n v="16309.96524"/>
    <x v="0"/>
    <x v="2"/>
  </r>
  <r>
    <n v="14805"/>
    <d v="2024-09-20T00:00:00"/>
    <x v="1"/>
    <x v="2"/>
    <x v="0"/>
    <x v="2"/>
    <n v="4"/>
    <n v="10617"/>
    <x v="4767"/>
    <n v="4028"/>
    <n v="38440"/>
    <n v="5637.1804320000001"/>
    <x v="0"/>
    <x v="2"/>
  </r>
  <r>
    <n v="14806"/>
    <d v="2024-11-26T00:00:00"/>
    <x v="4"/>
    <x v="0"/>
    <x v="0"/>
    <x v="2"/>
    <n v="1"/>
    <n v="73237"/>
    <x v="4768"/>
    <n v="387"/>
    <n v="72850"/>
    <n v="8921.0970149999994"/>
    <x v="0"/>
    <x v="7"/>
  </r>
  <r>
    <n v="14807"/>
    <d v="2024-06-30T00:00:00"/>
    <x v="1"/>
    <x v="2"/>
    <x v="2"/>
    <x v="2"/>
    <n v="1"/>
    <n v="8907"/>
    <x v="4769"/>
    <n v="3838"/>
    <n v="5069"/>
    <n v="1250.4056969999999"/>
    <x v="0"/>
    <x v="11"/>
  </r>
  <r>
    <n v="14808"/>
    <d v="2025-07-03T00:00:00"/>
    <x v="0"/>
    <x v="2"/>
    <x v="0"/>
    <x v="0"/>
    <n v="4"/>
    <n v="18841"/>
    <x v="4770"/>
    <n v="3031"/>
    <n v="72333"/>
    <n v="7363.7312380000003"/>
    <x v="1"/>
    <x v="10"/>
  </r>
  <r>
    <n v="14809"/>
    <d v="2025-11-18T00:00:00"/>
    <x v="1"/>
    <x v="1"/>
    <x v="2"/>
    <x v="0"/>
    <n v="4"/>
    <n v="54827"/>
    <x v="4771"/>
    <n v="559"/>
    <n v="218749"/>
    <n v="33437.81925"/>
    <x v="1"/>
    <x v="7"/>
  </r>
  <r>
    <n v="14810"/>
    <d v="2024-01-27T00:00:00"/>
    <x v="4"/>
    <x v="3"/>
    <x v="2"/>
    <x v="1"/>
    <n v="7"/>
    <n v="59079"/>
    <x v="4772"/>
    <n v="1839"/>
    <n v="411714"/>
    <n v="59869.97249"/>
    <x v="0"/>
    <x v="4"/>
  </r>
  <r>
    <n v="14811"/>
    <d v="2024-10-02T00:00:00"/>
    <x v="4"/>
    <x v="4"/>
    <x v="1"/>
    <x v="0"/>
    <n v="8"/>
    <n v="66467"/>
    <x v="4773"/>
    <n v="3234"/>
    <n v="528502"/>
    <n v="104963.6887"/>
    <x v="0"/>
    <x v="8"/>
  </r>
  <r>
    <n v="14812"/>
    <d v="2025-10-13T00:00:00"/>
    <x v="0"/>
    <x v="2"/>
    <x v="2"/>
    <x v="3"/>
    <n v="8"/>
    <n v="53091"/>
    <x v="4774"/>
    <n v="1771"/>
    <n v="422957"/>
    <n v="45872.518349999998"/>
    <x v="1"/>
    <x v="8"/>
  </r>
  <r>
    <n v="14813"/>
    <d v="2024-10-25T00:00:00"/>
    <x v="4"/>
    <x v="4"/>
    <x v="1"/>
    <x v="1"/>
    <n v="8"/>
    <n v="59501"/>
    <x v="4775"/>
    <n v="364"/>
    <n v="475644"/>
    <n v="105399.2219"/>
    <x v="0"/>
    <x v="8"/>
  </r>
  <r>
    <n v="14814"/>
    <d v="2024-03-31T00:00:00"/>
    <x v="2"/>
    <x v="1"/>
    <x v="2"/>
    <x v="0"/>
    <n v="9"/>
    <n v="66855"/>
    <x v="4776"/>
    <n v="416"/>
    <n v="601279"/>
    <n v="102204.54429999999"/>
    <x v="0"/>
    <x v="1"/>
  </r>
  <r>
    <n v="14815"/>
    <d v="2025-04-24T00:00:00"/>
    <x v="3"/>
    <x v="0"/>
    <x v="2"/>
    <x v="3"/>
    <n v="1"/>
    <n v="24859"/>
    <x v="4777"/>
    <n v="1635"/>
    <n v="23224"/>
    <n v="3899.6785279999999"/>
    <x v="1"/>
    <x v="0"/>
  </r>
  <r>
    <n v="14816"/>
    <d v="2025-07-26T00:00:00"/>
    <x v="1"/>
    <x v="2"/>
    <x v="0"/>
    <x v="0"/>
    <n v="9"/>
    <n v="77352"/>
    <x v="4778"/>
    <n v="2068"/>
    <n v="694100"/>
    <n v="93022.228400000007"/>
    <x v="1"/>
    <x v="10"/>
  </r>
  <r>
    <n v="14817"/>
    <d v="2025-04-02T00:00:00"/>
    <x v="2"/>
    <x v="3"/>
    <x v="0"/>
    <x v="2"/>
    <n v="8"/>
    <n v="54693"/>
    <x v="4779"/>
    <n v="516"/>
    <n v="437028"/>
    <n v="75827.423790000001"/>
    <x v="1"/>
    <x v="0"/>
  </r>
  <r>
    <n v="14818"/>
    <d v="2025-03-26T00:00:00"/>
    <x v="1"/>
    <x v="1"/>
    <x v="1"/>
    <x v="1"/>
    <n v="1"/>
    <n v="21548"/>
    <x v="4780"/>
    <n v="4031"/>
    <n v="17517"/>
    <n v="2707.8482490000001"/>
    <x v="1"/>
    <x v="1"/>
  </r>
  <r>
    <n v="14819"/>
    <d v="2024-12-30T00:00:00"/>
    <x v="2"/>
    <x v="4"/>
    <x v="0"/>
    <x v="2"/>
    <n v="7"/>
    <n v="38385"/>
    <x v="4781"/>
    <n v="1220"/>
    <n v="267475"/>
    <n v="36582.680240000002"/>
    <x v="0"/>
    <x v="3"/>
  </r>
  <r>
    <n v="14820"/>
    <d v="2025-11-05T00:00:00"/>
    <x v="1"/>
    <x v="0"/>
    <x v="2"/>
    <x v="1"/>
    <n v="9"/>
    <n v="29644"/>
    <x v="4782"/>
    <n v="660"/>
    <n v="266136"/>
    <n v="33346.851649999997"/>
    <x v="1"/>
    <x v="7"/>
  </r>
  <r>
    <n v="14821"/>
    <d v="2024-12-16T00:00:00"/>
    <x v="0"/>
    <x v="4"/>
    <x v="1"/>
    <x v="1"/>
    <n v="4"/>
    <n v="10639"/>
    <x v="4783"/>
    <n v="3416"/>
    <n v="39140"/>
    <n v="8190.0581190000003"/>
    <x v="0"/>
    <x v="3"/>
  </r>
  <r>
    <n v="14822"/>
    <d v="2025-10-16T00:00:00"/>
    <x v="4"/>
    <x v="3"/>
    <x v="1"/>
    <x v="2"/>
    <n v="9"/>
    <n v="25580"/>
    <x v="889"/>
    <n v="329"/>
    <n v="229891"/>
    <n v="27887.260180000001"/>
    <x v="1"/>
    <x v="8"/>
  </r>
  <r>
    <n v="14823"/>
    <d v="2025-02-03T00:00:00"/>
    <x v="4"/>
    <x v="2"/>
    <x v="1"/>
    <x v="1"/>
    <n v="1"/>
    <n v="31974"/>
    <x v="4784"/>
    <n v="377"/>
    <n v="31597"/>
    <n v="3955.85907"/>
    <x v="1"/>
    <x v="9"/>
  </r>
  <r>
    <n v="14824"/>
    <d v="2024-09-09T00:00:00"/>
    <x v="0"/>
    <x v="3"/>
    <x v="2"/>
    <x v="1"/>
    <n v="9"/>
    <n v="50373"/>
    <x v="4785"/>
    <n v="3282"/>
    <n v="450075"/>
    <n v="83966.307990000001"/>
    <x v="0"/>
    <x v="2"/>
  </r>
  <r>
    <n v="14825"/>
    <d v="2025-04-03T00:00:00"/>
    <x v="2"/>
    <x v="4"/>
    <x v="0"/>
    <x v="0"/>
    <n v="6"/>
    <n v="52612"/>
    <x v="4786"/>
    <n v="159"/>
    <n v="315513"/>
    <n v="42250.858890000003"/>
    <x v="1"/>
    <x v="0"/>
  </r>
  <r>
    <n v="14826"/>
    <d v="2025-11-29T00:00:00"/>
    <x v="3"/>
    <x v="4"/>
    <x v="1"/>
    <x v="3"/>
    <n v="4"/>
    <n v="29761"/>
    <x v="4787"/>
    <n v="4753"/>
    <n v="114291"/>
    <n v="19304.48919"/>
    <x v="1"/>
    <x v="7"/>
  </r>
  <r>
    <n v="14827"/>
    <d v="2025-05-13T00:00:00"/>
    <x v="2"/>
    <x v="3"/>
    <x v="2"/>
    <x v="2"/>
    <n v="5"/>
    <n v="15701"/>
    <x v="4788"/>
    <n v="1263"/>
    <n v="77242"/>
    <n v="14130.46632"/>
    <x v="1"/>
    <x v="5"/>
  </r>
  <r>
    <n v="14828"/>
    <d v="2025-05-22T00:00:00"/>
    <x v="4"/>
    <x v="3"/>
    <x v="0"/>
    <x v="0"/>
    <n v="7"/>
    <n v="25822"/>
    <x v="4789"/>
    <n v="4174"/>
    <n v="176580"/>
    <n v="24926.820970000001"/>
    <x v="1"/>
    <x v="5"/>
  </r>
  <r>
    <n v="14829"/>
    <d v="2024-10-30T00:00:00"/>
    <x v="3"/>
    <x v="3"/>
    <x v="0"/>
    <x v="0"/>
    <n v="4"/>
    <n v="19970"/>
    <x v="4790"/>
    <n v="2199"/>
    <n v="77681"/>
    <n v="11771.24566"/>
    <x v="0"/>
    <x v="8"/>
  </r>
  <r>
    <n v="14830"/>
    <d v="2025-05-15T00:00:00"/>
    <x v="1"/>
    <x v="0"/>
    <x v="1"/>
    <x v="2"/>
    <n v="8"/>
    <n v="40847"/>
    <x v="4791"/>
    <n v="2564"/>
    <n v="324212"/>
    <n v="42643.936370000003"/>
    <x v="1"/>
    <x v="5"/>
  </r>
  <r>
    <n v="14831"/>
    <d v="2025-08-20T00:00:00"/>
    <x v="3"/>
    <x v="4"/>
    <x v="2"/>
    <x v="1"/>
    <n v="3"/>
    <n v="28103"/>
    <x v="4792"/>
    <n v="2430"/>
    <n v="81879"/>
    <n v="13842.764510000001"/>
    <x v="1"/>
    <x v="6"/>
  </r>
  <r>
    <n v="14832"/>
    <d v="2024-06-14T00:00:00"/>
    <x v="2"/>
    <x v="1"/>
    <x v="0"/>
    <x v="2"/>
    <n v="2"/>
    <n v="62479"/>
    <x v="4793"/>
    <n v="4788"/>
    <n v="120170"/>
    <n v="29905.504570000001"/>
    <x v="0"/>
    <x v="11"/>
  </r>
  <r>
    <n v="14833"/>
    <d v="2025-02-18T00:00:00"/>
    <x v="0"/>
    <x v="0"/>
    <x v="2"/>
    <x v="3"/>
    <n v="1"/>
    <n v="65787"/>
    <x v="4794"/>
    <n v="2037"/>
    <n v="63750"/>
    <n v="9843.4325520000002"/>
    <x v="1"/>
    <x v="9"/>
  </r>
  <r>
    <n v="14834"/>
    <d v="2025-04-06T00:00:00"/>
    <x v="1"/>
    <x v="0"/>
    <x v="0"/>
    <x v="3"/>
    <n v="6"/>
    <n v="21944"/>
    <x v="4795"/>
    <n v="2399"/>
    <n v="129265"/>
    <n v="25594.41272"/>
    <x v="1"/>
    <x v="0"/>
  </r>
  <r>
    <n v="14835"/>
    <d v="2024-04-23T00:00:00"/>
    <x v="2"/>
    <x v="0"/>
    <x v="1"/>
    <x v="2"/>
    <n v="2"/>
    <n v="19974"/>
    <x v="4796"/>
    <n v="1224"/>
    <n v="38724"/>
    <n v="7566.0565079999997"/>
    <x v="0"/>
    <x v="0"/>
  </r>
  <r>
    <n v="14836"/>
    <d v="2025-03-08T00:00:00"/>
    <x v="1"/>
    <x v="1"/>
    <x v="1"/>
    <x v="0"/>
    <n v="8"/>
    <n v="51984"/>
    <x v="4797"/>
    <n v="1988"/>
    <n v="413884"/>
    <n v="90215.237040000007"/>
    <x v="1"/>
    <x v="1"/>
  </r>
  <r>
    <n v="14837"/>
    <d v="2024-12-21T00:00:00"/>
    <x v="3"/>
    <x v="3"/>
    <x v="0"/>
    <x v="2"/>
    <n v="4"/>
    <n v="51893"/>
    <x v="4798"/>
    <n v="865"/>
    <n v="206707"/>
    <n v="42744.478660000001"/>
    <x v="0"/>
    <x v="3"/>
  </r>
  <r>
    <n v="14838"/>
    <d v="2025-11-25T00:00:00"/>
    <x v="4"/>
    <x v="4"/>
    <x v="2"/>
    <x v="3"/>
    <n v="9"/>
    <n v="31314"/>
    <x v="4799"/>
    <n v="390"/>
    <n v="281436"/>
    <n v="28640.886180000001"/>
    <x v="1"/>
    <x v="7"/>
  </r>
  <r>
    <n v="14839"/>
    <d v="2024-07-25T00:00:00"/>
    <x v="2"/>
    <x v="2"/>
    <x v="0"/>
    <x v="2"/>
    <n v="4"/>
    <n v="34852"/>
    <x v="4800"/>
    <n v="1408"/>
    <n v="138000"/>
    <n v="20200.793809999999"/>
    <x v="0"/>
    <x v="10"/>
  </r>
  <r>
    <n v="14840"/>
    <d v="2024-08-22T00:00:00"/>
    <x v="0"/>
    <x v="2"/>
    <x v="2"/>
    <x v="1"/>
    <n v="4"/>
    <n v="9953"/>
    <x v="4801"/>
    <n v="4915"/>
    <n v="34897"/>
    <n v="8044.9806520000002"/>
    <x v="0"/>
    <x v="6"/>
  </r>
  <r>
    <n v="14841"/>
    <d v="2025-03-17T00:00:00"/>
    <x v="3"/>
    <x v="4"/>
    <x v="0"/>
    <x v="2"/>
    <n v="8"/>
    <n v="33448"/>
    <x v="4802"/>
    <n v="4030"/>
    <n v="263554"/>
    <n v="47685.492749999998"/>
    <x v="1"/>
    <x v="1"/>
  </r>
  <r>
    <n v="14842"/>
    <d v="2024-12-20T00:00:00"/>
    <x v="2"/>
    <x v="1"/>
    <x v="1"/>
    <x v="0"/>
    <n v="8"/>
    <n v="36771"/>
    <x v="635"/>
    <n v="4435"/>
    <n v="289733"/>
    <n v="33502.873570000003"/>
    <x v="0"/>
    <x v="3"/>
  </r>
  <r>
    <n v="14843"/>
    <d v="2025-05-29T00:00:00"/>
    <x v="0"/>
    <x v="2"/>
    <x v="2"/>
    <x v="1"/>
    <n v="5"/>
    <n v="56550"/>
    <x v="4803"/>
    <n v="1554"/>
    <n v="281196"/>
    <n v="39766.88824"/>
    <x v="1"/>
    <x v="5"/>
  </r>
  <r>
    <n v="14844"/>
    <d v="2024-07-26T00:00:00"/>
    <x v="2"/>
    <x v="0"/>
    <x v="1"/>
    <x v="3"/>
    <n v="3"/>
    <n v="60378"/>
    <x v="4804"/>
    <n v="4047"/>
    <n v="177087"/>
    <n v="25236.29955"/>
    <x v="0"/>
    <x v="10"/>
  </r>
  <r>
    <n v="14845"/>
    <d v="2025-12-09T00:00:00"/>
    <x v="3"/>
    <x v="2"/>
    <x v="2"/>
    <x v="2"/>
    <n v="2"/>
    <n v="59895"/>
    <x v="4805"/>
    <n v="131"/>
    <n v="119659"/>
    <n v="27638.429359999998"/>
    <x v="1"/>
    <x v="3"/>
  </r>
  <r>
    <n v="14846"/>
    <d v="2024-05-04T00:00:00"/>
    <x v="2"/>
    <x v="4"/>
    <x v="0"/>
    <x v="0"/>
    <n v="9"/>
    <n v="63737"/>
    <x v="4806"/>
    <n v="3679"/>
    <n v="569954"/>
    <n v="104307.39019999999"/>
    <x v="0"/>
    <x v="5"/>
  </r>
  <r>
    <n v="14847"/>
    <d v="2024-05-17T00:00:00"/>
    <x v="1"/>
    <x v="0"/>
    <x v="1"/>
    <x v="0"/>
    <n v="9"/>
    <n v="73124"/>
    <x v="4807"/>
    <n v="3076"/>
    <n v="655040"/>
    <n v="125275.4457"/>
    <x v="0"/>
    <x v="5"/>
  </r>
  <r>
    <n v="14848"/>
    <d v="2024-12-04T00:00:00"/>
    <x v="3"/>
    <x v="2"/>
    <x v="1"/>
    <x v="3"/>
    <n v="5"/>
    <n v="65810"/>
    <x v="4808"/>
    <n v="4472"/>
    <n v="324578"/>
    <n v="50328.96847"/>
    <x v="0"/>
    <x v="3"/>
  </r>
  <r>
    <n v="14849"/>
    <d v="2025-06-20T00:00:00"/>
    <x v="2"/>
    <x v="4"/>
    <x v="2"/>
    <x v="2"/>
    <n v="8"/>
    <n v="76892"/>
    <x v="4809"/>
    <n v="4735"/>
    <n v="610401"/>
    <n v="66562.127810000005"/>
    <x v="1"/>
    <x v="11"/>
  </r>
  <r>
    <n v="14850"/>
    <d v="2024-03-08T00:00:00"/>
    <x v="4"/>
    <x v="1"/>
    <x v="2"/>
    <x v="0"/>
    <n v="7"/>
    <n v="25069"/>
    <x v="4810"/>
    <n v="1521"/>
    <n v="173962"/>
    <n v="19359.751270000001"/>
    <x v="0"/>
    <x v="1"/>
  </r>
  <r>
    <n v="14851"/>
    <d v="2025-07-26T00:00:00"/>
    <x v="2"/>
    <x v="4"/>
    <x v="2"/>
    <x v="1"/>
    <n v="3"/>
    <n v="19695"/>
    <x v="4811"/>
    <n v="3269"/>
    <n v="55816"/>
    <n v="9101.2107919999999"/>
    <x v="1"/>
    <x v="10"/>
  </r>
  <r>
    <n v="14852"/>
    <d v="2025-06-24T00:00:00"/>
    <x v="1"/>
    <x v="1"/>
    <x v="1"/>
    <x v="2"/>
    <n v="5"/>
    <n v="58461"/>
    <x v="4812"/>
    <n v="440"/>
    <n v="291865"/>
    <n v="36957.137620000001"/>
    <x v="1"/>
    <x v="11"/>
  </r>
  <r>
    <n v="14853"/>
    <d v="2025-01-17T00:00:00"/>
    <x v="0"/>
    <x v="0"/>
    <x v="0"/>
    <x v="3"/>
    <n v="9"/>
    <n v="25783"/>
    <x v="4813"/>
    <n v="1741"/>
    <n v="230306"/>
    <n v="26632.443960000001"/>
    <x v="1"/>
    <x v="4"/>
  </r>
  <r>
    <n v="14854"/>
    <d v="2024-01-19T00:00:00"/>
    <x v="0"/>
    <x v="4"/>
    <x v="2"/>
    <x v="1"/>
    <n v="4"/>
    <n v="6403"/>
    <x v="4814"/>
    <n v="1203"/>
    <n v="24409"/>
    <n v="3401.0654030000001"/>
    <x v="0"/>
    <x v="4"/>
  </r>
  <r>
    <n v="14855"/>
    <d v="2025-11-13T00:00:00"/>
    <x v="0"/>
    <x v="3"/>
    <x v="0"/>
    <x v="2"/>
    <n v="3"/>
    <n v="33327"/>
    <x v="4815"/>
    <n v="240"/>
    <n v="99741"/>
    <n v="21075.966909999999"/>
    <x v="1"/>
    <x v="7"/>
  </r>
  <r>
    <n v="14856"/>
    <d v="2025-03-25T00:00:00"/>
    <x v="4"/>
    <x v="3"/>
    <x v="2"/>
    <x v="0"/>
    <n v="7"/>
    <n v="72821"/>
    <x v="4816"/>
    <n v="3391"/>
    <n v="506356"/>
    <n v="56181.588479999999"/>
    <x v="1"/>
    <x v="1"/>
  </r>
  <r>
    <n v="14857"/>
    <d v="2024-03-14T00:00:00"/>
    <x v="1"/>
    <x v="3"/>
    <x v="0"/>
    <x v="3"/>
    <n v="8"/>
    <n v="13862"/>
    <x v="4817"/>
    <n v="3721"/>
    <n v="107175"/>
    <n v="17923.29177"/>
    <x v="0"/>
    <x v="1"/>
  </r>
  <r>
    <n v="14858"/>
    <d v="2025-07-26T00:00:00"/>
    <x v="3"/>
    <x v="3"/>
    <x v="2"/>
    <x v="3"/>
    <n v="5"/>
    <n v="72264"/>
    <x v="4818"/>
    <n v="4118"/>
    <n v="357202"/>
    <n v="79982.197839999993"/>
    <x v="1"/>
    <x v="10"/>
  </r>
  <r>
    <n v="14859"/>
    <d v="2025-10-26T00:00:00"/>
    <x v="0"/>
    <x v="3"/>
    <x v="0"/>
    <x v="2"/>
    <n v="8"/>
    <n v="16430"/>
    <x v="4819"/>
    <n v="1203"/>
    <n v="130237"/>
    <n v="18257.758620000001"/>
    <x v="1"/>
    <x v="8"/>
  </r>
  <r>
    <n v="14860"/>
    <d v="2024-10-02T00:00:00"/>
    <x v="1"/>
    <x v="1"/>
    <x v="1"/>
    <x v="3"/>
    <n v="5"/>
    <n v="39017"/>
    <x v="4820"/>
    <n v="1887"/>
    <n v="193198"/>
    <n v="28068.0242"/>
    <x v="0"/>
    <x v="8"/>
  </r>
  <r>
    <n v="14861"/>
    <d v="2024-02-17T00:00:00"/>
    <x v="2"/>
    <x v="4"/>
    <x v="2"/>
    <x v="1"/>
    <n v="9"/>
    <n v="38646"/>
    <x v="4821"/>
    <n v="4270"/>
    <n v="343544"/>
    <n v="79919.015799999994"/>
    <x v="0"/>
    <x v="9"/>
  </r>
  <r>
    <n v="14862"/>
    <d v="2024-07-29T00:00:00"/>
    <x v="4"/>
    <x v="0"/>
    <x v="2"/>
    <x v="2"/>
    <n v="7"/>
    <n v="33922"/>
    <x v="4822"/>
    <n v="197"/>
    <n v="237257"/>
    <n v="46858.384919999997"/>
    <x v="0"/>
    <x v="10"/>
  </r>
  <r>
    <n v="14863"/>
    <d v="2025-10-12T00:00:00"/>
    <x v="1"/>
    <x v="3"/>
    <x v="1"/>
    <x v="1"/>
    <n v="5"/>
    <n v="16543"/>
    <x v="4823"/>
    <n v="3525"/>
    <n v="79190"/>
    <n v="17394.62312"/>
    <x v="1"/>
    <x v="8"/>
  </r>
  <r>
    <n v="14864"/>
    <d v="2025-09-13T00:00:00"/>
    <x v="1"/>
    <x v="3"/>
    <x v="2"/>
    <x v="3"/>
    <n v="9"/>
    <n v="54649"/>
    <x v="4824"/>
    <n v="4194"/>
    <n v="487647"/>
    <n v="69919.135290000006"/>
    <x v="1"/>
    <x v="2"/>
  </r>
  <r>
    <n v="14865"/>
    <d v="2025-11-25T00:00:00"/>
    <x v="3"/>
    <x v="0"/>
    <x v="2"/>
    <x v="3"/>
    <n v="5"/>
    <n v="30553"/>
    <x v="4825"/>
    <n v="744"/>
    <n v="152021"/>
    <n v="37931.813009999998"/>
    <x v="1"/>
    <x v="7"/>
  </r>
  <r>
    <n v="14866"/>
    <d v="2025-06-23T00:00:00"/>
    <x v="1"/>
    <x v="0"/>
    <x v="1"/>
    <x v="3"/>
    <n v="8"/>
    <n v="53860"/>
    <x v="4826"/>
    <n v="452"/>
    <n v="430428"/>
    <n v="52139.661410000001"/>
    <x v="1"/>
    <x v="11"/>
  </r>
  <r>
    <n v="14867"/>
    <d v="2025-12-09T00:00:00"/>
    <x v="3"/>
    <x v="3"/>
    <x v="1"/>
    <x v="1"/>
    <n v="4"/>
    <n v="65388"/>
    <x v="4827"/>
    <n v="3262"/>
    <n v="258290"/>
    <n v="63097.809549999998"/>
    <x v="1"/>
    <x v="3"/>
  </r>
  <r>
    <n v="14868"/>
    <d v="2024-07-09T00:00:00"/>
    <x v="4"/>
    <x v="1"/>
    <x v="0"/>
    <x v="3"/>
    <n v="9"/>
    <n v="65092"/>
    <x v="4828"/>
    <n v="3021"/>
    <n v="582807"/>
    <n v="137143.15220000001"/>
    <x v="0"/>
    <x v="10"/>
  </r>
  <r>
    <n v="14869"/>
    <d v="2024-11-10T00:00:00"/>
    <x v="4"/>
    <x v="0"/>
    <x v="1"/>
    <x v="2"/>
    <n v="6"/>
    <n v="78114"/>
    <x v="4829"/>
    <n v="498"/>
    <n v="468186"/>
    <n v="85577.002229999998"/>
    <x v="0"/>
    <x v="7"/>
  </r>
  <r>
    <n v="14870"/>
    <d v="2025-07-16T00:00:00"/>
    <x v="2"/>
    <x v="4"/>
    <x v="1"/>
    <x v="0"/>
    <n v="6"/>
    <n v="26263"/>
    <x v="4830"/>
    <n v="3687"/>
    <n v="153891"/>
    <n v="28899.879089999999"/>
    <x v="1"/>
    <x v="10"/>
  </r>
  <r>
    <n v="14871"/>
    <d v="2025-10-22T00:00:00"/>
    <x v="3"/>
    <x v="4"/>
    <x v="2"/>
    <x v="2"/>
    <n v="3"/>
    <n v="17232"/>
    <x v="4831"/>
    <n v="3262"/>
    <n v="48434"/>
    <n v="10474.200339999999"/>
    <x v="1"/>
    <x v="8"/>
  </r>
  <r>
    <n v="14872"/>
    <d v="2025-07-15T00:00:00"/>
    <x v="3"/>
    <x v="1"/>
    <x v="1"/>
    <x v="0"/>
    <n v="3"/>
    <n v="14092"/>
    <x v="4832"/>
    <n v="140"/>
    <n v="42136"/>
    <n v="6152.5856240000003"/>
    <x v="1"/>
    <x v="10"/>
  </r>
  <r>
    <n v="14873"/>
    <d v="2024-04-22T00:00:00"/>
    <x v="0"/>
    <x v="2"/>
    <x v="2"/>
    <x v="3"/>
    <n v="4"/>
    <n v="39234"/>
    <x v="4833"/>
    <n v="1714"/>
    <n v="155222"/>
    <n v="27803.437180000001"/>
    <x v="0"/>
    <x v="0"/>
  </r>
  <r>
    <n v="14874"/>
    <d v="2024-06-18T00:00:00"/>
    <x v="0"/>
    <x v="1"/>
    <x v="1"/>
    <x v="2"/>
    <n v="1"/>
    <n v="45482"/>
    <x v="4834"/>
    <n v="2820"/>
    <n v="42662"/>
    <n v="10040.77342"/>
    <x v="0"/>
    <x v="11"/>
  </r>
  <r>
    <n v="14875"/>
    <d v="2025-04-12T00:00:00"/>
    <x v="2"/>
    <x v="3"/>
    <x v="1"/>
    <x v="1"/>
    <n v="6"/>
    <n v="23117"/>
    <x v="4835"/>
    <n v="2222"/>
    <n v="136480"/>
    <n v="15045.194289999999"/>
    <x v="1"/>
    <x v="0"/>
  </r>
  <r>
    <n v="14876"/>
    <d v="2025-11-08T00:00:00"/>
    <x v="4"/>
    <x v="2"/>
    <x v="0"/>
    <x v="0"/>
    <n v="1"/>
    <n v="38258"/>
    <x v="4836"/>
    <n v="2467"/>
    <n v="35791"/>
    <n v="8440.5664909999996"/>
    <x v="1"/>
    <x v="7"/>
  </r>
  <r>
    <n v="14877"/>
    <d v="2024-01-14T00:00:00"/>
    <x v="0"/>
    <x v="3"/>
    <x v="1"/>
    <x v="1"/>
    <n v="4"/>
    <n v="64097"/>
    <x v="4837"/>
    <n v="675"/>
    <n v="255713"/>
    <n v="53524.998979999997"/>
    <x v="0"/>
    <x v="4"/>
  </r>
  <r>
    <n v="14878"/>
    <d v="2025-12-15T00:00:00"/>
    <x v="1"/>
    <x v="4"/>
    <x v="1"/>
    <x v="0"/>
    <n v="7"/>
    <n v="23302"/>
    <x v="4838"/>
    <n v="3505"/>
    <n v="159609"/>
    <n v="34392.0245"/>
    <x v="1"/>
    <x v="3"/>
  </r>
  <r>
    <n v="14879"/>
    <d v="2024-10-14T00:00:00"/>
    <x v="4"/>
    <x v="0"/>
    <x v="2"/>
    <x v="3"/>
    <n v="6"/>
    <n v="45934"/>
    <x v="4839"/>
    <n v="3602"/>
    <n v="272002"/>
    <n v="29840.71802"/>
    <x v="0"/>
    <x v="8"/>
  </r>
  <r>
    <n v="14880"/>
    <d v="2024-07-07T00:00:00"/>
    <x v="1"/>
    <x v="3"/>
    <x v="2"/>
    <x v="2"/>
    <n v="8"/>
    <n v="47446"/>
    <x v="4840"/>
    <n v="917"/>
    <n v="378651"/>
    <n v="48529.237569999998"/>
    <x v="0"/>
    <x v="10"/>
  </r>
  <r>
    <n v="14881"/>
    <d v="2024-06-03T00:00:00"/>
    <x v="3"/>
    <x v="4"/>
    <x v="0"/>
    <x v="0"/>
    <n v="4"/>
    <n v="76635"/>
    <x v="4841"/>
    <n v="1822"/>
    <n v="304718"/>
    <n v="72763.388749999998"/>
    <x v="0"/>
    <x v="11"/>
  </r>
  <r>
    <n v="14882"/>
    <d v="2025-07-20T00:00:00"/>
    <x v="4"/>
    <x v="1"/>
    <x v="1"/>
    <x v="2"/>
    <n v="9"/>
    <n v="31076"/>
    <x v="4842"/>
    <n v="3822"/>
    <n v="275862"/>
    <n v="32719.362099999998"/>
    <x v="1"/>
    <x v="10"/>
  </r>
  <r>
    <n v="14883"/>
    <d v="2025-11-24T00:00:00"/>
    <x v="2"/>
    <x v="3"/>
    <x v="2"/>
    <x v="0"/>
    <n v="8"/>
    <n v="54349"/>
    <x v="4843"/>
    <n v="2603"/>
    <n v="432189"/>
    <n v="84137.443079999997"/>
    <x v="1"/>
    <x v="7"/>
  </r>
  <r>
    <n v="14884"/>
    <d v="2025-12-22T00:00:00"/>
    <x v="3"/>
    <x v="4"/>
    <x v="1"/>
    <x v="0"/>
    <n v="5"/>
    <n v="51578"/>
    <x v="4844"/>
    <n v="4803"/>
    <n v="253087"/>
    <n v="55022.096400000002"/>
    <x v="1"/>
    <x v="3"/>
  </r>
  <r>
    <n v="14885"/>
    <d v="2025-04-15T00:00:00"/>
    <x v="3"/>
    <x v="0"/>
    <x v="0"/>
    <x v="3"/>
    <n v="6"/>
    <n v="14726"/>
    <x v="4845"/>
    <n v="1730"/>
    <n v="86626"/>
    <n v="11667.8555"/>
    <x v="1"/>
    <x v="0"/>
  </r>
  <r>
    <n v="14886"/>
    <d v="2024-03-15T00:00:00"/>
    <x v="1"/>
    <x v="3"/>
    <x v="2"/>
    <x v="0"/>
    <n v="5"/>
    <n v="55865"/>
    <x v="4846"/>
    <n v="3428"/>
    <n v="275897"/>
    <n v="56508.818440000003"/>
    <x v="0"/>
    <x v="1"/>
  </r>
  <r>
    <n v="14887"/>
    <d v="2024-10-03T00:00:00"/>
    <x v="3"/>
    <x v="4"/>
    <x v="2"/>
    <x v="1"/>
    <n v="6"/>
    <n v="13102"/>
    <x v="4847"/>
    <n v="4656"/>
    <n v="73956"/>
    <n v="8123.0664930000003"/>
    <x v="0"/>
    <x v="8"/>
  </r>
  <r>
    <n v="14888"/>
    <d v="2025-10-06T00:00:00"/>
    <x v="0"/>
    <x v="3"/>
    <x v="0"/>
    <x v="0"/>
    <n v="1"/>
    <n v="17754"/>
    <x v="4848"/>
    <n v="4154"/>
    <n v="13600"/>
    <n v="2377.4875419999998"/>
    <x v="1"/>
    <x v="8"/>
  </r>
  <r>
    <n v="14889"/>
    <d v="2024-12-08T00:00:00"/>
    <x v="4"/>
    <x v="0"/>
    <x v="1"/>
    <x v="0"/>
    <n v="4"/>
    <n v="41612"/>
    <x v="4849"/>
    <n v="3718"/>
    <n v="162730"/>
    <n v="24436.34519"/>
    <x v="0"/>
    <x v="3"/>
  </r>
  <r>
    <n v="14890"/>
    <d v="2025-02-28T00:00:00"/>
    <x v="0"/>
    <x v="3"/>
    <x v="2"/>
    <x v="0"/>
    <n v="9"/>
    <n v="38363"/>
    <x v="4850"/>
    <n v="1624"/>
    <n v="343643"/>
    <n v="67650.008610000004"/>
    <x v="1"/>
    <x v="9"/>
  </r>
  <r>
    <n v="14891"/>
    <d v="2025-07-24T00:00:00"/>
    <x v="1"/>
    <x v="3"/>
    <x v="2"/>
    <x v="3"/>
    <n v="4"/>
    <n v="78866"/>
    <x v="4851"/>
    <n v="1806"/>
    <n v="313658"/>
    <n v="73192.3223"/>
    <x v="1"/>
    <x v="10"/>
  </r>
  <r>
    <n v="14892"/>
    <d v="2025-05-25T00:00:00"/>
    <x v="1"/>
    <x v="4"/>
    <x v="0"/>
    <x v="2"/>
    <n v="2"/>
    <n v="70777"/>
    <x v="4852"/>
    <n v="4358"/>
    <n v="137196"/>
    <n v="16302.1278"/>
    <x v="1"/>
    <x v="5"/>
  </r>
  <r>
    <n v="14893"/>
    <d v="2024-06-30T00:00:00"/>
    <x v="4"/>
    <x v="2"/>
    <x v="0"/>
    <x v="2"/>
    <n v="6"/>
    <n v="23747"/>
    <x v="4853"/>
    <n v="1454"/>
    <n v="141028"/>
    <n v="23628.69814"/>
    <x v="0"/>
    <x v="11"/>
  </r>
  <r>
    <n v="14894"/>
    <d v="2025-04-02T00:00:00"/>
    <x v="3"/>
    <x v="3"/>
    <x v="0"/>
    <x v="3"/>
    <n v="2"/>
    <n v="52770"/>
    <x v="4854"/>
    <n v="353"/>
    <n v="105187"/>
    <n v="17195.873039999999"/>
    <x v="1"/>
    <x v="0"/>
  </r>
  <r>
    <n v="14895"/>
    <d v="2024-03-04T00:00:00"/>
    <x v="2"/>
    <x v="2"/>
    <x v="1"/>
    <x v="1"/>
    <n v="3"/>
    <n v="54884"/>
    <x v="3472"/>
    <n v="2933"/>
    <n v="161719"/>
    <n v="24026.476320000002"/>
    <x v="0"/>
    <x v="1"/>
  </r>
  <r>
    <n v="14896"/>
    <d v="2024-09-16T00:00:00"/>
    <x v="1"/>
    <x v="1"/>
    <x v="1"/>
    <x v="1"/>
    <n v="7"/>
    <n v="70670"/>
    <x v="4855"/>
    <n v="940"/>
    <n v="493750"/>
    <n v="84937.351070000004"/>
    <x v="0"/>
    <x v="2"/>
  </r>
  <r>
    <n v="14897"/>
    <d v="2024-07-11T00:00:00"/>
    <x v="4"/>
    <x v="3"/>
    <x v="1"/>
    <x v="3"/>
    <n v="4"/>
    <n v="40394"/>
    <x v="4856"/>
    <n v="3945"/>
    <n v="157631"/>
    <n v="36587.616600000001"/>
    <x v="0"/>
    <x v="10"/>
  </r>
  <r>
    <n v="14898"/>
    <d v="2025-10-16T00:00:00"/>
    <x v="2"/>
    <x v="2"/>
    <x v="0"/>
    <x v="2"/>
    <n v="1"/>
    <n v="65484"/>
    <x v="4857"/>
    <n v="4142"/>
    <n v="61342"/>
    <n v="15093.155549999999"/>
    <x v="1"/>
    <x v="8"/>
  </r>
  <r>
    <n v="14899"/>
    <d v="2025-09-07T00:00:00"/>
    <x v="3"/>
    <x v="1"/>
    <x v="2"/>
    <x v="1"/>
    <n v="9"/>
    <n v="48084"/>
    <x v="4858"/>
    <n v="4848"/>
    <n v="427908"/>
    <n v="42973.274140000001"/>
    <x v="1"/>
    <x v="2"/>
  </r>
  <r>
    <n v="14900"/>
    <d v="2025-02-09T00:00:00"/>
    <x v="1"/>
    <x v="4"/>
    <x v="1"/>
    <x v="3"/>
    <n v="6"/>
    <n v="36093"/>
    <x v="4859"/>
    <n v="229"/>
    <n v="216329"/>
    <n v="45613.993199999997"/>
    <x v="1"/>
    <x v="9"/>
  </r>
  <r>
    <n v="14901"/>
    <d v="2025-12-26T00:00:00"/>
    <x v="4"/>
    <x v="3"/>
    <x v="0"/>
    <x v="2"/>
    <n v="9"/>
    <n v="12179"/>
    <x v="4860"/>
    <n v="3482"/>
    <n v="106129"/>
    <n v="20404.592909999999"/>
    <x v="1"/>
    <x v="3"/>
  </r>
  <r>
    <n v="14902"/>
    <d v="2025-12-21T00:00:00"/>
    <x v="4"/>
    <x v="4"/>
    <x v="1"/>
    <x v="1"/>
    <n v="3"/>
    <n v="39278"/>
    <x v="4861"/>
    <n v="4852"/>
    <n v="112982"/>
    <n v="28152.495709999999"/>
    <x v="1"/>
    <x v="3"/>
  </r>
  <r>
    <n v="14903"/>
    <d v="2024-04-02T00:00:00"/>
    <x v="4"/>
    <x v="1"/>
    <x v="2"/>
    <x v="1"/>
    <n v="5"/>
    <n v="50813"/>
    <x v="4862"/>
    <n v="4857"/>
    <n v="249208"/>
    <n v="28282.5435"/>
    <x v="0"/>
    <x v="0"/>
  </r>
  <r>
    <n v="14904"/>
    <d v="2025-03-05T00:00:00"/>
    <x v="1"/>
    <x v="4"/>
    <x v="2"/>
    <x v="3"/>
    <n v="9"/>
    <n v="77443"/>
    <x v="4863"/>
    <n v="237"/>
    <n v="696750"/>
    <n v="154470.8303"/>
    <x v="1"/>
    <x v="1"/>
  </r>
  <r>
    <n v="14905"/>
    <d v="2025-10-15T00:00:00"/>
    <x v="2"/>
    <x v="4"/>
    <x v="0"/>
    <x v="2"/>
    <n v="6"/>
    <n v="68828"/>
    <x v="4864"/>
    <n v="3772"/>
    <n v="409196"/>
    <n v="98243.551300000006"/>
    <x v="1"/>
    <x v="8"/>
  </r>
  <r>
    <n v="14906"/>
    <d v="2025-03-09T00:00:00"/>
    <x v="4"/>
    <x v="0"/>
    <x v="2"/>
    <x v="1"/>
    <n v="2"/>
    <n v="74942"/>
    <x v="4865"/>
    <n v="4173"/>
    <n v="145711"/>
    <n v="34506.89213"/>
    <x v="1"/>
    <x v="1"/>
  </r>
  <r>
    <n v="14907"/>
    <d v="2025-02-07T00:00:00"/>
    <x v="3"/>
    <x v="1"/>
    <x v="0"/>
    <x v="3"/>
    <n v="1"/>
    <n v="24748"/>
    <x v="4866"/>
    <n v="2781"/>
    <n v="21967"/>
    <n v="4043.8150890000002"/>
    <x v="1"/>
    <x v="9"/>
  </r>
  <r>
    <n v="14908"/>
    <d v="2025-03-09T00:00:00"/>
    <x v="4"/>
    <x v="4"/>
    <x v="0"/>
    <x v="1"/>
    <n v="9"/>
    <n v="14742"/>
    <x v="4867"/>
    <n v="2606"/>
    <n v="130072"/>
    <n v="19398.082429999999"/>
    <x v="1"/>
    <x v="1"/>
  </r>
  <r>
    <n v="14909"/>
    <d v="2024-04-21T00:00:00"/>
    <x v="2"/>
    <x v="2"/>
    <x v="0"/>
    <x v="2"/>
    <n v="1"/>
    <n v="8411"/>
    <x v="4868"/>
    <n v="1984"/>
    <n v="6427"/>
    <n v="1259.5992940000001"/>
    <x v="0"/>
    <x v="0"/>
  </r>
  <r>
    <n v="14910"/>
    <d v="2025-01-09T00:00:00"/>
    <x v="1"/>
    <x v="1"/>
    <x v="0"/>
    <x v="0"/>
    <n v="5"/>
    <n v="43464"/>
    <x v="4869"/>
    <n v="3095"/>
    <n v="214225"/>
    <n v="31257.740979999999"/>
    <x v="1"/>
    <x v="4"/>
  </r>
  <r>
    <n v="14911"/>
    <d v="2024-02-28T00:00:00"/>
    <x v="4"/>
    <x v="0"/>
    <x v="2"/>
    <x v="1"/>
    <n v="1"/>
    <n v="34698"/>
    <x v="1404"/>
    <n v="1052"/>
    <n v="33646"/>
    <n v="5445.2817249999998"/>
    <x v="0"/>
    <x v="9"/>
  </r>
  <r>
    <n v="14912"/>
    <d v="2024-02-12T00:00:00"/>
    <x v="4"/>
    <x v="3"/>
    <x v="2"/>
    <x v="2"/>
    <n v="5"/>
    <n v="36108"/>
    <x v="4870"/>
    <n v="350"/>
    <n v="180190"/>
    <n v="30066.277750000001"/>
    <x v="0"/>
    <x v="9"/>
  </r>
  <r>
    <n v="14913"/>
    <d v="2024-07-25T00:00:00"/>
    <x v="3"/>
    <x v="4"/>
    <x v="2"/>
    <x v="1"/>
    <n v="5"/>
    <n v="76296"/>
    <x v="4871"/>
    <n v="912"/>
    <n v="380568"/>
    <n v="55293.68621"/>
    <x v="0"/>
    <x v="10"/>
  </r>
  <r>
    <n v="14914"/>
    <d v="2024-10-22T00:00:00"/>
    <x v="3"/>
    <x v="2"/>
    <x v="2"/>
    <x v="0"/>
    <n v="7"/>
    <n v="52133"/>
    <x v="4872"/>
    <n v="4445"/>
    <n v="360486"/>
    <n v="54532.196909999999"/>
    <x v="0"/>
    <x v="8"/>
  </r>
  <r>
    <n v="14915"/>
    <d v="2024-04-27T00:00:00"/>
    <x v="4"/>
    <x v="0"/>
    <x v="0"/>
    <x v="0"/>
    <n v="7"/>
    <n v="51662"/>
    <x v="1262"/>
    <n v="1304"/>
    <n v="360330"/>
    <n v="36428.270420000001"/>
    <x v="0"/>
    <x v="0"/>
  </r>
  <r>
    <n v="14916"/>
    <d v="2025-06-15T00:00:00"/>
    <x v="4"/>
    <x v="1"/>
    <x v="0"/>
    <x v="1"/>
    <n v="1"/>
    <n v="67421"/>
    <x v="4873"/>
    <n v="2523"/>
    <n v="64898"/>
    <n v="9381.7736150000001"/>
    <x v="1"/>
    <x v="11"/>
  </r>
  <r>
    <n v="14917"/>
    <d v="2024-08-09T00:00:00"/>
    <x v="3"/>
    <x v="4"/>
    <x v="2"/>
    <x v="3"/>
    <n v="9"/>
    <n v="30180"/>
    <x v="4874"/>
    <n v="291"/>
    <n v="271329"/>
    <n v="46355.421730000002"/>
    <x v="0"/>
    <x v="6"/>
  </r>
  <r>
    <n v="14918"/>
    <d v="2024-06-14T00:00:00"/>
    <x v="2"/>
    <x v="0"/>
    <x v="1"/>
    <x v="1"/>
    <n v="1"/>
    <n v="44194"/>
    <x v="4875"/>
    <n v="1212"/>
    <n v="42982"/>
    <n v="5413.6304179999997"/>
    <x v="0"/>
    <x v="11"/>
  </r>
  <r>
    <n v="14919"/>
    <d v="2025-10-04T00:00:00"/>
    <x v="0"/>
    <x v="0"/>
    <x v="1"/>
    <x v="2"/>
    <n v="5"/>
    <n v="17525"/>
    <x v="4876"/>
    <n v="467"/>
    <n v="87158"/>
    <n v="19247.771079999999"/>
    <x v="1"/>
    <x v="8"/>
  </r>
  <r>
    <n v="14920"/>
    <d v="2024-06-04T00:00:00"/>
    <x v="0"/>
    <x v="2"/>
    <x v="1"/>
    <x v="3"/>
    <n v="7"/>
    <n v="45674"/>
    <x v="4877"/>
    <n v="3277"/>
    <n v="316441"/>
    <n v="57163.659540000001"/>
    <x v="0"/>
    <x v="11"/>
  </r>
  <r>
    <n v="14921"/>
    <d v="2024-07-02T00:00:00"/>
    <x v="4"/>
    <x v="3"/>
    <x v="2"/>
    <x v="2"/>
    <n v="8"/>
    <n v="13922"/>
    <x v="4878"/>
    <n v="2525"/>
    <n v="108851"/>
    <n v="23847.305690000001"/>
    <x v="0"/>
    <x v="10"/>
  </r>
  <r>
    <n v="14922"/>
    <d v="2024-03-30T00:00:00"/>
    <x v="3"/>
    <x v="3"/>
    <x v="0"/>
    <x v="2"/>
    <n v="2"/>
    <n v="67782"/>
    <x v="4879"/>
    <n v="3575"/>
    <n v="131989"/>
    <n v="15735.13659"/>
    <x v="0"/>
    <x v="1"/>
  </r>
  <r>
    <n v="14923"/>
    <d v="2024-04-03T00:00:00"/>
    <x v="1"/>
    <x v="3"/>
    <x v="0"/>
    <x v="3"/>
    <n v="1"/>
    <n v="39846"/>
    <x v="4880"/>
    <n v="3199"/>
    <n v="36647"/>
    <n v="8175.0914089999997"/>
    <x v="0"/>
    <x v="0"/>
  </r>
  <r>
    <n v="14924"/>
    <d v="2024-01-13T00:00:00"/>
    <x v="1"/>
    <x v="1"/>
    <x v="1"/>
    <x v="0"/>
    <n v="4"/>
    <n v="72173"/>
    <x v="4881"/>
    <n v="4325"/>
    <n v="284367"/>
    <n v="69311.453070000003"/>
    <x v="0"/>
    <x v="4"/>
  </r>
  <r>
    <n v="14925"/>
    <d v="2025-03-13T00:00:00"/>
    <x v="0"/>
    <x v="0"/>
    <x v="1"/>
    <x v="2"/>
    <n v="4"/>
    <n v="18916"/>
    <x v="4882"/>
    <n v="1064"/>
    <n v="74600"/>
    <n v="11403.9601"/>
    <x v="1"/>
    <x v="1"/>
  </r>
  <r>
    <n v="14926"/>
    <d v="2025-06-21T00:00:00"/>
    <x v="2"/>
    <x v="1"/>
    <x v="0"/>
    <x v="1"/>
    <n v="6"/>
    <n v="35926"/>
    <x v="4883"/>
    <n v="4888"/>
    <n v="210668"/>
    <n v="30039.752769999999"/>
    <x v="1"/>
    <x v="11"/>
  </r>
  <r>
    <n v="14927"/>
    <d v="2025-08-09T00:00:00"/>
    <x v="0"/>
    <x v="0"/>
    <x v="1"/>
    <x v="0"/>
    <n v="1"/>
    <n v="47941"/>
    <x v="4884"/>
    <n v="3463"/>
    <n v="44478"/>
    <n v="8763.2660039999992"/>
    <x v="1"/>
    <x v="6"/>
  </r>
  <r>
    <n v="14928"/>
    <d v="2024-05-29T00:00:00"/>
    <x v="4"/>
    <x v="2"/>
    <x v="1"/>
    <x v="0"/>
    <n v="1"/>
    <n v="65294"/>
    <x v="4885"/>
    <n v="4919"/>
    <n v="60375"/>
    <n v="11796.497160000001"/>
    <x v="0"/>
    <x v="5"/>
  </r>
  <r>
    <n v="14929"/>
    <d v="2025-10-21T00:00:00"/>
    <x v="2"/>
    <x v="2"/>
    <x v="0"/>
    <x v="3"/>
    <n v="3"/>
    <n v="24684"/>
    <x v="4886"/>
    <n v="1693"/>
    <n v="72359"/>
    <n v="8456.6112240000002"/>
    <x v="1"/>
    <x v="8"/>
  </r>
  <r>
    <n v="14930"/>
    <d v="2024-01-08T00:00:00"/>
    <x v="1"/>
    <x v="1"/>
    <x v="1"/>
    <x v="1"/>
    <n v="5"/>
    <n v="21966"/>
    <x v="4887"/>
    <n v="4931"/>
    <n v="104899"/>
    <n v="25072.310460000001"/>
    <x v="0"/>
    <x v="4"/>
  </r>
  <r>
    <n v="14931"/>
    <d v="2024-01-29T00:00:00"/>
    <x v="3"/>
    <x v="1"/>
    <x v="1"/>
    <x v="1"/>
    <n v="6"/>
    <n v="62479"/>
    <x v="4888"/>
    <n v="2394"/>
    <n v="372480"/>
    <n v="64013.825510000002"/>
    <x v="0"/>
    <x v="4"/>
  </r>
  <r>
    <n v="14932"/>
    <d v="2024-10-22T00:00:00"/>
    <x v="3"/>
    <x v="2"/>
    <x v="2"/>
    <x v="0"/>
    <n v="5"/>
    <n v="63321"/>
    <x v="4889"/>
    <n v="2057"/>
    <n v="314548"/>
    <n v="67521.648159999997"/>
    <x v="0"/>
    <x v="8"/>
  </r>
  <r>
    <n v="14933"/>
    <d v="2025-12-21T00:00:00"/>
    <x v="4"/>
    <x v="4"/>
    <x v="1"/>
    <x v="2"/>
    <n v="5"/>
    <n v="79011"/>
    <x v="4890"/>
    <n v="86"/>
    <n v="394969"/>
    <n v="60784.801489999998"/>
    <x v="1"/>
    <x v="3"/>
  </r>
  <r>
    <n v="14934"/>
    <d v="2025-10-01T00:00:00"/>
    <x v="0"/>
    <x v="3"/>
    <x v="2"/>
    <x v="2"/>
    <n v="9"/>
    <n v="40166"/>
    <x v="4891"/>
    <n v="2592"/>
    <n v="358902"/>
    <n v="49970.103580000003"/>
    <x v="1"/>
    <x v="8"/>
  </r>
  <r>
    <n v="14935"/>
    <d v="2024-12-05T00:00:00"/>
    <x v="4"/>
    <x v="3"/>
    <x v="0"/>
    <x v="1"/>
    <n v="2"/>
    <n v="58264"/>
    <x v="4892"/>
    <n v="4042"/>
    <n v="112486"/>
    <n v="13126.07958"/>
    <x v="0"/>
    <x v="3"/>
  </r>
  <r>
    <n v="14936"/>
    <d v="2025-09-19T00:00:00"/>
    <x v="3"/>
    <x v="2"/>
    <x v="2"/>
    <x v="0"/>
    <n v="1"/>
    <n v="8466"/>
    <x v="4893"/>
    <n v="2920"/>
    <n v="5546"/>
    <n v="782.97211879999998"/>
    <x v="1"/>
    <x v="2"/>
  </r>
  <r>
    <n v="14937"/>
    <d v="2025-03-14T00:00:00"/>
    <x v="1"/>
    <x v="3"/>
    <x v="0"/>
    <x v="0"/>
    <n v="6"/>
    <n v="26902"/>
    <x v="4894"/>
    <n v="3"/>
    <n v="161409"/>
    <n v="40193.209170000002"/>
    <x v="1"/>
    <x v="1"/>
  </r>
  <r>
    <n v="14938"/>
    <d v="2024-05-23T00:00:00"/>
    <x v="3"/>
    <x v="4"/>
    <x v="2"/>
    <x v="0"/>
    <n v="9"/>
    <n v="64805"/>
    <x v="4895"/>
    <n v="3094"/>
    <n v="580151"/>
    <n v="115272.53879999999"/>
    <x v="0"/>
    <x v="5"/>
  </r>
  <r>
    <n v="14939"/>
    <d v="2025-06-02T00:00:00"/>
    <x v="2"/>
    <x v="4"/>
    <x v="2"/>
    <x v="3"/>
    <n v="7"/>
    <n v="10363"/>
    <x v="4896"/>
    <n v="1521"/>
    <n v="71020"/>
    <n v="15654.04016"/>
    <x v="1"/>
    <x v="11"/>
  </r>
  <r>
    <n v="14940"/>
    <d v="2024-02-14T00:00:00"/>
    <x v="3"/>
    <x v="0"/>
    <x v="2"/>
    <x v="1"/>
    <n v="8"/>
    <n v="64397"/>
    <x v="4897"/>
    <n v="2948"/>
    <n v="512228"/>
    <n v="124869.0821"/>
    <x v="0"/>
    <x v="9"/>
  </r>
  <r>
    <n v="14941"/>
    <d v="2024-08-26T00:00:00"/>
    <x v="3"/>
    <x v="1"/>
    <x v="1"/>
    <x v="1"/>
    <n v="5"/>
    <n v="7134"/>
    <x v="4898"/>
    <n v="3857"/>
    <n v="31813"/>
    <n v="3558.2427809999999"/>
    <x v="0"/>
    <x v="6"/>
  </r>
  <r>
    <n v="14942"/>
    <d v="2024-06-03T00:00:00"/>
    <x v="2"/>
    <x v="3"/>
    <x v="1"/>
    <x v="2"/>
    <n v="4"/>
    <n v="70126"/>
    <x v="4899"/>
    <n v="1977"/>
    <n v="278527"/>
    <n v="34733.476649999997"/>
    <x v="0"/>
    <x v="11"/>
  </r>
  <r>
    <n v="14943"/>
    <d v="2024-06-29T00:00:00"/>
    <x v="0"/>
    <x v="4"/>
    <x v="1"/>
    <x v="2"/>
    <n v="6"/>
    <n v="55791"/>
    <x v="4900"/>
    <n v="1474"/>
    <n v="333272"/>
    <n v="79716.947320000007"/>
    <x v="0"/>
    <x v="11"/>
  </r>
  <r>
    <n v="14944"/>
    <d v="2024-08-02T00:00:00"/>
    <x v="3"/>
    <x v="1"/>
    <x v="1"/>
    <x v="1"/>
    <n v="3"/>
    <n v="46379"/>
    <x v="4901"/>
    <n v="1130"/>
    <n v="138007"/>
    <n v="25487.55399"/>
    <x v="0"/>
    <x v="6"/>
  </r>
  <r>
    <n v="14945"/>
    <d v="2024-03-28T00:00:00"/>
    <x v="4"/>
    <x v="1"/>
    <x v="1"/>
    <x v="1"/>
    <n v="1"/>
    <n v="42723"/>
    <x v="4902"/>
    <n v="880"/>
    <n v="41843"/>
    <n v="8168.8992950000002"/>
    <x v="0"/>
    <x v="1"/>
  </r>
  <r>
    <n v="14946"/>
    <d v="2024-09-12T00:00:00"/>
    <x v="3"/>
    <x v="0"/>
    <x v="2"/>
    <x v="2"/>
    <n v="4"/>
    <n v="46166"/>
    <x v="4903"/>
    <n v="1401"/>
    <n v="183263"/>
    <n v="30081.731220000001"/>
    <x v="0"/>
    <x v="2"/>
  </r>
  <r>
    <n v="14947"/>
    <d v="2025-05-25T00:00:00"/>
    <x v="4"/>
    <x v="1"/>
    <x v="1"/>
    <x v="1"/>
    <n v="9"/>
    <n v="12249"/>
    <x v="4904"/>
    <n v="1975"/>
    <n v="108266"/>
    <n v="24052.841209999999"/>
    <x v="1"/>
    <x v="5"/>
  </r>
  <r>
    <n v="14948"/>
    <d v="2024-03-13T00:00:00"/>
    <x v="2"/>
    <x v="1"/>
    <x v="0"/>
    <x v="2"/>
    <n v="4"/>
    <n v="8796"/>
    <x v="4905"/>
    <n v="1750"/>
    <n v="33434"/>
    <n v="5937.4314629999999"/>
    <x v="0"/>
    <x v="1"/>
  </r>
  <r>
    <n v="14949"/>
    <d v="2024-06-27T00:00:00"/>
    <x v="3"/>
    <x v="2"/>
    <x v="2"/>
    <x v="1"/>
    <n v="1"/>
    <n v="23918"/>
    <x v="4906"/>
    <n v="1"/>
    <n v="23917"/>
    <n v="5355.4807380000002"/>
    <x v="0"/>
    <x v="11"/>
  </r>
  <r>
    <n v="14950"/>
    <d v="2024-07-30T00:00:00"/>
    <x v="2"/>
    <x v="0"/>
    <x v="2"/>
    <x v="3"/>
    <n v="4"/>
    <n v="23564"/>
    <x v="4907"/>
    <n v="1144"/>
    <n v="93112"/>
    <n v="23168.87185"/>
    <x v="0"/>
    <x v="10"/>
  </r>
  <r>
    <n v="14951"/>
    <d v="2024-08-21T00:00:00"/>
    <x v="2"/>
    <x v="0"/>
    <x v="0"/>
    <x v="3"/>
    <n v="7"/>
    <n v="71982"/>
    <x v="4908"/>
    <n v="1638"/>
    <n v="502236"/>
    <n v="98945.020980000001"/>
    <x v="0"/>
    <x v="6"/>
  </r>
  <r>
    <n v="14952"/>
    <d v="2025-04-09T00:00:00"/>
    <x v="0"/>
    <x v="3"/>
    <x v="1"/>
    <x v="0"/>
    <n v="3"/>
    <n v="71487"/>
    <x v="4909"/>
    <n v="148"/>
    <n v="214313"/>
    <n v="38431.043839999998"/>
    <x v="1"/>
    <x v="0"/>
  </r>
  <r>
    <n v="14953"/>
    <d v="2024-08-10T00:00:00"/>
    <x v="3"/>
    <x v="1"/>
    <x v="0"/>
    <x v="1"/>
    <n v="6"/>
    <n v="58173"/>
    <x v="4910"/>
    <n v="4247"/>
    <n v="344791"/>
    <n v="53364.571259999997"/>
    <x v="0"/>
    <x v="6"/>
  </r>
  <r>
    <n v="14954"/>
    <d v="2025-09-22T00:00:00"/>
    <x v="4"/>
    <x v="3"/>
    <x v="2"/>
    <x v="2"/>
    <n v="1"/>
    <n v="72253"/>
    <x v="4911"/>
    <n v="2353"/>
    <n v="69900"/>
    <n v="9031.3921989999999"/>
    <x v="1"/>
    <x v="2"/>
  </r>
  <r>
    <n v="14955"/>
    <d v="2024-09-20T00:00:00"/>
    <x v="4"/>
    <x v="4"/>
    <x v="2"/>
    <x v="1"/>
    <n v="4"/>
    <n v="58394"/>
    <x v="4912"/>
    <n v="2043"/>
    <n v="231533"/>
    <n v="45958.992129999999"/>
    <x v="0"/>
    <x v="2"/>
  </r>
  <r>
    <n v="14956"/>
    <d v="2024-07-25T00:00:00"/>
    <x v="3"/>
    <x v="1"/>
    <x v="2"/>
    <x v="1"/>
    <n v="3"/>
    <n v="16390"/>
    <x v="4913"/>
    <n v="1702"/>
    <n v="47468"/>
    <n v="5192.7893320000003"/>
    <x v="0"/>
    <x v="10"/>
  </r>
  <r>
    <n v="14957"/>
    <d v="2025-08-29T00:00:00"/>
    <x v="0"/>
    <x v="4"/>
    <x v="0"/>
    <x v="0"/>
    <n v="1"/>
    <n v="61627"/>
    <x v="4914"/>
    <n v="2929"/>
    <n v="58698"/>
    <n v="14289.6253"/>
    <x v="1"/>
    <x v="6"/>
  </r>
  <r>
    <n v="14958"/>
    <d v="2024-12-31T00:00:00"/>
    <x v="0"/>
    <x v="2"/>
    <x v="1"/>
    <x v="2"/>
    <n v="3"/>
    <n v="35950"/>
    <x v="4915"/>
    <n v="4570"/>
    <n v="103280"/>
    <n v="20359.92524"/>
    <x v="0"/>
    <x v="3"/>
  </r>
  <r>
    <n v="14959"/>
    <d v="2024-10-02T00:00:00"/>
    <x v="0"/>
    <x v="1"/>
    <x v="2"/>
    <x v="1"/>
    <n v="4"/>
    <n v="77130"/>
    <x v="4916"/>
    <n v="1387"/>
    <n v="307133"/>
    <n v="74911.095000000001"/>
    <x v="0"/>
    <x v="8"/>
  </r>
  <r>
    <n v="14960"/>
    <d v="2025-01-14T00:00:00"/>
    <x v="4"/>
    <x v="3"/>
    <x v="1"/>
    <x v="2"/>
    <n v="5"/>
    <n v="67963"/>
    <x v="4917"/>
    <n v="4902"/>
    <n v="334913"/>
    <n v="47169.540959999998"/>
    <x v="1"/>
    <x v="4"/>
  </r>
  <r>
    <n v="14961"/>
    <d v="2024-11-04T00:00:00"/>
    <x v="2"/>
    <x v="3"/>
    <x v="2"/>
    <x v="1"/>
    <n v="6"/>
    <n v="49693"/>
    <x v="4918"/>
    <n v="1663"/>
    <n v="296495"/>
    <n v="71745.08094"/>
    <x v="0"/>
    <x v="7"/>
  </r>
  <r>
    <n v="14962"/>
    <d v="2025-09-22T00:00:00"/>
    <x v="0"/>
    <x v="1"/>
    <x v="1"/>
    <x v="0"/>
    <n v="2"/>
    <n v="24600"/>
    <x v="4919"/>
    <n v="2080"/>
    <n v="47120"/>
    <n v="9038.500505"/>
    <x v="1"/>
    <x v="2"/>
  </r>
  <r>
    <n v="14963"/>
    <d v="2024-09-24T00:00:00"/>
    <x v="4"/>
    <x v="3"/>
    <x v="0"/>
    <x v="2"/>
    <n v="2"/>
    <n v="79634"/>
    <x v="4920"/>
    <n v="1996"/>
    <n v="157272"/>
    <n v="34841.975169999998"/>
    <x v="0"/>
    <x v="2"/>
  </r>
  <r>
    <n v="14964"/>
    <d v="2024-03-04T00:00:00"/>
    <x v="4"/>
    <x v="1"/>
    <x v="2"/>
    <x v="1"/>
    <n v="6"/>
    <n v="68086"/>
    <x v="4921"/>
    <n v="3692"/>
    <n v="404824"/>
    <n v="51347.267059999998"/>
    <x v="0"/>
    <x v="1"/>
  </r>
  <r>
    <n v="14965"/>
    <d v="2024-12-15T00:00:00"/>
    <x v="2"/>
    <x v="0"/>
    <x v="2"/>
    <x v="3"/>
    <n v="5"/>
    <n v="19012"/>
    <x v="4922"/>
    <n v="3230"/>
    <n v="91830"/>
    <n v="16071.77031"/>
    <x v="0"/>
    <x v="3"/>
  </r>
  <r>
    <n v="14966"/>
    <d v="2025-05-08T00:00:00"/>
    <x v="3"/>
    <x v="3"/>
    <x v="2"/>
    <x v="2"/>
    <n v="1"/>
    <n v="35702"/>
    <x v="4923"/>
    <n v="1250"/>
    <n v="34452"/>
    <n v="6385.4733800000004"/>
    <x v="1"/>
    <x v="5"/>
  </r>
  <r>
    <n v="14967"/>
    <d v="2025-06-06T00:00:00"/>
    <x v="3"/>
    <x v="1"/>
    <x v="0"/>
    <x v="0"/>
    <n v="3"/>
    <n v="53176"/>
    <x v="4924"/>
    <n v="4462"/>
    <n v="155066"/>
    <n v="24644.354640000001"/>
    <x v="1"/>
    <x v="11"/>
  </r>
  <r>
    <n v="14968"/>
    <d v="2024-04-07T00:00:00"/>
    <x v="0"/>
    <x v="1"/>
    <x v="0"/>
    <x v="3"/>
    <n v="5"/>
    <n v="15346"/>
    <x v="4925"/>
    <n v="2036"/>
    <n v="74694"/>
    <n v="10306.64489"/>
    <x v="0"/>
    <x v="0"/>
  </r>
  <r>
    <n v="14969"/>
    <d v="2024-03-11T00:00:00"/>
    <x v="0"/>
    <x v="3"/>
    <x v="1"/>
    <x v="2"/>
    <n v="2"/>
    <n v="19428"/>
    <x v="4926"/>
    <n v="537"/>
    <n v="38319"/>
    <n v="9032.4094980000009"/>
    <x v="0"/>
    <x v="1"/>
  </r>
  <r>
    <n v="14970"/>
    <d v="2024-12-29T00:00:00"/>
    <x v="2"/>
    <x v="0"/>
    <x v="0"/>
    <x v="2"/>
    <n v="1"/>
    <n v="10755"/>
    <x v="4927"/>
    <n v="1554"/>
    <n v="9201"/>
    <n v="1037.494015"/>
    <x v="0"/>
    <x v="3"/>
  </r>
  <r>
    <n v="14971"/>
    <d v="2025-07-23T00:00:00"/>
    <x v="0"/>
    <x v="3"/>
    <x v="2"/>
    <x v="2"/>
    <n v="9"/>
    <n v="11283"/>
    <x v="4928"/>
    <n v="2152"/>
    <n v="99395"/>
    <n v="12235.332039999999"/>
    <x v="1"/>
    <x v="10"/>
  </r>
  <r>
    <n v="14972"/>
    <d v="2024-10-02T00:00:00"/>
    <x v="2"/>
    <x v="1"/>
    <x v="1"/>
    <x v="2"/>
    <n v="5"/>
    <n v="54036"/>
    <x v="4929"/>
    <n v="790"/>
    <n v="269390"/>
    <n v="39890.349880000002"/>
    <x v="0"/>
    <x v="8"/>
  </r>
  <r>
    <n v="14973"/>
    <d v="2024-02-19T00:00:00"/>
    <x v="4"/>
    <x v="0"/>
    <x v="0"/>
    <x v="1"/>
    <n v="2"/>
    <n v="6337"/>
    <x v="4930"/>
    <n v="1948"/>
    <n v="10726"/>
    <n v="2552.4179549999999"/>
    <x v="0"/>
    <x v="9"/>
  </r>
  <r>
    <n v="14974"/>
    <d v="2024-12-23T00:00:00"/>
    <x v="0"/>
    <x v="4"/>
    <x v="1"/>
    <x v="1"/>
    <n v="4"/>
    <n v="64786"/>
    <x v="4931"/>
    <n v="4143"/>
    <n v="255001"/>
    <n v="47081.231299999999"/>
    <x v="0"/>
    <x v="3"/>
  </r>
  <r>
    <n v="14975"/>
    <d v="2025-12-28T00:00:00"/>
    <x v="4"/>
    <x v="2"/>
    <x v="1"/>
    <x v="2"/>
    <n v="3"/>
    <n v="67968"/>
    <x v="4932"/>
    <n v="4755"/>
    <n v="199149"/>
    <n v="31062.475129999999"/>
    <x v="1"/>
    <x v="3"/>
  </r>
  <r>
    <n v="14976"/>
    <d v="2025-07-17T00:00:00"/>
    <x v="1"/>
    <x v="3"/>
    <x v="1"/>
    <x v="0"/>
    <n v="7"/>
    <n v="25857"/>
    <x v="4933"/>
    <n v="1435"/>
    <n v="179564"/>
    <n v="28802.376660000002"/>
    <x v="1"/>
    <x v="10"/>
  </r>
  <r>
    <n v="14977"/>
    <d v="2025-04-29T00:00:00"/>
    <x v="2"/>
    <x v="1"/>
    <x v="2"/>
    <x v="1"/>
    <n v="1"/>
    <n v="32640"/>
    <x v="4934"/>
    <n v="3249"/>
    <n v="29391"/>
    <n v="6632.5681830000003"/>
    <x v="1"/>
    <x v="0"/>
  </r>
  <r>
    <n v="14978"/>
    <d v="2024-03-24T00:00:00"/>
    <x v="1"/>
    <x v="0"/>
    <x v="2"/>
    <x v="2"/>
    <n v="4"/>
    <n v="43435"/>
    <x v="4935"/>
    <n v="2848"/>
    <n v="170892"/>
    <n v="17775.662260000001"/>
    <x v="0"/>
    <x v="1"/>
  </r>
  <r>
    <n v="14979"/>
    <d v="2025-09-29T00:00:00"/>
    <x v="0"/>
    <x v="0"/>
    <x v="0"/>
    <x v="2"/>
    <n v="7"/>
    <n v="21214"/>
    <x v="4936"/>
    <n v="113"/>
    <n v="148385"/>
    <n v="15090.88192"/>
    <x v="1"/>
    <x v="2"/>
  </r>
  <r>
    <n v="14980"/>
    <d v="2025-08-06T00:00:00"/>
    <x v="4"/>
    <x v="4"/>
    <x v="2"/>
    <x v="0"/>
    <n v="5"/>
    <n v="46532"/>
    <x v="4937"/>
    <n v="2343"/>
    <n v="230317"/>
    <n v="24623.813340000001"/>
    <x v="1"/>
    <x v="6"/>
  </r>
  <r>
    <n v="14981"/>
    <d v="2024-10-22T00:00:00"/>
    <x v="0"/>
    <x v="3"/>
    <x v="1"/>
    <x v="0"/>
    <n v="4"/>
    <n v="31531"/>
    <x v="4938"/>
    <n v="4533"/>
    <n v="121591"/>
    <n v="20716.765780000002"/>
    <x v="0"/>
    <x v="8"/>
  </r>
  <r>
    <n v="14982"/>
    <d v="2024-08-23T00:00:00"/>
    <x v="1"/>
    <x v="0"/>
    <x v="1"/>
    <x v="0"/>
    <n v="4"/>
    <n v="78549"/>
    <x v="4939"/>
    <n v="161"/>
    <n v="314035"/>
    <n v="58783.398050000003"/>
    <x v="0"/>
    <x v="6"/>
  </r>
  <r>
    <n v="14983"/>
    <d v="2024-02-25T00:00:00"/>
    <x v="0"/>
    <x v="4"/>
    <x v="2"/>
    <x v="3"/>
    <n v="2"/>
    <n v="40812"/>
    <x v="4940"/>
    <n v="3912"/>
    <n v="77712"/>
    <n v="15050.508030000001"/>
    <x v="0"/>
    <x v="9"/>
  </r>
  <r>
    <n v="14984"/>
    <d v="2024-12-25T00:00:00"/>
    <x v="3"/>
    <x v="1"/>
    <x v="1"/>
    <x v="2"/>
    <n v="8"/>
    <n v="63928"/>
    <x v="4941"/>
    <n v="503"/>
    <n v="510921"/>
    <n v="107125.0966"/>
    <x v="0"/>
    <x v="3"/>
  </r>
  <r>
    <n v="14985"/>
    <d v="2024-04-19T00:00:00"/>
    <x v="1"/>
    <x v="4"/>
    <x v="2"/>
    <x v="0"/>
    <n v="4"/>
    <n v="75554"/>
    <x v="4942"/>
    <n v="2634"/>
    <n v="299582"/>
    <n v="38483.87472"/>
    <x v="0"/>
    <x v="0"/>
  </r>
  <r>
    <n v="14986"/>
    <d v="2024-07-10T00:00:00"/>
    <x v="0"/>
    <x v="3"/>
    <x v="1"/>
    <x v="2"/>
    <n v="2"/>
    <n v="68883"/>
    <x v="4943"/>
    <n v="2505"/>
    <n v="135261"/>
    <n v="18847.633140000002"/>
    <x v="0"/>
    <x v="10"/>
  </r>
  <r>
    <n v="14987"/>
    <d v="2024-04-02T00:00:00"/>
    <x v="4"/>
    <x v="4"/>
    <x v="0"/>
    <x v="1"/>
    <n v="9"/>
    <n v="57398"/>
    <x v="4944"/>
    <n v="1394"/>
    <n v="515188"/>
    <n v="70336.583880000006"/>
    <x v="0"/>
    <x v="0"/>
  </r>
  <r>
    <n v="14988"/>
    <d v="2025-07-21T00:00:00"/>
    <x v="0"/>
    <x v="0"/>
    <x v="0"/>
    <x v="2"/>
    <n v="7"/>
    <n v="47774"/>
    <x v="4945"/>
    <n v="1509"/>
    <n v="332909"/>
    <n v="40740.0101"/>
    <x v="1"/>
    <x v="10"/>
  </r>
  <r>
    <n v="14989"/>
    <d v="2024-02-29T00:00:00"/>
    <x v="4"/>
    <x v="0"/>
    <x v="2"/>
    <x v="2"/>
    <n v="3"/>
    <n v="36090"/>
    <x v="4946"/>
    <n v="2319"/>
    <n v="105951"/>
    <n v="14479.193359999999"/>
    <x v="0"/>
    <x v="9"/>
  </r>
  <r>
    <n v="14990"/>
    <d v="2025-10-11T00:00:00"/>
    <x v="3"/>
    <x v="2"/>
    <x v="2"/>
    <x v="3"/>
    <n v="7"/>
    <n v="41809"/>
    <x v="4947"/>
    <n v="3250"/>
    <n v="289413"/>
    <n v="55581.157930000001"/>
    <x v="1"/>
    <x v="8"/>
  </r>
  <r>
    <n v="14991"/>
    <d v="2024-02-08T00:00:00"/>
    <x v="0"/>
    <x v="4"/>
    <x v="2"/>
    <x v="1"/>
    <n v="1"/>
    <n v="72425"/>
    <x v="4948"/>
    <n v="479"/>
    <n v="71946"/>
    <n v="11148.877280000001"/>
    <x v="0"/>
    <x v="9"/>
  </r>
  <r>
    <n v="14992"/>
    <d v="2025-06-23T00:00:00"/>
    <x v="3"/>
    <x v="1"/>
    <x v="2"/>
    <x v="1"/>
    <n v="1"/>
    <n v="29060"/>
    <x v="4949"/>
    <n v="4254"/>
    <n v="24806"/>
    <n v="5337.9253870000002"/>
    <x v="1"/>
    <x v="11"/>
  </r>
  <r>
    <n v="14993"/>
    <d v="2024-02-18T00:00:00"/>
    <x v="1"/>
    <x v="3"/>
    <x v="2"/>
    <x v="3"/>
    <n v="4"/>
    <n v="15091"/>
    <x v="4950"/>
    <n v="754"/>
    <n v="59610"/>
    <n v="10757.38869"/>
    <x v="0"/>
    <x v="9"/>
  </r>
  <r>
    <n v="14994"/>
    <d v="2025-02-23T00:00:00"/>
    <x v="4"/>
    <x v="2"/>
    <x v="1"/>
    <x v="0"/>
    <n v="4"/>
    <n v="51283"/>
    <x v="4951"/>
    <n v="3999"/>
    <n v="201133"/>
    <n v="26510.51107"/>
    <x v="1"/>
    <x v="9"/>
  </r>
  <r>
    <n v="14995"/>
    <d v="2025-09-28T00:00:00"/>
    <x v="1"/>
    <x v="4"/>
    <x v="0"/>
    <x v="0"/>
    <n v="4"/>
    <n v="24039"/>
    <x v="4952"/>
    <n v="1836"/>
    <n v="94320"/>
    <n v="16044.52054"/>
    <x v="1"/>
    <x v="2"/>
  </r>
  <r>
    <n v="14996"/>
    <d v="2024-01-13T00:00:00"/>
    <x v="4"/>
    <x v="1"/>
    <x v="1"/>
    <x v="2"/>
    <n v="9"/>
    <n v="48289"/>
    <x v="4953"/>
    <n v="203"/>
    <n v="434398"/>
    <n v="82103.533169999995"/>
    <x v="0"/>
    <x v="4"/>
  </r>
  <r>
    <n v="14997"/>
    <d v="2024-02-05T00:00:00"/>
    <x v="3"/>
    <x v="2"/>
    <x v="0"/>
    <x v="3"/>
    <n v="6"/>
    <n v="8718"/>
    <x v="4954"/>
    <n v="2842"/>
    <n v="49466"/>
    <n v="11373.68007"/>
    <x v="0"/>
    <x v="9"/>
  </r>
  <r>
    <n v="14998"/>
    <d v="2024-04-10T00:00:00"/>
    <x v="2"/>
    <x v="0"/>
    <x v="1"/>
    <x v="0"/>
    <n v="3"/>
    <n v="26919"/>
    <x v="4955"/>
    <n v="3349"/>
    <n v="77408"/>
    <n v="17421.2618"/>
    <x v="0"/>
    <x v="0"/>
  </r>
  <r>
    <n v="14999"/>
    <d v="2024-03-26T00:00:00"/>
    <x v="0"/>
    <x v="3"/>
    <x v="1"/>
    <x v="1"/>
    <n v="6"/>
    <n v="47016"/>
    <x v="4956"/>
    <n v="3214"/>
    <n v="278882"/>
    <n v="45728.832419999999"/>
    <x v="0"/>
    <x v="1"/>
  </r>
  <r>
    <n v="15000"/>
    <d v="2025-05-30T00:00:00"/>
    <x v="3"/>
    <x v="4"/>
    <x v="1"/>
    <x v="3"/>
    <n v="2"/>
    <n v="39398"/>
    <x v="639"/>
    <n v="3591"/>
    <n v="75205"/>
    <n v="14826.769"/>
    <x v="1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4" cacheId="2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F104:G110" firstHeaderRow="1" firstDataRow="1" firstDataCol="1" rowPageCount="1" colPageCount="1"/>
  <pivotFields count="14">
    <pivotField showAll="0"/>
    <pivotField numFmtId="164" showAll="0"/>
    <pivotField axis="axisRow" showAll="0">
      <items count="6">
        <item x="2"/>
        <item x="3"/>
        <item x="0"/>
        <item x="4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Page" showAll="0">
      <items count="3">
        <item x="0"/>
        <item x="1"/>
        <item t="default"/>
      </items>
    </pivotField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2" item="0" hier="-1"/>
  </pageFields>
  <dataFields count="1">
    <dataField name="Sum of Profit" fld="1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3" cacheId="2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F93:G99" firstHeaderRow="1" firstDataRow="1" firstDataCol="1"/>
  <pivotFields count="14">
    <pivotField showAll="0"/>
    <pivotField numFmtId="164" showAll="0"/>
    <pivotField axis="axisRow" showAll="0">
      <items count="6">
        <item x="2"/>
        <item x="3"/>
        <item x="0"/>
        <item x="4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Unit_Price" fld="7" subtotal="average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12" cacheId="2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F84:G88" firstHeaderRow="1" firstDataRow="1" firstDataCol="1"/>
  <pivotFields count="14"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 measureFilter="1">
      <items count="13">
        <item x="4"/>
        <item x="9"/>
        <item x="1"/>
        <item x="0"/>
        <item x="5"/>
        <item x="11"/>
        <item x="10"/>
        <item x="6"/>
        <item x="2"/>
        <item x="8"/>
        <item x="7"/>
        <item x="3"/>
        <item t="default"/>
      </items>
    </pivotField>
  </pivotFields>
  <rowFields count="1">
    <field x="13"/>
  </rowFields>
  <rowItems count="4">
    <i>
      <x v="4"/>
    </i>
    <i>
      <x v="6"/>
    </i>
    <i>
      <x v="9"/>
    </i>
    <i t="grand">
      <x/>
    </i>
  </rowItems>
  <colItems count="1">
    <i/>
  </colItems>
  <dataFields count="1">
    <dataField name="Sum of Net_Sales" fld="10" baseField="0" baseItem="0"/>
  </dataFields>
  <pivotTableStyleInfo name="PivotStyleLight16" showRowHeaders="1" showColHeaders="1" showRowStripes="0" showColStripes="0" showLastColumn="1"/>
  <filters count="1">
    <filter fld="13" type="count" evalOrder="-1" id="1" iMeasureFld="0">
      <autoFilter ref="A1">
        <filterColumn colId="0">
          <top10 val="3" filterVal="3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11" cacheId="2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F75:G80" firstHeaderRow="1" firstDataRow="1" firstDataCol="1"/>
  <pivotFields count="14">
    <pivotField showAll="0"/>
    <pivotField numFmtId="164" showAll="0"/>
    <pivotField showAll="0"/>
    <pivotField showAll="0"/>
    <pivotField showAll="0"/>
    <pivotField axis="axisRow" showAll="0" measureFilter="1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Net_Sales" fld="10" baseField="0" baseItem="0"/>
  </dataFields>
  <pivotTableStyleInfo name="PivotStyleLight16" showRowHeaders="1" showColHeaders="1" showRowStripes="0" showColStripes="0" showLastColumn="1"/>
  <filters count="1">
    <filter fld="5" type="count" evalOrder="-1" id="1" iMeasureFld="0">
      <autoFilter ref="A1">
        <filterColumn colId="0">
          <top10 val="4" filterVal="4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10" cacheId="2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F54:G67" firstHeaderRow="1" firstDataRow="1" firstDataCol="1"/>
  <pivotFields count="14"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>
      <items count="13">
        <item x="4"/>
        <item x="9"/>
        <item x="1"/>
        <item x="0"/>
        <item x="5"/>
        <item x="11"/>
        <item x="10"/>
        <item x="6"/>
        <item x="2"/>
        <item x="8"/>
        <item x="7"/>
        <item x="3"/>
        <item t="default"/>
      </items>
    </pivotField>
  </pivotFields>
  <rowFields count="1">
    <field x="13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Discount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9" cacheId="2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F47:G49" firstHeaderRow="1" firstDataRow="1" firstDataCol="1"/>
  <pivotFields count="14">
    <pivotField showAll="0"/>
    <pivotField numFmtId="164" showAll="0"/>
    <pivotField showAll="0"/>
    <pivotField showAll="0"/>
    <pivotField axis="axisRow" showAll="0" measureFilter="1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4"/>
  </rowFields>
  <rowItems count="2">
    <i>
      <x v="1"/>
    </i>
    <i t="grand">
      <x/>
    </i>
  </rowItems>
  <colItems count="1">
    <i/>
  </colItems>
  <dataFields count="1">
    <dataField name="Sum of Profit" fld="11" baseField="0" baseItem="0"/>
  </dataFields>
  <pivotTableStyleInfo name="PivotStyleLight16" showRowHeaders="1" showColHeaders="1" showRowStripes="0" showColStripes="0" showLastColumn="1"/>
  <filters count="1">
    <filter fld="4" type="count" evalOrder="-1" id="1" iMeasureFld="0">
      <autoFilter ref="A1">
        <filterColumn colId="0">
          <top10 val="1" filterVal="1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8" cacheId="2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F37:G42" firstHeaderRow="1" firstDataRow="1" firstDataCol="1"/>
  <pivotFields count="14">
    <pivotField showAll="0"/>
    <pivotField numFmtId="164" showAll="0"/>
    <pivotField showAll="0"/>
    <pivotField axis="axisRow" showAll="0" measureFilter="1">
      <items count="6">
        <item x="4"/>
        <item x="0"/>
        <item x="1"/>
        <item x="3"/>
        <item x="2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2"/>
    </i>
    <i>
      <x v="3"/>
    </i>
    <i>
      <x v="4"/>
    </i>
    <i t="grand">
      <x/>
    </i>
  </rowItems>
  <colItems count="1">
    <i/>
  </colItems>
  <dataFields count="1">
    <dataField name="Sum of Total_Sales" fld="8" baseField="0" baseItem="0"/>
  </dataFields>
  <pivotTableStyleInfo name="PivotStyleLight16" showRowHeaders="1" showColHeaders="1" showRowStripes="0" showColStripes="0" showLastColumn="1"/>
  <filters count="1">
    <filter fld="3" type="count" evalOrder="-1" id="2" iMeasureFld="0">
      <autoFilter ref="A1">
        <filterColumn colId="0">
          <top10 val="4" filterVal="4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7" cacheId="2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F27:G33" firstHeaderRow="1" firstDataRow="1" firstDataCol="1"/>
  <pivotFields count="14">
    <pivotField showAll="0"/>
    <pivotField numFmtId="164" showAll="0"/>
    <pivotField showAll="0"/>
    <pivotField axis="axisRow" showAll="0" sortType="ascending">
      <items count="6">
        <item x="4"/>
        <item x="0"/>
        <item x="1"/>
        <item x="3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Profit" fld="1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PivotTable6" cacheId="2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F16:G22" firstHeaderRow="1" firstDataRow="1" firstDataCol="1"/>
  <pivotFields count="14">
    <pivotField showAll="0"/>
    <pivotField numFmtId="164" showAll="0"/>
    <pivotField axis="axisRow" showAll="0" measureFilter="1">
      <items count="6">
        <item x="2"/>
        <item x="3"/>
        <item x="0"/>
        <item x="4"/>
        <item x="1"/>
        <item t="default"/>
      </items>
    </pivotField>
    <pivotField showAll="0"/>
    <pivotField showAll="0"/>
    <pivotField showAll="0"/>
    <pivotField showAll="0"/>
    <pivotField showAll="0"/>
    <pivotField dataField="1" showAll="0">
      <items count="4958">
        <item x="1725"/>
        <item x="654"/>
        <item x="4128"/>
        <item x="3898"/>
        <item x="49"/>
        <item x="1564"/>
        <item x="2550"/>
        <item x="718"/>
        <item x="2299"/>
        <item x="4105"/>
        <item x="1904"/>
        <item x="3140"/>
        <item x="1978"/>
        <item x="2906"/>
        <item x="3752"/>
        <item x="2463"/>
        <item x="3418"/>
        <item x="3603"/>
        <item x="4364"/>
        <item x="3812"/>
        <item x="1395"/>
        <item x="785"/>
        <item x="2130"/>
        <item x="4868"/>
        <item x="4893"/>
        <item x="1171"/>
        <item x="303"/>
        <item x="2964"/>
        <item x="4769"/>
        <item x="1634"/>
        <item x="2149"/>
        <item x="2218"/>
        <item x="798"/>
        <item x="1079"/>
        <item x="1603"/>
        <item x="1544"/>
        <item x="2128"/>
        <item x="471"/>
        <item x="2427"/>
        <item x="2619"/>
        <item x="2164"/>
        <item x="3180"/>
        <item x="4016"/>
        <item x="1156"/>
        <item x="4927"/>
        <item x="2977"/>
        <item x="3133"/>
        <item x="1662"/>
        <item x="2738"/>
        <item x="3415"/>
        <item x="296"/>
        <item x="158"/>
        <item x="1044"/>
        <item x="179"/>
        <item x="2742"/>
        <item x="1350"/>
        <item x="1160"/>
        <item x="1624"/>
        <item x="3540"/>
        <item x="74"/>
        <item x="3802"/>
        <item x="1571"/>
        <item x="3545"/>
        <item x="520"/>
        <item x="3174"/>
        <item x="4930"/>
        <item x="2806"/>
        <item x="2314"/>
        <item x="4263"/>
        <item x="1974"/>
        <item x="2252"/>
        <item x="1447"/>
        <item x="309"/>
        <item x="2614"/>
        <item x="131"/>
        <item x="2477"/>
        <item x="4577"/>
        <item x="3659"/>
        <item x="1882"/>
        <item x="2938"/>
        <item x="3843"/>
        <item x="3444"/>
        <item x="2628"/>
        <item x="295"/>
        <item x="3215"/>
        <item x="3479"/>
        <item x="842"/>
        <item x="2249"/>
        <item x="2174"/>
        <item x="2111"/>
        <item x="422"/>
        <item x="3345"/>
        <item x="2317"/>
        <item x="2240"/>
        <item x="906"/>
        <item x="4015"/>
        <item x="2498"/>
        <item x="3689"/>
        <item x="3280"/>
        <item x="4419"/>
        <item x="3514"/>
        <item x="2650"/>
        <item x="688"/>
        <item x="1674"/>
        <item x="2414"/>
        <item x="1626"/>
        <item x="4209"/>
        <item x="1364"/>
        <item x="1318"/>
        <item x="566"/>
        <item x="4042"/>
        <item x="4217"/>
        <item x="2637"/>
        <item x="3446"/>
        <item x="4304"/>
        <item x="2988"/>
        <item x="3293"/>
        <item x="4331"/>
        <item x="2841"/>
        <item x="1363"/>
        <item x="3772"/>
        <item x="1444"/>
        <item x="2780"/>
        <item x="4480"/>
        <item x="4848"/>
        <item x="3773"/>
        <item x="1925"/>
        <item x="2513"/>
        <item x="1655"/>
        <item x="1302"/>
        <item x="2551"/>
        <item x="198"/>
        <item x="26"/>
        <item x="627"/>
        <item x="2789"/>
        <item x="2060"/>
        <item x="2224"/>
        <item x="886"/>
        <item x="2993"/>
        <item x="3212"/>
        <item x="1063"/>
        <item x="4725"/>
        <item x="3591"/>
        <item x="1236"/>
        <item x="1948"/>
        <item x="3575"/>
        <item x="3876"/>
        <item x="1278"/>
        <item x="4376"/>
        <item x="3435"/>
        <item x="2713"/>
        <item x="4395"/>
        <item x="3453"/>
        <item x="181"/>
        <item x="2827"/>
        <item x="2720"/>
        <item x="2901"/>
        <item x="1854"/>
        <item x="4676"/>
        <item x="3029"/>
        <item x="4690"/>
        <item x="2334"/>
        <item x="1712"/>
        <item x="2176"/>
        <item x="4546"/>
        <item x="775"/>
        <item x="1546"/>
        <item x="622"/>
        <item x="1374"/>
        <item x="4145"/>
        <item x="3583"/>
        <item x="4163"/>
        <item x="1681"/>
        <item x="127"/>
        <item x="629"/>
        <item x="3718"/>
        <item x="221"/>
        <item x="267"/>
        <item x="1958"/>
        <item x="4221"/>
        <item x="3859"/>
        <item x="2760"/>
        <item x="2264"/>
        <item x="3783"/>
        <item x="4780"/>
        <item x="1687"/>
        <item x="4598"/>
        <item x="4179"/>
        <item x="3046"/>
        <item x="3085"/>
        <item x="2559"/>
        <item x="2192"/>
        <item x="2386"/>
        <item x="4187"/>
        <item x="2104"/>
        <item x="2564"/>
        <item x="497"/>
        <item x="2189"/>
        <item x="2202"/>
        <item x="1446"/>
        <item x="3557"/>
        <item x="3654"/>
        <item x="2960"/>
        <item x="1115"/>
        <item x="3267"/>
        <item x="2816"/>
        <item x="665"/>
        <item x="4201"/>
        <item x="1548"/>
        <item x="1972"/>
        <item x="446"/>
        <item x="2658"/>
        <item x="3192"/>
        <item x="1873"/>
        <item x="4076"/>
        <item x="2086"/>
        <item x="3392"/>
        <item x="1602"/>
        <item x="4730"/>
        <item x="100"/>
        <item x="1938"/>
        <item x="4906"/>
        <item x="1304"/>
        <item x="3805"/>
        <item x="3111"/>
        <item x="3339"/>
        <item x="3166"/>
        <item x="493"/>
        <item x="634"/>
        <item x="1029"/>
        <item x="4866"/>
        <item x="1916"/>
        <item x="599"/>
        <item x="4777"/>
        <item x="3537"/>
        <item x="1035"/>
        <item x="1291"/>
        <item x="3112"/>
        <item x="472"/>
        <item x="3057"/>
        <item x="601"/>
        <item x="2862"/>
        <item x="4405"/>
        <item x="4814"/>
        <item x="1512"/>
        <item x="969"/>
        <item x="2899"/>
        <item x="4195"/>
        <item x="1717"/>
        <item x="1533"/>
        <item x="4329"/>
        <item x="351"/>
        <item x="2836"/>
        <item x="4614"/>
        <item x="1749"/>
        <item x="157"/>
        <item x="2157"/>
        <item x="3222"/>
        <item x="1865"/>
        <item x="4509"/>
        <item x="1027"/>
        <item x="1479"/>
        <item x="1295"/>
        <item x="773"/>
        <item x="4017"/>
        <item x="2230"/>
        <item x="2667"/>
        <item x="3228"/>
        <item x="3746"/>
        <item x="4337"/>
        <item x="2429"/>
        <item x="724"/>
        <item x="1827"/>
        <item x="4559"/>
        <item x="948"/>
        <item x="4067"/>
        <item x="916"/>
        <item x="1024"/>
        <item x="4186"/>
        <item x="920"/>
        <item x="4747"/>
        <item x="1143"/>
        <item x="1284"/>
        <item x="166"/>
        <item x="2256"/>
        <item x="3397"/>
        <item x="147"/>
        <item x="3675"/>
        <item x="1589"/>
        <item x="960"/>
        <item x="3850"/>
        <item x="2303"/>
        <item x="4521"/>
        <item x="768"/>
        <item x="3500"/>
        <item x="3877"/>
        <item x="3082"/>
        <item x="615"/>
        <item x="1615"/>
        <item x="4560"/>
        <item x="4334"/>
        <item x="2986"/>
        <item x="4949"/>
        <item x="4365"/>
        <item x="917"/>
        <item x="1119"/>
        <item x="244"/>
        <item x="3972"/>
        <item x="3652"/>
        <item x="745"/>
        <item x="4535"/>
        <item x="343"/>
        <item x="2247"/>
        <item x="1543"/>
        <item x="1397"/>
        <item x="2205"/>
        <item x="3281"/>
        <item x="1896"/>
        <item x="335"/>
        <item x="2588"/>
        <item x="3944"/>
        <item x="788"/>
        <item x="1848"/>
        <item x="2770"/>
        <item x="3442"/>
        <item x="4734"/>
        <item x="4613"/>
        <item x="3878"/>
        <item x="2992"/>
        <item x="624"/>
        <item x="4493"/>
        <item x="3238"/>
        <item x="3157"/>
        <item x="3889"/>
        <item x="316"/>
        <item x="676"/>
        <item x="2178"/>
        <item x="1260"/>
        <item x="259"/>
        <item x="1970"/>
        <item x="1399"/>
        <item x="1090"/>
        <item x="1755"/>
        <item x="397"/>
        <item x="4745"/>
        <item x="152"/>
        <item x="3312"/>
        <item x="1133"/>
        <item x="1166"/>
        <item x="919"/>
        <item x="2687"/>
        <item x="4736"/>
        <item x="492"/>
        <item x="254"/>
        <item x="1708"/>
        <item x="2884"/>
        <item x="1526"/>
        <item x="672"/>
        <item x="4707"/>
        <item x="818"/>
        <item x="4784"/>
        <item x="2974"/>
        <item x="3310"/>
        <item x="3633"/>
        <item x="766"/>
        <item x="1420"/>
        <item x="338"/>
        <item x="2094"/>
        <item x="2097"/>
        <item x="4308"/>
        <item x="153"/>
        <item x="535"/>
        <item x="4474"/>
        <item x="4759"/>
        <item x="3820"/>
        <item x="2022"/>
        <item x="1391"/>
        <item x="4517"/>
        <item x="4934"/>
        <item x="416"/>
        <item x="70"/>
        <item x="1352"/>
        <item x="178"/>
        <item x="4406"/>
        <item x="4095"/>
        <item x="3022"/>
        <item x="3177"/>
        <item x="1909"/>
        <item x="3186"/>
        <item x="1474"/>
        <item x="2768"/>
        <item x="4458"/>
        <item x="3586"/>
        <item x="4318"/>
        <item x="328"/>
        <item x="2870"/>
        <item x="496"/>
        <item x="2589"/>
        <item x="2665"/>
        <item x="4361"/>
        <item x="1186"/>
        <item x="2801"/>
        <item x="3006"/>
        <item x="3505"/>
        <item x="3305"/>
        <item x="4610"/>
        <item x="3273"/>
        <item x="1947"/>
        <item x="45"/>
        <item x="4088"/>
        <item x="2331"/>
        <item x="2686"/>
        <item x="1153"/>
        <item x="217"/>
        <item x="4425"/>
        <item x="3840"/>
        <item x="691"/>
        <item x="3767"/>
        <item x="290"/>
        <item x="1541"/>
        <item x="3421"/>
        <item x="3470"/>
        <item x="2737"/>
        <item x="1404"/>
        <item x="3154"/>
        <item x="3600"/>
        <item x="1272"/>
        <item x="922"/>
        <item x="411"/>
        <item x="1372"/>
        <item x="962"/>
        <item x="2475"/>
        <item x="3945"/>
        <item x="822"/>
        <item x="364"/>
        <item x="91"/>
        <item x="4211"/>
        <item x="3090"/>
        <item x="3789"/>
        <item x="4905"/>
        <item x="4118"/>
        <item x="247"/>
        <item x="1487"/>
        <item x="2664"/>
        <item x="1199"/>
        <item x="3258"/>
        <item x="4898"/>
        <item x="2161"/>
        <item x="4923"/>
        <item x="2773"/>
        <item x="4273"/>
        <item x="2923"/>
        <item x="3362"/>
        <item x="4043"/>
        <item x="3476"/>
        <item x="1820"/>
        <item x="1195"/>
        <item x="1998"/>
        <item x="753"/>
        <item x="4151"/>
        <item x="1830"/>
        <item x="4237"/>
        <item x="3996"/>
        <item x="2251"/>
        <item x="3690"/>
        <item x="403"/>
        <item x="4197"/>
        <item x="532"/>
        <item x="1869"/>
        <item x="1388"/>
        <item x="1439"/>
        <item x="1709"/>
        <item x="1021"/>
        <item x="2320"/>
        <item x="2364"/>
        <item x="4397"/>
        <item x="2562"/>
        <item x="3287"/>
        <item x="959"/>
        <item x="3658"/>
        <item x="2100"/>
        <item x="4296"/>
        <item x="2466"/>
        <item x="248"/>
        <item x="3597"/>
        <item x="2890"/>
        <item x="2871"/>
        <item x="1539"/>
        <item x="1430"/>
        <item x="389"/>
        <item x="4022"/>
        <item x="1172"/>
        <item x="1751"/>
        <item x="1054"/>
        <item x="3909"/>
        <item x="4836"/>
        <item x="474"/>
        <item x="4536"/>
        <item x="761"/>
        <item x="1050"/>
        <item x="4473"/>
        <item x="1001"/>
        <item x="3745"/>
        <item x="2601"/>
        <item x="973"/>
        <item x="4926"/>
        <item x="1411"/>
        <item x="4428"/>
        <item x="1092"/>
        <item x="1583"/>
        <item x="2571"/>
        <item x="2749"/>
        <item x="3452"/>
        <item x="3370"/>
        <item x="3908"/>
        <item x="692"/>
        <item x="662"/>
        <item x="1874"/>
        <item x="2262"/>
        <item x="3533"/>
        <item x="4136"/>
        <item x="1089"/>
        <item x="4801"/>
        <item x="1560"/>
        <item x="4880"/>
        <item x="2148"/>
        <item x="1833"/>
        <item x="4796"/>
        <item x="1066"/>
        <item x="882"/>
        <item x="4529"/>
        <item x="1535"/>
        <item x="1969"/>
        <item x="53"/>
        <item x="3953"/>
        <item x="1779"/>
        <item x="95"/>
        <item x="4704"/>
        <item x="2474"/>
        <item x="4679"/>
        <item x="899"/>
        <item x="3172"/>
        <item x="2752"/>
        <item x="149"/>
        <item x="1139"/>
        <item x="3734"/>
        <item x="3137"/>
        <item x="3205"/>
        <item x="830"/>
        <item x="1148"/>
        <item x="132"/>
        <item x="483"/>
        <item x="4370"/>
        <item x="1570"/>
        <item x="4174"/>
        <item x="852"/>
        <item x="890"/>
        <item x="4541"/>
        <item x="2255"/>
        <item x="441"/>
        <item x="3080"/>
        <item x="1639"/>
        <item x="4627"/>
        <item x="4501"/>
        <item x="3464"/>
        <item x="3454"/>
        <item x="1193"/>
        <item x="3181"/>
        <item x="4350"/>
        <item x="489"/>
        <item x="3019"/>
        <item x="4832"/>
        <item x="404"/>
        <item x="4570"/>
        <item x="827"/>
        <item x="4751"/>
        <item x="4130"/>
        <item x="4339"/>
        <item x="4767"/>
        <item x="892"/>
        <item x="4330"/>
        <item x="4783"/>
        <item x="4437"/>
        <item x="1283"/>
        <item x="4902"/>
        <item x="2374"/>
        <item x="3318"/>
        <item x="237"/>
        <item x="3394"/>
        <item x="2006"/>
        <item x="226"/>
        <item x="1494"/>
        <item x="387"/>
        <item x="78"/>
        <item x="1676"/>
        <item x="595"/>
        <item x="3741"/>
        <item x="4511"/>
        <item x="2937"/>
        <item x="888"/>
        <item x="2615"/>
        <item x="3832"/>
        <item x="1482"/>
        <item x="2799"/>
        <item x="824"/>
        <item x="1561"/>
        <item x="1628"/>
        <item x="865"/>
        <item x="3414"/>
        <item x="1502"/>
        <item x="1062"/>
        <item x="3025"/>
        <item x="1463"/>
        <item x="2776"/>
        <item x="1419"/>
        <item x="2893"/>
        <item x="4"/>
        <item x="1605"/>
        <item x="4615"/>
        <item x="4875"/>
        <item x="1604"/>
        <item x="409"/>
        <item x="1542"/>
        <item x="925"/>
        <item x="3635"/>
        <item x="2644"/>
        <item x="3298"/>
        <item x="1326"/>
        <item x="3910"/>
        <item x="1061"/>
        <item x="935"/>
        <item x="4609"/>
        <item x="1424"/>
        <item x="3986"/>
        <item x="4258"/>
        <item x="2041"/>
        <item x="1519"/>
        <item x="4834"/>
        <item x="1418"/>
        <item x="1672"/>
        <item x="2863"/>
        <item x="1116"/>
        <item x="3520"/>
        <item x="255"/>
        <item x="242"/>
        <item x="643"/>
        <item x="1547"/>
        <item x="584"/>
        <item x="1292"/>
        <item x="4463"/>
        <item x="820"/>
        <item x="2554"/>
        <item x="2345"/>
        <item x="1588"/>
        <item x="977"/>
        <item x="4368"/>
        <item x="3144"/>
        <item x="3975"/>
        <item x="4549"/>
        <item x="3104"/>
        <item x="3577"/>
        <item x="1282"/>
        <item x="1625"/>
        <item x="1524"/>
        <item x="511"/>
        <item x="4307"/>
        <item x="750"/>
        <item x="4724"/>
        <item x="1511"/>
        <item x="1422"/>
        <item x="3650"/>
        <item x="632"/>
        <item x="504"/>
        <item x="1361"/>
        <item x="3886"/>
        <item x="3546"/>
        <item x="3837"/>
        <item x="4283"/>
        <item x="2177"/>
        <item x="544"/>
        <item x="1432"/>
        <item x="1759"/>
        <item x="696"/>
        <item x="1900"/>
        <item x="2112"/>
        <item x="3592"/>
        <item x="3946"/>
        <item x="2134"/>
        <item x="4652"/>
        <item x="3220"/>
        <item x="4692"/>
        <item x="4884"/>
        <item x="1669"/>
        <item x="4020"/>
        <item x="2578"/>
        <item x="4726"/>
        <item x="240"/>
        <item x="1257"/>
        <item x="502"/>
        <item x="2371"/>
        <item x="1741"/>
        <item x="2052"/>
        <item x="2626"/>
        <item x="2508"/>
        <item x="104"/>
        <item x="4259"/>
        <item x="4205"/>
        <item x="294"/>
        <item x="1850"/>
        <item x="1523"/>
        <item x="1887"/>
        <item x="210"/>
        <item x="1075"/>
        <item x="3871"/>
        <item x="3950"/>
        <item x="3768"/>
        <item x="3627"/>
        <item x="2598"/>
        <item x="2710"/>
        <item x="1462"/>
        <item x="1862"/>
        <item x="4371"/>
        <item x="4913"/>
        <item x="1637"/>
        <item x="4545"/>
        <item x="2758"/>
        <item x="4919"/>
        <item x="1764"/>
        <item x="2807"/>
        <item x="2131"/>
        <item x="817"/>
        <item x="1126"/>
        <item x="4203"/>
        <item x="4472"/>
        <item x="3782"/>
        <item x="2668"/>
        <item x="1953"/>
        <item x="146"/>
        <item x="2606"/>
        <item x="1901"/>
        <item x="123"/>
        <item x="2329"/>
        <item x="2213"/>
        <item x="2338"/>
        <item x="455"/>
        <item x="3460"/>
        <item x="3796"/>
        <item x="2741"/>
        <item x="4041"/>
        <item x="4235"/>
        <item x="108"/>
        <item x="3672"/>
        <item x="1094"/>
        <item x="1981"/>
        <item x="2210"/>
        <item x="1484"/>
        <item x="386"/>
        <item x="2268"/>
        <item x="1907"/>
        <item x="2531"/>
        <item x="1028"/>
        <item x="372"/>
        <item x="4222"/>
        <item x="1299"/>
        <item x="4440"/>
        <item x="1522"/>
        <item x="2390"/>
        <item x="3187"/>
        <item x="522"/>
        <item x="2996"/>
        <item x="3234"/>
        <item x="1649"/>
        <item x="3618"/>
        <item x="1076"/>
        <item x="4005"/>
        <item x="883"/>
        <item x="1818"/>
        <item x="3617"/>
        <item x="2357"/>
        <item x="142"/>
        <item x="4831"/>
        <item x="4469"/>
        <item x="1695"/>
        <item x="2017"/>
        <item x="2071"/>
        <item x="3951"/>
        <item x="1647"/>
        <item x="4336"/>
        <item x="58"/>
        <item x="344"/>
        <item x="2124"/>
        <item x="4426"/>
        <item x="4954"/>
        <item x="1255"/>
        <item x="1964"/>
        <item x="3286"/>
        <item x="2603"/>
        <item x="370"/>
        <item x="1403"/>
        <item x="2672"/>
        <item x="1320"/>
        <item x="326"/>
        <item x="3994"/>
        <item x="1781"/>
        <item x="3475"/>
        <item x="3236"/>
        <item x="3766"/>
        <item x="2309"/>
        <item x="2845"/>
        <item x="2879"/>
        <item x="1648"/>
        <item x="4411"/>
        <item x="3088"/>
        <item x="2913"/>
        <item x="4377"/>
        <item x="401"/>
        <item x="1471"/>
        <item x="3115"/>
        <item x="4485"/>
        <item x="1434"/>
        <item x="3524"/>
        <item x="3270"/>
        <item x="2278"/>
        <item x="1977"/>
        <item x="1286"/>
        <item x="424"/>
        <item x="1521"/>
        <item x="3160"/>
        <item x="3372"/>
        <item x="85"/>
        <item x="1989"/>
        <item x="558"/>
        <item x="3108"/>
        <item x="139"/>
        <item x="4571"/>
        <item x="2828"/>
        <item x="382"/>
        <item x="2917"/>
        <item x="3660"/>
        <item x="4660"/>
        <item x="3012"/>
        <item x="1233"/>
        <item x="3982"/>
        <item x="653"/>
        <item x="101"/>
        <item x="476"/>
        <item x="1086"/>
        <item x="3062"/>
        <item x="4380"/>
        <item x="3747"/>
        <item x="2688"/>
        <item x="300"/>
        <item x="1277"/>
        <item x="4369"/>
        <item x="4352"/>
        <item x="1408"/>
        <item x="1315"/>
        <item x="2941"/>
        <item x="4268"/>
        <item x="2116"/>
        <item x="2343"/>
        <item x="1173"/>
        <item x="2661"/>
        <item x="3385"/>
        <item x="4011"/>
        <item x="3974"/>
        <item x="2759"/>
        <item x="2837"/>
        <item x="1279"/>
        <item x="3816"/>
        <item x="605"/>
        <item x="1688"/>
        <item x="334"/>
        <item x="3855"/>
        <item x="4389"/>
        <item x="2271"/>
        <item x="4403"/>
        <item x="3445"/>
        <item x="1378"/>
        <item x="2922"/>
        <item x="979"/>
        <item x="1451"/>
        <item x="4761"/>
        <item x="159"/>
        <item x="4691"/>
        <item x="165"/>
        <item x="3979"/>
        <item x="4633"/>
        <item x="3141"/>
        <item x="2733"/>
        <item x="4647"/>
        <item x="399"/>
        <item x="999"/>
        <item x="3662"/>
        <item x="1496"/>
        <item x="1866"/>
        <item x="1914"/>
        <item x="1807"/>
        <item x="3124"/>
        <item x="1843"/>
        <item x="581"/>
        <item x="250"/>
        <item x="2929"/>
        <item x="3103"/>
        <item x="2766"/>
        <item x="732"/>
        <item x="230"/>
        <item x="3427"/>
        <item x="1161"/>
        <item x="4254"/>
        <item x="1792"/>
        <item x="3142"/>
        <item x="1198"/>
        <item x="2457"/>
        <item x="1841"/>
        <item x="2819"/>
        <item x="4764"/>
        <item x="4162"/>
        <item x="2876"/>
        <item x="302"/>
        <item x="2662"/>
        <item x="3609"/>
        <item x="1392"/>
        <item x="3235"/>
        <item x="621"/>
        <item x="4438"/>
        <item x="1985"/>
        <item x="3161"/>
        <item x="743"/>
        <item x="265"/>
        <item x="538"/>
        <item x="2552"/>
        <item x="4650"/>
        <item x="186"/>
        <item x="1132"/>
        <item x="1030"/>
        <item x="4811"/>
        <item x="3863"/>
        <item x="657"/>
        <item x="4584"/>
        <item x="3492"/>
        <item x="974"/>
        <item x="2464"/>
        <item x="2020"/>
        <item x="2659"/>
        <item x="3539"/>
        <item x="896"/>
        <item x="4737"/>
        <item x="216"/>
        <item x="2933"/>
        <item x="4177"/>
        <item x="3076"/>
        <item x="4343"/>
        <item x="71"/>
        <item x="835"/>
        <item x="3204"/>
        <item x="1099"/>
        <item x="3749"/>
        <item x="2186"/>
        <item x="1642"/>
        <item x="3123"/>
        <item x="82"/>
        <item x="3890"/>
        <item x="2635"/>
        <item x="2322"/>
        <item x="4950"/>
        <item x="3924"/>
        <item x="2944"/>
        <item x="1986"/>
        <item x="3579"/>
        <item x="4506"/>
        <item x="3811"/>
        <item x="3403"/>
        <item x="3513"/>
        <item x="4702"/>
        <item x="1683"/>
        <item x="3005"/>
        <item x="4697"/>
        <item x="2263"/>
        <item x="2716"/>
        <item x="3969"/>
        <item x="4412"/>
        <item x="2058"/>
        <item x="2522"/>
        <item x="2725"/>
        <item x="2951"/>
        <item x="4479"/>
        <item x="2330"/>
        <item x="4715"/>
        <item x="4914"/>
        <item x="4045"/>
        <item x="3739"/>
        <item x="949"/>
        <item x="4608"/>
        <item x="2159"/>
        <item x="3168"/>
        <item x="2133"/>
        <item x="3552"/>
        <item x="2254"/>
        <item x="2361"/>
        <item x="4274"/>
        <item x="3269"/>
        <item x="993"/>
        <item x="3977"/>
        <item x="1719"/>
        <item x="2831"/>
        <item x="1312"/>
        <item x="3637"/>
        <item x="1921"/>
        <item x="1142"/>
        <item x="2062"/>
        <item x="569"/>
        <item x="4762"/>
        <item x="3156"/>
        <item x="2321"/>
        <item x="3096"/>
        <item x="2631"/>
        <item x="1179"/>
        <item x="807"/>
        <item x="280"/>
        <item x="1745"/>
        <item x="1813"/>
        <item x="702"/>
        <item x="2818"/>
        <item x="463"/>
        <item x="3146"/>
        <item x="3709"/>
        <item x="2640"/>
        <item x="1599"/>
        <item x="789"/>
        <item x="4539"/>
        <item x="3434"/>
        <item x="1594"/>
        <item x="570"/>
        <item x="679"/>
        <item x="4530"/>
        <item x="1960"/>
        <item x="486"/>
        <item x="1254"/>
        <item x="3846"/>
        <item x="3678"/>
        <item x="2596"/>
        <item x="841"/>
        <item x="224"/>
        <item x="1800"/>
        <item x="61"/>
        <item x="436"/>
        <item x="3288"/>
        <item x="926"/>
        <item x="1593"/>
        <item x="3742"/>
        <item x="2861"/>
        <item x="2082"/>
        <item x="831"/>
        <item x="4593"/>
        <item x="3793"/>
        <item x="580"/>
        <item x="4885"/>
        <item x="3301"/>
        <item x="3882"/>
        <item x="3713"/>
        <item x="445"/>
        <item x="4466"/>
        <item x="1231"/>
        <item x="4857"/>
        <item x="4099"/>
        <item x="636"/>
        <item x="4794"/>
        <item x="4756"/>
        <item x="1183"/>
        <item x="2532"/>
        <item x="1884"/>
        <item x="3968"/>
        <item x="3815"/>
        <item x="3594"/>
        <item x="2028"/>
        <item x="3021"/>
        <item x="885"/>
        <item x="2918"/>
        <item x="1701"/>
        <item x="3341"/>
        <item x="3976"/>
        <item x="4164"/>
        <item x="1470"/>
        <item x="9"/>
        <item x="171"/>
        <item x="1572"/>
        <item x="1556"/>
        <item x="4753"/>
        <item x="3808"/>
        <item x="4498"/>
        <item x="1383"/>
        <item x="2422"/>
        <item x="1815"/>
        <item x="561"/>
        <item x="1996"/>
        <item x="1606"/>
        <item x="4718"/>
        <item x="2288"/>
        <item x="430"/>
        <item x="4873"/>
        <item x="4602"/>
        <item x="164"/>
        <item x="1997"/>
        <item x="2059"/>
        <item x="3253"/>
        <item x="2782"/>
        <item x="4100"/>
        <item x="3373"/>
        <item x="791"/>
        <item x="2873"/>
        <item x="2056"/>
        <item x="537"/>
        <item x="1289"/>
        <item x="854"/>
        <item x="1225"/>
        <item x="4173"/>
        <item x="3068"/>
        <item x="3149"/>
        <item x="1334"/>
        <item x="1660"/>
        <item x="3216"/>
        <item x="4199"/>
        <item x="4281"/>
        <item x="3790"/>
        <item x="1266"/>
        <item x="4255"/>
        <item x="3244"/>
        <item x="1783"/>
        <item x="3449"/>
        <item x="1750"/>
        <item x="2586"/>
        <item x="2027"/>
        <item x="1584"/>
        <item x="3655"/>
        <item x="3864"/>
        <item x="4051"/>
        <item x="3036"/>
        <item x="1010"/>
        <item x="1633"/>
        <item x="3274"/>
        <item x="2244"/>
        <item x="2315"/>
        <item x="321"/>
        <item x="983"/>
        <item x="609"/>
        <item x="602"/>
        <item x="1448"/>
        <item x="1641"/>
        <item x="887"/>
        <item x="4082"/>
        <item x="733"/>
        <item x="3366"/>
        <item x="1069"/>
        <item x="3408"/>
        <item x="4572"/>
        <item x="4537"/>
        <item x="2277"/>
        <item x="1135"/>
        <item x="3558"/>
        <item x="921"/>
        <item x="3058"/>
        <item x="2965"/>
        <item x="66"/>
        <item x="304"/>
        <item x="4275"/>
        <item x="3214"/>
        <item x="4381"/>
        <item x="774"/>
        <item x="2617"/>
        <item x="3576"/>
        <item x="2081"/>
        <item x="4543"/>
        <item x="3264"/>
        <item x="1335"/>
        <item x="3596"/>
        <item x="856"/>
        <item x="3762"/>
        <item x="4482"/>
        <item x="3784"/>
        <item x="2336"/>
        <item x="2099"/>
        <item x="398"/>
        <item x="354"/>
        <item x="1019"/>
        <item x="4752"/>
        <item x="4622"/>
        <item x="2318"/>
        <item x="1902"/>
        <item x="2257"/>
        <item x="944"/>
        <item x="4911"/>
        <item x="125"/>
        <item x="2207"/>
        <item x="4948"/>
        <item x="870"/>
        <item x="4896"/>
        <item x="425"/>
        <item x="4320"/>
        <item x="3763"/>
        <item x="2356"/>
        <item x="2888"/>
        <item x="3532"/>
        <item x="2679"/>
        <item x="1483"/>
        <item x="2019"/>
        <item x="1248"/>
        <item x="1127"/>
        <item x="1106"/>
        <item x="751"/>
        <item x="1554"/>
        <item x="3770"/>
        <item x="4768"/>
        <item x="189"/>
        <item x="3494"/>
        <item x="3478"/>
        <item x="2372"/>
        <item x="3573"/>
        <item x="631"/>
        <item x="3233"/>
        <item x="1766"/>
        <item x="2783"/>
        <item x="253"/>
        <item x="1657"/>
        <item x="1837"/>
        <item x="402"/>
        <item x="4451"/>
        <item x="2225"/>
        <item x="965"/>
        <item x="3879"/>
        <item x="844"/>
        <item x="4886"/>
        <item x="2813"/>
        <item x="4668"/>
        <item x="1425"/>
        <item x="4637"/>
        <item x="706"/>
        <item x="4218"/>
        <item x="2925"/>
        <item x="2008"/>
        <item x="984"/>
        <item x="3926"/>
        <item x="681"/>
        <item x="482"/>
        <item x="3289"/>
        <item x="2382"/>
        <item x="109"/>
        <item x="644"/>
        <item x="2514"/>
        <item x="3810"/>
        <item x="182"/>
        <item x="3872"/>
        <item x="4003"/>
        <item x="2495"/>
        <item x="4654"/>
        <item x="1367"/>
        <item x="3938"/>
        <item x="699"/>
        <item x="112"/>
        <item x="3983"/>
        <item x="4770"/>
        <item x="481"/>
        <item x="360"/>
        <item x="3054"/>
        <item x="3486"/>
        <item x="4882"/>
        <item x="2061"/>
        <item x="1995"/>
        <item x="1224"/>
        <item x="115"/>
        <item x="2246"/>
        <item x="3828"/>
        <item x="2549"/>
        <item x="3060"/>
        <item x="4500"/>
        <item x="469"/>
        <item x="3595"/>
        <item x="3356"/>
        <item x="2083"/>
        <item x="3528"/>
        <item x="160"/>
        <item x="4743"/>
        <item x="4925"/>
        <item x="4324"/>
        <item x="524"/>
        <item x="2984"/>
        <item x="3283"/>
        <item x="4574"/>
        <item x="859"/>
        <item x="3860"/>
        <item x="1893"/>
        <item x="3150"/>
        <item x="3809"/>
        <item x="1643"/>
        <item x="2844"/>
        <item x="4340"/>
        <item x="2118"/>
        <item x="3450"/>
        <item x="3344"/>
        <item x="4073"/>
        <item x="107"/>
        <item x="3353"/>
        <item x="4525"/>
        <item x="3862"/>
        <item x="7"/>
        <item x="2823"/>
        <item x="2858"/>
        <item x="2745"/>
        <item x="119"/>
        <item x="408"/>
        <item x="2281"/>
        <item x="39"/>
        <item x="1740"/>
        <item x="3870"/>
        <item x="499"/>
        <item x="947"/>
        <item x="3159"/>
        <item x="2368"/>
        <item x="2044"/>
        <item x="1014"/>
        <item x="1455"/>
        <item x="3337"/>
        <item x="3132"/>
        <item x="1885"/>
        <item x="2904"/>
        <item x="715"/>
        <item x="1070"/>
        <item x="456"/>
        <item x="150"/>
        <item x="4788"/>
        <item x="1064"/>
        <item x="2838"/>
        <item x="4847"/>
        <item x="778"/>
        <item x="3221"/>
        <item x="4290"/>
        <item x="289"/>
        <item x="3519"/>
        <item x="341"/>
        <item x="1716"/>
        <item x="3702"/>
        <item x="639"/>
        <item x="3087"/>
        <item x="114"/>
        <item x="77"/>
        <item x="3936"/>
        <item x="568"/>
        <item x="3731"/>
        <item x="1459"/>
        <item x="128"/>
        <item x="2777"/>
        <item x="3083"/>
        <item x="1396"/>
        <item x="359"/>
        <item x="22"/>
        <item x="3282"/>
        <item x="1500"/>
        <item x="1711"/>
        <item x="3865"/>
        <item x="2905"/>
        <item x="4790"/>
        <item x="828"/>
        <item x="2113"/>
        <item x="1828"/>
        <item x="4487"/>
        <item x="1268"/>
        <item x="2351"/>
        <item x="2895"/>
        <item x="4955"/>
        <item x="3200"/>
        <item x="505"/>
        <item x="4424"/>
        <item x="3589"/>
        <item x="4176"/>
        <item x="1122"/>
        <item x="2943"/>
        <item x="36"/>
        <item x="549"/>
        <item x="594"/>
        <item x="1190"/>
        <item x="4940"/>
        <item x="2967"/>
        <item x="557"/>
        <item x="2304"/>
        <item x="740"/>
        <item x="2620"/>
        <item x="434"/>
        <item x="4823"/>
        <item x="1358"/>
        <item x="86"/>
        <item x="209"/>
        <item x="2955"/>
        <item x="1191"/>
        <item x="994"/>
        <item x="13"/>
        <item x="4420"/>
        <item x="1338"/>
        <item x="3686"/>
        <item x="2751"/>
        <item x="81"/>
        <item x="2857"/>
        <item x="4359"/>
        <item x="638"/>
        <item x="1333"/>
        <item x="2786"/>
        <item x="821"/>
        <item x="3740"/>
        <item x="512"/>
        <item x="144"/>
        <item x="2285"/>
        <item x="4681"/>
        <item x="3092"/>
        <item x="4792"/>
        <item x="513"/>
        <item x="4292"/>
        <item x="1228"/>
        <item x="2142"/>
        <item x="3167"/>
        <item x="4024"/>
        <item x="2245"/>
        <item x="3291"/>
        <item x="2735"/>
        <item x="3023"/>
        <item x="3295"/>
        <item x="1980"/>
        <item x="534"/>
        <item x="4423"/>
        <item x="229"/>
        <item x="2259"/>
        <item x="720"/>
        <item x="2068"/>
        <item x="950"/>
        <item x="3761"/>
        <item x="4207"/>
        <item x="2999"/>
        <item x="1406"/>
        <item x="2958"/>
        <item x="2437"/>
        <item x="3587"/>
        <item x="2360"/>
        <item x="2685"/>
        <item x="3610"/>
        <item x="1550"/>
        <item x="4876"/>
        <item x="4295"/>
        <item x="1935"/>
        <item x="1992"/>
        <item x="4241"/>
        <item x="1095"/>
        <item x="2458"/>
        <item x="1087"/>
        <item x="3457"/>
        <item x="494"/>
        <item x="3933"/>
        <item x="4845"/>
        <item x="1196"/>
        <item x="3349"/>
        <item x="2718"/>
        <item x="190"/>
        <item x="2400"/>
        <item x="2211"/>
        <item x="575"/>
        <item x="3964"/>
        <item x="3687"/>
        <item x="126"/>
        <item x="3884"/>
        <item x="3830"/>
        <item x="4155"/>
        <item x="3469"/>
        <item x="1221"/>
        <item x="2510"/>
        <item x="3563"/>
        <item x="1493"/>
        <item x="2013"/>
        <item x="3959"/>
        <item x="232"/>
        <item x="3249"/>
        <item x="2699"/>
        <item x="858"/>
        <item x="1466"/>
        <item x="2772"/>
        <item x="4286"/>
        <item x="3417"/>
        <item x="447"/>
        <item x="1332"/>
        <item x="816"/>
        <item x="860"/>
        <item x="4471"/>
        <item x="1083"/>
        <item x="4071"/>
        <item x="2504"/>
        <item x="3130"/>
        <item x="1390"/>
        <item x="65"/>
        <item x="3869"/>
        <item x="2428"/>
        <item x="3077"/>
        <item x="3"/>
        <item x="1863"/>
        <item x="68"/>
        <item x="2295"/>
        <item x="1147"/>
        <item x="3813"/>
        <item x="1055"/>
        <item x="356"/>
        <item x="2284"/>
        <item x="1449"/>
        <item x="893"/>
        <item x="2420"/>
        <item x="760"/>
        <item x="4547"/>
        <item x="1770"/>
        <item x="4565"/>
        <item x="986"/>
        <item x="4607"/>
        <item x="2156"/>
        <item x="4502"/>
        <item x="1782"/>
        <item x="3328"/>
        <item x="381"/>
        <item x="825"/>
        <item x="4632"/>
        <item x="2947"/>
        <item x="1973"/>
        <item x="2366"/>
        <item x="3290"/>
        <item x="353"/>
        <item x="327"/>
        <item x="1752"/>
        <item x="3858"/>
        <item x="1609"/>
        <item x="1793"/>
        <item x="1023"/>
        <item x="1211"/>
        <item x="1520"/>
        <item x="373"/>
        <item x="2779"/>
        <item x="811"/>
        <item x="997"/>
        <item x="3100"/>
        <item x="598"/>
        <item x="4111"/>
        <item x="4907"/>
        <item x="1454"/>
        <item x="3562"/>
        <item x="1032"/>
        <item x="2847"/>
        <item x="2654"/>
        <item x="4233"/>
        <item x="1343"/>
        <item x="429"/>
        <item x="4680"/>
        <item x="4449"/>
        <item x="18"/>
        <item x="4013"/>
        <item x="4922"/>
        <item x="1894"/>
        <item x="4696"/>
        <item x="2721"/>
        <item x="1864"/>
        <item x="1405"/>
        <item x="658"/>
        <item x="1937"/>
        <item x="4453"/>
        <item x="850"/>
        <item x="4617"/>
        <item x="4113"/>
        <item x="2140"/>
        <item x="2435"/>
        <item x="3670"/>
        <item x="3502"/>
        <item x="4952"/>
        <item x="3065"/>
        <item x="2070"/>
        <item x="233"/>
        <item x="2379"/>
        <item x="1931"/>
        <item x="3303"/>
        <item x="1826"/>
        <item x="1180"/>
        <item x="4362"/>
        <item x="619"/>
        <item x="2425"/>
        <item x="2594"/>
        <item x="4629"/>
        <item x="1174"/>
        <item x="4763"/>
        <item x="261"/>
        <item x="1401"/>
        <item x="2584"/>
        <item x="3049"/>
        <item x="4646"/>
        <item x="776"/>
        <item x="1575"/>
        <item x="2401"/>
        <item x="1534"/>
        <item x="4010"/>
        <item x="3791"/>
        <item x="1438"/>
        <item x="3605"/>
        <item x="519"/>
        <item x="3387"/>
        <item x="465"/>
        <item x="4081"/>
        <item x="1809"/>
        <item x="2089"/>
        <item x="1817"/>
        <item x="222"/>
        <item x="1495"/>
        <item x="313"/>
        <item x="3695"/>
        <item x="4303"/>
        <item x="1601"/>
        <item x="2817"/>
        <item x="655"/>
        <item x="2380"/>
        <item x="245"/>
        <item x="3195"/>
        <item x="277"/>
        <item x="678"/>
        <item x="3765"/>
        <item x="2242"/>
        <item x="4815"/>
        <item x="3306"/>
        <item x="2851"/>
        <item x="3967"/>
        <item x="4188"/>
        <item x="3776"/>
        <item x="593"/>
        <item x="1773"/>
        <item x="3680"/>
        <item x="2471"/>
        <item x="2705"/>
        <item x="1758"/>
        <item x="4448"/>
        <item x="1056"/>
        <item x="3704"/>
        <item x="3730"/>
        <item x="4249"/>
        <item x="1949"/>
        <item x="3099"/>
        <item x="1020"/>
        <item x="3086"/>
        <item x="263"/>
        <item x="2915"/>
        <item x="4563"/>
        <item x="1846"/>
        <item x="1598"/>
        <item x="437"/>
        <item x="565"/>
        <item x="2675"/>
        <item x="4928"/>
        <item x="2511"/>
        <item x="2184"/>
        <item x="3014"/>
        <item x="2961"/>
        <item x="1305"/>
        <item x="2891"/>
        <item x="4215"/>
        <item x="205"/>
        <item x="1718"/>
        <item x="4328"/>
        <item x="1073"/>
        <item x="1940"/>
        <item x="3191"/>
        <item x="4240"/>
        <item x="1478"/>
        <item x="3541"/>
        <item x="1345"/>
        <item x="2956"/>
        <item x="3316"/>
        <item x="227"/>
        <item x="3566"/>
        <item x="1242"/>
        <item x="2075"/>
        <item x="1659"/>
        <item x="725"/>
        <item x="56"/>
        <item x="3836"/>
        <item x="2053"/>
        <item x="4413"/>
        <item x="942"/>
        <item x="2623"/>
        <item x="4556"/>
        <item x="1917"/>
        <item x="3973"/>
        <item x="2833"/>
        <item x="4344"/>
        <item x="378"/>
        <item x="4499"/>
        <item x="3941"/>
        <item x="340"/>
        <item x="551"/>
        <item x="3474"/>
        <item x="426"/>
        <item x="4528"/>
        <item x="4253"/>
        <item x="4760"/>
        <item x="1580"/>
        <item x="2975"/>
        <item x="4854"/>
        <item x="855"/>
        <item x="2729"/>
        <item x="2505"/>
        <item x="1790"/>
        <item x="2867"/>
        <item x="3918"/>
        <item x="439"/>
        <item x="3395"/>
        <item x="3276"/>
        <item x="154"/>
        <item x="2641"/>
        <item x="936"/>
        <item x="1879"/>
        <item x="3847"/>
        <item x="3620"/>
        <item x="901"/>
        <item x="1804"/>
        <item x="4755"/>
        <item x="2924"/>
        <item x="1441"/>
        <item x="3928"/>
        <item x="4520"/>
        <item x="2088"/>
        <item x="1078"/>
        <item x="913"/>
        <item x="3073"/>
        <item x="4159"/>
        <item x="1313"/>
        <item x="4915"/>
        <item x="475"/>
        <item x="1803"/>
        <item x="3827"/>
        <item x="709"/>
        <item x="3348"/>
        <item x="4312"/>
        <item x="361"/>
        <item x="1223"/>
        <item x="2503"/>
        <item x="4220"/>
        <item x="4946"/>
        <item x="1285"/>
        <item x="2434"/>
        <item x="1428"/>
        <item x="1899"/>
        <item x="236"/>
        <item x="2496"/>
        <item x="2163"/>
        <item x="783"/>
        <item x="3419"/>
        <item x="2333"/>
        <item x="1831"/>
        <item x="42"/>
        <item x="3411"/>
        <item x="1206"/>
        <item x="1450"/>
        <item x="4166"/>
        <item x="4664"/>
        <item x="4272"/>
        <item x="4008"/>
        <item x="509"/>
        <item x="252"/>
        <item x="1505"/>
        <item x="861"/>
        <item x="4631"/>
        <item x="3821"/>
        <item x="4663"/>
        <item x="587"/>
        <item x="4125"/>
        <item x="4860"/>
        <item x="1932"/>
        <item x="176"/>
        <item x="4887"/>
        <item x="3230"/>
        <item x="3874"/>
        <item x="2193"/>
        <item x="4904"/>
        <item x="996"/>
        <item x="2708"/>
        <item x="611"/>
        <item x="3210"/>
        <item x="4817"/>
        <item x="2261"/>
        <item x="3838"/>
        <item x="500"/>
        <item x="293"/>
        <item x="4878"/>
        <item x="3629"/>
        <item x="4641"/>
        <item x="4021"/>
        <item x="3308"/>
        <item x="1923"/>
        <item x="1445"/>
        <item x="2348"/>
        <item x="2038"/>
        <item x="470"/>
        <item x="155"/>
        <item x="396"/>
        <item x="2949"/>
        <item x="1881"/>
        <item x="3536"/>
        <item x="52"/>
        <item x="4430"/>
        <item x="3580"/>
        <item x="98"/>
        <item x="765"/>
        <item x="684"/>
        <item x="3106"/>
        <item x="1590"/>
        <item x="2451"/>
        <item x="2421"/>
        <item x="968"/>
        <item x="3095"/>
        <item x="2323"/>
        <item x="3648"/>
        <item x="2811"/>
        <item x="4245"/>
        <item x="3523"/>
        <item x="4224"/>
        <item x="1525"/>
        <item x="2572"/>
        <item x="4257"/>
        <item x="3892"/>
        <item x="2050"/>
        <item x="3578"/>
        <item x="633"/>
        <item x="4293"/>
        <item x="312"/>
        <item x="2091"/>
        <item x="1009"/>
        <item x="3423"/>
        <item x="287"/>
        <item x="3998"/>
        <item x="2135"/>
        <item x="1246"/>
        <item x="1682"/>
        <item x="35"/>
        <item x="787"/>
        <item x="668"/>
        <item x="3498"/>
        <item x="4185"/>
        <item x="3386"/>
        <item x="1805"/>
        <item x="819"/>
        <item x="4184"/>
        <item x="866"/>
        <item x="623"/>
        <item x="2102"/>
        <item x="374"/>
        <item x="223"/>
        <item x="2430"/>
        <item x="742"/>
        <item x="2078"/>
        <item x="4892"/>
        <item x="1477"/>
        <item x="3360"/>
        <item x="2784"/>
        <item x="1581"/>
        <item x="2684"/>
        <item x="3698"/>
        <item x="3497"/>
        <item x="3358"/>
        <item x="2774"/>
        <item x="1811"/>
        <item x="648"/>
        <item x="4382"/>
        <item x="2939"/>
        <item x="910"/>
        <item x="1808"/>
        <item x="637"/>
        <item x="3426"/>
        <item x="1004"/>
        <item x="2413"/>
        <item x="4558"/>
        <item x="188"/>
        <item x="1068"/>
        <item x="4861"/>
        <item x="2573"/>
        <item x="4416"/>
        <item x="708"/>
        <item x="2717"/>
        <item x="3040"/>
        <item x="3955"/>
        <item x="550"/>
        <item x="1503"/>
        <item x="4327"/>
        <item x="1845"/>
        <item x="1608"/>
        <item x="3120"/>
        <item x="2820"/>
        <item x="3097"/>
        <item x="323"/>
        <item x="4149"/>
        <item x="588"/>
        <item x="4787"/>
        <item x="1256"/>
        <item x="3487"/>
        <item x="527"/>
        <item x="1013"/>
        <item x="1871"/>
        <item x="3971"/>
        <item x="1912"/>
        <item x="3935"/>
        <item x="423"/>
        <item x="214"/>
        <item x="4019"/>
        <item x="8"/>
        <item x="2787"/>
        <item x="257"/>
        <item x="4677"/>
        <item x="4461"/>
        <item x="4373"/>
        <item x="4805"/>
        <item x="4684"/>
        <item x="1414"/>
        <item x="894"/>
        <item x="1177"/>
        <item x="4261"/>
        <item x="4242"/>
        <item x="2446"/>
        <item x="195"/>
        <item x="3958"/>
        <item x="121"/>
        <item x="4126"/>
        <item x="3634"/>
        <item x="384"/>
        <item x="3223"/>
        <item x="3565"/>
        <item x="1239"/>
        <item x="421"/>
        <item x="2541"/>
        <item x="1131"/>
        <item x="1437"/>
        <item x="1109"/>
        <item x="1613"/>
        <item x="4524"/>
        <item x="1530"/>
        <item x="1619"/>
        <item x="4484"/>
        <item x="1754"/>
        <item x="2621"/>
        <item x="2671"/>
        <item x="4409"/>
        <item x="272"/>
        <item x="3480"/>
        <item x="2902"/>
        <item x="2497"/>
        <item x="4477"/>
        <item x="2165"/>
        <item x="92"/>
        <item x="1097"/>
        <item x="285"/>
        <item x="2079"/>
        <item x="2369"/>
        <item x="982"/>
        <item x="129"/>
        <item x="3147"/>
        <item x="185"/>
        <item x="2909"/>
        <item x="1504"/>
        <item x="2602"/>
        <item x="3883"/>
        <item x="212"/>
        <item x="970"/>
        <item x="1746"/>
        <item x="2536"/>
        <item x="3101"/>
        <item x="2953"/>
        <item x="3511"/>
        <item x="2894"/>
        <item x="3619"/>
        <item x="197"/>
        <item x="366"/>
        <item x="1930"/>
        <item x="4225"/>
        <item x="3901"/>
        <item x="4651"/>
        <item x="4793"/>
        <item x="4588"/>
        <item x="1093"/>
        <item x="4454"/>
        <item x="2579"/>
        <item x="3336"/>
        <item x="2885"/>
        <item x="3897"/>
        <item x="4731"/>
        <item x="2375"/>
        <item x="442"/>
        <item x="3522"/>
        <item x="3148"/>
        <item x="2528"/>
        <item x="1943"/>
        <item x="279"/>
        <item x="2168"/>
        <item x="4938"/>
        <item x="2875"/>
        <item x="2057"/>
        <item x="1205"/>
        <item x="4172"/>
        <item x="1529"/>
        <item x="3931"/>
        <item x="1742"/>
        <item x="1111"/>
        <item x="3404"/>
        <item x="4338"/>
        <item x="2470"/>
        <item x="4401"/>
        <item x="4513"/>
        <item x="1386"/>
        <item x="3531"/>
        <item x="4435"/>
        <item x="1919"/>
        <item x="839"/>
        <item x="1691"/>
        <item x="4564"/>
        <item x="324"/>
        <item x="3930"/>
        <item x="4616"/>
        <item x="607"/>
        <item x="989"/>
        <item x="650"/>
        <item x="552"/>
        <item x="2775"/>
        <item x="4459"/>
        <item x="682"/>
        <item x="3861"/>
        <item x="3673"/>
        <item x="3325"/>
        <item x="1356"/>
        <item x="4158"/>
        <item x="1950"/>
        <item x="1144"/>
        <item x="3459"/>
        <item x="1476"/>
        <item x="3321"/>
        <item x="3607"/>
        <item x="2426"/>
        <item x="1880"/>
        <item x="4270"/>
        <item x="1994"/>
        <item x="17"/>
        <item x="4097"/>
        <item x="2627"/>
        <item x="1435"/>
        <item x="286"/>
        <item x="3728"/>
        <item x="4673"/>
        <item x="1085"/>
        <item x="4219"/>
        <item x="4523"/>
        <item x="3456"/>
        <item x="4394"/>
        <item x="3921"/>
        <item x="4470"/>
        <item x="337"/>
        <item x="4018"/>
        <item x="3016"/>
        <item x="3384"/>
        <item x="347"/>
        <item x="1911"/>
        <item x="3677"/>
        <item x="4739"/>
        <item x="2499"/>
        <item x="2756"/>
        <item x="4819"/>
        <item x="2639"/>
        <item x="4795"/>
        <item x="54"/>
        <item x="2797"/>
        <item x="846"/>
        <item x="2076"/>
        <item x="3203"/>
        <item x="2808"/>
        <item x="388"/>
        <item x="1250"/>
        <item x="2172"/>
        <item x="4667"/>
        <item x="4004"/>
        <item x="2353"/>
        <item x="4569"/>
        <item x="510"/>
        <item x="1370"/>
        <item x="4867"/>
        <item x="4142"/>
        <item x="2962"/>
        <item x="1715"/>
        <item x="301"/>
        <item x="669"/>
        <item x="468"/>
        <item x="2886"/>
        <item x="1046"/>
        <item x="3027"/>
        <item x="3581"/>
        <item x="1823"/>
        <item x="2632"/>
        <item x="103"/>
        <item x="833"/>
        <item x="4363"/>
        <item x="703"/>
        <item x="3266"/>
        <item x="3422"/>
        <item x="4729"/>
        <item x="4534"/>
        <item x="640"/>
        <item x="288"/>
        <item x="4202"/>
        <item x="3451"/>
        <item x="4139"/>
        <item x="1629"/>
        <item x="2432"/>
        <item x="1152"/>
        <item x="2478"/>
        <item x="4628"/>
        <item x="3359"/>
        <item x="2869"/>
        <item x="3420"/>
        <item x="4741"/>
        <item x="2727"/>
        <item x="3219"/>
        <item x="196"/>
        <item x="1167"/>
        <item x="849"/>
        <item x="4427"/>
        <item x="3894"/>
        <item x="2449"/>
        <item x="192"/>
        <item x="4060"/>
        <item x="1699"/>
        <item x="4879"/>
        <item x="3462"/>
        <item x="749"/>
        <item x="2283"/>
        <item x="954"/>
        <item x="1587"/>
        <item x="3007"/>
        <item x="4455"/>
        <item x="1319"/>
        <item x="311"/>
        <item x="2359"/>
        <item x="4229"/>
        <item x="1443"/>
        <item x="1897"/>
        <item x="379"/>
        <item x="3829"/>
        <item x="3163"/>
        <item x="2968"/>
        <item x="3116"/>
        <item x="19"/>
        <item x="726"/>
        <item x="1469"/>
        <item x="1427"/>
        <item x="876"/>
        <item x="2290"/>
        <item x="3361"/>
        <item x="4943"/>
        <item x="1"/>
        <item x="4192"/>
        <item x="3963"/>
        <item x="1753"/>
        <item x="1600"/>
        <item x="2138"/>
        <item x="1348"/>
        <item x="4835"/>
        <item x="1316"/>
        <item x="451"/>
        <item x="1189"/>
        <item x="1968"/>
        <item x="1868"/>
        <item x="4901"/>
        <item x="603"/>
        <item x="3246"/>
        <item x="3564"/>
        <item x="4800"/>
        <item x="4626"/>
        <item x="1671"/>
        <item x="4169"/>
        <item x="2815"/>
        <item x="1910"/>
        <item x="4141"/>
        <item x="1243"/>
        <item x="3248"/>
        <item x="141"/>
        <item x="2826"/>
        <item x="317"/>
        <item x="752"/>
        <item x="1398"/>
        <item x="4591"/>
        <item x="4000"/>
        <item x="1819"/>
        <item x="2147"/>
        <item x="2517"/>
        <item x="1734"/>
        <item x="3668"/>
        <item x="2746"/>
        <item x="4132"/>
        <item x="1531"/>
        <item x="4167"/>
        <item x="4601"/>
        <item x="50"/>
        <item x="349"/>
        <item x="3063"/>
        <item x="4852"/>
        <item x="2274"/>
        <item x="652"/>
        <item x="3342"/>
        <item x="4093"/>
        <item x="3363"/>
        <item x="1707"/>
        <item x="4341"/>
        <item x="646"/>
        <item x="1047"/>
        <item x="3507"/>
        <item x="810"/>
        <item x="3602"/>
        <item x="2501"/>
        <item x="4853"/>
        <item x="3430"/>
        <item x="1218"/>
        <item x="62"/>
        <item x="2709"/>
        <item x="680"/>
        <item x="1226"/>
        <item x="3136"/>
        <item x="2500"/>
        <item x="1210"/>
        <item x="2415"/>
        <item x="978"/>
        <item x="1532"/>
        <item x="4422"/>
        <item x="723"/>
        <item x="3665"/>
        <item x="3499"/>
        <item x="3723"/>
        <item x="3722"/>
        <item x="2642"/>
        <item x="3107"/>
        <item x="1694"/>
        <item x="1924"/>
        <item x="744"/>
        <item x="1016"/>
        <item x="1008"/>
        <item x="1096"/>
        <item x="3569"/>
        <item x="809"/>
        <item x="1129"/>
        <item x="3729"/>
        <item x="3399"/>
        <item x="1566"/>
        <item x="767"/>
        <item x="3439"/>
        <item x="3119"/>
        <item x="1308"/>
        <item x="2587"/>
        <item x="1693"/>
        <item x="207"/>
        <item x="1381"/>
        <item x="34"/>
        <item x="2994"/>
        <item x="2548"/>
        <item x="4638"/>
        <item x="4180"/>
        <item x="2098"/>
        <item x="1229"/>
        <item x="1780"/>
        <item x="4400"/>
        <item x="458"/>
        <item x="3551"/>
        <item x="1666"/>
        <item x="3593"/>
        <item x="1237"/>
        <item x="1726"/>
        <item x="2892"/>
        <item x="5"/>
        <item x="1680"/>
        <item x="3947"/>
        <item x="3885"/>
        <item x="2932"/>
        <item x="873"/>
        <item x="1157"/>
        <item x="3614"/>
        <item x="4603"/>
        <item x="790"/>
        <item x="4713"/>
        <item x="3155"/>
        <item x="4749"/>
        <item x="891"/>
        <item x="2194"/>
        <item x="1777"/>
        <item x="1091"/>
        <item x="838"/>
        <item x="322"/>
        <item x="3072"/>
        <item x="583"/>
        <item x="2701"/>
        <item x="298"/>
        <item x="4936"/>
        <item x="3008"/>
        <item x="3683"/>
        <item x="4685"/>
        <item x="781"/>
        <item x="358"/>
        <item x="3842"/>
        <item x="4450"/>
        <item x="4291"/>
        <item x="3714"/>
        <item x="3041"/>
        <item x="2011"/>
        <item x="3143"/>
        <item x="1359"/>
        <item x="3375"/>
        <item x="1311"/>
        <item x="307"/>
        <item x="2412"/>
        <item x="4865"/>
        <item x="2856"/>
        <item x="1549"/>
        <item x="4531"/>
        <item x="851"/>
        <item x="462"/>
        <item x="3538"/>
        <item x="2236"/>
        <item x="1041"/>
        <item x="3825"/>
        <item x="2843"/>
        <item x="1536"/>
        <item x="3604"/>
        <item x="2214"/>
        <item x="1545"/>
        <item x="3127"/>
        <item x="46"/>
        <item x="4104"/>
        <item x="620"/>
        <item x="2521"/>
        <item x="4693"/>
        <item x="4604"/>
        <item x="228"/>
        <item x="4683"/>
        <item x="2680"/>
        <item x="1123"/>
        <item x="3849"/>
        <item x="2404"/>
        <item x="3785"/>
        <item x="4672"/>
        <item x="2145"/>
        <item x="1955"/>
        <item x="4034"/>
        <item x="895"/>
        <item x="1905"/>
        <item x="4825"/>
        <item x="934"/>
        <item x="736"/>
        <item x="4621"/>
        <item x="2399"/>
        <item x="2433"/>
        <item x="3044"/>
        <item x="4706"/>
        <item x="1290"/>
        <item x="2229"/>
        <item x="264"/>
        <item x="2494"/>
        <item x="3755"/>
        <item x="612"/>
        <item x="2835"/>
        <item x="4238"/>
        <item x="4133"/>
        <item x="2798"/>
        <item x="3165"/>
        <item x="459"/>
        <item x="2832"/>
        <item x="1573"/>
        <item x="1165"/>
        <item x="3139"/>
        <item x="554"/>
        <item x="200"/>
        <item x="567"/>
        <item x="797"/>
        <item x="31"/>
        <item x="2556"/>
        <item x="2409"/>
        <item x="649"/>
        <item x="27"/>
        <item x="1043"/>
        <item x="1337"/>
        <item x="1689"/>
        <item x="3327"/>
        <item x="3631"/>
        <item x="1592"/>
        <item x="3031"/>
        <item x="1164"/>
        <item x="3042"/>
        <item x="2533"/>
        <item x="2785"/>
        <item x="2396"/>
        <item x="3179"/>
        <item x="4833"/>
        <item x="2144"/>
        <item x="2077"/>
        <item x="2024"/>
        <item x="63"/>
        <item x="1886"/>
        <item x="3299"/>
        <item x="596"/>
        <item x="4226"/>
        <item x="3477"/>
        <item x="4830"/>
        <item x="2878"/>
        <item x="735"/>
        <item x="2042"/>
        <item x="3347"/>
        <item x="1366"/>
        <item x="3272"/>
        <item x="3779"/>
        <item x="4740"/>
        <item x="794"/>
        <item x="29"/>
        <item x="3534"/>
        <item x="2486"/>
        <item x="2880"/>
        <item x="332"/>
        <item x="2188"/>
        <item x="1802"/>
        <item x="2950"/>
        <item x="1355"/>
        <item x="495"/>
        <item x="2877"/>
        <item x="2233"/>
        <item x="564"/>
        <item x="1653"/>
        <item x="4920"/>
        <item x="377"/>
        <item x="671"/>
        <item x="4006"/>
        <item x="4766"/>
        <item x="4924"/>
        <item x="148"/>
        <item x="1074"/>
        <item x="2629"/>
        <item x="4131"/>
        <item x="2260"/>
        <item x="2691"/>
        <item x="4216"/>
        <item x="2576"/>
        <item x="218"/>
        <item x="4366"/>
        <item x="3489"/>
        <item x="1987"/>
        <item x="1222"/>
        <item x="1965"/>
        <item x="4243"/>
        <item x="1729"/>
        <item x="3070"/>
        <item x="3364"/>
        <item x="2976"/>
        <item x="2557"/>
        <item x="491"/>
        <item x="4894"/>
        <item x="3667"/>
        <item x="2812"/>
        <item x="4705"/>
        <item x="4522"/>
        <item x="4856"/>
        <item x="2266"/>
        <item x="3715"/>
        <item x="4634"/>
        <item x="727"/>
        <item x="1104"/>
        <item x="282"/>
        <item x="907"/>
        <item x="3622"/>
        <item x="2248"/>
        <item x="2599"/>
        <item x="1690"/>
        <item x="3613"/>
        <item x="2872"/>
        <item x="4838"/>
        <item x="547"/>
        <item x="4671"/>
        <item x="1946"/>
        <item x="2419"/>
        <item x="3915"/>
        <item x="2611"/>
        <item x="3510"/>
        <item x="3626"/>
        <item x="2182"/>
        <item x="2762"/>
        <item x="4552"/>
        <item x="2370"/>
        <item x="1906"/>
        <item x="1616"/>
        <item x="4134"/>
        <item x="3472"/>
        <item x="1563"/>
        <item x="203"/>
        <item x="864"/>
        <item x="3568"/>
        <item x="2810"/>
        <item x="220"/>
        <item x="2800"/>
        <item x="4414"/>
        <item x="714"/>
        <item x="172"/>
        <item x="2538"/>
        <item x="1475"/>
        <item x="2231"/>
        <item x="3743"/>
        <item x="4655"/>
        <item x="4742"/>
        <item x="1829"/>
        <item x="4044"/>
        <item x="4849"/>
        <item x="2480"/>
        <item x="4227"/>
        <item x="448"/>
        <item x="219"/>
        <item x="3504"/>
        <item x="40"/>
        <item x="454"/>
        <item x="3555"/>
        <item x="3198"/>
        <item x="2408"/>
        <item x="2781"/>
        <item x="415"/>
        <item x="2195"/>
        <item x="191"/>
        <item x="777"/>
        <item x="2090"/>
        <item x="1207"/>
        <item x="3102"/>
        <item x="4325"/>
        <item x="1467"/>
        <item x="4002"/>
        <item x="1442"/>
        <item x="234"/>
        <item x="202"/>
        <item x="2940"/>
        <item x="4597"/>
        <item x="2887"/>
        <item x="930"/>
        <item x="2162"/>
        <item x="3526"/>
        <item x="3544"/>
        <item x="4094"/>
        <item x="2153"/>
        <item x="4342"/>
        <item x="1249"/>
        <item x="3826"/>
        <item x="1763"/>
        <item x="945"/>
        <item x="1468"/>
        <item x="1281"/>
        <item x="2566"/>
        <item x="1579"/>
        <item x="2465"/>
        <item x="1461"/>
        <item x="694"/>
        <item x="3250"/>
        <item x="346"/>
        <item x="1208"/>
        <item x="1838"/>
        <item x="1053"/>
        <item x="548"/>
        <item x="562"/>
        <item x="449"/>
        <item x="2859"/>
        <item x="2934"/>
        <item x="1739"/>
        <item x="543"/>
        <item x="2563"/>
        <item x="503"/>
        <item x="3484"/>
        <item x="2764"/>
        <item x="30"/>
        <item x="3797"/>
        <item x="2692"/>
        <item x="3278"/>
        <item x="3844"/>
        <item x="4935"/>
        <item x="2009"/>
        <item x="1735"/>
        <item x="1852"/>
        <item x="924"/>
        <item x="1329"/>
        <item x="2209"/>
        <item x="741"/>
        <item x="3721"/>
        <item x="3091"/>
        <item x="4372"/>
        <item x="1627"/>
        <item x="1031"/>
        <item x="4640"/>
        <item x="663"/>
        <item x="3405"/>
        <item x="4810"/>
        <item x="1922"/>
        <item x="4269"/>
        <item x="597"/>
        <item x="3712"/>
        <item x="3380"/>
        <item x="4703"/>
        <item x="4578"/>
        <item x="673"/>
        <item x="4433"/>
        <item x="541"/>
        <item x="3823"/>
        <item x="3241"/>
        <item x="3906"/>
        <item x="2424"/>
        <item x="3309"/>
        <item x="4653"/>
        <item x="3764"/>
        <item x="3891"/>
        <item x="352"/>
        <item x="2553"/>
        <item x="2655"/>
        <item x="4446"/>
        <item x="2618"/>
        <item x="365"/>
        <item x="2693"/>
        <item x="73"/>
        <item x="4057"/>
        <item x="367"/>
        <item x="987"/>
        <item x="3561"/>
        <item x="2270"/>
        <item x="932"/>
        <item x="1684"/>
        <item x="3125"/>
        <item x="4605"/>
        <item x="1045"/>
        <item x="2854"/>
        <item x="877"/>
        <item x="2341"/>
        <item x="4870"/>
        <item x="1962"/>
        <item x="4789"/>
        <item x="2150"/>
        <item x="2515"/>
        <item x="4933"/>
        <item x="3429"/>
        <item x="4804"/>
        <item x="4244"/>
        <item x="1253"/>
        <item x="2029"/>
        <item x="1472"/>
        <item x="1485"/>
        <item x="345"/>
        <item x="571"/>
        <item x="204"/>
        <item x="2394"/>
        <item x="2297"/>
        <item x="799"/>
        <item x="531"/>
        <item x="4590"/>
        <item x="2198"/>
        <item x="1082"/>
        <item x="3606"/>
        <item x="4189"/>
        <item x="2307"/>
        <item x="1426"/>
        <item x="1934"/>
        <item x="1060"/>
        <item x="4096"/>
        <item x="4580"/>
        <item x="4635"/>
        <item x="4040"/>
        <item x="2204"/>
        <item x="1797"/>
        <item x="3899"/>
        <item x="712"/>
        <item x="2702"/>
        <item x="618"/>
        <item x="1185"/>
        <item x="4903"/>
        <item x="988"/>
        <item x="3997"/>
        <item x="4032"/>
        <item x="2763"/>
        <item x="3211"/>
        <item x="3984"/>
        <item x="1006"/>
        <item x="4148"/>
        <item x="487"/>
        <item x="3888"/>
        <item x="3331"/>
        <item x="3037"/>
        <item x="1928"/>
        <item x="3440"/>
        <item x="2378"/>
        <item x="2582"/>
        <item x="3719"/>
        <item x="853"/>
        <item x="4322"/>
        <item x="2502"/>
        <item x="1721"/>
        <item x="4393"/>
        <item x="559"/>
        <item x="1892"/>
        <item x="2039"/>
        <item x="420"/>
        <item x="1513"/>
        <item x="2265"/>
        <item x="3905"/>
        <item x="479"/>
        <item x="2187"/>
        <item x="4326"/>
        <item x="2561"/>
        <item x="1460"/>
        <item x="647"/>
        <item x="1757"/>
        <item x="3242"/>
        <item x="1920"/>
        <item x="460"/>
        <item x="1108"/>
        <item x="667"/>
        <item x="952"/>
        <item x="1710"/>
        <item x="4147"/>
        <item x="2448"/>
        <item x="1376"/>
        <item x="2985"/>
        <item x="1577"/>
        <item x="1294"/>
        <item x="4276"/>
        <item x="2706"/>
        <item x="1103"/>
        <item x="2560"/>
        <item x="1105"/>
        <item x="975"/>
        <item x="1458"/>
        <item x="428"/>
        <item x="610"/>
        <item x="1501"/>
        <item x="4765"/>
        <item x="4182"/>
        <item x="2926"/>
        <item x="3064"/>
        <item x="976"/>
        <item x="4064"/>
        <item x="3774"/>
        <item x="3015"/>
        <item x="320"/>
        <item x="2921"/>
        <item x="1341"/>
        <item x="2656"/>
        <item x="2990"/>
        <item x="3641"/>
        <item x="1464"/>
        <item x="2200"/>
        <item x="4200"/>
        <item x="1915"/>
        <item x="3028"/>
        <item x="940"/>
        <item x="980"/>
        <item x="3919"/>
        <item x="4820"/>
        <item x="4014"/>
        <item x="2612"/>
        <item x="4554"/>
        <item x="826"/>
        <item x="2199"/>
        <item x="687"/>
        <item x="4053"/>
        <item x="2761"/>
        <item x="4464"/>
        <item x="4228"/>
        <item x="1668"/>
        <item x="3307"/>
        <item x="3151"/>
        <item x="392"/>
        <item x="4518"/>
        <item x="1481"/>
        <item x="3388"/>
        <item x="1168"/>
        <item x="3428"/>
        <item x="3138"/>
        <item x="1149"/>
        <item x="4234"/>
        <item x="4575"/>
        <item x="4357"/>
        <item x="4719"/>
        <item x="4311"/>
        <item x="2203"/>
        <item x="2026"/>
        <item x="1456"/>
        <item x="1510"/>
        <item x="4146"/>
        <item x="4284"/>
        <item x="2506"/>
        <item x="3496"/>
        <item x="2704"/>
        <item x="2030"/>
        <item x="1538"/>
        <item x="1762"/>
        <item x="779"/>
        <item x="3035"/>
        <item x="2583"/>
        <item x="540"/>
        <item x="1301"/>
        <item x="4301"/>
        <item x="3706"/>
        <item x="4445"/>
        <item x="689"/>
        <item x="4092"/>
        <item x="2395"/>
        <item x="3197"/>
        <item x="4443"/>
        <item x="105"/>
        <item x="3400"/>
        <item x="1976"/>
        <item x="1486"/>
        <item x="2734"/>
        <item x="283"/>
        <item x="2411"/>
        <item x="3957"/>
        <item x="2055"/>
        <item x="410"/>
        <item x="1271"/>
        <item x="582"/>
        <item x="1120"/>
        <item x="1293"/>
        <item x="4047"/>
        <item x="1586"/>
        <item x="1667"/>
        <item x="490"/>
        <item x="1791"/>
        <item x="4001"/>
        <item x="933"/>
        <item x="642"/>
        <item x="1853"/>
        <item x="3398"/>
        <item x="3501"/>
        <item x="4514"/>
        <item x="3939"/>
        <item x="4932"/>
        <item x="2625"/>
        <item x="3954"/>
        <item x="4135"/>
        <item x="2141"/>
        <item x="2919"/>
        <item x="857"/>
        <item x="2312"/>
        <item x="845"/>
        <item x="3105"/>
        <item x="1772"/>
        <item x="2216"/>
        <item x="2900"/>
        <item x="4951"/>
        <item x="1128"/>
        <item x="3769"/>
        <item x="1331"/>
        <item x="2122"/>
        <item x="443"/>
        <item x="199"/>
        <item x="1344"/>
        <item x="4248"/>
        <item x="3803"/>
        <item x="3406"/>
        <item x="4553"/>
        <item x="915"/>
        <item x="1999"/>
        <item x="2049"/>
        <item x="1258"/>
        <item x="4436"/>
        <item x="4107"/>
        <item x="1656"/>
        <item x="215"/>
        <item x="2740"/>
        <item x="2183"/>
        <item x="3208"/>
        <item x="1025"/>
        <item x="1744"/>
        <item x="4798"/>
        <item x="363"/>
        <item x="4619"/>
        <item x="3355"/>
        <item x="4354"/>
        <item x="4550"/>
        <item x="1540"/>
        <item x="1553"/>
        <item x="3237"/>
        <item x="2681"/>
        <item x="1963"/>
        <item x="291"/>
        <item x="4246"/>
        <item x="3817"/>
        <item x="3927"/>
        <item x="284"/>
        <item x="786"/>
        <item x="1733"/>
        <item x="4065"/>
        <item x="3226"/>
        <item x="2306"/>
        <item x="3559"/>
        <item x="3343"/>
        <item x="1007"/>
        <item x="1297"/>
        <item x="2311"/>
        <item x="88"/>
        <item x="813"/>
        <item x="3527"/>
        <item x="3920"/>
        <item x="1327"/>
        <item x="1026"/>
        <item x="3567"/>
        <item x="3932"/>
        <item x="928"/>
        <item x="120"/>
        <item x="1551"/>
        <item x="4061"/>
        <item x="2033"/>
        <item x="3700"/>
        <item x="3357"/>
        <item x="1288"/>
        <item x="2948"/>
        <item x="2440"/>
        <item x="1795"/>
        <item x="2931"/>
        <item x="3374"/>
        <item x="246"/>
        <item x="1423"/>
        <item x="1730"/>
        <item x="4069"/>
        <item x="3535"/>
        <item x="3114"/>
        <item x="2507"/>
        <item x="1181"/>
        <item x="4251"/>
        <item x="4909"/>
        <item x="4038"/>
        <item x="3294"/>
        <item x="909"/>
        <item x="1798"/>
        <item x="371"/>
        <item x="97"/>
        <item x="2534"/>
        <item x="1760"/>
        <item x="1175"/>
        <item x="4883"/>
        <item x="4349"/>
        <item x="3052"/>
        <item x="2853"/>
        <item x="1857"/>
        <item x="546"/>
        <item x="523"/>
        <item x="3585"/>
        <item x="2722"/>
        <item x="1670"/>
        <item x="795"/>
        <item x="4859"/>
        <item x="3644"/>
        <item x="2043"/>
        <item x="2468"/>
        <item x="2269"/>
        <item x="683"/>
        <item x="4231"/>
        <item x="4869"/>
        <item x="2523"/>
        <item x="757"/>
        <item x="2452"/>
        <item x="2748"/>
        <item x="3196"/>
        <item x="3949"/>
        <item x="3646"/>
        <item x="1084"/>
        <item x="44"/>
        <item x="2744"/>
        <item x="963"/>
        <item x="310"/>
        <item x="1440"/>
        <item x="2979"/>
        <item x="2392"/>
        <item x="1110"/>
        <item x="1959"/>
        <item x="2239"/>
        <item x="2280"/>
        <item x="4029"/>
        <item x="576"/>
        <item x="1686"/>
        <item x="829"/>
        <item x="3297"/>
        <item x="3857"/>
        <item x="4771"/>
        <item x="96"/>
        <item x="1192"/>
        <item x="1421"/>
        <item x="1324"/>
        <item x="3129"/>
        <item x="2804"/>
        <item x="2031"/>
        <item x="3985"/>
        <item x="1170"/>
        <item x="2914"/>
        <item x="3961"/>
        <item x="2402"/>
        <item x="268"/>
        <item x="1017"/>
        <item x="802"/>
        <item x="4175"/>
        <item x="2736"/>
        <item x="1159"/>
        <item x="1537"/>
        <item x="4078"/>
        <item x="3508"/>
        <item x="3807"/>
        <item x="2407"/>
        <item x="4351"/>
        <item x="1778"/>
        <item x="4675"/>
        <item x="488"/>
        <item x="1353"/>
        <item x="1620"/>
        <item x="2530"/>
        <item x="4294"/>
        <item x="918"/>
        <item x="591"/>
        <item x="1679"/>
        <item x="1002"/>
        <item x="4507"/>
        <item x="4277"/>
        <item x="2739"/>
        <item x="3368"/>
        <item x="407"/>
        <item x="3437"/>
        <item x="1088"/>
        <item x="2337"/>
        <item x="369"/>
        <item x="3182"/>
        <item x="1651"/>
        <item x="3907"/>
        <item x="2842"/>
        <item x="433"/>
        <item x="1801"/>
        <item x="3048"/>
        <item x="4129"/>
        <item x="2243"/>
        <item x="937"/>
        <item x="2920"/>
        <item x="2529"/>
        <item x="2275"/>
        <item x="3425"/>
        <item x="1051"/>
        <item x="943"/>
        <item x="3913"/>
        <item x="4540"/>
        <item x="2636"/>
        <item x="3002"/>
        <item x="2300"/>
        <item x="3503"/>
        <item x="4101"/>
        <item x="1480"/>
        <item x="3684"/>
        <item x="2441"/>
        <item x="1870"/>
        <item x="514"/>
        <item x="111"/>
        <item x="3711"/>
        <item x="1410"/>
        <item x="2208"/>
        <item x="1307"/>
        <item x="1336"/>
        <item x="2226"/>
        <item x="4062"/>
        <item x="614"/>
        <item x="705"/>
        <item x="1488"/>
        <item x="3490"/>
        <item x="1351"/>
        <item x="1244"/>
        <item x="331"/>
        <item x="4161"/>
        <item x="4280"/>
        <item x="4183"/>
        <item x="1080"/>
        <item x="435"/>
        <item x="1515"/>
        <item x="2387"/>
        <item x="508"/>
        <item x="898"/>
        <item x="2032"/>
        <item x="4230"/>
        <item x="2638"/>
        <item x="1765"/>
        <item x="1861"/>
        <item x="4457"/>
        <item x="4721"/>
        <item x="889"/>
        <item x="536"/>
        <item x="2196"/>
        <item x="3887"/>
        <item x="37"/>
        <item x="3225"/>
        <item x="339"/>
        <item x="1824"/>
        <item x="3724"/>
        <item x="3970"/>
        <item x="748"/>
        <item x="1219"/>
        <item x="1664"/>
        <item x="3333"/>
        <item x="2991"/>
        <item x="651"/>
        <item x="1492"/>
        <item x="4813"/>
        <item x="4288"/>
        <item x="2743"/>
        <item x="4937"/>
        <item x="2846"/>
        <item x="4581"/>
        <item x="3902"/>
        <item x="2757"/>
        <item x="1677"/>
        <item x="2232"/>
        <item x="1452"/>
        <item x="4912"/>
        <item x="10"/>
        <item x="4733"/>
        <item x="1368"/>
        <item x="3391"/>
        <item x="3699"/>
        <item x="2848"/>
        <item x="3517"/>
        <item x="3045"/>
        <item x="3365"/>
        <item x="2676"/>
        <item x="2682"/>
        <item x="1382"/>
        <item x="130"/>
        <item x="3376"/>
        <item x="1310"/>
        <item x="76"/>
        <item x="2822"/>
        <item x="1728"/>
        <item x="390"/>
        <item x="1114"/>
        <item x="3189"/>
        <item x="1150"/>
        <item x="1558"/>
        <item x="2040"/>
        <item x="2223"/>
        <item x="1163"/>
        <item x="1506"/>
        <item x="3260"/>
        <item x="2669"/>
        <item x="1113"/>
        <item x="2293"/>
        <item x="2397"/>
        <item x="4822"/>
        <item x="2237"/>
        <item x="175"/>
        <item x="4266"/>
        <item x="1956"/>
        <item x="1267"/>
        <item x="2678"/>
        <item x="2385"/>
        <item x="1457"/>
        <item x="4193"/>
        <item x="4658"/>
        <item x="701"/>
        <item x="1261"/>
        <item x="3611"/>
        <item x="3754"/>
        <item x="4678"/>
        <item x="3831"/>
        <item x="4087"/>
        <item x="2624"/>
        <item x="357"/>
        <item x="3416"/>
        <item x="1176"/>
        <item x="528"/>
        <item x="1146"/>
        <item x="2431"/>
        <item x="2291"/>
        <item x="3671"/>
        <item x="1018"/>
        <item x="4748"/>
        <item x="2235"/>
        <item x="1678"/>
        <item x="2883"/>
        <item x="3245"/>
        <item x="4714"/>
        <item x="1875"/>
        <item x="3407"/>
        <item x="2479"/>
        <item x="4508"/>
        <item x="1362"/>
        <item x="211"/>
        <item x="2581"/>
        <item x="4623"/>
        <item x="4532"/>
        <item x="800"/>
        <item x="3050"/>
        <item x="4432"/>
        <item x="393"/>
        <item x="784"/>
        <item x="2696"/>
        <item x="4562"/>
        <item x="2272"/>
        <item x="1507"/>
        <item x="2105"/>
        <item x="281"/>
        <item x="3868"/>
        <item x="2063"/>
        <item x="3822"/>
        <item x="4447"/>
        <item x="3608"/>
        <item x="4306"/>
        <item x="271"/>
        <item x="2373"/>
        <item x="3443"/>
        <item x="2694"/>
        <item x="2406"/>
        <item x="187"/>
        <item x="3952"/>
        <item x="162"/>
        <item x="4669"/>
        <item x="3848"/>
        <item x="2469"/>
        <item x="4600"/>
        <item x="4279"/>
        <item x="884"/>
        <item x="912"/>
        <item x="2493"/>
        <item x="2347"/>
        <item x="4072"/>
        <item x="729"/>
        <item x="1212"/>
        <item x="4157"/>
        <item x="1387"/>
        <item x="4595"/>
        <item x="1834"/>
        <item x="1200"/>
        <item x="2519"/>
        <item x="2316"/>
        <item x="3856"/>
        <item x="3801"/>
        <item x="1263"/>
        <item x="1622"/>
        <item x="2633"/>
        <item x="3275"/>
        <item x="2959"/>
        <item x="1614"/>
        <item x="1595"/>
        <item x="2972"/>
        <item x="2547"/>
        <item x="1961"/>
        <item x="2340"/>
        <item x="2542"/>
        <item x="4862"/>
        <item x="2115"/>
        <item x="3393"/>
        <item x="533"/>
        <item x="1194"/>
        <item x="2609"/>
        <item x="4313"/>
        <item x="375"/>
        <item x="2821"/>
        <item x="2393"/>
        <item x="4544"/>
        <item x="1685"/>
        <item x="4379"/>
        <item x="2700"/>
        <item x="2439"/>
        <item x="967"/>
        <item x="4083"/>
        <item x="731"/>
        <item x="1259"/>
        <item x="1597"/>
        <item x="4837"/>
        <item x="2481"/>
        <item x="991"/>
        <item x="3663"/>
        <item x="2963"/>
        <item x="4519"/>
        <item x="4844"/>
        <item x="4070"/>
        <item x="432"/>
        <item x="832"/>
        <item x="89"/>
        <item x="3992"/>
        <item x="900"/>
        <item x="3240"/>
        <item x="1072"/>
        <item x="4931"/>
        <item x="664"/>
        <item x="4143"/>
        <item x="2365"/>
        <item x="3853"/>
        <item x="2391"/>
        <item x="3314"/>
        <item x="739"/>
        <item x="4262"/>
        <item x="3032"/>
        <item x="518"/>
        <item x="553"/>
        <item x="3175"/>
        <item x="1661"/>
        <item x="1650"/>
        <item x="1354"/>
        <item x="4827"/>
        <item x="2796"/>
        <item x="1847"/>
        <item x="380"/>
        <item x="771"/>
        <item x="2363"/>
        <item x="3066"/>
        <item x="4323"/>
        <item x="1081"/>
        <item x="563"/>
        <item x="1975"/>
        <item x="2754"/>
        <item x="3786"/>
        <item x="1855"/>
        <item x="3193"/>
        <item x="3781"/>
        <item x="985"/>
        <item x="2018"/>
        <item x="4156"/>
        <item x="2930"/>
        <item x="1576"/>
        <item x="2444"/>
        <item x="243"/>
        <item x="3071"/>
        <item x="869"/>
        <item x="4052"/>
        <item x="1296"/>
        <item x="1883"/>
        <item x="875"/>
        <item x="2125"/>
        <item x="1490"/>
        <item x="3515"/>
        <item x="4782"/>
        <item x="2014"/>
        <item x="2747"/>
        <item x="2201"/>
        <item x="1748"/>
        <item x="4802"/>
        <item x="1789"/>
        <item x="805"/>
        <item x="1814"/>
        <item x="3413"/>
        <item x="3389"/>
        <item x="4171"/>
        <item x="413"/>
        <item x="3701"/>
        <item x="2942"/>
        <item x="4781"/>
        <item x="1913"/>
        <item x="3051"/>
        <item x="3744"/>
        <item x="1591"/>
        <item x="450"/>
        <item x="3653"/>
        <item x="3377"/>
        <item x="3467"/>
        <item x="1945"/>
        <item x="2119"/>
        <item x="4929"/>
        <item x="2840"/>
        <item x="1379"/>
        <item x="124"/>
        <item x="2305"/>
        <item x="1700"/>
        <item x="292"/>
        <item x="721"/>
        <item x="308"/>
        <item x="1204"/>
        <item x="4109"/>
        <item x="4555"/>
        <item x="4874"/>
        <item x="273"/>
        <item x="4102"/>
        <item x="2852"/>
        <item x="239"/>
        <item x="4732"/>
        <item x="1836"/>
        <item x="4488"/>
        <item x="815"/>
        <item x="1878"/>
        <item x="3338"/>
        <item x="1227"/>
        <item x="4055"/>
        <item x="2221"/>
        <item x="3681"/>
        <item x="2769"/>
        <item x="3265"/>
        <item x="4310"/>
        <item x="4137"/>
        <item x="4839"/>
        <item x="3433"/>
        <item x="4212"/>
        <item x="1612"/>
        <item x="4345"/>
        <item x="3759"/>
        <item x="4392"/>
        <item x="2998"/>
        <item x="1722"/>
        <item x="545"/>
        <item x="656"/>
        <item x="2565"/>
        <item x="3549"/>
        <item x="971"/>
        <item x="3075"/>
        <item x="2830"/>
        <item x="3834"/>
        <item x="3255"/>
        <item x="3794"/>
        <item x="3378"/>
        <item x="25"/>
        <item x="2488"/>
        <item x="1274"/>
        <item x="579"/>
        <item x="1138"/>
        <item x="2454"/>
        <item x="4213"/>
        <item x="4846"/>
        <item x="4842"/>
        <item x="4649"/>
        <item x="3247"/>
        <item x="804"/>
        <item x="2169"/>
        <item x="2525"/>
        <item x="2228"/>
        <item x="1247"/>
        <item x="4899"/>
        <item x="4505"/>
        <item x="834"/>
        <item x="3473"/>
        <item x="1851"/>
        <item x="4442"/>
        <item x="2728"/>
        <item x="1154"/>
        <item x="2324"/>
        <item x="3835"/>
        <item x="2054"/>
        <item x="4799"/>
        <item x="1077"/>
        <item x="4956"/>
        <item x="756"/>
        <item x="2911"/>
        <item x="4803"/>
        <item x="1059"/>
        <item x="2377"/>
        <item x="1052"/>
        <item x="4007"/>
        <item x="2080"/>
        <item x="2339"/>
        <item x="4058"/>
        <item x="2855"/>
        <item x="2605"/>
        <item x="3867"/>
        <item x="3923"/>
        <item x="1498"/>
        <item x="806"/>
        <item x="3162"/>
        <item x="23"/>
        <item x="1240"/>
        <item x="3760"/>
        <item x="625"/>
        <item x="1300"/>
        <item x="4210"/>
        <item x="3402"/>
        <item x="4491"/>
        <item x="99"/>
        <item x="4648"/>
        <item x="1768"/>
        <item x="929"/>
        <item x="2096"/>
        <item x="2447"/>
        <item x="1034"/>
        <item x="3018"/>
        <item x="2012"/>
        <item x="1822"/>
        <item x="1140"/>
        <item x="2173"/>
        <item x="2539"/>
        <item x="3317"/>
        <item x="3217"/>
        <item x="4881"/>
        <item x="1596"/>
        <item x="1217"/>
        <item x="1499"/>
        <item x="3232"/>
        <item x="2015"/>
        <item x="4232"/>
        <item x="440"/>
        <item x="2301"/>
        <item x="4239"/>
        <item x="2690"/>
        <item x="2683"/>
        <item x="2526"/>
        <item x="4383"/>
        <item x="151"/>
        <item x="48"/>
        <item x="4404"/>
        <item x="2459"/>
        <item x="2982"/>
        <item x="626"/>
        <item x="2456"/>
        <item x="686"/>
        <item x="1306"/>
        <item x="1012"/>
        <item x="4645"/>
        <item x="2143"/>
        <item x="4441"/>
        <item x="1155"/>
        <item x="2790"/>
        <item x="2287"/>
        <item x="1939"/>
        <item x="480"/>
        <item x="4812"/>
        <item x="2405"/>
        <item x="4384"/>
        <item x="4947"/>
        <item x="2788"/>
        <item x="38"/>
        <item x="1705"/>
        <item x="2003"/>
        <item x="3292"/>
        <item x="1303"/>
        <item x="635"/>
        <item x="2483"/>
        <item x="4035"/>
        <item x="4738"/>
        <item x="3017"/>
        <item x="874"/>
        <item x="2597"/>
        <item x="4124"/>
        <item x="2537"/>
        <item x="329"/>
        <item x="3799"/>
        <item x="3934"/>
        <item x="106"/>
        <item x="946"/>
        <item x="1559"/>
        <item x="1202"/>
        <item x="4154"/>
        <item x="1489"/>
        <item x="1954"/>
        <item x="3158"/>
        <item x="2120"/>
        <item x="4138"/>
        <item x="2723"/>
        <item x="2666"/>
        <item x="738"/>
        <item x="3757"/>
        <item x="4918"/>
        <item x="2719"/>
        <item x="3003"/>
        <item x="3750"/>
        <item x="2978"/>
        <item x="2036"/>
        <item x="1298"/>
        <item x="1509"/>
        <item x="4421"/>
        <item x="3881"/>
        <item x="1375"/>
        <item x="1269"/>
        <item x="1528"/>
        <item x="2616"/>
        <item x="3081"/>
        <item x="3778"/>
        <item x="2335"/>
        <item x="2101"/>
        <item x="871"/>
        <item x="4701"/>
        <item x="4117"/>
        <item x="3710"/>
        <item x="2610"/>
        <item x="3183"/>
        <item x="4214"/>
        <item x="1371"/>
        <item x="3651"/>
        <item x="330"/>
        <item x="3639"/>
        <item x="1433"/>
        <item x="4309"/>
        <item x="184"/>
        <item x="1645"/>
        <item x="3059"/>
        <item x="2663"/>
        <item x="167"/>
        <item x="1402"/>
        <item x="113"/>
        <item x="1280"/>
        <item x="4942"/>
        <item x="2467"/>
        <item x="2021"/>
        <item x="1321"/>
        <item x="1936"/>
        <item x="3775"/>
        <item x="2197"/>
        <item x="1840"/>
        <item x="903"/>
        <item x="590"/>
        <item x="2489"/>
        <item x="4119"/>
        <item x="4589"/>
        <item x="3657"/>
        <item x="1991"/>
        <item x="1786"/>
        <item x="2250"/>
        <item x="4150"/>
        <item x="51"/>
        <item x="2970"/>
        <item x="3194"/>
        <item x="2509"/>
        <item x="3896"/>
        <item x="1323"/>
        <item x="941"/>
        <item x="3436"/>
        <item x="3674"/>
        <item x="1665"/>
        <item x="163"/>
        <item x="4028"/>
        <item x="3207"/>
        <item x="4644"/>
        <item x="2025"/>
        <item x="318"/>
        <item x="4098"/>
        <item x="660"/>
        <item x="4841"/>
        <item x="2834"/>
        <item x="1640"/>
        <item x="2715"/>
        <item x="693"/>
        <item x="3491"/>
        <item x="1209"/>
        <item x="3185"/>
        <item x="362"/>
        <item x="586"/>
        <item x="3621"/>
        <item x="3300"/>
        <item x="3340"/>
        <item x="4356"/>
        <item x="4916"/>
        <item x="3624"/>
        <item x="269"/>
        <item x="4282"/>
        <item x="1251"/>
        <item x="4476"/>
        <item x="3412"/>
        <item x="728"/>
        <item x="4481"/>
        <item x="526"/>
        <item x="3084"/>
        <item x="466"/>
        <item x="2045"/>
        <item x="2310"/>
        <item x="2791"/>
        <item x="348"/>
        <item x="1562"/>
        <item x="2326"/>
        <item x="4026"/>
        <item x="4140"/>
        <item x="4475"/>
        <item x="1756"/>
        <item x="59"/>
        <item x="4387"/>
        <item x="3588"/>
        <item x="1118"/>
        <item x="630"/>
        <item x="964"/>
        <item x="808"/>
        <item x="4402"/>
        <item x="3854"/>
        <item x="3113"/>
        <item x="3134"/>
        <item x="2286"/>
        <item x="3188"/>
        <item x="2292"/>
        <item x="3753"/>
        <item x="2673"/>
        <item x="1636"/>
        <item x="3792"/>
        <item x="2106"/>
        <item x="3121"/>
        <item x="517"/>
        <item x="4939"/>
        <item x="737"/>
        <item x="3716"/>
        <item x="2849"/>
        <item x="3628"/>
        <item x="4079"/>
        <item x="1245"/>
        <item x="2795"/>
        <item x="758"/>
        <item x="3987"/>
        <item x="4851"/>
        <item x="1675"/>
        <item x="661"/>
        <item x="1037"/>
        <item x="4786"/>
        <item x="4561"/>
        <item x="2981"/>
        <item x="1610"/>
        <item x="4315"/>
        <item x="4483"/>
        <item x="4746"/>
        <item x="4495"/>
        <item x="3468"/>
        <item x="764"/>
        <item x="4889"/>
        <item x="1235"/>
        <item x="1860"/>
        <item x="3461"/>
        <item x="719"/>
        <item x="1785"/>
        <item x="1213"/>
        <item x="1761"/>
        <item x="270"/>
        <item x="1527"/>
        <item x="4264"/>
        <item x="542"/>
        <item x="840"/>
        <item x="879"/>
        <item x="140"/>
        <item x="2350"/>
        <item x="3229"/>
        <item x="1835"/>
        <item x="3056"/>
        <item x="1856"/>
        <item x="2670"/>
        <item x="3038"/>
        <item x="713"/>
        <item x="3978"/>
        <item x="4877"/>
        <item x="3284"/>
        <item x="1867"/>
        <item x="2995"/>
        <item x="3845"/>
        <item x="957"/>
        <item x="3122"/>
        <item x="4492"/>
        <item x="4112"/>
        <item x="1872"/>
        <item x="2190"/>
        <item x="2460"/>
        <item x="2462"/>
        <item x="4568"/>
        <item x="2035"/>
        <item x="3553"/>
        <item x="4757"/>
        <item x="2689"/>
        <item x="3736"/>
        <item x="3916"/>
        <item x="1057"/>
        <item x="769"/>
        <item x="3330"/>
        <item x="3937"/>
        <item x="746"/>
        <item x="180"/>
        <item x="69"/>
        <item x="867"/>
        <item x="2897"/>
        <item x="2066"/>
        <item x="872"/>
        <item x="4332"/>
        <item x="2354"/>
        <item x="2866"/>
        <item x="1514"/>
        <item x="2258"/>
        <item x="3993"/>
        <item x="4374"/>
        <item x="3285"/>
        <item x="4265"/>
        <item x="1810"/>
        <item x="260"/>
        <item x="1230"/>
        <item x="1497"/>
        <item x="315"/>
        <item x="2126"/>
        <item x="1178"/>
        <item x="4791"/>
        <item x="645"/>
        <item x="981"/>
        <item x="3279"/>
        <item x="1788"/>
        <item x="1516"/>
        <item x="3525"/>
        <item x="958"/>
        <item x="4596"/>
        <item x="1574"/>
        <item x="722"/>
        <item x="3009"/>
        <item x="2957"/>
        <item x="4808"/>
        <item x="905"/>
        <item x="3213"/>
        <item x="1058"/>
        <item x="2267"/>
        <item x="1842"/>
        <item x="3438"/>
        <item x="1238"/>
        <item x="772"/>
        <item x="2912"/>
        <item x="2630"/>
        <item x="3170"/>
        <item x="1252"/>
        <item x="3128"/>
        <item x="1903"/>
        <item x="4723"/>
        <item x="4030"/>
        <item x="6"/>
        <item x="1429"/>
        <item x="1747"/>
        <item x="3074"/>
        <item x="4573"/>
        <item x="2087"/>
        <item x="3691"/>
        <item x="4557"/>
        <item x="2002"/>
        <item x="4643"/>
        <item x="4687"/>
        <item x="3262"/>
        <item x="478"/>
        <item x="4152"/>
        <item x="4252"/>
        <item x="4456"/>
        <item x="754"/>
        <item x="914"/>
        <item x="4945"/>
        <item x="3929"/>
        <item x="4108"/>
        <item x="4900"/>
        <item x="923"/>
        <item x="4299"/>
        <item x="2712"/>
        <item x="1776"/>
        <item x="3324"/>
        <item x="3649"/>
        <item x="3190"/>
        <item x="3354"/>
        <item x="1265"/>
        <item x="3184"/>
        <item x="1436"/>
        <item x="1951"/>
        <item x="2139"/>
        <item x="3110"/>
        <item x="24"/>
        <item x="4636"/>
        <item x="2219"/>
        <item x="2966"/>
        <item x="2476"/>
        <item x="4917"/>
        <item x="4418"/>
        <item x="67"/>
        <item x="3199"/>
        <item x="2731"/>
        <item x="3642"/>
        <item x="3852"/>
        <item x="1022"/>
        <item x="3024"/>
        <item x="3447"/>
        <item x="2217"/>
        <item x="143"/>
        <item x="3980"/>
        <item x="3625"/>
        <item x="4115"/>
        <item x="3153"/>
        <item x="3751"/>
        <item x="2367"/>
        <item x="4490"/>
        <item x="4599"/>
        <item x="4025"/>
        <item x="4642"/>
        <item x="3079"/>
        <item x="4165"/>
        <item x="1158"/>
        <item x="3661"/>
        <item x="79"/>
        <item x="2805"/>
        <item x="2034"/>
        <item x="4302"/>
        <item x="1731"/>
        <item x="2383"/>
        <item x="1891"/>
        <item x="2649"/>
        <item x="4297"/>
        <item x="3733"/>
        <item x="2253"/>
        <item x="4850"/>
        <item x="3548"/>
        <item x="2376"/>
        <item x="1812"/>
        <item x="1988"/>
        <item x="135"/>
        <item x="3911"/>
        <item x="467"/>
        <item x="208"/>
        <item x="3261"/>
        <item x="1317"/>
        <item x="1124"/>
        <item x="4050"/>
        <item x="2753"/>
        <item x="4462"/>
        <item x="3962"/>
        <item x="3335"/>
        <item x="4178"/>
        <item x="3135"/>
        <item x="4821"/>
        <item x="278"/>
        <item x="3912"/>
        <item x="4289"/>
        <item x="1971"/>
        <item x="3506"/>
        <item x="102"/>
        <item x="2152"/>
        <item x="3243"/>
        <item x="414"/>
        <item x="911"/>
        <item x="4250"/>
        <item x="4910"/>
        <item x="4385"/>
        <item x="3818"/>
        <item x="762"/>
        <item x="3320"/>
        <item x="2181"/>
        <item x="3582"/>
        <item x="1036"/>
        <item x="3693"/>
        <item x="1692"/>
        <item x="4494"/>
        <item x="3806"/>
        <item x="4168"/>
        <item x="3880"/>
        <item x="4223"/>
        <item x="336"/>
        <item x="136"/>
        <item x="275"/>
        <item x="1011"/>
        <item x="3431"/>
        <item x="2829"/>
        <item x="2524"/>
        <item x="1033"/>
        <item x="3350"/>
        <item x="4744"/>
        <item x="2591"/>
        <item x="4585"/>
        <item x="3819"/>
        <item x="137"/>
        <item x="2155"/>
        <item x="4586"/>
        <item x="1697"/>
        <item x="4659"/>
        <item x="4355"/>
        <item x="1611"/>
        <item x="2241"/>
        <item x="2535"/>
        <item x="4468"/>
        <item x="3572"/>
        <item x="431"/>
        <item x="3988"/>
        <item x="1983"/>
        <item x="1617"/>
        <item x="3098"/>
        <item x="3735"/>
        <item x="2575"/>
        <item x="3737"/>
        <item x="4063"/>
        <item x="1929"/>
        <item x="2908"/>
        <item x="2417"/>
        <item x="2585"/>
        <item x="1389"/>
        <item x="2121"/>
        <item x="12"/>
        <item x="2698"/>
        <item x="1232"/>
        <item x="3550"/>
        <item x="2540"/>
        <item x="1585"/>
        <item x="1704"/>
        <item x="4247"/>
        <item x="4582"/>
        <item x="4818"/>
        <item x="4891"/>
        <item x="1262"/>
        <item x="306"/>
        <item x="881"/>
        <item x="3256"/>
        <item x="812"/>
        <item x="4170"/>
        <item x="966"/>
        <item x="3224"/>
        <item x="589"/>
        <item x="2969"/>
        <item x="690"/>
        <item x="1568"/>
        <item x="177"/>
        <item x="3109"/>
        <item x="170"/>
        <item x="4872"/>
        <item x="4431"/>
        <item x="276"/>
        <item x="3352"/>
        <item x="717"/>
        <item x="47"/>
        <item x="4121"/>
        <item x="3814"/>
        <item x="4611"/>
        <item x="319"/>
        <item x="3780"/>
        <item x="2595"/>
        <item x="274"/>
        <item x="3696"/>
        <item x="4686"/>
        <item x="3455"/>
        <item x="1889"/>
        <item x="1743"/>
        <item x="2065"/>
        <item x="521"/>
        <item x="33"/>
        <item x="2643"/>
        <item x="1582"/>
        <item x="1215"/>
        <item x="3914"/>
        <item x="2555"/>
        <item x="1188"/>
        <item x="3787"/>
        <item x="3485"/>
        <item x="2381"/>
        <item x="697"/>
        <item x="4429"/>
        <item x="3893"/>
        <item x="3679"/>
        <item x="3432"/>
        <item x="4367"/>
        <item x="1942"/>
        <item x="2732"/>
        <item x="878"/>
        <item x="145"/>
        <item x="3824"/>
        <item x="4579"/>
        <item x="1325"/>
        <item x="2325"/>
        <item x="2114"/>
        <item x="2389"/>
        <item x="1065"/>
        <item x="3030"/>
        <item x="4666"/>
        <item x="4548"/>
        <item x="4198"/>
        <item x="1732"/>
        <item x="4110"/>
        <item x="2"/>
        <item x="2491"/>
        <item x="539"/>
        <item x="3788"/>
        <item x="1214"/>
        <item x="1197"/>
        <item x="3218"/>
        <item x="4888"/>
        <item x="4689"/>
        <item x="3332"/>
        <item x="4023"/>
        <item x="711"/>
        <item x="3313"/>
        <item x="2544"/>
        <item x="956"/>
        <item x="1933"/>
        <item x="4335"/>
        <item x="1569"/>
        <item x="2868"/>
        <item x="2074"/>
        <item x="4700"/>
        <item x="3176"/>
        <item x="3126"/>
        <item x="4657"/>
        <item x="2860"/>
        <item x="608"/>
        <item x="1330"/>
        <item x="1346"/>
        <item x="4624"/>
        <item x="3676"/>
        <item x="1273"/>
        <item x="183"/>
        <item x="3231"/>
        <item x="3720"/>
        <item x="4840"/>
        <item x="2010"/>
        <item x="241"/>
        <item x="3329"/>
        <item x="2048"/>
        <item x="2518"/>
        <item x="3841"/>
        <item x="3638"/>
        <item x="3254"/>
        <item x="3516"/>
        <item x="2750"/>
        <item x="3703"/>
        <item x="4871"/>
        <item x="3441"/>
        <item x="2793"/>
        <item x="174"/>
        <item x="3669"/>
        <item x="862"/>
        <item x="4031"/>
        <item x="3925"/>
        <item x="716"/>
        <item x="2109"/>
        <item x="4722"/>
        <item x="953"/>
        <item x="314"/>
        <item x="1774"/>
        <item x="2546"/>
        <item x="2574"/>
        <item x="2308"/>
        <item x="2577"/>
        <item x="3055"/>
        <item x="1169"/>
        <item x="4489"/>
        <item x="2362"/>
        <item x="2898"/>
        <item x="4407"/>
        <item x="2137"/>
        <item x="90"/>
        <item x="1658"/>
        <item x="3571"/>
        <item x="2543"/>
        <item x="4542"/>
        <item x="2302"/>
        <item x="931"/>
        <item x="604"/>
        <item x="1908"/>
        <item x="1112"/>
        <item x="3656"/>
        <item x="4566"/>
        <item x="3708"/>
        <item x="4153"/>
        <item x="2179"/>
        <item x="4735"/>
        <item x="2695"/>
        <item x="1145"/>
        <item x="1220"/>
        <item x="555"/>
        <item x="670"/>
        <item x="868"/>
        <item x="2332"/>
        <item x="4033"/>
        <item x="350"/>
        <item x="4048"/>
        <item x="4620"/>
        <item x="2809"/>
        <item x="2485"/>
        <item x="2765"/>
        <item x="3547"/>
        <item x="1941"/>
        <item x="400"/>
        <item x="342"/>
        <item x="3382"/>
        <item x="3554"/>
        <item x="3598"/>
        <item x="1400"/>
        <item x="2108"/>
        <item x="4592"/>
        <item x="3570"/>
        <item x="2558"/>
        <item x="1184"/>
        <item x="2319"/>
        <item x="4890"/>
        <item x="2110"/>
        <item x="904"/>
        <item x="3396"/>
        <item x="801"/>
        <item x="4305"/>
        <item x="2545"/>
        <item x="3495"/>
        <item x="325"/>
        <item x="75"/>
        <item x="4551"/>
        <item x="4204"/>
        <item x="2874"/>
        <item x="4191"/>
        <item x="4090"/>
        <item x="383"/>
        <item x="1638"/>
        <item x="4538"/>
        <item x="3636"/>
        <item x="3717"/>
        <item x="2069"/>
        <item x="3020"/>
        <item x="685"/>
        <item x="3351"/>
        <item x="530"/>
        <item x="498"/>
        <item x="4160"/>
        <item x="3833"/>
        <item x="4278"/>
        <item x="1117"/>
        <item x="759"/>
        <item x="3239"/>
        <item x="1384"/>
        <item x="3851"/>
        <item x="1417"/>
        <item x="2103"/>
        <item x="1005"/>
        <item x="2067"/>
        <item x="2771"/>
        <item x="4054"/>
        <item x="1015"/>
        <item x="418"/>
        <item x="3542"/>
        <item x="1415"/>
        <item x="3227"/>
        <item x="4116"/>
        <item x="2946"/>
        <item x="843"/>
        <item x="4059"/>
        <item x="3599"/>
        <item x="1877"/>
        <item x="1799"/>
        <item x="2647"/>
        <item x="417"/>
        <item x="3010"/>
        <item x="3118"/>
        <item x="3960"/>
        <item x="2730"/>
        <item x="4346"/>
        <item x="231"/>
        <item x="4921"/>
        <item x="3800"/>
        <item x="452"/>
        <item x="1038"/>
        <item x="32"/>
        <item x="2001"/>
        <item x="2127"/>
        <item x="3707"/>
        <item x="4103"/>
        <item x="4533"/>
        <item x="2674"/>
        <item x="4864"/>
        <item x="1393"/>
        <item x="4009"/>
        <item x="1654"/>
        <item x="1039"/>
        <item x="4314"/>
        <item x="4772"/>
        <item x="2520"/>
        <item x="2007"/>
        <item x="3311"/>
        <item x="3645"/>
        <item x="1727"/>
        <item x="3145"/>
        <item x="3067"/>
        <item x="2129"/>
        <item x="4797"/>
        <item x="677"/>
        <item x="4717"/>
        <item x="2170"/>
        <item x="4049"/>
        <item x="3688"/>
        <item x="3989"/>
        <item x="1314"/>
        <item x="1771"/>
        <item x="2971"/>
        <item x="4410"/>
        <item x="3271"/>
        <item x="4077"/>
        <item x="4271"/>
        <item x="3795"/>
        <item x="4194"/>
        <item x="2473"/>
        <item x="1264"/>
        <item x="1134"/>
        <item x="577"/>
        <item x="2016"/>
        <item x="4408"/>
        <item x="998"/>
        <item x="573"/>
        <item x="4665"/>
        <item x="3409"/>
        <item x="94"/>
        <item x="485"/>
        <item x="2973"/>
        <item x="1040"/>
        <item x="15"/>
        <item x="1714"/>
        <item x="1738"/>
        <item x="961"/>
        <item x="1673"/>
        <item x="4774"/>
        <item x="3463"/>
        <item x="730"/>
        <item x="3152"/>
        <item x="2222"/>
        <item x="1632"/>
        <item x="2516"/>
        <item x="1125"/>
        <item x="3518"/>
        <item x="1858"/>
        <item x="461"/>
        <item x="955"/>
        <item x="3732"/>
        <item x="3727"/>
        <item x="2064"/>
        <item x="2443"/>
        <item x="406"/>
        <item x="457"/>
        <item x="3530"/>
        <item x="4526"/>
        <item x="2839"/>
        <item x="3948"/>
        <item x="4567"/>
        <item x="3529"/>
        <item x="2490"/>
        <item x="4444"/>
        <item x="1141"/>
        <item x="4826"/>
        <item x="2707"/>
        <item x="1787"/>
        <item x="4396"/>
        <item x="3458"/>
        <item x="3512"/>
        <item x="1151"/>
        <item x="3322"/>
        <item x="3940"/>
        <item x="4858"/>
        <item x="3259"/>
        <item x="4656"/>
        <item x="376"/>
        <item x="4378"/>
        <item x="3966"/>
        <item x="3725"/>
        <item x="4388"/>
        <item x="3990"/>
        <item x="2294"/>
        <item x="4953"/>
        <item x="4843"/>
        <item x="1234"/>
        <item x="2803"/>
        <item x="297"/>
        <item x="1724"/>
        <item x="3694"/>
        <item x="4698"/>
        <item x="4056"/>
        <item x="2023"/>
        <item x="4594"/>
        <item x="3117"/>
        <item x="747"/>
        <item x="1365"/>
        <item x="4779"/>
        <item x="3900"/>
        <item x="4144"/>
        <item x="3004"/>
        <item x="3302"/>
        <item x="2410"/>
        <item x="2191"/>
        <item x="1557"/>
        <item x="572"/>
        <item x="4516"/>
        <item x="2703"/>
        <item x="2484"/>
        <item x="3590"/>
        <item x="560"/>
        <item x="2298"/>
        <item x="4711"/>
        <item x="1137"/>
        <item x="734"/>
        <item x="2600"/>
        <item x="1895"/>
        <item x="2136"/>
        <item x="57"/>
        <item x="2461"/>
        <item x="3615"/>
        <item x="1373"/>
        <item x="1703"/>
        <item x="14"/>
        <item x="1241"/>
        <item x="1876"/>
        <item x="516"/>
        <item x="908"/>
        <item x="4486"/>
        <item x="2442"/>
        <item x="4630"/>
        <item x="1967"/>
        <item x="848"/>
        <item x="262"/>
        <item x="1287"/>
        <item x="2146"/>
        <item x="1567"/>
        <item x="2472"/>
        <item x="1888"/>
        <item x="3623"/>
        <item x="4398"/>
        <item x="41"/>
        <item x="3632"/>
        <item x="4625"/>
        <item x="1825"/>
        <item x="3666"/>
        <item x="2881"/>
        <item x="2004"/>
        <item x="235"/>
        <item x="3334"/>
        <item x="2916"/>
        <item x="1071"/>
        <item x="4333"/>
        <item x="72"/>
        <item x="1713"/>
        <item x="972"/>
        <item x="2910"/>
        <item x="995"/>
        <item x="80"/>
        <item x="793"/>
        <item x="1465"/>
        <item x="4670"/>
        <item x="2896"/>
        <item x="1416"/>
        <item x="4785"/>
        <item x="2677"/>
        <item x="4504"/>
        <item x="1944"/>
        <item x="4012"/>
        <item x="3493"/>
        <item x="4708"/>
        <item x="507"/>
        <item x="3078"/>
        <item x="3584"/>
        <item x="2928"/>
        <item x="2092"/>
        <item x="2416"/>
        <item x="2000"/>
        <item x="3296"/>
        <item x="2279"/>
        <item x="4037"/>
        <item x="2653"/>
        <item x="4208"/>
        <item x="1431"/>
        <item x="1696"/>
        <item x="4682"/>
        <item x="3171"/>
        <item x="3034"/>
        <item x="2403"/>
        <item x="880"/>
        <item x="3917"/>
        <item x="2384"/>
        <item x="1000"/>
        <item x="2646"/>
        <item x="1342"/>
        <item x="3043"/>
        <item x="412"/>
        <item x="3866"/>
        <item x="3379"/>
        <item x="4750"/>
        <item x="2936"/>
        <item x="990"/>
        <item x="2724"/>
        <item x="4267"/>
        <item x="2903"/>
        <item x="1644"/>
        <item x="4206"/>
        <item x="4662"/>
        <item x="2398"/>
        <item x="173"/>
        <item x="2487"/>
        <item x="385"/>
        <item x="1890"/>
        <item x="4527"/>
        <item x="574"/>
        <item x="2927"/>
        <item x="525"/>
        <item x="3401"/>
        <item x="438"/>
        <item x="2865"/>
        <item x="2047"/>
        <item x="3804"/>
        <item x="3093"/>
        <item x="3169"/>
        <item x="4046"/>
        <item x="3448"/>
        <item x="1565"/>
        <item x="4256"/>
        <item x="4716"/>
        <item x="122"/>
        <item x="3999"/>
        <item x="3601"/>
        <item x="897"/>
        <item x="1309"/>
        <item x="2651"/>
        <item x="3922"/>
        <item x="4829"/>
        <item x="4114"/>
        <item x="1635"/>
        <item x="16"/>
        <item x="3875"/>
        <item x="1385"/>
        <item x="2273"/>
        <item x="1952"/>
        <item x="2907"/>
        <item x="1984"/>
        <item x="355"/>
        <item x="3319"/>
        <item x="3981"/>
        <item x="1369"/>
        <item x="4618"/>
        <item x="3304"/>
        <item x="3647"/>
        <item x="1926"/>
        <item x="1328"/>
        <item x="4120"/>
        <item x="3682"/>
        <item x="2987"/>
        <item x="134"/>
        <item x="427"/>
        <item x="1630"/>
        <item x="2634"/>
        <item x="863"/>
        <item x="4775"/>
        <item x="4190"/>
        <item x="3965"/>
        <item x="4699"/>
        <item x="93"/>
        <item x="1821"/>
        <item x="2527"/>
        <item x="238"/>
        <item x="2652"/>
        <item x="333"/>
        <item x="3482"/>
        <item x="3643"/>
        <item x="4091"/>
        <item x="3995"/>
        <item x="2954"/>
        <item x="206"/>
        <item x="249"/>
        <item x="3346"/>
        <item x="501"/>
        <item x="1806"/>
        <item x="2085"/>
        <item x="1100"/>
        <item x="2570"/>
        <item x="836"/>
        <item x="1101"/>
        <item x="710"/>
        <item x="2778"/>
        <item x="1270"/>
        <item x="4390"/>
        <item x="2952"/>
        <item x="1162"/>
        <item x="3748"/>
        <item x="2980"/>
        <item x="1322"/>
        <item x="484"/>
        <item x="3612"/>
        <item x="3381"/>
        <item x="3000"/>
        <item x="4080"/>
        <item x="4358"/>
        <item x="4503"/>
        <item x="3705"/>
        <item x="4415"/>
        <item x="3756"/>
        <item x="3164"/>
        <item x="4612"/>
        <item x="3509"/>
        <item x="4583"/>
        <item x="755"/>
        <item x="1663"/>
        <item x="4460"/>
        <item x="64"/>
        <item x="4824"/>
        <item x="4754"/>
        <item x="2171"/>
        <item x="3903"/>
        <item x="2825"/>
        <item x="927"/>
        <item x="1377"/>
        <item x="2037"/>
        <item x="585"/>
        <item x="2151"/>
        <item x="1769"/>
        <item x="4855"/>
        <item x="515"/>
        <item x="1182"/>
        <item x="3630"/>
        <item x="87"/>
        <item x="4496"/>
        <item x="2889"/>
        <item x="4074"/>
        <item x="2794"/>
        <item x="2604"/>
        <item x="3465"/>
        <item x="4066"/>
        <item x="1631"/>
        <item x="3560"/>
        <item x="4068"/>
        <item x="2220"/>
        <item x="3323"/>
        <item x="3013"/>
        <item x="2492"/>
        <item x="707"/>
        <item x="118"/>
        <item x="823"/>
        <item x="782"/>
        <item x="1618"/>
        <item x="1966"/>
        <item x="2697"/>
        <item x="529"/>
        <item x="3371"/>
        <item x="4417"/>
        <item x="1918"/>
        <item x="2423"/>
        <item x="3616"/>
        <item x="3178"/>
        <item x="4122"/>
        <item x="4497"/>
        <item x="4467"/>
        <item x="4908"/>
        <item x="2046"/>
        <item x="2160"/>
        <item x="2175"/>
        <item x="1508"/>
        <item x="1698"/>
        <item x="3094"/>
        <item x="1491"/>
        <item x="1473"/>
        <item x="3268"/>
        <item x="2755"/>
        <item x="2580"/>
        <item x="613"/>
        <item x="938"/>
        <item x="1107"/>
        <item x="3991"/>
        <item x="4816"/>
        <item x="4084"/>
        <item x="1775"/>
        <item x="3758"/>
        <item x="3089"/>
        <item x="992"/>
        <item x="695"/>
        <item x="4941"/>
        <item x="2352"/>
        <item x="1832"/>
        <item x="2418"/>
        <item x="2346"/>
        <item x="3061"/>
        <item x="3033"/>
        <item x="1737"/>
        <item x="3488"/>
        <item x="266"/>
        <item x="2282"/>
        <item x="2158"/>
        <item x="4086"/>
        <item x="4897"/>
        <item x="3481"/>
        <item x="628"/>
        <item x="4944"/>
        <item x="556"/>
        <item x="3471"/>
        <item x="1736"/>
        <item x="4085"/>
        <item x="3664"/>
        <item x="3069"/>
        <item x="2864"/>
        <item x="2660"/>
        <item x="1623"/>
        <item x="1347"/>
        <item x="3011"/>
        <item x="1201"/>
        <item x="2107"/>
        <item x="4510"/>
        <item x="1555"/>
        <item x="1049"/>
        <item x="763"/>
        <item x="2154"/>
        <item x="2073"/>
        <item x="3251"/>
        <item x="4348"/>
        <item x="666"/>
        <item x="4674"/>
        <item x="2166"/>
        <item x="1839"/>
        <item x="1453"/>
        <item x="1859"/>
        <item x="2482"/>
        <item x="2935"/>
        <item x="3383"/>
        <item x="4695"/>
        <item x="1990"/>
        <item x="3263"/>
        <item x="2802"/>
        <item x="405"/>
        <item x="1979"/>
        <item x="4196"/>
        <item x="1720"/>
        <item x="3173"/>
        <item x="1409"/>
        <item x="1203"/>
        <item x="2072"/>
        <item x="4773"/>
        <item x="4712"/>
        <item x="2590"/>
        <item x="3895"/>
        <item x="4236"/>
        <item x="4316"/>
        <item x="3367"/>
        <item x="2005"/>
        <item x="3039"/>
        <item x="1187"/>
        <item x="1784"/>
        <item x="1796"/>
        <item x="1652"/>
        <item x="1121"/>
        <item x="1067"/>
        <item x="674"/>
        <item x="1276"/>
        <item x="3424"/>
        <item x="641"/>
        <item x="394"/>
        <item x="213"/>
        <item x="4709"/>
        <item x="4728"/>
        <item x="453"/>
        <item x="305"/>
        <item x="2592"/>
        <item x="3277"/>
        <item x="2657"/>
        <item x="4587"/>
        <item x="1621"/>
        <item x="2850"/>
        <item x="4298"/>
        <item x="780"/>
        <item x="951"/>
        <item x="2593"/>
        <item x="4285"/>
        <item x="3521"/>
        <item x="156"/>
        <item x="1394"/>
        <item x="2613"/>
        <item x="2814"/>
        <item x="3131"/>
        <item x="606"/>
        <item x="2622"/>
        <item x="2349"/>
        <item x="3410"/>
        <item x="1844"/>
        <item x="1340"/>
        <item x="3771"/>
        <item x="1407"/>
        <item x="1898"/>
        <item x="2238"/>
        <item x="2645"/>
        <item x="3956"/>
        <item x="4360"/>
        <item x="2180"/>
        <item x="3315"/>
        <item x="4036"/>
        <item x="2093"/>
        <item x="4515"/>
        <item x="299"/>
        <item x="2983"/>
        <item x="2212"/>
        <item x="1607"/>
        <item x="1723"/>
        <item x="3257"/>
        <item x="3777"/>
        <item x="814"/>
        <item x="2327"/>
        <item x="3026"/>
        <item x="902"/>
        <item x="1767"/>
        <item x="3390"/>
        <item x="3873"/>
        <item x="3692"/>
        <item x="3001"/>
        <item x="2453"/>
        <item x="796"/>
        <item x="169"/>
        <item x="3369"/>
        <item x="1518"/>
        <item x="133"/>
        <item x="116"/>
        <item x="4127"/>
        <item x="1042"/>
        <item x="43"/>
        <item x="3839"/>
        <item x="4452"/>
        <item x="2355"/>
        <item x="11"/>
        <item x="2358"/>
        <item x="4386"/>
        <item x="2185"/>
        <item x="4661"/>
        <item x="3904"/>
        <item x="2445"/>
        <item x="4806"/>
        <item x="4106"/>
        <item x="2648"/>
        <item x="659"/>
        <item x="1646"/>
        <item x="1412"/>
        <item x="477"/>
        <item x="1349"/>
        <item x="700"/>
        <item x="391"/>
        <item x="3466"/>
        <item x="1380"/>
        <item x="258"/>
        <item x="4895"/>
        <item x="4606"/>
        <item x="704"/>
        <item x="1794"/>
        <item x="2342"/>
        <item x="1003"/>
        <item x="83"/>
        <item x="4828"/>
        <item x="3943"/>
        <item x="21"/>
        <item x="847"/>
        <item x="4123"/>
        <item x="201"/>
        <item x="2608"/>
        <item x="2296"/>
        <item x="194"/>
        <item x="2714"/>
        <item x="770"/>
        <item x="3252"/>
        <item x="3640"/>
        <item x="2215"/>
        <item x="1357"/>
        <item x="256"/>
        <item x="2569"/>
        <item x="4375"/>
        <item x="2328"/>
        <item x="4776"/>
        <item x="2767"/>
        <item x="55"/>
        <item x="1216"/>
        <item x="1816"/>
        <item x="2276"/>
        <item x="3942"/>
        <item x="225"/>
        <item x="2438"/>
        <item x="1098"/>
        <item x="395"/>
        <item x="4399"/>
        <item x="2997"/>
        <item x="4300"/>
        <item x="3574"/>
        <item x="4353"/>
        <item x="698"/>
        <item x="3798"/>
        <item x="4027"/>
        <item x="2512"/>
        <item x="617"/>
        <item x="60"/>
        <item x="4809"/>
        <item x="4039"/>
        <item x="4727"/>
        <item x="2289"/>
        <item x="473"/>
        <item x="1578"/>
        <item x="1957"/>
        <item x="2117"/>
        <item x="2568"/>
        <item x="600"/>
        <item x="4181"/>
        <item x="3047"/>
        <item x="1993"/>
        <item x="2051"/>
        <item x="803"/>
        <item x="675"/>
        <item x="419"/>
        <item x="2450"/>
        <item x="2945"/>
        <item x="4478"/>
        <item x="837"/>
        <item x="2882"/>
        <item x="1982"/>
        <item x="4287"/>
        <item x="4720"/>
        <item x="1413"/>
        <item x="2989"/>
        <item x="2711"/>
        <item x="193"/>
        <item x="3209"/>
        <item x="117"/>
        <item x="1849"/>
        <item x="4391"/>
        <item x="2132"/>
        <item x="20"/>
        <item x="84"/>
        <item x="592"/>
        <item x="161"/>
        <item x="616"/>
        <item x="4639"/>
        <item x="4089"/>
        <item x="2436"/>
        <item x="2455"/>
        <item x="2344"/>
        <item x="251"/>
        <item x="1517"/>
        <item x="4347"/>
        <item x="4688"/>
        <item x="2167"/>
        <item x="4807"/>
        <item x="2607"/>
        <item x="1130"/>
        <item x="792"/>
        <item x="4465"/>
        <item x="4758"/>
        <item x="2792"/>
        <item x="1702"/>
        <item x="1102"/>
        <item x="0"/>
        <item x="939"/>
        <item x="2388"/>
        <item x="4321"/>
        <item x="4439"/>
        <item x="2084"/>
        <item x="3206"/>
        <item x="1136"/>
        <item x="3685"/>
        <item x="4317"/>
        <item x="2123"/>
        <item x="2206"/>
        <item x="168"/>
        <item x="4075"/>
        <item x="3483"/>
        <item x="2227"/>
        <item x="368"/>
        <item x="2567"/>
        <item x="3053"/>
        <item x="3201"/>
        <item x="444"/>
        <item x="4434"/>
        <item x="4260"/>
        <item x="3738"/>
        <item x="3326"/>
        <item x="2313"/>
        <item x="1552"/>
        <item x="464"/>
        <item x="2234"/>
        <item x="4576"/>
        <item x="4778"/>
        <item x="4863"/>
        <item x="28"/>
        <item x="506"/>
        <item x="4319"/>
        <item x="1048"/>
        <item x="110"/>
        <item x="3556"/>
        <item x="4710"/>
        <item x="1275"/>
        <item x="4512"/>
        <item x="4694"/>
        <item x="3543"/>
        <item x="3726"/>
        <item x="3697"/>
        <item x="578"/>
        <item x="1360"/>
        <item x="3202"/>
        <item x="2726"/>
        <item x="1927"/>
        <item x="1339"/>
        <item x="1706"/>
        <item x="2095"/>
        <item x="138"/>
        <item x="2824"/>
        <item t="default"/>
      </items>
    </pivotField>
    <pivotField showAll="0"/>
    <pivotField showAll="0"/>
    <pivotField showAll="0"/>
    <pivotField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_Sales" fld="8" baseField="0" baseItem="0"/>
  </dataFields>
  <pivotTableStyleInfo name="PivotStyleLight16" showRowHeaders="1" showColHeaders="1" showRowStripes="0" showColStripes="0" showLastColumn="1"/>
  <filters count="1">
    <filter fld="2" type="count" evalOrder="-1" id="2" iMeasureFld="0">
      <autoFilter ref="A1">
        <filterColumn colId="0">
          <top10 val="6" filterVal="6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0.xml><?xml version="1.0" encoding="utf-8"?>
<pivotTableDefinition xmlns="http://schemas.openxmlformats.org/spreadsheetml/2006/main" name="PivotTable5" cacheId="2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F5:G11" firstHeaderRow="1" firstDataRow="1" firstDataCol="1"/>
  <pivotFields count="14">
    <pivotField showAll="0"/>
    <pivotField numFmtId="164" showAll="0"/>
    <pivotField axis="axisRow" showAll="0">
      <items count="6">
        <item x="2"/>
        <item x="3"/>
        <item x="0"/>
        <item x="4"/>
        <item x="1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_Sale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topLeftCell="A111" workbookViewId="0">
      <selection activeCell="F103" sqref="F103"/>
    </sheetView>
  </sheetViews>
  <sheetFormatPr defaultColWidth="14.453125" defaultRowHeight="15" customHeight="1"/>
  <cols>
    <col min="1" max="1" width="11" customWidth="1"/>
    <col min="2" max="2" width="20" customWidth="1"/>
    <col min="3" max="3" width="25.81640625" customWidth="1"/>
    <col min="4" max="4" width="23.81640625" customWidth="1"/>
    <col min="5" max="5" width="13" customWidth="1"/>
    <col min="6" max="6" width="13.81640625" customWidth="1"/>
    <col min="7" max="7" width="15.54296875" customWidth="1"/>
    <col min="8" max="8" width="12.26953125" customWidth="1"/>
    <col min="9" max="9" width="12.453125" customWidth="1"/>
    <col min="10" max="10" width="16.08984375" customWidth="1"/>
    <col min="11" max="26" width="8.7265625" customWidth="1"/>
  </cols>
  <sheetData>
    <row r="1" spans="1:26" ht="14.25" customHeight="1">
      <c r="A1" s="19" t="s">
        <v>0</v>
      </c>
      <c r="B1" s="20"/>
      <c r="C1" s="21"/>
      <c r="D1" s="1"/>
      <c r="E1" s="2" t="s">
        <v>1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4.25" customHeight="1">
      <c r="A2" s="22"/>
      <c r="B2" s="23"/>
      <c r="C2" s="24"/>
      <c r="D2" s="1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4.25" customHeight="1">
      <c r="A3" s="25"/>
      <c r="B3" s="26"/>
      <c r="C3" s="27"/>
      <c r="D3" s="1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4.25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4.25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4.25" customHeight="1">
      <c r="A6" s="28" t="s">
        <v>2</v>
      </c>
      <c r="B6" s="29"/>
      <c r="C6" s="29"/>
      <c r="D6" s="29"/>
      <c r="E6" s="30"/>
      <c r="F6" s="3"/>
      <c r="G6" s="3"/>
      <c r="H6" s="3"/>
      <c r="I6" s="4" t="s">
        <v>3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4.25" customHeight="1">
      <c r="A7" s="31" t="s">
        <v>4</v>
      </c>
      <c r="B7" s="29"/>
      <c r="C7" s="29"/>
      <c r="D7" s="29"/>
      <c r="E7" s="30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4.25" customHeight="1">
      <c r="A8" s="31" t="s">
        <v>5</v>
      </c>
      <c r="B8" s="29"/>
      <c r="C8" s="29"/>
      <c r="D8" s="29"/>
      <c r="E8" s="30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4.25" customHeight="1">
      <c r="A9" s="5"/>
      <c r="B9" s="5"/>
      <c r="C9" s="5"/>
      <c r="D9" s="5"/>
      <c r="E9" s="5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4.25" customHeight="1">
      <c r="A10" s="6" t="s">
        <v>6</v>
      </c>
      <c r="B10" s="7" t="s">
        <v>7</v>
      </c>
      <c r="C10" s="7" t="s">
        <v>8</v>
      </c>
      <c r="D10" s="7" t="s">
        <v>9</v>
      </c>
      <c r="E10" s="7" t="s">
        <v>10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4.25" customHeight="1">
      <c r="A11" s="6" t="s">
        <v>11</v>
      </c>
      <c r="B11" s="7" t="s">
        <v>12</v>
      </c>
      <c r="C11" s="7" t="s">
        <v>13</v>
      </c>
      <c r="D11" s="7">
        <v>80</v>
      </c>
      <c r="E11" s="7">
        <v>90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4.25" customHeight="1">
      <c r="A12" s="6" t="s">
        <v>14</v>
      </c>
      <c r="B12" s="7" t="s">
        <v>15</v>
      </c>
      <c r="C12" s="7" t="s">
        <v>16</v>
      </c>
      <c r="D12" s="7">
        <v>75</v>
      </c>
      <c r="E12" s="7">
        <v>49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4.25" customHeight="1">
      <c r="A13" s="6" t="s">
        <v>17</v>
      </c>
      <c r="B13" s="7" t="s">
        <v>18</v>
      </c>
      <c r="C13" s="7" t="s">
        <v>19</v>
      </c>
      <c r="D13" s="7">
        <v>40</v>
      </c>
      <c r="E13" s="7">
        <v>50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4.25" customHeight="1">
      <c r="A14" s="6" t="s">
        <v>20</v>
      </c>
      <c r="B14" s="7" t="s">
        <v>21</v>
      </c>
      <c r="C14" s="7" t="s">
        <v>22</v>
      </c>
      <c r="D14" s="7">
        <v>60</v>
      </c>
      <c r="E14" s="7">
        <v>80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4.25" customHeight="1">
      <c r="A15" s="6" t="s">
        <v>23</v>
      </c>
      <c r="B15" s="7" t="s">
        <v>24</v>
      </c>
      <c r="C15" s="7" t="s">
        <v>16</v>
      </c>
      <c r="D15" s="7">
        <v>55</v>
      </c>
      <c r="E15" s="7">
        <v>70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4.2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4.2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4.25" customHeight="1">
      <c r="A18" s="3"/>
      <c r="B18" s="3"/>
      <c r="C18" s="3"/>
      <c r="D18" s="3"/>
      <c r="E18" s="3"/>
      <c r="F18" s="3"/>
      <c r="G18" s="3"/>
      <c r="H18" s="3"/>
      <c r="I18" s="8" t="s">
        <v>25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4.25" customHeight="1">
      <c r="A19" s="32" t="s">
        <v>26</v>
      </c>
      <c r="B19" s="33"/>
      <c r="C19" s="33"/>
      <c r="D19" s="34"/>
      <c r="E19" s="5"/>
      <c r="F19" s="5"/>
      <c r="G19" s="5"/>
      <c r="H19" s="5"/>
      <c r="I19" s="5"/>
      <c r="J19" s="5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4.25" customHeight="1">
      <c r="A20" s="9" t="s">
        <v>27</v>
      </c>
      <c r="B20" s="10" t="s">
        <v>28</v>
      </c>
      <c r="C20" s="10" t="s">
        <v>29</v>
      </c>
      <c r="D20" s="10" t="s">
        <v>30</v>
      </c>
      <c r="E20" s="10" t="s">
        <v>31</v>
      </c>
      <c r="F20" s="10" t="s">
        <v>32</v>
      </c>
      <c r="G20" s="10" t="s">
        <v>33</v>
      </c>
      <c r="H20" s="10" t="s">
        <v>34</v>
      </c>
      <c r="I20" s="10" t="s">
        <v>35</v>
      </c>
      <c r="J20" s="10" t="s">
        <v>36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4.25" customHeight="1">
      <c r="A21" s="6">
        <v>1001</v>
      </c>
      <c r="B21" s="11">
        <v>45658</v>
      </c>
      <c r="C21" s="7" t="s">
        <v>37</v>
      </c>
      <c r="D21" s="7" t="s">
        <v>38</v>
      </c>
      <c r="E21" s="7" t="s">
        <v>39</v>
      </c>
      <c r="F21" s="7">
        <v>5</v>
      </c>
      <c r="G21" s="7">
        <v>2000</v>
      </c>
      <c r="H21" s="7">
        <v>500</v>
      </c>
      <c r="I21" s="7">
        <v>0</v>
      </c>
      <c r="J21" s="7">
        <v>4.5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4.25" customHeight="1">
      <c r="A22" s="6">
        <v>1002</v>
      </c>
      <c r="B22" s="11">
        <v>45778</v>
      </c>
      <c r="C22" s="7" t="s">
        <v>40</v>
      </c>
      <c r="D22" s="7" t="s">
        <v>41</v>
      </c>
      <c r="E22" s="7" t="s">
        <v>42</v>
      </c>
      <c r="F22" s="7">
        <v>3</v>
      </c>
      <c r="G22" s="7">
        <v>1500</v>
      </c>
      <c r="H22" s="7">
        <v>0</v>
      </c>
      <c r="I22" s="7">
        <v>0</v>
      </c>
      <c r="J22" s="7">
        <v>3.8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4.25" customHeight="1">
      <c r="A23" s="6">
        <v>1003</v>
      </c>
      <c r="B23" s="11">
        <v>45931</v>
      </c>
      <c r="C23" s="7" t="s">
        <v>43</v>
      </c>
      <c r="D23" s="7" t="s">
        <v>44</v>
      </c>
      <c r="E23" s="7" t="s">
        <v>45</v>
      </c>
      <c r="F23" s="7">
        <v>8</v>
      </c>
      <c r="G23" s="7">
        <v>1800</v>
      </c>
      <c r="H23" s="7">
        <v>800</v>
      </c>
      <c r="I23" s="7">
        <v>0</v>
      </c>
      <c r="J23" s="7">
        <v>4.2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4.25" customHeight="1">
      <c r="A24" s="6">
        <v>1004</v>
      </c>
      <c r="B24" s="11">
        <v>45992</v>
      </c>
      <c r="C24" s="7" t="s">
        <v>11</v>
      </c>
      <c r="D24" s="7" t="s">
        <v>46</v>
      </c>
      <c r="E24" s="7" t="s">
        <v>47</v>
      </c>
      <c r="F24" s="7">
        <v>2</v>
      </c>
      <c r="G24" s="7">
        <v>3000</v>
      </c>
      <c r="H24" s="7">
        <v>300</v>
      </c>
      <c r="I24" s="7">
        <v>0</v>
      </c>
      <c r="J24" s="7">
        <v>4.9000000000000004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4.25" customHeight="1">
      <c r="A25" s="6">
        <v>1005</v>
      </c>
      <c r="B25" s="11">
        <v>45672</v>
      </c>
      <c r="C25" s="7" t="s">
        <v>48</v>
      </c>
      <c r="D25" s="7" t="s">
        <v>49</v>
      </c>
      <c r="E25" s="7" t="s">
        <v>50</v>
      </c>
      <c r="F25" s="7">
        <v>6</v>
      </c>
      <c r="G25" s="7">
        <v>2500</v>
      </c>
      <c r="H25" s="7">
        <v>600</v>
      </c>
      <c r="I25" s="7">
        <v>0</v>
      </c>
      <c r="J25" s="7">
        <v>3.5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4.25" customHeight="1">
      <c r="A26" s="6">
        <v>1006</v>
      </c>
      <c r="B26" s="11">
        <v>45659</v>
      </c>
      <c r="C26" s="7" t="s">
        <v>51</v>
      </c>
      <c r="D26" s="7" t="s">
        <v>52</v>
      </c>
      <c r="E26" s="7" t="s">
        <v>39</v>
      </c>
      <c r="F26" s="7">
        <v>4</v>
      </c>
      <c r="G26" s="7">
        <v>2200</v>
      </c>
      <c r="H26" s="7">
        <v>200</v>
      </c>
      <c r="I26" s="7">
        <v>0</v>
      </c>
      <c r="J26" s="7">
        <v>4.0999999999999996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4.25" customHeight="1">
      <c r="A27" s="6">
        <v>1007</v>
      </c>
      <c r="B27" s="11">
        <v>45659</v>
      </c>
      <c r="C27" s="7" t="s">
        <v>53</v>
      </c>
      <c r="D27" s="7" t="s">
        <v>54</v>
      </c>
      <c r="E27" s="7" t="s">
        <v>55</v>
      </c>
      <c r="F27" s="7">
        <v>7</v>
      </c>
      <c r="G27" s="7">
        <v>1700</v>
      </c>
      <c r="H27" s="7">
        <v>0</v>
      </c>
      <c r="I27" s="7">
        <v>0</v>
      </c>
      <c r="J27" s="7">
        <v>3.9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4.25" customHeight="1">
      <c r="A28" s="6">
        <v>1008</v>
      </c>
      <c r="B28" s="11">
        <v>45662</v>
      </c>
      <c r="C28" s="7" t="s">
        <v>56</v>
      </c>
      <c r="D28" s="7" t="s">
        <v>57</v>
      </c>
      <c r="E28" s="7" t="s">
        <v>58</v>
      </c>
      <c r="F28" s="7">
        <v>9</v>
      </c>
      <c r="G28" s="7">
        <v>2100</v>
      </c>
      <c r="H28" s="7">
        <v>1000</v>
      </c>
      <c r="I28" s="7">
        <v>0</v>
      </c>
      <c r="J28" s="7">
        <v>4.7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4.25" customHeight="1">
      <c r="A29" s="6">
        <v>1009</v>
      </c>
      <c r="B29" s="11">
        <v>45665</v>
      </c>
      <c r="C29" s="7" t="s">
        <v>59</v>
      </c>
      <c r="D29" s="7" t="s">
        <v>38</v>
      </c>
      <c r="E29" s="7" t="s">
        <v>50</v>
      </c>
      <c r="F29" s="7">
        <v>1</v>
      </c>
      <c r="G29" s="7">
        <v>4000</v>
      </c>
      <c r="H29" s="7">
        <v>0</v>
      </c>
      <c r="I29" s="7">
        <v>0</v>
      </c>
      <c r="J29" s="7">
        <v>3.6</v>
      </c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4.25" customHeight="1">
      <c r="A30" s="6">
        <v>1010</v>
      </c>
      <c r="B30" s="11">
        <v>45660</v>
      </c>
      <c r="C30" s="7" t="s">
        <v>60</v>
      </c>
      <c r="D30" s="7" t="s">
        <v>61</v>
      </c>
      <c r="E30" s="7" t="s">
        <v>39</v>
      </c>
      <c r="F30" s="7">
        <v>10</v>
      </c>
      <c r="G30" s="7">
        <v>1500</v>
      </c>
      <c r="H30" s="7">
        <v>1500</v>
      </c>
      <c r="I30" s="7">
        <v>0</v>
      </c>
      <c r="J30" s="7">
        <v>4.3</v>
      </c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4.25" customHeight="1">
      <c r="A31" s="5"/>
      <c r="B31" s="5"/>
      <c r="C31" s="5"/>
      <c r="D31" s="5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4.25" customHeight="1">
      <c r="A32" s="35" t="s">
        <v>62</v>
      </c>
      <c r="B32" s="36"/>
      <c r="C32" s="36"/>
      <c r="D32" s="37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4.25" customHeight="1">
      <c r="A33" s="35" t="s">
        <v>63</v>
      </c>
      <c r="B33" s="36"/>
      <c r="C33" s="36"/>
      <c r="D33" s="37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4.25" customHeight="1">
      <c r="A34" s="35" t="s">
        <v>64</v>
      </c>
      <c r="B34" s="36"/>
      <c r="C34" s="36"/>
      <c r="D34" s="37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4.25" customHeight="1">
      <c r="A35" s="35" t="s">
        <v>65</v>
      </c>
      <c r="B35" s="36"/>
      <c r="C35" s="36"/>
      <c r="D35" s="37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4.25" customHeight="1">
      <c r="A36" s="35" t="s">
        <v>66</v>
      </c>
      <c r="B36" s="36"/>
      <c r="C36" s="36"/>
      <c r="D36" s="37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4.25" customHeight="1">
      <c r="A37" s="35" t="s">
        <v>67</v>
      </c>
      <c r="B37" s="36"/>
      <c r="C37" s="36"/>
      <c r="D37" s="37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4.25" customHeight="1">
      <c r="A38" s="35" t="s">
        <v>68</v>
      </c>
      <c r="B38" s="36"/>
      <c r="C38" s="36"/>
      <c r="D38" s="37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4.25" customHeight="1">
      <c r="A39" s="35" t="s">
        <v>69</v>
      </c>
      <c r="B39" s="36"/>
      <c r="C39" s="36"/>
      <c r="D39" s="37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4.25" customHeight="1">
      <c r="A40" s="35" t="s">
        <v>70</v>
      </c>
      <c r="B40" s="36"/>
      <c r="C40" s="36"/>
      <c r="D40" s="37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4.25" customHeight="1">
      <c r="A41" s="35" t="s">
        <v>71</v>
      </c>
      <c r="B41" s="36"/>
      <c r="C41" s="36"/>
      <c r="D41" s="37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4.25" customHeight="1">
      <c r="A42" s="35" t="s">
        <v>72</v>
      </c>
      <c r="B42" s="36"/>
      <c r="C42" s="36"/>
      <c r="D42" s="37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4.25" customHeight="1">
      <c r="A43" s="35" t="s">
        <v>73</v>
      </c>
      <c r="B43" s="36"/>
      <c r="C43" s="36"/>
      <c r="D43" s="37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4.25" customHeight="1">
      <c r="A44" s="35" t="s">
        <v>74</v>
      </c>
      <c r="B44" s="36"/>
      <c r="C44" s="36"/>
      <c r="D44" s="37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4.25" customHeight="1">
      <c r="A45" s="35" t="s">
        <v>75</v>
      </c>
      <c r="B45" s="36"/>
      <c r="C45" s="36"/>
      <c r="D45" s="37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4.2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4.2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4.2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4.2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4.25" customHeight="1">
      <c r="A50" s="32" t="s">
        <v>76</v>
      </c>
      <c r="B50" s="33"/>
      <c r="C50" s="34"/>
      <c r="D50" s="5"/>
      <c r="E50" s="5"/>
      <c r="F50" s="5"/>
      <c r="G50" s="5"/>
      <c r="H50" s="3"/>
      <c r="I50" s="4" t="s">
        <v>3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4.25" customHeight="1">
      <c r="A51" s="9" t="s">
        <v>27</v>
      </c>
      <c r="B51" s="10" t="s">
        <v>77</v>
      </c>
      <c r="C51" s="10" t="s">
        <v>78</v>
      </c>
      <c r="D51" s="10" t="s">
        <v>31</v>
      </c>
      <c r="E51" s="10" t="s">
        <v>79</v>
      </c>
      <c r="F51" s="10" t="s">
        <v>32</v>
      </c>
      <c r="G51" s="10" t="s">
        <v>80</v>
      </c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4.25" customHeight="1">
      <c r="A52" s="6">
        <v>1001</v>
      </c>
      <c r="B52" s="7" t="s">
        <v>81</v>
      </c>
      <c r="C52" s="7" t="s">
        <v>82</v>
      </c>
      <c r="D52" s="7" t="s">
        <v>39</v>
      </c>
      <c r="E52" s="7" t="s">
        <v>83</v>
      </c>
      <c r="F52" s="7">
        <v>2</v>
      </c>
      <c r="G52" s="7">
        <v>120000</v>
      </c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4.25" customHeight="1">
      <c r="A53" s="6">
        <v>1002</v>
      </c>
      <c r="B53" s="7" t="s">
        <v>84</v>
      </c>
      <c r="C53" s="7" t="s">
        <v>85</v>
      </c>
      <c r="D53" s="7" t="s">
        <v>45</v>
      </c>
      <c r="E53" s="7" t="s">
        <v>86</v>
      </c>
      <c r="F53" s="7">
        <v>3</v>
      </c>
      <c r="G53" s="7">
        <v>45000</v>
      </c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4.25" customHeight="1">
      <c r="A54" s="6">
        <v>1003</v>
      </c>
      <c r="B54" s="7" t="s">
        <v>87</v>
      </c>
      <c r="C54" s="7" t="s">
        <v>88</v>
      </c>
      <c r="D54" s="7" t="s">
        <v>58</v>
      </c>
      <c r="E54" s="7" t="s">
        <v>89</v>
      </c>
      <c r="F54" s="7">
        <v>1</v>
      </c>
      <c r="G54" s="7">
        <v>30000</v>
      </c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4.25" customHeight="1">
      <c r="A55" s="6">
        <v>1004</v>
      </c>
      <c r="B55" s="7" t="s">
        <v>90</v>
      </c>
      <c r="C55" s="7" t="s">
        <v>91</v>
      </c>
      <c r="D55" s="7" t="s">
        <v>50</v>
      </c>
      <c r="E55" s="7" t="s">
        <v>83</v>
      </c>
      <c r="F55" s="7">
        <v>1</v>
      </c>
      <c r="G55" s="7">
        <v>60000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4.25" customHeight="1">
      <c r="A56" s="6">
        <v>1005</v>
      </c>
      <c r="B56" s="7" t="s">
        <v>92</v>
      </c>
      <c r="C56" s="7" t="s">
        <v>93</v>
      </c>
      <c r="D56" s="7" t="s">
        <v>39</v>
      </c>
      <c r="E56" s="7" t="s">
        <v>86</v>
      </c>
      <c r="F56" s="7">
        <v>4</v>
      </c>
      <c r="G56" s="7">
        <v>60000</v>
      </c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4.25" customHeight="1">
      <c r="A57" s="6">
        <v>1006</v>
      </c>
      <c r="B57" s="7" t="s">
        <v>94</v>
      </c>
      <c r="C57" s="7" t="s">
        <v>95</v>
      </c>
      <c r="D57" s="7" t="s">
        <v>45</v>
      </c>
      <c r="E57" s="7" t="s">
        <v>89</v>
      </c>
      <c r="F57" s="7">
        <v>2</v>
      </c>
      <c r="G57" s="7">
        <v>60000</v>
      </c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4.25" customHeight="1">
      <c r="A58" s="6">
        <v>1007</v>
      </c>
      <c r="B58" s="7" t="s">
        <v>96</v>
      </c>
      <c r="C58" s="7" t="s">
        <v>97</v>
      </c>
      <c r="D58" s="7" t="s">
        <v>58</v>
      </c>
      <c r="E58" s="7" t="s">
        <v>83</v>
      </c>
      <c r="F58" s="7">
        <v>1</v>
      </c>
      <c r="G58" s="7">
        <v>65000</v>
      </c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4.25" customHeight="1">
      <c r="A59" s="6">
        <v>1008</v>
      </c>
      <c r="B59" s="7" t="s">
        <v>98</v>
      </c>
      <c r="C59" s="7" t="s">
        <v>99</v>
      </c>
      <c r="D59" s="7" t="s">
        <v>50</v>
      </c>
      <c r="E59" s="7" t="s">
        <v>86</v>
      </c>
      <c r="F59" s="7">
        <v>5</v>
      </c>
      <c r="G59" s="7">
        <v>75000</v>
      </c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4.2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4.25" customHeight="1">
      <c r="A61" s="39" t="s">
        <v>100</v>
      </c>
      <c r="B61" s="30"/>
      <c r="C61" s="3"/>
      <c r="D61" s="38" t="s">
        <v>101</v>
      </c>
      <c r="E61" s="30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4.25" customHeight="1">
      <c r="A62" s="5"/>
      <c r="B62" s="5"/>
      <c r="C62" s="3"/>
      <c r="D62" s="5"/>
      <c r="E62" s="5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4.25" customHeight="1">
      <c r="A63" s="12" t="s">
        <v>27</v>
      </c>
      <c r="B63" s="13" t="s">
        <v>80</v>
      </c>
      <c r="C63" s="14"/>
      <c r="D63" s="13" t="s">
        <v>78</v>
      </c>
      <c r="E63" s="13" t="s">
        <v>32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4.25" customHeight="1">
      <c r="A64" s="12">
        <v>1005</v>
      </c>
      <c r="B64" s="15"/>
      <c r="C64" s="14"/>
      <c r="D64" s="10" t="s">
        <v>88</v>
      </c>
      <c r="E64" s="15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4.25" customHeight="1">
      <c r="A65" s="12">
        <v>1008</v>
      </c>
      <c r="B65" s="15"/>
      <c r="C65" s="14"/>
      <c r="D65" s="10" t="s">
        <v>97</v>
      </c>
      <c r="E65" s="15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4.25" customHeight="1">
      <c r="A66" s="12">
        <v>1020</v>
      </c>
      <c r="B66" s="15"/>
      <c r="C66" s="14"/>
      <c r="D66" s="10" t="s">
        <v>82</v>
      </c>
      <c r="E66" s="15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4.25" customHeight="1">
      <c r="A67" s="12">
        <v>1002</v>
      </c>
      <c r="B67" s="15"/>
      <c r="C67" s="14"/>
      <c r="D67" s="10" t="s">
        <v>99</v>
      </c>
      <c r="E67" s="15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4.25" customHeight="1">
      <c r="A68" s="12">
        <v>1004</v>
      </c>
      <c r="B68" s="15"/>
      <c r="C68" s="14"/>
      <c r="D68" s="10" t="s">
        <v>102</v>
      </c>
      <c r="E68" s="15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4.2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4.2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4.2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4.2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4.25" customHeight="1">
      <c r="A73" s="28" t="s">
        <v>103</v>
      </c>
      <c r="B73" s="30"/>
      <c r="C73" s="3"/>
      <c r="D73" s="3"/>
      <c r="E73" s="3"/>
      <c r="F73" s="3"/>
      <c r="G73" s="3"/>
      <c r="H73" s="3"/>
      <c r="I73" s="4" t="s">
        <v>25</v>
      </c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4.25" customHeight="1">
      <c r="A74" s="5"/>
      <c r="B74" s="5"/>
      <c r="C74" s="5"/>
      <c r="D74" s="5"/>
      <c r="E74" s="5"/>
      <c r="F74" s="5"/>
      <c r="G74" s="5"/>
      <c r="H74" s="5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4.25" customHeight="1">
      <c r="A75" s="9" t="s">
        <v>104</v>
      </c>
      <c r="B75" s="10" t="s">
        <v>31</v>
      </c>
      <c r="C75" s="10" t="s">
        <v>79</v>
      </c>
      <c r="D75" s="10" t="s">
        <v>105</v>
      </c>
      <c r="E75" s="10" t="s">
        <v>106</v>
      </c>
      <c r="F75" s="10" t="s">
        <v>107</v>
      </c>
      <c r="G75" s="10" t="s">
        <v>108</v>
      </c>
      <c r="H75" s="10" t="s">
        <v>35</v>
      </c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4.25" customHeight="1">
      <c r="A76" s="6" t="s">
        <v>109</v>
      </c>
      <c r="B76" s="7" t="s">
        <v>39</v>
      </c>
      <c r="C76" s="7" t="s">
        <v>83</v>
      </c>
      <c r="D76" s="7">
        <v>50</v>
      </c>
      <c r="E76" s="7">
        <v>2500000</v>
      </c>
      <c r="F76" s="7">
        <v>2000000</v>
      </c>
      <c r="G76" s="7">
        <v>500000</v>
      </c>
      <c r="H76" s="7">
        <v>2300000</v>
      </c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4.25" customHeight="1">
      <c r="A77" s="6" t="s">
        <v>110</v>
      </c>
      <c r="B77" s="7" t="s">
        <v>45</v>
      </c>
      <c r="C77" s="7" t="s">
        <v>111</v>
      </c>
      <c r="D77" s="7">
        <v>40</v>
      </c>
      <c r="E77" s="7">
        <v>2000000</v>
      </c>
      <c r="F77" s="7">
        <v>1600000</v>
      </c>
      <c r="G77" s="7">
        <v>400000</v>
      </c>
      <c r="H77" s="7">
        <v>1900000</v>
      </c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4.25" customHeight="1">
      <c r="A78" s="6" t="s">
        <v>112</v>
      </c>
      <c r="B78" s="7" t="s">
        <v>58</v>
      </c>
      <c r="C78" s="7" t="s">
        <v>113</v>
      </c>
      <c r="D78" s="7">
        <v>35</v>
      </c>
      <c r="E78" s="7">
        <v>1750000</v>
      </c>
      <c r="F78" s="7">
        <v>1400000</v>
      </c>
      <c r="G78" s="7">
        <v>350000</v>
      </c>
      <c r="H78" s="7">
        <v>1600000</v>
      </c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4.25" customHeight="1">
      <c r="A79" s="6" t="s">
        <v>114</v>
      </c>
      <c r="B79" s="7" t="s">
        <v>115</v>
      </c>
      <c r="C79" s="7" t="s">
        <v>116</v>
      </c>
      <c r="D79" s="7">
        <v>60</v>
      </c>
      <c r="E79" s="7">
        <v>3000000</v>
      </c>
      <c r="F79" s="7">
        <v>2400000</v>
      </c>
      <c r="G79" s="7">
        <v>600000</v>
      </c>
      <c r="H79" s="7">
        <v>2700000</v>
      </c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4.25" customHeight="1">
      <c r="A80" s="6" t="s">
        <v>117</v>
      </c>
      <c r="B80" s="7" t="s">
        <v>118</v>
      </c>
      <c r="C80" s="7" t="s">
        <v>119</v>
      </c>
      <c r="D80" s="7">
        <v>45</v>
      </c>
      <c r="E80" s="7">
        <v>2250000</v>
      </c>
      <c r="F80" s="7">
        <v>1800000</v>
      </c>
      <c r="G80" s="7">
        <v>450000</v>
      </c>
      <c r="H80" s="7">
        <v>2100000</v>
      </c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4.25" customHeight="1">
      <c r="A81" s="6" t="s">
        <v>120</v>
      </c>
      <c r="B81" s="7" t="s">
        <v>121</v>
      </c>
      <c r="C81" s="7" t="s">
        <v>122</v>
      </c>
      <c r="D81" s="7">
        <v>38</v>
      </c>
      <c r="E81" s="7">
        <v>1900000</v>
      </c>
      <c r="F81" s="7">
        <v>1500000</v>
      </c>
      <c r="G81" s="7">
        <v>400000</v>
      </c>
      <c r="H81" s="7">
        <v>1750000</v>
      </c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4.25" customHeight="1">
      <c r="A82" s="6" t="s">
        <v>123</v>
      </c>
      <c r="B82" s="7" t="s">
        <v>124</v>
      </c>
      <c r="C82" s="7" t="s">
        <v>125</v>
      </c>
      <c r="D82" s="7">
        <v>70</v>
      </c>
      <c r="E82" s="7">
        <v>3500000</v>
      </c>
      <c r="F82" s="7">
        <v>2800000</v>
      </c>
      <c r="G82" s="7">
        <v>700000</v>
      </c>
      <c r="H82" s="7">
        <v>3200000</v>
      </c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4.25" customHeight="1">
      <c r="A83" s="6" t="s">
        <v>126</v>
      </c>
      <c r="B83" s="7" t="s">
        <v>127</v>
      </c>
      <c r="C83" s="7" t="s">
        <v>128</v>
      </c>
      <c r="D83" s="7">
        <v>50</v>
      </c>
      <c r="E83" s="7">
        <v>2500000</v>
      </c>
      <c r="F83" s="7">
        <v>2000000</v>
      </c>
      <c r="G83" s="7">
        <v>500000</v>
      </c>
      <c r="H83" s="7">
        <v>2300000</v>
      </c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4.25" customHeight="1">
      <c r="A84" s="6" t="s">
        <v>129</v>
      </c>
      <c r="B84" s="7" t="s">
        <v>130</v>
      </c>
      <c r="C84" s="7" t="s">
        <v>131</v>
      </c>
      <c r="D84" s="7">
        <v>42</v>
      </c>
      <c r="E84" s="7">
        <v>2100000</v>
      </c>
      <c r="F84" s="7">
        <v>1650000</v>
      </c>
      <c r="G84" s="7">
        <v>450000</v>
      </c>
      <c r="H84" s="7">
        <v>1900000</v>
      </c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4.2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4.25" customHeight="1">
      <c r="A86" s="40" t="s">
        <v>132</v>
      </c>
      <c r="B86" s="29"/>
      <c r="C86" s="29"/>
      <c r="D86" s="29"/>
      <c r="E86" s="29"/>
      <c r="F86" s="30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4.2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4.2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4.25" customHeight="1">
      <c r="A89" s="28" t="s">
        <v>133</v>
      </c>
      <c r="B89" s="30"/>
      <c r="C89" s="3"/>
      <c r="D89" s="3"/>
      <c r="E89" s="3"/>
      <c r="F89" s="3"/>
      <c r="G89" s="3"/>
      <c r="H89" s="3"/>
      <c r="I89" s="4" t="s">
        <v>134</v>
      </c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4.2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4.25" customHeight="1">
      <c r="A91" s="41" t="s">
        <v>135</v>
      </c>
      <c r="B91" s="20"/>
      <c r="C91" s="20"/>
      <c r="D91" s="21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4.25" customHeight="1">
      <c r="A92" s="25"/>
      <c r="B92" s="26"/>
      <c r="C92" s="26"/>
      <c r="D92" s="27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4.25" customHeight="1">
      <c r="A93" s="5"/>
      <c r="B93" s="5"/>
      <c r="C93" s="5"/>
      <c r="D93" s="5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4.25" customHeight="1">
      <c r="A94" s="35" t="s">
        <v>136</v>
      </c>
      <c r="B94" s="36"/>
      <c r="C94" s="36"/>
      <c r="D94" s="37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4.25" customHeight="1">
      <c r="A95" s="35" t="s">
        <v>137</v>
      </c>
      <c r="B95" s="36"/>
      <c r="C95" s="36"/>
      <c r="D95" s="37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4.25" customHeight="1">
      <c r="A96" s="35" t="s">
        <v>138</v>
      </c>
      <c r="B96" s="36"/>
      <c r="C96" s="36"/>
      <c r="D96" s="37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4.25" customHeight="1">
      <c r="A97" s="35" t="s">
        <v>139</v>
      </c>
      <c r="B97" s="36"/>
      <c r="C97" s="36"/>
      <c r="D97" s="37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4.25" customHeight="1">
      <c r="A98" s="35" t="s">
        <v>140</v>
      </c>
      <c r="B98" s="36"/>
      <c r="C98" s="36"/>
      <c r="D98" s="37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4.25" customHeight="1">
      <c r="A99" s="35" t="s">
        <v>141</v>
      </c>
      <c r="B99" s="36"/>
      <c r="C99" s="36"/>
      <c r="D99" s="37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4.25" customHeight="1">
      <c r="A100" s="35" t="s">
        <v>142</v>
      </c>
      <c r="B100" s="36"/>
      <c r="C100" s="36"/>
      <c r="D100" s="37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4.25" customHeight="1">
      <c r="A101" s="35" t="s">
        <v>143</v>
      </c>
      <c r="B101" s="36"/>
      <c r="C101" s="36"/>
      <c r="D101" s="37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4.25" customHeight="1">
      <c r="A102" s="35" t="s">
        <v>144</v>
      </c>
      <c r="B102" s="36"/>
      <c r="C102" s="36"/>
      <c r="D102" s="37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4.25" customHeight="1">
      <c r="A103" s="35" t="s">
        <v>145</v>
      </c>
      <c r="B103" s="36"/>
      <c r="C103" s="36"/>
      <c r="D103" s="37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4.2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4.2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4.2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4.2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4.2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4.2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4.25" customHeight="1"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4.25" customHeight="1"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4.25" customHeight="1"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0:26" ht="14.25" customHeight="1"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0:26" ht="14.25" customHeight="1"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0:26" ht="14.25" customHeight="1"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0:26" ht="14.25" customHeight="1"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0:26" ht="14.25" customHeight="1"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0:26" ht="14.25" customHeight="1"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0:26" ht="14.25" customHeight="1"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0:26" ht="14.25" customHeight="1"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0:26" ht="14.25" customHeight="1"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0:26" ht="14.25" customHeight="1"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0:26" ht="14.25" customHeight="1"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0:26" ht="14.25" customHeight="1"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0:26" ht="14.25" customHeight="1"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0:26" ht="14.25" customHeight="1"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0:26" ht="14.25" customHeight="1"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0:26" ht="14.25" customHeight="1"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4.2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4.2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4.2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4.2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4.2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4.2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4.2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4.2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4.2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4.2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4.2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4.2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4.2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4.2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4.2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4.2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4.2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4.2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4.2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4.2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4.2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4.2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4.2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4.2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4.2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4.2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4.2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4.2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4.2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4.2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4.2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4.2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4.2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4.2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4.2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4.2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4.2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4.2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4.2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4.2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4.2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4.2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4.2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4.2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4.2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4.2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4.2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4.2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4.2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4.2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4.2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4.2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4.2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4.2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4.2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4.2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4.2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4.2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4.2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4.2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4.2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4.2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4.2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4.2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4.2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4.2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4.2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4.2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4.2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4.2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4.2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4.2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4.2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4.2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4.2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4.2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4.2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4.2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4.2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4.2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4.2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4.2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4.2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4.2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4.2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4.2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4.2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4.2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4.2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4.2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4.2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4.2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4.2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4.2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4.2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4.2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4.2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4.2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4.2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4.2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4.2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4.2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4.2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4.2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4.2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4.2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4.2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4.2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4.2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4.2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4.2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4.2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4.2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4.2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4.2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4.2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4.2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4.2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4.2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4.2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4.2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4.2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4.2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4.2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4.2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4.2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4.2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4.2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4.2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4.2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4.2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4.2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4.2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4.2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4.2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4.2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4.2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4.2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4.2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4.2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4.2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4.2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4.2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4.2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4.2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4.2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4.2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4.2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4.2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4.2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4.2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4.2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4.2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4.2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4.2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4.2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4.2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4.2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4.2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4.2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4.2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4.2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4.2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4.2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4.2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4.2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4.2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4.2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4.2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4.2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4.2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4.2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4.2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4.2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4.2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4.2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4.2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4.2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4.2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4.2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4.2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4.2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4.2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4.2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4.2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4.2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4.2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4.2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4.2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4.2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4.2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4.2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4.2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4.2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4.2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4.2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4.2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4.2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4.2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4.25" customHeight="1"/>
    <row r="329" spans="1:26" ht="14.25" customHeight="1"/>
    <row r="330" spans="1:26" ht="14.25" customHeight="1"/>
    <row r="331" spans="1:26" ht="14.25" customHeight="1"/>
    <row r="332" spans="1:26" ht="14.25" customHeight="1"/>
    <row r="333" spans="1:26" ht="14.25" customHeight="1"/>
    <row r="334" spans="1:26" ht="14.25" customHeight="1"/>
    <row r="335" spans="1:26" ht="14.25" customHeight="1"/>
    <row r="336" spans="1:2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6">
    <mergeCell ref="A91:D92"/>
    <mergeCell ref="A94:D94"/>
    <mergeCell ref="A95:D95"/>
    <mergeCell ref="A103:D103"/>
    <mergeCell ref="A96:D96"/>
    <mergeCell ref="A97:D97"/>
    <mergeCell ref="A98:D98"/>
    <mergeCell ref="A99:D99"/>
    <mergeCell ref="A100:D100"/>
    <mergeCell ref="A101:D101"/>
    <mergeCell ref="A102:D102"/>
    <mergeCell ref="D61:E61"/>
    <mergeCell ref="A61:B61"/>
    <mergeCell ref="A73:B73"/>
    <mergeCell ref="A86:F86"/>
    <mergeCell ref="A89:B89"/>
    <mergeCell ref="A42:D42"/>
    <mergeCell ref="A43:D43"/>
    <mergeCell ref="A44:D44"/>
    <mergeCell ref="A45:D45"/>
    <mergeCell ref="A50:C50"/>
    <mergeCell ref="A37:D37"/>
    <mergeCell ref="A38:D38"/>
    <mergeCell ref="A39:D39"/>
    <mergeCell ref="A40:D40"/>
    <mergeCell ref="A41:D41"/>
    <mergeCell ref="A32:D32"/>
    <mergeCell ref="A33:D33"/>
    <mergeCell ref="A34:D34"/>
    <mergeCell ref="A35:D35"/>
    <mergeCell ref="A36:D36"/>
    <mergeCell ref="A1:C3"/>
    <mergeCell ref="A6:E6"/>
    <mergeCell ref="A7:E7"/>
    <mergeCell ref="A8:E8"/>
    <mergeCell ref="A19:D19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001"/>
  <sheetViews>
    <sheetView tabSelected="1" topLeftCell="A33" workbookViewId="0">
      <selection activeCell="D25" sqref="A1:N5001"/>
    </sheetView>
  </sheetViews>
  <sheetFormatPr defaultColWidth="14.453125" defaultRowHeight="15" customHeight="1"/>
  <cols>
    <col min="1" max="1" width="8.54296875" customWidth="1"/>
    <col min="2" max="2" width="10.7265625" customWidth="1"/>
    <col min="3" max="3" width="14.54296875" customWidth="1"/>
    <col min="4" max="4" width="8.7265625" customWidth="1"/>
    <col min="5" max="5" width="11.08984375" customWidth="1"/>
    <col min="6" max="6" width="14.26953125" customWidth="1"/>
    <col min="7" max="7" width="8.08984375" customWidth="1"/>
    <col min="8" max="8" width="9.453125" customWidth="1"/>
    <col min="9" max="9" width="10.26953125" customWidth="1"/>
    <col min="10" max="10" width="8.08984375" customWidth="1"/>
    <col min="11" max="11" width="9" customWidth="1"/>
    <col min="12" max="12" width="11.453125" customWidth="1"/>
    <col min="13" max="13" width="4.81640625" customWidth="1"/>
    <col min="14" max="14" width="15.08984375" customWidth="1"/>
  </cols>
  <sheetData>
    <row r="1" spans="1:14" ht="14.25" customHeight="1">
      <c r="A1" s="16" t="s">
        <v>27</v>
      </c>
      <c r="B1" s="16" t="s">
        <v>28</v>
      </c>
      <c r="C1" s="16" t="s">
        <v>31</v>
      </c>
      <c r="D1" s="16" t="s">
        <v>79</v>
      </c>
      <c r="E1" s="16" t="s">
        <v>8</v>
      </c>
      <c r="F1" s="16" t="s">
        <v>159</v>
      </c>
      <c r="G1" s="16" t="s">
        <v>32</v>
      </c>
      <c r="H1" s="16" t="s">
        <v>33</v>
      </c>
      <c r="I1" s="16" t="s">
        <v>80</v>
      </c>
      <c r="J1" s="16" t="s">
        <v>34</v>
      </c>
      <c r="K1" s="16" t="s">
        <v>160</v>
      </c>
      <c r="L1" s="16" t="s">
        <v>108</v>
      </c>
      <c r="M1" s="16" t="s">
        <v>161</v>
      </c>
      <c r="N1" s="16" t="s">
        <v>104</v>
      </c>
    </row>
    <row r="2" spans="1:14" ht="14.25" customHeight="1">
      <c r="A2" s="17">
        <v>10001</v>
      </c>
      <c r="B2" s="18">
        <v>45394</v>
      </c>
      <c r="C2" s="17" t="s">
        <v>45</v>
      </c>
      <c r="D2" s="17" t="s">
        <v>83</v>
      </c>
      <c r="E2" s="17" t="s">
        <v>162</v>
      </c>
      <c r="F2" s="17" t="s">
        <v>163</v>
      </c>
      <c r="G2" s="17">
        <v>9</v>
      </c>
      <c r="H2" s="17">
        <v>74245</v>
      </c>
      <c r="I2" s="17">
        <v>668205</v>
      </c>
      <c r="J2" s="17">
        <v>991</v>
      </c>
      <c r="K2" s="17">
        <v>667214</v>
      </c>
      <c r="L2" s="17">
        <v>112547.4826</v>
      </c>
      <c r="M2" s="17">
        <v>2024</v>
      </c>
      <c r="N2" s="17" t="s">
        <v>114</v>
      </c>
    </row>
    <row r="3" spans="1:14" ht="14.25" customHeight="1">
      <c r="A3" s="17">
        <v>10002</v>
      </c>
      <c r="B3" s="18">
        <v>45727</v>
      </c>
      <c r="C3" s="17" t="s">
        <v>45</v>
      </c>
      <c r="D3" s="17" t="s">
        <v>83</v>
      </c>
      <c r="E3" s="17" t="s">
        <v>162</v>
      </c>
      <c r="F3" s="17" t="s">
        <v>164</v>
      </c>
      <c r="G3" s="17">
        <v>2</v>
      </c>
      <c r="H3" s="17">
        <v>68906</v>
      </c>
      <c r="I3" s="17">
        <v>137812</v>
      </c>
      <c r="J3" s="17">
        <v>4590</v>
      </c>
      <c r="K3" s="17">
        <v>133222</v>
      </c>
      <c r="L3" s="17">
        <v>18169.090629999999</v>
      </c>
      <c r="M3" s="17">
        <v>2025</v>
      </c>
      <c r="N3" s="17" t="s">
        <v>112</v>
      </c>
    </row>
    <row r="4" spans="1:14" ht="14.25" customHeight="1">
      <c r="A4" s="17">
        <v>10003</v>
      </c>
      <c r="B4" s="18">
        <v>45562</v>
      </c>
      <c r="C4" s="17" t="s">
        <v>58</v>
      </c>
      <c r="D4" s="17" t="s">
        <v>83</v>
      </c>
      <c r="E4" s="17" t="s">
        <v>165</v>
      </c>
      <c r="F4" s="17" t="s">
        <v>166</v>
      </c>
      <c r="G4" s="17">
        <v>5</v>
      </c>
      <c r="H4" s="17">
        <v>74745</v>
      </c>
      <c r="I4" s="17">
        <v>373725</v>
      </c>
      <c r="J4" s="17">
        <v>1193</v>
      </c>
      <c r="K4" s="17">
        <v>372532</v>
      </c>
      <c r="L4" s="17">
        <v>55680.570849999996</v>
      </c>
      <c r="M4" s="17">
        <v>2024</v>
      </c>
      <c r="N4" s="17" t="s">
        <v>129</v>
      </c>
    </row>
    <row r="5" spans="1:14" ht="14.25" customHeight="1">
      <c r="A5" s="17">
        <v>10004</v>
      </c>
      <c r="B5" s="18">
        <v>45398</v>
      </c>
      <c r="C5" s="17" t="s">
        <v>50</v>
      </c>
      <c r="D5" s="17" t="s">
        <v>83</v>
      </c>
      <c r="E5" s="17" t="s">
        <v>165</v>
      </c>
      <c r="F5" s="17" t="s">
        <v>164</v>
      </c>
      <c r="G5" s="17">
        <v>4</v>
      </c>
      <c r="H5" s="17">
        <v>23003</v>
      </c>
      <c r="I5" s="17">
        <v>92012</v>
      </c>
      <c r="J5" s="17">
        <v>3968</v>
      </c>
      <c r="K5" s="17">
        <v>88044</v>
      </c>
      <c r="L5" s="17">
        <v>18123.76686</v>
      </c>
      <c r="M5" s="17">
        <v>2024</v>
      </c>
      <c r="N5" s="17" t="s">
        <v>114</v>
      </c>
    </row>
    <row r="6" spans="1:14" ht="14.25" customHeight="1">
      <c r="A6" s="17">
        <v>10005</v>
      </c>
      <c r="B6" s="18">
        <v>45363</v>
      </c>
      <c r="C6" s="17" t="s">
        <v>167</v>
      </c>
      <c r="D6" s="17" t="s">
        <v>86</v>
      </c>
      <c r="E6" s="17" t="s">
        <v>168</v>
      </c>
      <c r="F6" s="17" t="s">
        <v>163</v>
      </c>
      <c r="G6" s="17">
        <v>3</v>
      </c>
      <c r="H6" s="17">
        <v>14707</v>
      </c>
      <c r="I6" s="17">
        <v>44121</v>
      </c>
      <c r="J6" s="17">
        <v>702</v>
      </c>
      <c r="K6" s="17">
        <v>43419</v>
      </c>
      <c r="L6" s="17">
        <v>4404.4072070000002</v>
      </c>
      <c r="M6" s="17">
        <v>2024</v>
      </c>
      <c r="N6" s="17" t="s">
        <v>112</v>
      </c>
    </row>
    <row r="7" spans="1:14" ht="14.25" customHeight="1">
      <c r="A7" s="17">
        <v>10006</v>
      </c>
      <c r="B7" s="18">
        <v>45992</v>
      </c>
      <c r="C7" s="17" t="s">
        <v>45</v>
      </c>
      <c r="D7" s="17" t="s">
        <v>89</v>
      </c>
      <c r="E7" s="17" t="s">
        <v>165</v>
      </c>
      <c r="F7" s="17" t="s">
        <v>163</v>
      </c>
      <c r="G7" s="17">
        <v>5</v>
      </c>
      <c r="H7" s="17">
        <v>29379</v>
      </c>
      <c r="I7" s="17">
        <v>146895</v>
      </c>
      <c r="J7" s="17">
        <v>1030</v>
      </c>
      <c r="K7" s="17">
        <v>145865</v>
      </c>
      <c r="L7" s="17">
        <v>21514.660220000002</v>
      </c>
      <c r="M7" s="17">
        <v>2025</v>
      </c>
      <c r="N7" s="17" t="s">
        <v>169</v>
      </c>
    </row>
    <row r="8" spans="1:14" ht="14.25" customHeight="1">
      <c r="A8" s="17">
        <v>10007</v>
      </c>
      <c r="B8" s="18">
        <v>45312</v>
      </c>
      <c r="C8" s="17" t="s">
        <v>58</v>
      </c>
      <c r="D8" s="17" t="s">
        <v>170</v>
      </c>
      <c r="E8" s="17" t="s">
        <v>165</v>
      </c>
      <c r="F8" s="17" t="s">
        <v>163</v>
      </c>
      <c r="G8" s="17">
        <v>6</v>
      </c>
      <c r="H8" s="17">
        <v>55277</v>
      </c>
      <c r="I8" s="17">
        <v>331662</v>
      </c>
      <c r="J8" s="17">
        <v>4921</v>
      </c>
      <c r="K8" s="17">
        <v>326741</v>
      </c>
      <c r="L8" s="17">
        <v>66016.250769999999</v>
      </c>
      <c r="M8" s="17">
        <v>2024</v>
      </c>
      <c r="N8" s="17" t="s">
        <v>171</v>
      </c>
    </row>
    <row r="9" spans="1:14" ht="14.25" customHeight="1">
      <c r="A9" s="17">
        <v>10008</v>
      </c>
      <c r="B9" s="18">
        <v>45906</v>
      </c>
      <c r="C9" s="17" t="s">
        <v>50</v>
      </c>
      <c r="D9" s="17" t="s">
        <v>86</v>
      </c>
      <c r="E9" s="17" t="s">
        <v>165</v>
      </c>
      <c r="F9" s="17" t="s">
        <v>164</v>
      </c>
      <c r="G9" s="17">
        <v>1</v>
      </c>
      <c r="H9" s="17">
        <v>77442</v>
      </c>
      <c r="I9" s="17">
        <v>77442</v>
      </c>
      <c r="J9" s="17">
        <v>2481</v>
      </c>
      <c r="K9" s="17">
        <v>74961</v>
      </c>
      <c r="L9" s="17">
        <v>9208.2901839999995</v>
      </c>
      <c r="M9" s="17">
        <v>2025</v>
      </c>
      <c r="N9" s="17" t="s">
        <v>129</v>
      </c>
    </row>
    <row r="10" spans="1:14" ht="14.25" customHeight="1">
      <c r="A10" s="17">
        <v>10009</v>
      </c>
      <c r="B10" s="18">
        <v>45413</v>
      </c>
      <c r="C10" s="17" t="s">
        <v>50</v>
      </c>
      <c r="D10" s="17" t="s">
        <v>83</v>
      </c>
      <c r="E10" s="17" t="s">
        <v>162</v>
      </c>
      <c r="F10" s="17" t="s">
        <v>163</v>
      </c>
      <c r="G10" s="17">
        <v>2</v>
      </c>
      <c r="H10" s="17">
        <v>59756</v>
      </c>
      <c r="I10" s="17">
        <v>119512</v>
      </c>
      <c r="J10" s="17">
        <v>562</v>
      </c>
      <c r="K10" s="17">
        <v>118950</v>
      </c>
      <c r="L10" s="17">
        <v>21893.68103</v>
      </c>
      <c r="M10" s="17">
        <v>2024</v>
      </c>
      <c r="N10" s="17" t="s">
        <v>117</v>
      </c>
    </row>
    <row r="11" spans="1:14" ht="14.25" customHeight="1">
      <c r="A11" s="17">
        <v>10010</v>
      </c>
      <c r="B11" s="18">
        <v>45758</v>
      </c>
      <c r="C11" s="17" t="s">
        <v>39</v>
      </c>
      <c r="D11" s="17" t="s">
        <v>86</v>
      </c>
      <c r="E11" s="17" t="s">
        <v>165</v>
      </c>
      <c r="F11" s="17" t="s">
        <v>172</v>
      </c>
      <c r="G11" s="17">
        <v>1</v>
      </c>
      <c r="H11" s="17">
        <v>66579</v>
      </c>
      <c r="I11" s="17">
        <v>66579</v>
      </c>
      <c r="J11" s="17">
        <v>366</v>
      </c>
      <c r="K11" s="17">
        <v>66213</v>
      </c>
      <c r="L11" s="17">
        <v>8299.1333990000003</v>
      </c>
      <c r="M11" s="17">
        <v>2025</v>
      </c>
      <c r="N11" s="17" t="s">
        <v>114</v>
      </c>
    </row>
    <row r="12" spans="1:14" ht="14.25" customHeight="1">
      <c r="A12" s="17">
        <v>10011</v>
      </c>
      <c r="B12" s="18">
        <v>45506</v>
      </c>
      <c r="C12" s="17" t="s">
        <v>39</v>
      </c>
      <c r="D12" s="17" t="s">
        <v>111</v>
      </c>
      <c r="E12" s="17" t="s">
        <v>162</v>
      </c>
      <c r="F12" s="17" t="s">
        <v>166</v>
      </c>
      <c r="G12" s="17">
        <v>3</v>
      </c>
      <c r="H12" s="17">
        <v>77884</v>
      </c>
      <c r="I12" s="17">
        <v>233652</v>
      </c>
      <c r="J12" s="17">
        <v>793</v>
      </c>
      <c r="K12" s="17">
        <v>232859</v>
      </c>
      <c r="L12" s="17">
        <v>28691.554380000001</v>
      </c>
      <c r="M12" s="17">
        <v>2024</v>
      </c>
      <c r="N12" s="17" t="s">
        <v>126</v>
      </c>
    </row>
    <row r="13" spans="1:14" ht="14.25" customHeight="1">
      <c r="A13" s="17">
        <v>10012</v>
      </c>
      <c r="B13" s="18">
        <v>45622</v>
      </c>
      <c r="C13" s="17" t="s">
        <v>45</v>
      </c>
      <c r="D13" s="17" t="s">
        <v>83</v>
      </c>
      <c r="E13" s="17" t="s">
        <v>168</v>
      </c>
      <c r="F13" s="17" t="s">
        <v>163</v>
      </c>
      <c r="G13" s="17">
        <v>8</v>
      </c>
      <c r="H13" s="17">
        <v>71111</v>
      </c>
      <c r="I13" s="17">
        <v>568888</v>
      </c>
      <c r="J13" s="17">
        <v>3103</v>
      </c>
      <c r="K13" s="17">
        <v>565785</v>
      </c>
      <c r="L13" s="17">
        <v>122120.1741</v>
      </c>
      <c r="M13" s="17">
        <v>2024</v>
      </c>
      <c r="N13" s="17" t="s">
        <v>173</v>
      </c>
    </row>
    <row r="14" spans="1:14" ht="14.25" customHeight="1">
      <c r="A14" s="17">
        <v>10013</v>
      </c>
      <c r="B14" s="18">
        <v>45750</v>
      </c>
      <c r="C14" s="17" t="s">
        <v>39</v>
      </c>
      <c r="D14" s="17" t="s">
        <v>170</v>
      </c>
      <c r="E14" s="17" t="s">
        <v>168</v>
      </c>
      <c r="F14" s="17" t="s">
        <v>163</v>
      </c>
      <c r="G14" s="17">
        <v>8</v>
      </c>
      <c r="H14" s="17">
        <v>44939</v>
      </c>
      <c r="I14" s="17">
        <v>359512</v>
      </c>
      <c r="J14" s="17">
        <v>4731</v>
      </c>
      <c r="K14" s="17">
        <v>354781</v>
      </c>
      <c r="L14" s="17">
        <v>49661.819710000003</v>
      </c>
      <c r="M14" s="17">
        <v>2025</v>
      </c>
      <c r="N14" s="17" t="s">
        <v>114</v>
      </c>
    </row>
    <row r="15" spans="1:14" ht="14.25" customHeight="1">
      <c r="A15" s="17">
        <v>10014</v>
      </c>
      <c r="B15" s="18">
        <v>45379</v>
      </c>
      <c r="C15" s="17" t="s">
        <v>45</v>
      </c>
      <c r="D15" s="17" t="s">
        <v>83</v>
      </c>
      <c r="E15" s="17" t="s">
        <v>162</v>
      </c>
      <c r="F15" s="17" t="s">
        <v>166</v>
      </c>
      <c r="G15" s="17">
        <v>4</v>
      </c>
      <c r="H15" s="17">
        <v>20748</v>
      </c>
      <c r="I15" s="17">
        <v>82992</v>
      </c>
      <c r="J15" s="17">
        <v>986</v>
      </c>
      <c r="K15" s="17">
        <v>82006</v>
      </c>
      <c r="L15" s="17">
        <v>12822.898359999999</v>
      </c>
      <c r="M15" s="17">
        <v>2024</v>
      </c>
      <c r="N15" s="17" t="s">
        <v>112</v>
      </c>
    </row>
    <row r="16" spans="1:14" ht="14.25" customHeight="1">
      <c r="A16" s="17">
        <v>10015</v>
      </c>
      <c r="B16" s="18">
        <v>45664</v>
      </c>
      <c r="C16" s="17" t="s">
        <v>167</v>
      </c>
      <c r="D16" s="17" t="s">
        <v>170</v>
      </c>
      <c r="E16" s="17" t="s">
        <v>162</v>
      </c>
      <c r="F16" s="17" t="s">
        <v>166</v>
      </c>
      <c r="G16" s="17">
        <v>6</v>
      </c>
      <c r="H16" s="17">
        <v>73879</v>
      </c>
      <c r="I16" s="17">
        <v>443274</v>
      </c>
      <c r="J16" s="17">
        <v>957</v>
      </c>
      <c r="K16" s="17">
        <v>442317</v>
      </c>
      <c r="L16" s="17">
        <v>92666.610109999994</v>
      </c>
      <c r="M16" s="17">
        <v>2025</v>
      </c>
      <c r="N16" s="17" t="s">
        <v>171</v>
      </c>
    </row>
    <row r="17" spans="1:14" ht="14.25" customHeight="1">
      <c r="A17" s="17">
        <v>10016</v>
      </c>
      <c r="B17" s="18">
        <v>45391</v>
      </c>
      <c r="C17" s="17" t="s">
        <v>45</v>
      </c>
      <c r="D17" s="17" t="s">
        <v>170</v>
      </c>
      <c r="E17" s="17" t="s">
        <v>162</v>
      </c>
      <c r="F17" s="17" t="s">
        <v>166</v>
      </c>
      <c r="G17" s="17">
        <v>9</v>
      </c>
      <c r="H17" s="17">
        <v>47115</v>
      </c>
      <c r="I17" s="17">
        <v>424035</v>
      </c>
      <c r="J17" s="17">
        <v>3595</v>
      </c>
      <c r="K17" s="17">
        <v>420440</v>
      </c>
      <c r="L17" s="17">
        <v>53365.583129999999</v>
      </c>
      <c r="M17" s="17">
        <v>2024</v>
      </c>
      <c r="N17" s="17" t="s">
        <v>114</v>
      </c>
    </row>
    <row r="18" spans="1:14" ht="14.25" customHeight="1">
      <c r="A18" s="17">
        <v>10017</v>
      </c>
      <c r="B18" s="18">
        <v>45955</v>
      </c>
      <c r="C18" s="17" t="s">
        <v>39</v>
      </c>
      <c r="D18" s="17" t="s">
        <v>89</v>
      </c>
      <c r="E18" s="17" t="s">
        <v>162</v>
      </c>
      <c r="F18" s="17" t="s">
        <v>164</v>
      </c>
      <c r="G18" s="17">
        <v>7</v>
      </c>
      <c r="H18" s="17">
        <v>67023</v>
      </c>
      <c r="I18" s="17">
        <v>469161</v>
      </c>
      <c r="J18" s="17">
        <v>854</v>
      </c>
      <c r="K18" s="17">
        <v>468307</v>
      </c>
      <c r="L18" s="17">
        <v>84183.125390000001</v>
      </c>
      <c r="M18" s="17">
        <v>2025</v>
      </c>
      <c r="N18" s="17" t="s">
        <v>174</v>
      </c>
    </row>
    <row r="19" spans="1:14" ht="14.25" customHeight="1">
      <c r="A19" s="17">
        <v>10018</v>
      </c>
      <c r="B19" s="18">
        <v>45422</v>
      </c>
      <c r="C19" s="17" t="s">
        <v>167</v>
      </c>
      <c r="D19" s="17" t="s">
        <v>89</v>
      </c>
      <c r="E19" s="17" t="s">
        <v>165</v>
      </c>
      <c r="F19" s="17" t="s">
        <v>164</v>
      </c>
      <c r="G19" s="17">
        <v>2</v>
      </c>
      <c r="H19" s="17">
        <v>64984</v>
      </c>
      <c r="I19" s="17">
        <v>129968</v>
      </c>
      <c r="J19" s="17">
        <v>1569</v>
      </c>
      <c r="K19" s="17">
        <v>128399</v>
      </c>
      <c r="L19" s="17">
        <v>30516.96905</v>
      </c>
      <c r="M19" s="17">
        <v>2024</v>
      </c>
      <c r="N19" s="17" t="s">
        <v>117</v>
      </c>
    </row>
    <row r="20" spans="1:14" ht="14.25" customHeight="1">
      <c r="A20" s="17">
        <v>10019</v>
      </c>
      <c r="B20" s="18">
        <v>45953</v>
      </c>
      <c r="C20" s="17" t="s">
        <v>39</v>
      </c>
      <c r="D20" s="17" t="s">
        <v>86</v>
      </c>
      <c r="E20" s="17" t="s">
        <v>162</v>
      </c>
      <c r="F20" s="17" t="s">
        <v>163</v>
      </c>
      <c r="G20" s="17">
        <v>2</v>
      </c>
      <c r="H20" s="17">
        <v>47495</v>
      </c>
      <c r="I20" s="17">
        <v>94990</v>
      </c>
      <c r="J20" s="17">
        <v>2256</v>
      </c>
      <c r="K20" s="17">
        <v>92734</v>
      </c>
      <c r="L20" s="17">
        <v>16977.186440000001</v>
      </c>
      <c r="M20" s="17">
        <v>2025</v>
      </c>
      <c r="N20" s="17" t="s">
        <v>174</v>
      </c>
    </row>
    <row r="21" spans="1:14" ht="14.25" customHeight="1">
      <c r="A21" s="17">
        <v>10020</v>
      </c>
      <c r="B21" s="18">
        <v>45600</v>
      </c>
      <c r="C21" s="17" t="s">
        <v>45</v>
      </c>
      <c r="D21" s="17" t="s">
        <v>86</v>
      </c>
      <c r="E21" s="17" t="s">
        <v>162</v>
      </c>
      <c r="F21" s="17" t="s">
        <v>166</v>
      </c>
      <c r="G21" s="17">
        <v>3</v>
      </c>
      <c r="H21" s="17">
        <v>45747</v>
      </c>
      <c r="I21" s="17">
        <v>137241</v>
      </c>
      <c r="J21" s="17">
        <v>3909</v>
      </c>
      <c r="K21" s="17">
        <v>133332</v>
      </c>
      <c r="L21" s="17">
        <v>14310.10556</v>
      </c>
      <c r="M21" s="17">
        <v>2024</v>
      </c>
      <c r="N21" s="17" t="s">
        <v>173</v>
      </c>
    </row>
    <row r="22" spans="1:14" ht="14.25" customHeight="1">
      <c r="A22" s="17">
        <v>10021</v>
      </c>
      <c r="B22" s="18">
        <v>45635</v>
      </c>
      <c r="C22" s="17" t="s">
        <v>58</v>
      </c>
      <c r="D22" s="17" t="s">
        <v>170</v>
      </c>
      <c r="E22" s="17" t="s">
        <v>162</v>
      </c>
      <c r="F22" s="17" t="s">
        <v>163</v>
      </c>
      <c r="G22" s="17">
        <v>8</v>
      </c>
      <c r="H22" s="17">
        <v>79690</v>
      </c>
      <c r="I22" s="17">
        <v>637520</v>
      </c>
      <c r="J22" s="17">
        <v>4103</v>
      </c>
      <c r="K22" s="17">
        <v>633417</v>
      </c>
      <c r="L22" s="17">
        <v>119370.34179999999</v>
      </c>
      <c r="M22" s="17">
        <v>2024</v>
      </c>
      <c r="N22" s="17" t="s">
        <v>169</v>
      </c>
    </row>
    <row r="23" spans="1:14" ht="14.25" customHeight="1">
      <c r="A23" s="17">
        <v>10022</v>
      </c>
      <c r="B23" s="18">
        <v>45783</v>
      </c>
      <c r="C23" s="17" t="s">
        <v>50</v>
      </c>
      <c r="D23" s="17" t="s">
        <v>83</v>
      </c>
      <c r="E23" s="17" t="s">
        <v>165</v>
      </c>
      <c r="F23" s="17" t="s">
        <v>163</v>
      </c>
      <c r="G23" s="17">
        <v>9</v>
      </c>
      <c r="H23" s="17">
        <v>65378</v>
      </c>
      <c r="I23" s="17">
        <v>588402</v>
      </c>
      <c r="J23" s="17">
        <v>4832</v>
      </c>
      <c r="K23" s="17">
        <v>583570</v>
      </c>
      <c r="L23" s="17">
        <v>66248.622900000002</v>
      </c>
      <c r="M23" s="17">
        <v>2025</v>
      </c>
      <c r="N23" s="17" t="s">
        <v>117</v>
      </c>
    </row>
    <row r="24" spans="1:14" ht="14.25" customHeight="1">
      <c r="A24" s="17">
        <v>10023</v>
      </c>
      <c r="B24" s="18">
        <v>45705</v>
      </c>
      <c r="C24" s="17" t="s">
        <v>39</v>
      </c>
      <c r="D24" s="17" t="s">
        <v>111</v>
      </c>
      <c r="E24" s="17" t="s">
        <v>165</v>
      </c>
      <c r="F24" s="17" t="s">
        <v>163</v>
      </c>
      <c r="G24" s="17">
        <v>3</v>
      </c>
      <c r="H24" s="17">
        <v>26555</v>
      </c>
      <c r="I24" s="17">
        <v>79665</v>
      </c>
      <c r="J24" s="17">
        <v>2222</v>
      </c>
      <c r="K24" s="17">
        <v>77443</v>
      </c>
      <c r="L24" s="17">
        <v>11021.58562</v>
      </c>
      <c r="M24" s="17">
        <v>2025</v>
      </c>
      <c r="N24" s="17" t="s">
        <v>175</v>
      </c>
    </row>
    <row r="25" spans="1:14" ht="14.25" customHeight="1">
      <c r="A25" s="17">
        <v>10024</v>
      </c>
      <c r="B25" s="18">
        <v>45677</v>
      </c>
      <c r="C25" s="17" t="s">
        <v>45</v>
      </c>
      <c r="D25" s="17" t="s">
        <v>111</v>
      </c>
      <c r="E25" s="17" t="s">
        <v>165</v>
      </c>
      <c r="F25" s="17" t="s">
        <v>164</v>
      </c>
      <c r="G25" s="17">
        <v>9</v>
      </c>
      <c r="H25" s="17">
        <v>31623</v>
      </c>
      <c r="I25" s="17">
        <v>284607</v>
      </c>
      <c r="J25" s="17">
        <v>4176</v>
      </c>
      <c r="K25" s="17">
        <v>280431</v>
      </c>
      <c r="L25" s="17">
        <v>63784.385920000001</v>
      </c>
      <c r="M25" s="17">
        <v>2025</v>
      </c>
      <c r="N25" s="17" t="s">
        <v>171</v>
      </c>
    </row>
    <row r="26" spans="1:14" ht="14.25" customHeight="1">
      <c r="A26" s="17">
        <v>10025</v>
      </c>
      <c r="B26" s="18">
        <v>45483</v>
      </c>
      <c r="C26" s="17" t="s">
        <v>167</v>
      </c>
      <c r="D26" s="17" t="s">
        <v>83</v>
      </c>
      <c r="E26" s="17" t="s">
        <v>168</v>
      </c>
      <c r="F26" s="17" t="s">
        <v>166</v>
      </c>
      <c r="G26" s="17">
        <v>8</v>
      </c>
      <c r="H26" s="17">
        <v>42309</v>
      </c>
      <c r="I26" s="17">
        <v>338472</v>
      </c>
      <c r="J26" s="17">
        <v>237</v>
      </c>
      <c r="K26" s="17">
        <v>338235</v>
      </c>
      <c r="L26" s="17">
        <v>34385.094980000002</v>
      </c>
      <c r="M26" s="17">
        <v>2024</v>
      </c>
      <c r="N26" s="17" t="s">
        <v>123</v>
      </c>
    </row>
    <row r="27" spans="1:14" ht="14.25" customHeight="1">
      <c r="A27" s="17">
        <v>10026</v>
      </c>
      <c r="B27" s="18">
        <v>45568</v>
      </c>
      <c r="C27" s="17" t="s">
        <v>39</v>
      </c>
      <c r="D27" s="17" t="s">
        <v>83</v>
      </c>
      <c r="E27" s="17" t="s">
        <v>165</v>
      </c>
      <c r="F27" s="17" t="s">
        <v>163</v>
      </c>
      <c r="G27" s="17">
        <v>5</v>
      </c>
      <c r="H27" s="17">
        <v>55666</v>
      </c>
      <c r="I27" s="17">
        <v>278330</v>
      </c>
      <c r="J27" s="17">
        <v>3288</v>
      </c>
      <c r="K27" s="17">
        <v>275042</v>
      </c>
      <c r="L27" s="17">
        <v>30681.48417</v>
      </c>
      <c r="M27" s="17">
        <v>2024</v>
      </c>
      <c r="N27" s="17" t="s">
        <v>174</v>
      </c>
    </row>
    <row r="28" spans="1:14" ht="14.25" customHeight="1">
      <c r="A28" s="17">
        <v>10027</v>
      </c>
      <c r="B28" s="18">
        <v>45452</v>
      </c>
      <c r="C28" s="17" t="s">
        <v>39</v>
      </c>
      <c r="D28" s="17" t="s">
        <v>89</v>
      </c>
      <c r="E28" s="17" t="s">
        <v>162</v>
      </c>
      <c r="F28" s="17" t="s">
        <v>164</v>
      </c>
      <c r="G28" s="17">
        <v>3</v>
      </c>
      <c r="H28" s="17">
        <v>6067</v>
      </c>
      <c r="I28" s="17">
        <v>18201</v>
      </c>
      <c r="J28" s="17">
        <v>4282</v>
      </c>
      <c r="K28" s="17">
        <v>13919</v>
      </c>
      <c r="L28" s="17">
        <v>2150.5497959999998</v>
      </c>
      <c r="M28" s="17">
        <v>2024</v>
      </c>
      <c r="N28" s="17" t="s">
        <v>120</v>
      </c>
    </row>
    <row r="29" spans="1:14" ht="14.25" customHeight="1">
      <c r="A29" s="17">
        <v>10028</v>
      </c>
      <c r="B29" s="18">
        <v>45751</v>
      </c>
      <c r="C29" s="17" t="s">
        <v>50</v>
      </c>
      <c r="D29" s="17" t="s">
        <v>111</v>
      </c>
      <c r="E29" s="17" t="s">
        <v>165</v>
      </c>
      <c r="F29" s="17" t="s">
        <v>172</v>
      </c>
      <c r="G29" s="17">
        <v>7</v>
      </c>
      <c r="H29" s="17">
        <v>22265</v>
      </c>
      <c r="I29" s="17">
        <v>155855</v>
      </c>
      <c r="J29" s="17">
        <v>4725</v>
      </c>
      <c r="K29" s="17">
        <v>151130</v>
      </c>
      <c r="L29" s="17">
        <v>37768.804900000003</v>
      </c>
      <c r="M29" s="17">
        <v>2025</v>
      </c>
      <c r="N29" s="17" t="s">
        <v>114</v>
      </c>
    </row>
    <row r="30" spans="1:14" ht="14.25" customHeight="1">
      <c r="A30" s="17">
        <v>10029</v>
      </c>
      <c r="B30" s="18">
        <v>45605</v>
      </c>
      <c r="C30" s="17" t="s">
        <v>45</v>
      </c>
      <c r="D30" s="17" t="s">
        <v>170</v>
      </c>
      <c r="E30" s="17" t="s">
        <v>165</v>
      </c>
      <c r="F30" s="17" t="s">
        <v>172</v>
      </c>
      <c r="G30" s="17">
        <v>9</v>
      </c>
      <c r="H30" s="17">
        <v>77445</v>
      </c>
      <c r="I30" s="17">
        <v>697005</v>
      </c>
      <c r="J30" s="17">
        <v>1732</v>
      </c>
      <c r="K30" s="17">
        <v>695273</v>
      </c>
      <c r="L30" s="17">
        <v>99966.064029999994</v>
      </c>
      <c r="M30" s="17">
        <v>2024</v>
      </c>
      <c r="N30" s="17" t="s">
        <v>173</v>
      </c>
    </row>
    <row r="31" spans="1:14" ht="14.25" customHeight="1">
      <c r="A31" s="17">
        <v>10030</v>
      </c>
      <c r="B31" s="18">
        <v>45313</v>
      </c>
      <c r="C31" s="17" t="s">
        <v>58</v>
      </c>
      <c r="D31" s="17" t="s">
        <v>86</v>
      </c>
      <c r="E31" s="17" t="s">
        <v>162</v>
      </c>
      <c r="F31" s="17" t="s">
        <v>163</v>
      </c>
      <c r="G31" s="17">
        <v>6</v>
      </c>
      <c r="H31" s="17">
        <v>26416</v>
      </c>
      <c r="I31" s="17">
        <v>158496</v>
      </c>
      <c r="J31" s="17">
        <v>3061</v>
      </c>
      <c r="K31" s="17">
        <v>155435</v>
      </c>
      <c r="L31" s="17">
        <v>19210.39705</v>
      </c>
      <c r="M31" s="17">
        <v>2024</v>
      </c>
      <c r="N31" s="17" t="s">
        <v>171</v>
      </c>
    </row>
    <row r="32" spans="1:14" ht="14.25" customHeight="1">
      <c r="A32" s="17">
        <v>10031</v>
      </c>
      <c r="B32" s="18">
        <v>45544</v>
      </c>
      <c r="C32" s="17" t="s">
        <v>167</v>
      </c>
      <c r="D32" s="17" t="s">
        <v>89</v>
      </c>
      <c r="E32" s="17" t="s">
        <v>165</v>
      </c>
      <c r="F32" s="17" t="s">
        <v>163</v>
      </c>
      <c r="G32" s="17">
        <v>3</v>
      </c>
      <c r="H32" s="17">
        <v>57791</v>
      </c>
      <c r="I32" s="17">
        <v>173373</v>
      </c>
      <c r="J32" s="17">
        <v>814</v>
      </c>
      <c r="K32" s="17">
        <v>172559</v>
      </c>
      <c r="L32" s="17">
        <v>31477.06007</v>
      </c>
      <c r="M32" s="17">
        <v>2024</v>
      </c>
      <c r="N32" s="17" t="s">
        <v>129</v>
      </c>
    </row>
    <row r="33" spans="1:14" ht="14.25" customHeight="1">
      <c r="A33" s="17">
        <v>10032</v>
      </c>
      <c r="B33" s="18">
        <v>45852</v>
      </c>
      <c r="C33" s="17" t="s">
        <v>45</v>
      </c>
      <c r="D33" s="17" t="s">
        <v>111</v>
      </c>
      <c r="E33" s="17" t="s">
        <v>168</v>
      </c>
      <c r="F33" s="17" t="s">
        <v>166</v>
      </c>
      <c r="G33" s="17">
        <v>5</v>
      </c>
      <c r="H33" s="17">
        <v>31125</v>
      </c>
      <c r="I33" s="17">
        <v>155625</v>
      </c>
      <c r="J33" s="17">
        <v>4709</v>
      </c>
      <c r="K33" s="17">
        <v>150916</v>
      </c>
      <c r="L33" s="17">
        <v>26846.18363</v>
      </c>
      <c r="M33" s="17">
        <v>2025</v>
      </c>
      <c r="N33" s="17" t="s">
        <v>123</v>
      </c>
    </row>
    <row r="34" spans="1:14" ht="14.25" customHeight="1">
      <c r="A34" s="17">
        <v>10033</v>
      </c>
      <c r="B34" s="18">
        <v>45766</v>
      </c>
      <c r="C34" s="17" t="s">
        <v>167</v>
      </c>
      <c r="D34" s="17" t="s">
        <v>83</v>
      </c>
      <c r="E34" s="17" t="s">
        <v>165</v>
      </c>
      <c r="F34" s="17" t="s">
        <v>166</v>
      </c>
      <c r="G34" s="17">
        <v>7</v>
      </c>
      <c r="H34" s="17">
        <v>58709</v>
      </c>
      <c r="I34" s="17">
        <v>410963</v>
      </c>
      <c r="J34" s="17">
        <v>1186</v>
      </c>
      <c r="K34" s="17">
        <v>409777</v>
      </c>
      <c r="L34" s="17">
        <v>68614.264909999998</v>
      </c>
      <c r="M34" s="17">
        <v>2025</v>
      </c>
      <c r="N34" s="17" t="s">
        <v>114</v>
      </c>
    </row>
    <row r="35" spans="1:14" ht="14.25" customHeight="1">
      <c r="A35" s="17">
        <v>10034</v>
      </c>
      <c r="B35" s="18">
        <v>45350</v>
      </c>
      <c r="C35" s="17" t="s">
        <v>39</v>
      </c>
      <c r="D35" s="17" t="s">
        <v>111</v>
      </c>
      <c r="E35" s="17" t="s">
        <v>168</v>
      </c>
      <c r="F35" s="17" t="s">
        <v>163</v>
      </c>
      <c r="G35" s="17">
        <v>8</v>
      </c>
      <c r="H35" s="17">
        <v>46060</v>
      </c>
      <c r="I35" s="17">
        <v>368480</v>
      </c>
      <c r="J35" s="17">
        <v>2225</v>
      </c>
      <c r="K35" s="17">
        <v>366255</v>
      </c>
      <c r="L35" s="17">
        <v>88633.000490000006</v>
      </c>
      <c r="M35" s="17">
        <v>2024</v>
      </c>
      <c r="N35" s="17" t="s">
        <v>175</v>
      </c>
    </row>
    <row r="36" spans="1:14" ht="14.25" customHeight="1">
      <c r="A36" s="17">
        <v>10035</v>
      </c>
      <c r="B36" s="18">
        <v>45802</v>
      </c>
      <c r="C36" s="17" t="s">
        <v>50</v>
      </c>
      <c r="D36" s="17" t="s">
        <v>170</v>
      </c>
      <c r="E36" s="17" t="s">
        <v>168</v>
      </c>
      <c r="F36" s="17" t="s">
        <v>164</v>
      </c>
      <c r="G36" s="17">
        <v>4</v>
      </c>
      <c r="H36" s="17">
        <v>36411</v>
      </c>
      <c r="I36" s="17">
        <v>145644</v>
      </c>
      <c r="J36" s="17">
        <v>984</v>
      </c>
      <c r="K36" s="17">
        <v>144660</v>
      </c>
      <c r="L36" s="17">
        <v>20544.961200000002</v>
      </c>
      <c r="M36" s="17">
        <v>2025</v>
      </c>
      <c r="N36" s="17" t="s">
        <v>117</v>
      </c>
    </row>
    <row r="37" spans="1:14" ht="14.25" customHeight="1">
      <c r="A37" s="17">
        <v>10036</v>
      </c>
      <c r="B37" s="18">
        <v>45973</v>
      </c>
      <c r="C37" s="17" t="s">
        <v>50</v>
      </c>
      <c r="D37" s="17" t="s">
        <v>89</v>
      </c>
      <c r="E37" s="17" t="s">
        <v>168</v>
      </c>
      <c r="F37" s="17" t="s">
        <v>163</v>
      </c>
      <c r="G37" s="17">
        <v>2</v>
      </c>
      <c r="H37" s="17">
        <v>57684</v>
      </c>
      <c r="I37" s="17">
        <v>115368</v>
      </c>
      <c r="J37" s="17">
        <v>797</v>
      </c>
      <c r="K37" s="17">
        <v>114571</v>
      </c>
      <c r="L37" s="17">
        <v>16498.06754</v>
      </c>
      <c r="M37" s="17">
        <v>2025</v>
      </c>
      <c r="N37" s="17" t="s">
        <v>173</v>
      </c>
    </row>
    <row r="38" spans="1:14" ht="14.25" customHeight="1">
      <c r="A38" s="17">
        <v>10037</v>
      </c>
      <c r="B38" s="18">
        <v>45767</v>
      </c>
      <c r="C38" s="17" t="s">
        <v>58</v>
      </c>
      <c r="D38" s="17" t="s">
        <v>83</v>
      </c>
      <c r="E38" s="17" t="s">
        <v>162</v>
      </c>
      <c r="F38" s="17" t="s">
        <v>166</v>
      </c>
      <c r="G38" s="17">
        <v>2</v>
      </c>
      <c r="H38" s="17">
        <v>40584</v>
      </c>
      <c r="I38" s="17">
        <v>81168</v>
      </c>
      <c r="J38" s="17">
        <v>4162</v>
      </c>
      <c r="K38" s="17">
        <v>77006</v>
      </c>
      <c r="L38" s="17">
        <v>9320.6942510000008</v>
      </c>
      <c r="M38" s="17">
        <v>2025</v>
      </c>
      <c r="N38" s="17" t="s">
        <v>114</v>
      </c>
    </row>
    <row r="39" spans="1:14" ht="14.25" customHeight="1">
      <c r="A39" s="17">
        <v>10038</v>
      </c>
      <c r="B39" s="18">
        <v>45991</v>
      </c>
      <c r="C39" s="17" t="s">
        <v>50</v>
      </c>
      <c r="D39" s="17" t="s">
        <v>170</v>
      </c>
      <c r="E39" s="17" t="s">
        <v>165</v>
      </c>
      <c r="F39" s="17" t="s">
        <v>166</v>
      </c>
      <c r="G39" s="17">
        <v>3</v>
      </c>
      <c r="H39" s="17">
        <v>76947</v>
      </c>
      <c r="I39" s="17">
        <v>230841</v>
      </c>
      <c r="J39" s="17">
        <v>543</v>
      </c>
      <c r="K39" s="17">
        <v>230298</v>
      </c>
      <c r="L39" s="17">
        <v>47117.40539</v>
      </c>
      <c r="M39" s="17">
        <v>2025</v>
      </c>
      <c r="N39" s="17" t="s">
        <v>173</v>
      </c>
    </row>
    <row r="40" spans="1:14" ht="14.25" customHeight="1">
      <c r="A40" s="17">
        <v>10039</v>
      </c>
      <c r="B40" s="18">
        <v>45481</v>
      </c>
      <c r="C40" s="17" t="s">
        <v>39</v>
      </c>
      <c r="D40" s="17" t="s">
        <v>86</v>
      </c>
      <c r="E40" s="17" t="s">
        <v>168</v>
      </c>
      <c r="F40" s="17" t="s">
        <v>164</v>
      </c>
      <c r="G40" s="17">
        <v>8</v>
      </c>
      <c r="H40" s="17">
        <v>36602</v>
      </c>
      <c r="I40" s="17">
        <v>292816</v>
      </c>
      <c r="J40" s="17">
        <v>519</v>
      </c>
      <c r="K40" s="17">
        <v>292297</v>
      </c>
      <c r="L40" s="17">
        <v>43319.999839999997</v>
      </c>
      <c r="M40" s="17">
        <v>2024</v>
      </c>
      <c r="N40" s="17" t="s">
        <v>123</v>
      </c>
    </row>
    <row r="41" spans="1:14" ht="14.25" customHeight="1">
      <c r="A41" s="17">
        <v>10040</v>
      </c>
      <c r="B41" s="18">
        <v>45978</v>
      </c>
      <c r="C41" s="17" t="s">
        <v>58</v>
      </c>
      <c r="D41" s="17" t="s">
        <v>89</v>
      </c>
      <c r="E41" s="17" t="s">
        <v>168</v>
      </c>
      <c r="F41" s="17" t="s">
        <v>163</v>
      </c>
      <c r="G41" s="17">
        <v>1</v>
      </c>
      <c r="H41" s="17">
        <v>77740</v>
      </c>
      <c r="I41" s="17">
        <v>77740</v>
      </c>
      <c r="J41" s="17">
        <v>2546</v>
      </c>
      <c r="K41" s="17">
        <v>75194</v>
      </c>
      <c r="L41" s="17">
        <v>16573.588039999999</v>
      </c>
      <c r="M41" s="17">
        <v>2025</v>
      </c>
      <c r="N41" s="17" t="s">
        <v>173</v>
      </c>
    </row>
    <row r="42" spans="1:14" ht="14.25" customHeight="1">
      <c r="A42" s="17">
        <v>10041</v>
      </c>
      <c r="B42" s="18">
        <v>45854</v>
      </c>
      <c r="C42" s="17" t="s">
        <v>45</v>
      </c>
      <c r="D42" s="17" t="s">
        <v>170</v>
      </c>
      <c r="E42" s="17" t="s">
        <v>165</v>
      </c>
      <c r="F42" s="17" t="s">
        <v>166</v>
      </c>
      <c r="G42" s="17">
        <v>7</v>
      </c>
      <c r="H42" s="17">
        <v>23899</v>
      </c>
      <c r="I42" s="17">
        <v>167293</v>
      </c>
      <c r="J42" s="17">
        <v>1454</v>
      </c>
      <c r="K42" s="17">
        <v>165839</v>
      </c>
      <c r="L42" s="17">
        <v>40757.20319</v>
      </c>
      <c r="M42" s="17">
        <v>2025</v>
      </c>
      <c r="N42" s="17" t="s">
        <v>123</v>
      </c>
    </row>
    <row r="43" spans="1:14" ht="14.25" customHeight="1">
      <c r="A43" s="17">
        <v>10042</v>
      </c>
      <c r="B43" s="18">
        <v>45858</v>
      </c>
      <c r="C43" s="17" t="s">
        <v>50</v>
      </c>
      <c r="D43" s="17" t="s">
        <v>170</v>
      </c>
      <c r="E43" s="17" t="s">
        <v>162</v>
      </c>
      <c r="F43" s="17" t="s">
        <v>163</v>
      </c>
      <c r="G43" s="17">
        <v>6</v>
      </c>
      <c r="H43" s="17">
        <v>74588</v>
      </c>
      <c r="I43" s="17">
        <v>447528</v>
      </c>
      <c r="J43" s="17">
        <v>1058</v>
      </c>
      <c r="K43" s="17">
        <v>446470</v>
      </c>
      <c r="L43" s="17">
        <v>47572.622499999998</v>
      </c>
      <c r="M43" s="17">
        <v>2025</v>
      </c>
      <c r="N43" s="17" t="s">
        <v>123</v>
      </c>
    </row>
    <row r="44" spans="1:14" ht="14.25" customHeight="1">
      <c r="A44" s="17">
        <v>10043</v>
      </c>
      <c r="B44" s="18">
        <v>45535</v>
      </c>
      <c r="C44" s="17" t="s">
        <v>58</v>
      </c>
      <c r="D44" s="17" t="s">
        <v>83</v>
      </c>
      <c r="E44" s="17" t="s">
        <v>162</v>
      </c>
      <c r="F44" s="17" t="s">
        <v>166</v>
      </c>
      <c r="G44" s="17">
        <v>2</v>
      </c>
      <c r="H44" s="17">
        <v>54410</v>
      </c>
      <c r="I44" s="17">
        <v>108820</v>
      </c>
      <c r="J44" s="17">
        <v>2236</v>
      </c>
      <c r="K44" s="17">
        <v>106584</v>
      </c>
      <c r="L44" s="17">
        <v>26536.035530000001</v>
      </c>
      <c r="M44" s="17">
        <v>2024</v>
      </c>
      <c r="N44" s="17" t="s">
        <v>126</v>
      </c>
    </row>
    <row r="45" spans="1:14" ht="14.25" customHeight="1">
      <c r="A45" s="17">
        <v>10044</v>
      </c>
      <c r="B45" s="18">
        <v>45796</v>
      </c>
      <c r="C45" s="17" t="s">
        <v>39</v>
      </c>
      <c r="D45" s="17" t="s">
        <v>86</v>
      </c>
      <c r="E45" s="17" t="s">
        <v>168</v>
      </c>
      <c r="F45" s="17" t="s">
        <v>172</v>
      </c>
      <c r="G45" s="17">
        <v>9</v>
      </c>
      <c r="H45" s="17">
        <v>62852</v>
      </c>
      <c r="I45" s="17">
        <v>565668</v>
      </c>
      <c r="J45" s="17">
        <v>1112</v>
      </c>
      <c r="K45" s="17">
        <v>564556</v>
      </c>
      <c r="L45" s="17">
        <v>77974.009839999999</v>
      </c>
      <c r="M45" s="17">
        <v>2025</v>
      </c>
      <c r="N45" s="17" t="s">
        <v>117</v>
      </c>
    </row>
    <row r="46" spans="1:14" ht="14.25" customHeight="1">
      <c r="A46" s="17">
        <v>10045</v>
      </c>
      <c r="B46" s="18">
        <v>45422</v>
      </c>
      <c r="C46" s="17" t="s">
        <v>167</v>
      </c>
      <c r="D46" s="17" t="s">
        <v>170</v>
      </c>
      <c r="E46" s="17" t="s">
        <v>162</v>
      </c>
      <c r="F46" s="17" t="s">
        <v>172</v>
      </c>
      <c r="G46" s="17">
        <v>5</v>
      </c>
      <c r="H46" s="17">
        <v>43554</v>
      </c>
      <c r="I46" s="17">
        <v>217770</v>
      </c>
      <c r="J46" s="17">
        <v>3406</v>
      </c>
      <c r="K46" s="17">
        <v>214364</v>
      </c>
      <c r="L46" s="17">
        <v>34944.880490000003</v>
      </c>
      <c r="M46" s="17">
        <v>2024</v>
      </c>
      <c r="N46" s="17" t="s">
        <v>117</v>
      </c>
    </row>
    <row r="47" spans="1:14" ht="14.25" customHeight="1">
      <c r="A47" s="17">
        <v>10046</v>
      </c>
      <c r="B47" s="18">
        <v>45776</v>
      </c>
      <c r="C47" s="17" t="s">
        <v>167</v>
      </c>
      <c r="D47" s="17" t="s">
        <v>89</v>
      </c>
      <c r="E47" s="17" t="s">
        <v>165</v>
      </c>
      <c r="F47" s="17" t="s">
        <v>172</v>
      </c>
      <c r="G47" s="17">
        <v>2</v>
      </c>
      <c r="H47" s="17">
        <v>17013</v>
      </c>
      <c r="I47" s="17">
        <v>34026</v>
      </c>
      <c r="J47" s="17">
        <v>946</v>
      </c>
      <c r="K47" s="17">
        <v>33080</v>
      </c>
      <c r="L47" s="17">
        <v>7167.1625249999997</v>
      </c>
      <c r="M47" s="17">
        <v>2025</v>
      </c>
      <c r="N47" s="17" t="s">
        <v>114</v>
      </c>
    </row>
    <row r="48" spans="1:14" ht="14.25" customHeight="1">
      <c r="A48" s="17">
        <v>10047</v>
      </c>
      <c r="B48" s="18">
        <v>45938</v>
      </c>
      <c r="C48" s="17" t="s">
        <v>39</v>
      </c>
      <c r="D48" s="17" t="s">
        <v>170</v>
      </c>
      <c r="E48" s="17" t="s">
        <v>162</v>
      </c>
      <c r="F48" s="17" t="s">
        <v>166</v>
      </c>
      <c r="G48" s="17">
        <v>3</v>
      </c>
      <c r="H48" s="17">
        <v>50364</v>
      </c>
      <c r="I48" s="17">
        <v>151092</v>
      </c>
      <c r="J48" s="17">
        <v>4030</v>
      </c>
      <c r="K48" s="17">
        <v>147062</v>
      </c>
      <c r="L48" s="17">
        <v>29382.939259999999</v>
      </c>
      <c r="M48" s="17">
        <v>2025</v>
      </c>
      <c r="N48" s="17" t="s">
        <v>174</v>
      </c>
    </row>
    <row r="49" spans="1:14" ht="14.25" customHeight="1">
      <c r="A49" s="17">
        <v>10048</v>
      </c>
      <c r="B49" s="18">
        <v>45312</v>
      </c>
      <c r="C49" s="17" t="s">
        <v>39</v>
      </c>
      <c r="D49" s="17" t="s">
        <v>111</v>
      </c>
      <c r="E49" s="17" t="s">
        <v>165</v>
      </c>
      <c r="F49" s="17" t="s">
        <v>164</v>
      </c>
      <c r="G49" s="17">
        <v>7</v>
      </c>
      <c r="H49" s="17">
        <v>52213</v>
      </c>
      <c r="I49" s="17">
        <v>365491</v>
      </c>
      <c r="J49" s="17">
        <v>135</v>
      </c>
      <c r="K49" s="17">
        <v>365356</v>
      </c>
      <c r="L49" s="17">
        <v>79196.589949999994</v>
      </c>
      <c r="M49" s="17">
        <v>2024</v>
      </c>
      <c r="N49" s="17" t="s">
        <v>171</v>
      </c>
    </row>
    <row r="50" spans="1:14" ht="14.25" customHeight="1">
      <c r="A50" s="17">
        <v>10049</v>
      </c>
      <c r="B50" s="18">
        <v>45458</v>
      </c>
      <c r="C50" s="17" t="s">
        <v>167</v>
      </c>
      <c r="D50" s="17" t="s">
        <v>89</v>
      </c>
      <c r="E50" s="17" t="s">
        <v>168</v>
      </c>
      <c r="F50" s="17" t="s">
        <v>172</v>
      </c>
      <c r="G50" s="17">
        <v>7</v>
      </c>
      <c r="H50" s="17">
        <v>41494</v>
      </c>
      <c r="I50" s="17">
        <v>290458</v>
      </c>
      <c r="J50" s="17">
        <v>2593</v>
      </c>
      <c r="K50" s="17">
        <v>287865</v>
      </c>
      <c r="L50" s="17">
        <v>48922.599860000002</v>
      </c>
      <c r="M50" s="17">
        <v>2024</v>
      </c>
      <c r="N50" s="17" t="s">
        <v>120</v>
      </c>
    </row>
    <row r="51" spans="1:14" ht="14.25" customHeight="1">
      <c r="A51" s="17">
        <v>10050</v>
      </c>
      <c r="B51" s="18">
        <v>45565</v>
      </c>
      <c r="C51" s="17" t="s">
        <v>58</v>
      </c>
      <c r="D51" s="17" t="s">
        <v>89</v>
      </c>
      <c r="E51" s="17" t="s">
        <v>165</v>
      </c>
      <c r="F51" s="17" t="s">
        <v>166</v>
      </c>
      <c r="G51" s="17">
        <v>1</v>
      </c>
      <c r="H51" s="17">
        <v>5678</v>
      </c>
      <c r="I51" s="17">
        <v>5678</v>
      </c>
      <c r="J51" s="17">
        <v>792</v>
      </c>
      <c r="K51" s="17">
        <v>4886</v>
      </c>
      <c r="L51" s="17">
        <v>1159.9855620000001</v>
      </c>
      <c r="M51" s="17">
        <v>2024</v>
      </c>
      <c r="N51" s="17" t="s">
        <v>129</v>
      </c>
    </row>
    <row r="52" spans="1:14" ht="14.25" customHeight="1">
      <c r="A52" s="17">
        <v>10051</v>
      </c>
      <c r="B52" s="18">
        <v>45679</v>
      </c>
      <c r="C52" s="17" t="s">
        <v>167</v>
      </c>
      <c r="D52" s="17" t="s">
        <v>170</v>
      </c>
      <c r="E52" s="17" t="s">
        <v>168</v>
      </c>
      <c r="F52" s="17" t="s">
        <v>163</v>
      </c>
      <c r="G52" s="17">
        <v>4</v>
      </c>
      <c r="H52" s="17">
        <v>35352</v>
      </c>
      <c r="I52" s="17">
        <v>141408</v>
      </c>
      <c r="J52" s="17">
        <v>1136</v>
      </c>
      <c r="K52" s="17">
        <v>140272</v>
      </c>
      <c r="L52" s="17">
        <v>30648.1865</v>
      </c>
      <c r="M52" s="17">
        <v>2025</v>
      </c>
      <c r="N52" s="17" t="s">
        <v>171</v>
      </c>
    </row>
    <row r="53" spans="1:14" ht="14.25" customHeight="1">
      <c r="A53" s="17">
        <v>10052</v>
      </c>
      <c r="B53" s="18">
        <v>45892</v>
      </c>
      <c r="C53" s="17" t="s">
        <v>39</v>
      </c>
      <c r="D53" s="17" t="s">
        <v>83</v>
      </c>
      <c r="E53" s="17" t="s">
        <v>165</v>
      </c>
      <c r="F53" s="17" t="s">
        <v>172</v>
      </c>
      <c r="G53" s="17">
        <v>6</v>
      </c>
      <c r="H53" s="17">
        <v>50797</v>
      </c>
      <c r="I53" s="17">
        <v>304782</v>
      </c>
      <c r="J53" s="17">
        <v>1362</v>
      </c>
      <c r="K53" s="17">
        <v>303420</v>
      </c>
      <c r="L53" s="17">
        <v>44415.892849999997</v>
      </c>
      <c r="M53" s="17">
        <v>2025</v>
      </c>
      <c r="N53" s="17" t="s">
        <v>126</v>
      </c>
    </row>
    <row r="54" spans="1:14" ht="14.25" customHeight="1">
      <c r="A54" s="17">
        <v>10053</v>
      </c>
      <c r="B54" s="18">
        <v>45607</v>
      </c>
      <c r="C54" s="17" t="s">
        <v>50</v>
      </c>
      <c r="D54" s="17" t="s">
        <v>89</v>
      </c>
      <c r="E54" s="17" t="s">
        <v>165</v>
      </c>
      <c r="F54" s="17" t="s">
        <v>164</v>
      </c>
      <c r="G54" s="17">
        <v>8</v>
      </c>
      <c r="H54" s="17">
        <v>14098</v>
      </c>
      <c r="I54" s="17">
        <v>112784</v>
      </c>
      <c r="J54" s="17">
        <v>554</v>
      </c>
      <c r="K54" s="17">
        <v>112230</v>
      </c>
      <c r="L54" s="17">
        <v>27190.190289999999</v>
      </c>
      <c r="M54" s="17">
        <v>2024</v>
      </c>
      <c r="N54" s="17" t="s">
        <v>173</v>
      </c>
    </row>
    <row r="55" spans="1:14" ht="14.25" customHeight="1">
      <c r="A55" s="17">
        <v>10054</v>
      </c>
      <c r="B55" s="18">
        <v>45305</v>
      </c>
      <c r="C55" s="17" t="s">
        <v>45</v>
      </c>
      <c r="D55" s="17" t="s">
        <v>111</v>
      </c>
      <c r="E55" s="17" t="s">
        <v>162</v>
      </c>
      <c r="F55" s="17" t="s">
        <v>164</v>
      </c>
      <c r="G55" s="17">
        <v>3</v>
      </c>
      <c r="H55" s="17">
        <v>13459</v>
      </c>
      <c r="I55" s="17">
        <v>40377</v>
      </c>
      <c r="J55" s="17">
        <v>2572</v>
      </c>
      <c r="K55" s="17">
        <v>37805</v>
      </c>
      <c r="L55" s="17">
        <v>9230.3980670000001</v>
      </c>
      <c r="M55" s="17">
        <v>2024</v>
      </c>
      <c r="N55" s="17" t="s">
        <v>171</v>
      </c>
    </row>
    <row r="56" spans="1:14" ht="14.25" customHeight="1">
      <c r="A56" s="17">
        <v>10055</v>
      </c>
      <c r="B56" s="18">
        <v>45533</v>
      </c>
      <c r="C56" s="17" t="s">
        <v>50</v>
      </c>
      <c r="D56" s="17" t="s">
        <v>83</v>
      </c>
      <c r="E56" s="17" t="s">
        <v>165</v>
      </c>
      <c r="F56" s="17" t="s">
        <v>164</v>
      </c>
      <c r="G56" s="17">
        <v>3</v>
      </c>
      <c r="H56" s="17">
        <v>43894</v>
      </c>
      <c r="I56" s="17">
        <v>131682</v>
      </c>
      <c r="J56" s="17">
        <v>3403</v>
      </c>
      <c r="K56" s="17">
        <v>128279</v>
      </c>
      <c r="L56" s="17">
        <v>20814.29826</v>
      </c>
      <c r="M56" s="17">
        <v>2024</v>
      </c>
      <c r="N56" s="17" t="s">
        <v>126</v>
      </c>
    </row>
    <row r="57" spans="1:14" ht="14.25" customHeight="1">
      <c r="A57" s="17">
        <v>10056</v>
      </c>
      <c r="B57" s="18">
        <v>45637</v>
      </c>
      <c r="C57" s="17" t="s">
        <v>50</v>
      </c>
      <c r="D57" s="17" t="s">
        <v>83</v>
      </c>
      <c r="E57" s="17" t="s">
        <v>168</v>
      </c>
      <c r="F57" s="17" t="s">
        <v>163</v>
      </c>
      <c r="G57" s="17">
        <v>8</v>
      </c>
      <c r="H57" s="17">
        <v>75442</v>
      </c>
      <c r="I57" s="17">
        <v>603536</v>
      </c>
      <c r="J57" s="17">
        <v>2254</v>
      </c>
      <c r="K57" s="17">
        <v>601282</v>
      </c>
      <c r="L57" s="17">
        <v>118930.0159</v>
      </c>
      <c r="M57" s="17">
        <v>2024</v>
      </c>
      <c r="N57" s="17" t="s">
        <v>169</v>
      </c>
    </row>
    <row r="58" spans="1:14" ht="14.25" customHeight="1">
      <c r="A58" s="17">
        <v>10057</v>
      </c>
      <c r="B58" s="18">
        <v>45856</v>
      </c>
      <c r="C58" s="17" t="s">
        <v>39</v>
      </c>
      <c r="D58" s="17" t="s">
        <v>83</v>
      </c>
      <c r="E58" s="17" t="s">
        <v>165</v>
      </c>
      <c r="F58" s="17" t="s">
        <v>163</v>
      </c>
      <c r="G58" s="17">
        <v>8</v>
      </c>
      <c r="H58" s="17">
        <v>12898</v>
      </c>
      <c r="I58" s="17">
        <v>103184</v>
      </c>
      <c r="J58" s="17">
        <v>1366</v>
      </c>
      <c r="K58" s="17">
        <v>101818</v>
      </c>
      <c r="L58" s="17">
        <v>22625.51541</v>
      </c>
      <c r="M58" s="17">
        <v>2025</v>
      </c>
      <c r="N58" s="17" t="s">
        <v>123</v>
      </c>
    </row>
    <row r="59" spans="1:14" ht="14.25" customHeight="1">
      <c r="A59" s="17">
        <v>10058</v>
      </c>
      <c r="B59" s="18">
        <v>45631</v>
      </c>
      <c r="C59" s="17" t="s">
        <v>167</v>
      </c>
      <c r="D59" s="17" t="s">
        <v>89</v>
      </c>
      <c r="E59" s="17" t="s">
        <v>168</v>
      </c>
      <c r="F59" s="17" t="s">
        <v>164</v>
      </c>
      <c r="G59" s="17">
        <v>8</v>
      </c>
      <c r="H59" s="17">
        <v>55352</v>
      </c>
      <c r="I59" s="17">
        <v>442816</v>
      </c>
      <c r="J59" s="17">
        <v>948</v>
      </c>
      <c r="K59" s="17">
        <v>441868</v>
      </c>
      <c r="L59" s="17">
        <v>98357.654970000003</v>
      </c>
      <c r="M59" s="17">
        <v>2024</v>
      </c>
      <c r="N59" s="17" t="s">
        <v>169</v>
      </c>
    </row>
    <row r="60" spans="1:14" ht="14.25" customHeight="1">
      <c r="A60" s="17">
        <v>10059</v>
      </c>
      <c r="B60" s="18">
        <v>45383</v>
      </c>
      <c r="C60" s="17" t="s">
        <v>58</v>
      </c>
      <c r="D60" s="17" t="s">
        <v>83</v>
      </c>
      <c r="E60" s="17" t="s">
        <v>168</v>
      </c>
      <c r="F60" s="17" t="s">
        <v>164</v>
      </c>
      <c r="G60" s="17">
        <v>1</v>
      </c>
      <c r="H60" s="17">
        <v>52207</v>
      </c>
      <c r="I60" s="17">
        <v>52207</v>
      </c>
      <c r="J60" s="17">
        <v>103</v>
      </c>
      <c r="K60" s="17">
        <v>52104</v>
      </c>
      <c r="L60" s="17">
        <v>5320.7839759999997</v>
      </c>
      <c r="M60" s="17">
        <v>2024</v>
      </c>
      <c r="N60" s="17" t="s">
        <v>114</v>
      </c>
    </row>
    <row r="61" spans="1:14" ht="14.25" customHeight="1">
      <c r="A61" s="17">
        <v>10060</v>
      </c>
      <c r="B61" s="18">
        <v>45658</v>
      </c>
      <c r="C61" s="17" t="s">
        <v>50</v>
      </c>
      <c r="D61" s="17" t="s">
        <v>170</v>
      </c>
      <c r="E61" s="17" t="s">
        <v>165</v>
      </c>
      <c r="F61" s="17" t="s">
        <v>164</v>
      </c>
      <c r="G61" s="17">
        <v>8</v>
      </c>
      <c r="H61" s="17">
        <v>38884</v>
      </c>
      <c r="I61" s="17">
        <v>311072</v>
      </c>
      <c r="J61" s="17">
        <v>1046</v>
      </c>
      <c r="K61" s="17">
        <v>310026</v>
      </c>
      <c r="L61" s="17">
        <v>60254.187089999999</v>
      </c>
      <c r="M61" s="17">
        <v>2025</v>
      </c>
      <c r="N61" s="17" t="s">
        <v>171</v>
      </c>
    </row>
    <row r="62" spans="1:14" ht="14.25" customHeight="1">
      <c r="A62" s="17">
        <v>10061</v>
      </c>
      <c r="B62" s="18">
        <v>45746</v>
      </c>
      <c r="C62" s="17" t="s">
        <v>167</v>
      </c>
      <c r="D62" s="17" t="s">
        <v>83</v>
      </c>
      <c r="E62" s="17" t="s">
        <v>162</v>
      </c>
      <c r="F62" s="17" t="s">
        <v>163</v>
      </c>
      <c r="G62" s="17">
        <v>8</v>
      </c>
      <c r="H62" s="17">
        <v>76880</v>
      </c>
      <c r="I62" s="17">
        <v>615040</v>
      </c>
      <c r="J62" s="17">
        <v>4026</v>
      </c>
      <c r="K62" s="17">
        <v>611014</v>
      </c>
      <c r="L62" s="17">
        <v>150342.98540000001</v>
      </c>
      <c r="M62" s="17">
        <v>2025</v>
      </c>
      <c r="N62" s="17" t="s">
        <v>112</v>
      </c>
    </row>
    <row r="63" spans="1:14" ht="14.25" customHeight="1">
      <c r="A63" s="17">
        <v>10062</v>
      </c>
      <c r="B63" s="18">
        <v>45719</v>
      </c>
      <c r="C63" s="17" t="s">
        <v>58</v>
      </c>
      <c r="D63" s="17" t="s">
        <v>111</v>
      </c>
      <c r="E63" s="17" t="s">
        <v>165</v>
      </c>
      <c r="F63" s="17" t="s">
        <v>163</v>
      </c>
      <c r="G63" s="17">
        <v>2</v>
      </c>
      <c r="H63" s="17">
        <v>32366</v>
      </c>
      <c r="I63" s="17">
        <v>64732</v>
      </c>
      <c r="J63" s="17">
        <v>2614</v>
      </c>
      <c r="K63" s="17">
        <v>62118</v>
      </c>
      <c r="L63" s="17">
        <v>8367.4233189999995</v>
      </c>
      <c r="M63" s="17">
        <v>2025</v>
      </c>
      <c r="N63" s="17" t="s">
        <v>112</v>
      </c>
    </row>
    <row r="64" spans="1:14" ht="14.25" customHeight="1">
      <c r="A64" s="17">
        <v>10063</v>
      </c>
      <c r="B64" s="18">
        <v>45800</v>
      </c>
      <c r="C64" s="17" t="s">
        <v>50</v>
      </c>
      <c r="D64" s="17" t="s">
        <v>86</v>
      </c>
      <c r="E64" s="17" t="s">
        <v>165</v>
      </c>
      <c r="F64" s="17" t="s">
        <v>166</v>
      </c>
      <c r="G64" s="17">
        <v>9</v>
      </c>
      <c r="H64" s="17">
        <v>15836</v>
      </c>
      <c r="I64" s="17">
        <v>142524</v>
      </c>
      <c r="J64" s="17">
        <v>3331</v>
      </c>
      <c r="K64" s="17">
        <v>139193</v>
      </c>
      <c r="L64" s="17">
        <v>30530.777590000002</v>
      </c>
      <c r="M64" s="17">
        <v>2025</v>
      </c>
      <c r="N64" s="17" t="s">
        <v>117</v>
      </c>
    </row>
    <row r="65" spans="1:14" ht="14.25" customHeight="1">
      <c r="A65" s="17">
        <v>10064</v>
      </c>
      <c r="B65" s="18">
        <v>45326</v>
      </c>
      <c r="C65" s="17" t="s">
        <v>58</v>
      </c>
      <c r="D65" s="17" t="s">
        <v>111</v>
      </c>
      <c r="E65" s="17" t="s">
        <v>162</v>
      </c>
      <c r="F65" s="17" t="s">
        <v>172</v>
      </c>
      <c r="G65" s="17">
        <v>7</v>
      </c>
      <c r="H65" s="17">
        <v>22442</v>
      </c>
      <c r="I65" s="17">
        <v>157094</v>
      </c>
      <c r="J65" s="17">
        <v>963</v>
      </c>
      <c r="K65" s="17">
        <v>156131</v>
      </c>
      <c r="L65" s="17">
        <v>28124.992300000002</v>
      </c>
      <c r="M65" s="17">
        <v>2024</v>
      </c>
      <c r="N65" s="17" t="s">
        <v>175</v>
      </c>
    </row>
    <row r="66" spans="1:14" ht="14.25" customHeight="1">
      <c r="A66" s="17">
        <v>10065</v>
      </c>
      <c r="B66" s="18">
        <v>45497</v>
      </c>
      <c r="C66" s="17" t="s">
        <v>167</v>
      </c>
      <c r="D66" s="17" t="s">
        <v>89</v>
      </c>
      <c r="E66" s="17" t="s">
        <v>168</v>
      </c>
      <c r="F66" s="17" t="s">
        <v>163</v>
      </c>
      <c r="G66" s="17">
        <v>8</v>
      </c>
      <c r="H66" s="17">
        <v>61436</v>
      </c>
      <c r="I66" s="17">
        <v>491488</v>
      </c>
      <c r="J66" s="17">
        <v>3271</v>
      </c>
      <c r="K66" s="17">
        <v>488217</v>
      </c>
      <c r="L66" s="17">
        <v>65040.528310000002</v>
      </c>
      <c r="M66" s="17">
        <v>2024</v>
      </c>
      <c r="N66" s="17" t="s">
        <v>123</v>
      </c>
    </row>
    <row r="67" spans="1:14" ht="14.25" customHeight="1">
      <c r="A67" s="17">
        <v>10066</v>
      </c>
      <c r="B67" s="18">
        <v>45372</v>
      </c>
      <c r="C67" s="17" t="s">
        <v>45</v>
      </c>
      <c r="D67" s="17" t="s">
        <v>83</v>
      </c>
      <c r="E67" s="17" t="s">
        <v>165</v>
      </c>
      <c r="F67" s="17" t="s">
        <v>164</v>
      </c>
      <c r="G67" s="17">
        <v>2</v>
      </c>
      <c r="H67" s="17">
        <v>45920</v>
      </c>
      <c r="I67" s="17">
        <v>91840</v>
      </c>
      <c r="J67" s="17">
        <v>837</v>
      </c>
      <c r="K67" s="17">
        <v>91003</v>
      </c>
      <c r="L67" s="17">
        <v>9796.9913130000004</v>
      </c>
      <c r="M67" s="17">
        <v>2024</v>
      </c>
      <c r="N67" s="17" t="s">
        <v>112</v>
      </c>
    </row>
    <row r="68" spans="1:14" ht="14.25" customHeight="1">
      <c r="A68" s="17">
        <v>10067</v>
      </c>
      <c r="B68" s="18">
        <v>45853</v>
      </c>
      <c r="C68" s="17" t="s">
        <v>167</v>
      </c>
      <c r="D68" s="17" t="s">
        <v>83</v>
      </c>
      <c r="E68" s="17" t="s">
        <v>162</v>
      </c>
      <c r="F68" s="17" t="s">
        <v>172</v>
      </c>
      <c r="G68" s="17">
        <v>4</v>
      </c>
      <c r="H68" s="17">
        <v>17686</v>
      </c>
      <c r="I68" s="17">
        <v>70744</v>
      </c>
      <c r="J68" s="17">
        <v>2458</v>
      </c>
      <c r="K68" s="17">
        <v>68286</v>
      </c>
      <c r="L68" s="17">
        <v>14612.40209</v>
      </c>
      <c r="M68" s="17">
        <v>2025</v>
      </c>
      <c r="N68" s="17" t="s">
        <v>123</v>
      </c>
    </row>
    <row r="69" spans="1:14" ht="14.25" customHeight="1">
      <c r="A69" s="17">
        <v>10068</v>
      </c>
      <c r="B69" s="18">
        <v>45679</v>
      </c>
      <c r="C69" s="17" t="s">
        <v>39</v>
      </c>
      <c r="D69" s="17" t="s">
        <v>170</v>
      </c>
      <c r="E69" s="17" t="s">
        <v>162</v>
      </c>
      <c r="F69" s="17" t="s">
        <v>163</v>
      </c>
      <c r="G69" s="17">
        <v>7</v>
      </c>
      <c r="H69" s="17">
        <v>48604</v>
      </c>
      <c r="I69" s="17">
        <v>340228</v>
      </c>
      <c r="J69" s="17">
        <v>881</v>
      </c>
      <c r="K69" s="17">
        <v>339347</v>
      </c>
      <c r="L69" s="17">
        <v>50043.689559999999</v>
      </c>
      <c r="M69" s="17">
        <v>2025</v>
      </c>
      <c r="N69" s="17" t="s">
        <v>171</v>
      </c>
    </row>
    <row r="70" spans="1:14" ht="14.25" customHeight="1">
      <c r="A70" s="17">
        <v>10069</v>
      </c>
      <c r="B70" s="18">
        <v>45293</v>
      </c>
      <c r="C70" s="17" t="s">
        <v>58</v>
      </c>
      <c r="D70" s="17" t="s">
        <v>83</v>
      </c>
      <c r="E70" s="17" t="s">
        <v>168</v>
      </c>
      <c r="F70" s="17" t="s">
        <v>172</v>
      </c>
      <c r="G70" s="17">
        <v>6</v>
      </c>
      <c r="H70" s="17">
        <v>15356</v>
      </c>
      <c r="I70" s="17">
        <v>92136</v>
      </c>
      <c r="J70" s="17">
        <v>3188</v>
      </c>
      <c r="K70" s="17">
        <v>88948</v>
      </c>
      <c r="L70" s="17">
        <v>13905.9439</v>
      </c>
      <c r="M70" s="17">
        <v>2024</v>
      </c>
      <c r="N70" s="17" t="s">
        <v>171</v>
      </c>
    </row>
    <row r="71" spans="1:14" ht="14.25" customHeight="1">
      <c r="A71" s="17">
        <v>10070</v>
      </c>
      <c r="B71" s="18">
        <v>45681</v>
      </c>
      <c r="C71" s="17" t="s">
        <v>45</v>
      </c>
      <c r="D71" s="17" t="s">
        <v>111</v>
      </c>
      <c r="E71" s="17" t="s">
        <v>162</v>
      </c>
      <c r="F71" s="17" t="s">
        <v>166</v>
      </c>
      <c r="G71" s="17">
        <v>7</v>
      </c>
      <c r="H71" s="17">
        <v>46163</v>
      </c>
      <c r="I71" s="17">
        <v>323141</v>
      </c>
      <c r="J71" s="17">
        <v>4519</v>
      </c>
      <c r="K71" s="17">
        <v>318622</v>
      </c>
      <c r="L71" s="17">
        <v>55052.993300000002</v>
      </c>
      <c r="M71" s="17">
        <v>2025</v>
      </c>
      <c r="N71" s="17" t="s">
        <v>171</v>
      </c>
    </row>
    <row r="72" spans="1:14" ht="14.25" customHeight="1">
      <c r="A72" s="17">
        <v>10071</v>
      </c>
      <c r="B72" s="18">
        <v>45857</v>
      </c>
      <c r="C72" s="17" t="s">
        <v>58</v>
      </c>
      <c r="D72" s="17" t="s">
        <v>89</v>
      </c>
      <c r="E72" s="17" t="s">
        <v>168</v>
      </c>
      <c r="F72" s="17" t="s">
        <v>163</v>
      </c>
      <c r="G72" s="17">
        <v>1</v>
      </c>
      <c r="H72" s="17">
        <v>32793</v>
      </c>
      <c r="I72" s="17">
        <v>32793</v>
      </c>
      <c r="J72" s="17">
        <v>2202</v>
      </c>
      <c r="K72" s="17">
        <v>30591</v>
      </c>
      <c r="L72" s="17">
        <v>5386.4398920000003</v>
      </c>
      <c r="M72" s="17">
        <v>2025</v>
      </c>
      <c r="N72" s="17" t="s">
        <v>123</v>
      </c>
    </row>
    <row r="73" spans="1:14" ht="14.25" customHeight="1">
      <c r="A73" s="17">
        <v>10072</v>
      </c>
      <c r="B73" s="18">
        <v>45397</v>
      </c>
      <c r="C73" s="17" t="s">
        <v>58</v>
      </c>
      <c r="D73" s="17" t="s">
        <v>86</v>
      </c>
      <c r="E73" s="17" t="s">
        <v>165</v>
      </c>
      <c r="F73" s="17" t="s">
        <v>164</v>
      </c>
      <c r="G73" s="17">
        <v>8</v>
      </c>
      <c r="H73" s="17">
        <v>7491</v>
      </c>
      <c r="I73" s="17">
        <v>59928</v>
      </c>
      <c r="J73" s="17">
        <v>3334</v>
      </c>
      <c r="K73" s="17">
        <v>56594</v>
      </c>
      <c r="L73" s="17">
        <v>7409.7299810000004</v>
      </c>
      <c r="M73" s="17">
        <v>2024</v>
      </c>
      <c r="N73" s="17" t="s">
        <v>114</v>
      </c>
    </row>
    <row r="74" spans="1:14" ht="14.25" customHeight="1">
      <c r="A74" s="17">
        <v>10073</v>
      </c>
      <c r="B74" s="18">
        <v>45768</v>
      </c>
      <c r="C74" s="17" t="s">
        <v>50</v>
      </c>
      <c r="D74" s="17" t="s">
        <v>83</v>
      </c>
      <c r="E74" s="17" t="s">
        <v>162</v>
      </c>
      <c r="F74" s="17" t="s">
        <v>164</v>
      </c>
      <c r="G74" s="17">
        <v>7</v>
      </c>
      <c r="H74" s="17">
        <v>64382</v>
      </c>
      <c r="I74" s="17">
        <v>450674</v>
      </c>
      <c r="J74" s="17">
        <v>2198</v>
      </c>
      <c r="K74" s="17">
        <v>448476</v>
      </c>
      <c r="L74" s="17">
        <v>89962.625580000007</v>
      </c>
      <c r="M74" s="17">
        <v>2025</v>
      </c>
      <c r="N74" s="17" t="s">
        <v>114</v>
      </c>
    </row>
    <row r="75" spans="1:14" ht="14.25" customHeight="1">
      <c r="A75" s="17">
        <v>10074</v>
      </c>
      <c r="B75" s="18">
        <v>45994</v>
      </c>
      <c r="C75" s="17" t="s">
        <v>39</v>
      </c>
      <c r="D75" s="17" t="s">
        <v>86</v>
      </c>
      <c r="E75" s="17" t="s">
        <v>165</v>
      </c>
      <c r="F75" s="17" t="s">
        <v>166</v>
      </c>
      <c r="G75" s="17">
        <v>4</v>
      </c>
      <c r="H75" s="17">
        <v>44772</v>
      </c>
      <c r="I75" s="17">
        <v>179088</v>
      </c>
      <c r="J75" s="17">
        <v>211</v>
      </c>
      <c r="K75" s="17">
        <v>178877</v>
      </c>
      <c r="L75" s="17">
        <v>36469.621099999997</v>
      </c>
      <c r="M75" s="17">
        <v>2025</v>
      </c>
      <c r="N75" s="17" t="s">
        <v>169</v>
      </c>
    </row>
    <row r="76" spans="1:14" ht="14.25" customHeight="1">
      <c r="A76" s="17">
        <v>10075</v>
      </c>
      <c r="B76" s="18">
        <v>45693</v>
      </c>
      <c r="C76" s="17" t="s">
        <v>58</v>
      </c>
      <c r="D76" s="17" t="s">
        <v>83</v>
      </c>
      <c r="E76" s="17" t="s">
        <v>162</v>
      </c>
      <c r="F76" s="17" t="s">
        <v>166</v>
      </c>
      <c r="G76" s="17">
        <v>1</v>
      </c>
      <c r="H76" s="17">
        <v>12011</v>
      </c>
      <c r="I76" s="17">
        <v>12011</v>
      </c>
      <c r="J76" s="17">
        <v>1215</v>
      </c>
      <c r="K76" s="17">
        <v>10796</v>
      </c>
      <c r="L76" s="17">
        <v>1310.042117</v>
      </c>
      <c r="M76" s="17">
        <v>2025</v>
      </c>
      <c r="N76" s="17" t="s">
        <v>175</v>
      </c>
    </row>
    <row r="77" spans="1:14" ht="14.25" customHeight="1">
      <c r="A77" s="17">
        <v>10076</v>
      </c>
      <c r="B77" s="18">
        <v>46021</v>
      </c>
      <c r="C77" s="17" t="s">
        <v>167</v>
      </c>
      <c r="D77" s="17" t="s">
        <v>89</v>
      </c>
      <c r="E77" s="17" t="s">
        <v>162</v>
      </c>
      <c r="F77" s="17" t="s">
        <v>166</v>
      </c>
      <c r="G77" s="17">
        <v>8</v>
      </c>
      <c r="H77" s="17">
        <v>49518</v>
      </c>
      <c r="I77" s="17">
        <v>396144</v>
      </c>
      <c r="J77" s="17">
        <v>880</v>
      </c>
      <c r="K77" s="17">
        <v>395264</v>
      </c>
      <c r="L77" s="17">
        <v>71122.393460000007</v>
      </c>
      <c r="M77" s="17">
        <v>2025</v>
      </c>
      <c r="N77" s="17" t="s">
        <v>169</v>
      </c>
    </row>
    <row r="78" spans="1:14" ht="14.25" customHeight="1">
      <c r="A78" s="17">
        <v>10077</v>
      </c>
      <c r="B78" s="18">
        <v>45847</v>
      </c>
      <c r="C78" s="17" t="s">
        <v>167</v>
      </c>
      <c r="D78" s="17" t="s">
        <v>111</v>
      </c>
      <c r="E78" s="17" t="s">
        <v>165</v>
      </c>
      <c r="F78" s="17" t="s">
        <v>166</v>
      </c>
      <c r="G78" s="17">
        <v>7</v>
      </c>
      <c r="H78" s="17">
        <v>33633</v>
      </c>
      <c r="I78" s="17">
        <v>235431</v>
      </c>
      <c r="J78" s="17">
        <v>754</v>
      </c>
      <c r="K78" s="17">
        <v>234677</v>
      </c>
      <c r="L78" s="17">
        <v>44914.573409999997</v>
      </c>
      <c r="M78" s="17">
        <v>2025</v>
      </c>
      <c r="N78" s="17" t="s">
        <v>123</v>
      </c>
    </row>
    <row r="79" spans="1:14" ht="14.25" customHeight="1">
      <c r="A79" s="17">
        <v>10078</v>
      </c>
      <c r="B79" s="18">
        <v>45453</v>
      </c>
      <c r="C79" s="17" t="s">
        <v>50</v>
      </c>
      <c r="D79" s="17" t="s">
        <v>89</v>
      </c>
      <c r="E79" s="17" t="s">
        <v>162</v>
      </c>
      <c r="F79" s="17" t="s">
        <v>166</v>
      </c>
      <c r="G79" s="17">
        <v>8</v>
      </c>
      <c r="H79" s="17">
        <v>9862</v>
      </c>
      <c r="I79" s="17">
        <v>78896</v>
      </c>
      <c r="J79" s="17">
        <v>700</v>
      </c>
      <c r="K79" s="17">
        <v>78196</v>
      </c>
      <c r="L79" s="17">
        <v>10004.218849999999</v>
      </c>
      <c r="M79" s="17">
        <v>2024</v>
      </c>
      <c r="N79" s="17" t="s">
        <v>120</v>
      </c>
    </row>
    <row r="80" spans="1:14" ht="14.25" customHeight="1">
      <c r="A80" s="17">
        <v>10079</v>
      </c>
      <c r="B80" s="18">
        <v>45493</v>
      </c>
      <c r="C80" s="17" t="s">
        <v>39</v>
      </c>
      <c r="D80" s="17" t="s">
        <v>86</v>
      </c>
      <c r="E80" s="17" t="s">
        <v>165</v>
      </c>
      <c r="F80" s="17" t="s">
        <v>163</v>
      </c>
      <c r="G80" s="17">
        <v>1</v>
      </c>
      <c r="H80" s="17">
        <v>43118</v>
      </c>
      <c r="I80" s="17">
        <v>43118</v>
      </c>
      <c r="J80" s="17">
        <v>2219</v>
      </c>
      <c r="K80" s="17">
        <v>40899</v>
      </c>
      <c r="L80" s="17">
        <v>9577.2909770000006</v>
      </c>
      <c r="M80" s="17">
        <v>2024</v>
      </c>
      <c r="N80" s="17" t="s">
        <v>123</v>
      </c>
    </row>
    <row r="81" spans="1:14" ht="14.25" customHeight="1">
      <c r="A81" s="17">
        <v>10080</v>
      </c>
      <c r="B81" s="18">
        <v>45561</v>
      </c>
      <c r="C81" s="17" t="s">
        <v>39</v>
      </c>
      <c r="D81" s="17" t="s">
        <v>83</v>
      </c>
      <c r="E81" s="17" t="s">
        <v>165</v>
      </c>
      <c r="F81" s="17" t="s">
        <v>163</v>
      </c>
      <c r="G81" s="17">
        <v>5</v>
      </c>
      <c r="H81" s="17">
        <v>68849</v>
      </c>
      <c r="I81" s="17">
        <v>344245</v>
      </c>
      <c r="J81" s="17">
        <v>370</v>
      </c>
      <c r="K81" s="17">
        <v>343875</v>
      </c>
      <c r="L81" s="17">
        <v>59292.261449999998</v>
      </c>
      <c r="M81" s="17">
        <v>2024</v>
      </c>
      <c r="N81" s="17" t="s">
        <v>129</v>
      </c>
    </row>
    <row r="82" spans="1:14" ht="14.25" customHeight="1">
      <c r="A82" s="17">
        <v>10081</v>
      </c>
      <c r="B82" s="18">
        <v>45562</v>
      </c>
      <c r="C82" s="17" t="s">
        <v>167</v>
      </c>
      <c r="D82" s="17" t="s">
        <v>86</v>
      </c>
      <c r="E82" s="17" t="s">
        <v>168</v>
      </c>
      <c r="F82" s="17" t="s">
        <v>172</v>
      </c>
      <c r="G82" s="17">
        <v>9</v>
      </c>
      <c r="H82" s="17">
        <v>50303</v>
      </c>
      <c r="I82" s="17">
        <v>452727</v>
      </c>
      <c r="J82" s="17">
        <v>1732</v>
      </c>
      <c r="K82" s="17">
        <v>450995</v>
      </c>
      <c r="L82" s="17">
        <v>52881.082119999999</v>
      </c>
      <c r="M82" s="17">
        <v>2024</v>
      </c>
      <c r="N82" s="17" t="s">
        <v>129</v>
      </c>
    </row>
    <row r="83" spans="1:14" ht="14.25" customHeight="1">
      <c r="A83" s="17">
        <v>10082</v>
      </c>
      <c r="B83" s="18">
        <v>45747</v>
      </c>
      <c r="C83" s="17" t="s">
        <v>45</v>
      </c>
      <c r="D83" s="17" t="s">
        <v>111</v>
      </c>
      <c r="E83" s="17" t="s">
        <v>165</v>
      </c>
      <c r="F83" s="17" t="s">
        <v>166</v>
      </c>
      <c r="G83" s="17">
        <v>5</v>
      </c>
      <c r="H83" s="17">
        <v>16703</v>
      </c>
      <c r="I83" s="17">
        <v>83515</v>
      </c>
      <c r="J83" s="17">
        <v>801</v>
      </c>
      <c r="K83" s="17">
        <v>82714</v>
      </c>
      <c r="L83" s="17">
        <v>12420.286819999999</v>
      </c>
      <c r="M83" s="17">
        <v>2025</v>
      </c>
      <c r="N83" s="17" t="s">
        <v>112</v>
      </c>
    </row>
    <row r="84" spans="1:14" ht="14.25" customHeight="1">
      <c r="A84" s="17">
        <v>10083</v>
      </c>
      <c r="B84" s="18">
        <v>45753</v>
      </c>
      <c r="C84" s="17" t="s">
        <v>50</v>
      </c>
      <c r="D84" s="17" t="s">
        <v>89</v>
      </c>
      <c r="E84" s="17" t="s">
        <v>168</v>
      </c>
      <c r="F84" s="17" t="s">
        <v>164</v>
      </c>
      <c r="G84" s="17">
        <v>3</v>
      </c>
      <c r="H84" s="17">
        <v>20096</v>
      </c>
      <c r="I84" s="17">
        <v>60288</v>
      </c>
      <c r="J84" s="17">
        <v>989</v>
      </c>
      <c r="K84" s="17">
        <v>59299</v>
      </c>
      <c r="L84" s="17">
        <v>10172.39164</v>
      </c>
      <c r="M84" s="17">
        <v>2025</v>
      </c>
      <c r="N84" s="17" t="s">
        <v>114</v>
      </c>
    </row>
    <row r="85" spans="1:14" ht="14.25" customHeight="1">
      <c r="A85" s="17">
        <v>10084</v>
      </c>
      <c r="B85" s="18">
        <v>46018</v>
      </c>
      <c r="C85" s="17" t="s">
        <v>50</v>
      </c>
      <c r="D85" s="17" t="s">
        <v>86</v>
      </c>
      <c r="E85" s="17" t="s">
        <v>165</v>
      </c>
      <c r="F85" s="17" t="s">
        <v>164</v>
      </c>
      <c r="G85" s="17">
        <v>9</v>
      </c>
      <c r="H85" s="17">
        <v>65047</v>
      </c>
      <c r="I85" s="17">
        <v>585423</v>
      </c>
      <c r="J85" s="17">
        <v>4771</v>
      </c>
      <c r="K85" s="17">
        <v>580652</v>
      </c>
      <c r="L85" s="17">
        <v>58948.733419999997</v>
      </c>
      <c r="M85" s="17">
        <v>2025</v>
      </c>
      <c r="N85" s="17" t="s">
        <v>169</v>
      </c>
    </row>
    <row r="86" spans="1:14" ht="14.25" customHeight="1">
      <c r="A86" s="17">
        <v>10085</v>
      </c>
      <c r="B86" s="18">
        <v>45543</v>
      </c>
      <c r="C86" s="17" t="s">
        <v>167</v>
      </c>
      <c r="D86" s="17" t="s">
        <v>86</v>
      </c>
      <c r="E86" s="17" t="s">
        <v>162</v>
      </c>
      <c r="F86" s="17" t="s">
        <v>166</v>
      </c>
      <c r="G86" s="17">
        <v>9</v>
      </c>
      <c r="H86" s="17">
        <v>70891</v>
      </c>
      <c r="I86" s="17">
        <v>638019</v>
      </c>
      <c r="J86" s="17">
        <v>415</v>
      </c>
      <c r="K86" s="17">
        <v>637604</v>
      </c>
      <c r="L86" s="17">
        <v>66812.27966</v>
      </c>
      <c r="M86" s="17">
        <v>2024</v>
      </c>
      <c r="N86" s="17" t="s">
        <v>129</v>
      </c>
    </row>
    <row r="87" spans="1:14" ht="14.25" customHeight="1">
      <c r="A87" s="17">
        <v>10086</v>
      </c>
      <c r="B87" s="18">
        <v>45993</v>
      </c>
      <c r="C87" s="17" t="s">
        <v>167</v>
      </c>
      <c r="D87" s="17" t="s">
        <v>111</v>
      </c>
      <c r="E87" s="17" t="s">
        <v>165</v>
      </c>
      <c r="F87" s="17" t="s">
        <v>166</v>
      </c>
      <c r="G87" s="17">
        <v>4</v>
      </c>
      <c r="H87" s="17">
        <v>13432</v>
      </c>
      <c r="I87" s="17">
        <v>53728</v>
      </c>
      <c r="J87" s="17">
        <v>2965</v>
      </c>
      <c r="K87" s="17">
        <v>50763</v>
      </c>
      <c r="L87" s="17">
        <v>5499.0587969999997</v>
      </c>
      <c r="M87" s="17">
        <v>2025</v>
      </c>
      <c r="N87" s="17" t="s">
        <v>169</v>
      </c>
    </row>
    <row r="88" spans="1:14" ht="14.25" customHeight="1">
      <c r="A88" s="17">
        <v>10087</v>
      </c>
      <c r="B88" s="18">
        <v>45587</v>
      </c>
      <c r="C88" s="17" t="s">
        <v>45</v>
      </c>
      <c r="D88" s="17" t="s">
        <v>83</v>
      </c>
      <c r="E88" s="17" t="s">
        <v>162</v>
      </c>
      <c r="F88" s="17" t="s">
        <v>166</v>
      </c>
      <c r="G88" s="17">
        <v>4</v>
      </c>
      <c r="H88" s="17">
        <v>20700</v>
      </c>
      <c r="I88" s="17">
        <v>82800</v>
      </c>
      <c r="J88" s="17">
        <v>3337</v>
      </c>
      <c r="K88" s="17">
        <v>79463</v>
      </c>
      <c r="L88" s="17">
        <v>14360.575919999999</v>
      </c>
      <c r="M88" s="17">
        <v>2024</v>
      </c>
      <c r="N88" s="17" t="s">
        <v>174</v>
      </c>
    </row>
    <row r="89" spans="1:14" ht="14.25" customHeight="1">
      <c r="A89" s="17">
        <v>10088</v>
      </c>
      <c r="B89" s="18">
        <v>46016</v>
      </c>
      <c r="C89" s="17" t="s">
        <v>45</v>
      </c>
      <c r="D89" s="17" t="s">
        <v>86</v>
      </c>
      <c r="E89" s="17" t="s">
        <v>168</v>
      </c>
      <c r="F89" s="17" t="s">
        <v>166</v>
      </c>
      <c r="G89" s="17">
        <v>8</v>
      </c>
      <c r="H89" s="17">
        <v>61862</v>
      </c>
      <c r="I89" s="17">
        <v>494896</v>
      </c>
      <c r="J89" s="17">
        <v>3612</v>
      </c>
      <c r="K89" s="17">
        <v>491284</v>
      </c>
      <c r="L89" s="17">
        <v>73895.613010000001</v>
      </c>
      <c r="M89" s="17">
        <v>2025</v>
      </c>
      <c r="N89" s="17" t="s">
        <v>169</v>
      </c>
    </row>
    <row r="90" spans="1:14" ht="14.25" customHeight="1">
      <c r="A90" s="17">
        <v>10089</v>
      </c>
      <c r="B90" s="18">
        <v>46011</v>
      </c>
      <c r="C90" s="17" t="s">
        <v>39</v>
      </c>
      <c r="D90" s="17" t="s">
        <v>111</v>
      </c>
      <c r="E90" s="17" t="s">
        <v>162</v>
      </c>
      <c r="F90" s="17" t="s">
        <v>166</v>
      </c>
      <c r="G90" s="17">
        <v>7</v>
      </c>
      <c r="H90" s="17">
        <v>30196</v>
      </c>
      <c r="I90" s="17">
        <v>211372</v>
      </c>
      <c r="J90" s="17">
        <v>1620</v>
      </c>
      <c r="K90" s="17">
        <v>209752</v>
      </c>
      <c r="L90" s="17">
        <v>49074.75404</v>
      </c>
      <c r="M90" s="17">
        <v>2025</v>
      </c>
      <c r="N90" s="17" t="s">
        <v>169</v>
      </c>
    </row>
    <row r="91" spans="1:14" ht="14.25" customHeight="1">
      <c r="A91" s="17">
        <v>10090</v>
      </c>
      <c r="B91" s="18">
        <v>45629</v>
      </c>
      <c r="C91" s="17" t="s">
        <v>50</v>
      </c>
      <c r="D91" s="17" t="s">
        <v>83</v>
      </c>
      <c r="E91" s="17" t="s">
        <v>165</v>
      </c>
      <c r="F91" s="17" t="s">
        <v>164</v>
      </c>
      <c r="G91" s="17">
        <v>5</v>
      </c>
      <c r="H91" s="17">
        <v>51618</v>
      </c>
      <c r="I91" s="17">
        <v>258090</v>
      </c>
      <c r="J91" s="17">
        <v>1535</v>
      </c>
      <c r="K91" s="17">
        <v>256555</v>
      </c>
      <c r="L91" s="17">
        <v>47176.636919999997</v>
      </c>
      <c r="M91" s="17">
        <v>2024</v>
      </c>
      <c r="N91" s="17" t="s">
        <v>169</v>
      </c>
    </row>
    <row r="92" spans="1:14" ht="14.25" customHeight="1">
      <c r="A92" s="17">
        <v>10091</v>
      </c>
      <c r="B92" s="18">
        <v>45344</v>
      </c>
      <c r="C92" s="17" t="s">
        <v>50</v>
      </c>
      <c r="D92" s="17" t="s">
        <v>83</v>
      </c>
      <c r="E92" s="17" t="s">
        <v>162</v>
      </c>
      <c r="F92" s="17" t="s">
        <v>172</v>
      </c>
      <c r="G92" s="17">
        <v>6</v>
      </c>
      <c r="H92" s="17">
        <v>64658</v>
      </c>
      <c r="I92" s="17">
        <v>387948</v>
      </c>
      <c r="J92" s="17">
        <v>4344</v>
      </c>
      <c r="K92" s="17">
        <v>383604</v>
      </c>
      <c r="L92" s="17">
        <v>82085.290699999998</v>
      </c>
      <c r="M92" s="17">
        <v>2024</v>
      </c>
      <c r="N92" s="17" t="s">
        <v>175</v>
      </c>
    </row>
    <row r="93" spans="1:14" ht="14.25" customHeight="1">
      <c r="A93" s="17">
        <v>10092</v>
      </c>
      <c r="B93" s="18">
        <v>45508</v>
      </c>
      <c r="C93" s="17" t="s">
        <v>167</v>
      </c>
      <c r="D93" s="17" t="s">
        <v>89</v>
      </c>
      <c r="E93" s="17" t="s">
        <v>168</v>
      </c>
      <c r="F93" s="17" t="s">
        <v>166</v>
      </c>
      <c r="G93" s="17">
        <v>3</v>
      </c>
      <c r="H93" s="17">
        <v>11704</v>
      </c>
      <c r="I93" s="17">
        <v>35112</v>
      </c>
      <c r="J93" s="17">
        <v>2792</v>
      </c>
      <c r="K93" s="17">
        <v>32320</v>
      </c>
      <c r="L93" s="17">
        <v>6563.2216410000001</v>
      </c>
      <c r="M93" s="17">
        <v>2024</v>
      </c>
      <c r="N93" s="17" t="s">
        <v>126</v>
      </c>
    </row>
    <row r="94" spans="1:14" ht="14.25" customHeight="1">
      <c r="A94" s="17">
        <v>10093</v>
      </c>
      <c r="B94" s="18">
        <v>45479</v>
      </c>
      <c r="C94" s="17" t="s">
        <v>39</v>
      </c>
      <c r="D94" s="17" t="s">
        <v>111</v>
      </c>
      <c r="E94" s="17" t="s">
        <v>162</v>
      </c>
      <c r="F94" s="17" t="s">
        <v>166</v>
      </c>
      <c r="G94" s="17">
        <v>6</v>
      </c>
      <c r="H94" s="17">
        <v>20379</v>
      </c>
      <c r="I94" s="17">
        <v>122274</v>
      </c>
      <c r="J94" s="17">
        <v>572</v>
      </c>
      <c r="K94" s="17">
        <v>121702</v>
      </c>
      <c r="L94" s="17">
        <v>21668.810969999999</v>
      </c>
      <c r="M94" s="17">
        <v>2024</v>
      </c>
      <c r="N94" s="17" t="s">
        <v>123</v>
      </c>
    </row>
    <row r="95" spans="1:14" ht="14.25" customHeight="1">
      <c r="A95" s="17">
        <v>10094</v>
      </c>
      <c r="B95" s="18">
        <v>45671</v>
      </c>
      <c r="C95" s="17" t="s">
        <v>50</v>
      </c>
      <c r="D95" s="17" t="s">
        <v>83</v>
      </c>
      <c r="E95" s="17" t="s">
        <v>162</v>
      </c>
      <c r="F95" s="17" t="s">
        <v>166</v>
      </c>
      <c r="G95" s="17">
        <v>8</v>
      </c>
      <c r="H95" s="17">
        <v>59598</v>
      </c>
      <c r="I95" s="17">
        <v>476784</v>
      </c>
      <c r="J95" s="17">
        <v>4893</v>
      </c>
      <c r="K95" s="17">
        <v>471891</v>
      </c>
      <c r="L95" s="17">
        <v>99903.130959999995</v>
      </c>
      <c r="M95" s="17">
        <v>2025</v>
      </c>
      <c r="N95" s="17" t="s">
        <v>171</v>
      </c>
    </row>
    <row r="96" spans="1:14" ht="14.25" customHeight="1">
      <c r="A96" s="17">
        <v>10095</v>
      </c>
      <c r="B96" s="18">
        <v>45784</v>
      </c>
      <c r="C96" s="17" t="s">
        <v>39</v>
      </c>
      <c r="D96" s="17" t="s">
        <v>89</v>
      </c>
      <c r="E96" s="17" t="s">
        <v>165</v>
      </c>
      <c r="F96" s="17" t="s">
        <v>163</v>
      </c>
      <c r="G96" s="17">
        <v>9</v>
      </c>
      <c r="H96" s="17">
        <v>47020</v>
      </c>
      <c r="I96" s="17">
        <v>423180</v>
      </c>
      <c r="J96" s="17">
        <v>4856</v>
      </c>
      <c r="K96" s="17">
        <v>418324</v>
      </c>
      <c r="L96" s="17">
        <v>76011.920270000002</v>
      </c>
      <c r="M96" s="17">
        <v>2025</v>
      </c>
      <c r="N96" s="17" t="s">
        <v>117</v>
      </c>
    </row>
    <row r="97" spans="1:14" ht="14.25" customHeight="1">
      <c r="A97" s="17">
        <v>10096</v>
      </c>
      <c r="B97" s="18">
        <v>45332</v>
      </c>
      <c r="C97" s="17" t="s">
        <v>39</v>
      </c>
      <c r="D97" s="17" t="s">
        <v>170</v>
      </c>
      <c r="E97" s="17" t="s">
        <v>165</v>
      </c>
      <c r="F97" s="17" t="s">
        <v>164</v>
      </c>
      <c r="G97" s="17">
        <v>3</v>
      </c>
      <c r="H97" s="17">
        <v>13573</v>
      </c>
      <c r="I97" s="17">
        <v>40719</v>
      </c>
      <c r="J97" s="17">
        <v>3655</v>
      </c>
      <c r="K97" s="17">
        <v>37064</v>
      </c>
      <c r="L97" s="17">
        <v>5849.3828739999999</v>
      </c>
      <c r="M97" s="17">
        <v>2024</v>
      </c>
      <c r="N97" s="17" t="s">
        <v>175</v>
      </c>
    </row>
    <row r="98" spans="1:14" ht="14.25" customHeight="1">
      <c r="A98" s="17">
        <v>10097</v>
      </c>
      <c r="B98" s="18">
        <v>45448</v>
      </c>
      <c r="C98" s="17" t="s">
        <v>167</v>
      </c>
      <c r="D98" s="17" t="s">
        <v>111</v>
      </c>
      <c r="E98" s="17" t="s">
        <v>162</v>
      </c>
      <c r="F98" s="17" t="s">
        <v>164</v>
      </c>
      <c r="G98" s="17">
        <v>8</v>
      </c>
      <c r="H98" s="17">
        <v>27415</v>
      </c>
      <c r="I98" s="17">
        <v>219320</v>
      </c>
      <c r="J98" s="17">
        <v>292</v>
      </c>
      <c r="K98" s="17">
        <v>219028</v>
      </c>
      <c r="L98" s="17">
        <v>36220.819130000003</v>
      </c>
      <c r="M98" s="17">
        <v>2024</v>
      </c>
      <c r="N98" s="17" t="s">
        <v>120</v>
      </c>
    </row>
    <row r="99" spans="1:14" ht="14.25" customHeight="1">
      <c r="A99" s="17">
        <v>10098</v>
      </c>
      <c r="B99" s="18">
        <v>45306</v>
      </c>
      <c r="C99" s="17" t="s">
        <v>39</v>
      </c>
      <c r="D99" s="17" t="s">
        <v>170</v>
      </c>
      <c r="E99" s="17" t="s">
        <v>168</v>
      </c>
      <c r="F99" s="17" t="s">
        <v>172</v>
      </c>
      <c r="G99" s="17">
        <v>3</v>
      </c>
      <c r="H99" s="17">
        <v>71668</v>
      </c>
      <c r="I99" s="17">
        <v>215004</v>
      </c>
      <c r="J99" s="17">
        <v>4293</v>
      </c>
      <c r="K99" s="17">
        <v>210711</v>
      </c>
      <c r="L99" s="17">
        <v>47573.318359999997</v>
      </c>
      <c r="M99" s="17">
        <v>2024</v>
      </c>
      <c r="N99" s="17" t="s">
        <v>171</v>
      </c>
    </row>
    <row r="100" spans="1:14" ht="14.25" customHeight="1">
      <c r="A100" s="17">
        <v>10099</v>
      </c>
      <c r="B100" s="18">
        <v>45356</v>
      </c>
      <c r="C100" s="17" t="s">
        <v>45</v>
      </c>
      <c r="D100" s="17" t="s">
        <v>83</v>
      </c>
      <c r="E100" s="17" t="s">
        <v>162</v>
      </c>
      <c r="F100" s="17" t="s">
        <v>163</v>
      </c>
      <c r="G100" s="17">
        <v>2</v>
      </c>
      <c r="H100" s="17">
        <v>56628</v>
      </c>
      <c r="I100" s="17">
        <v>113256</v>
      </c>
      <c r="J100" s="17">
        <v>79</v>
      </c>
      <c r="K100" s="17">
        <v>113177</v>
      </c>
      <c r="L100" s="17">
        <v>20880.14172</v>
      </c>
      <c r="M100" s="17">
        <v>2024</v>
      </c>
      <c r="N100" s="17" t="s">
        <v>112</v>
      </c>
    </row>
    <row r="101" spans="1:14" ht="14.25" customHeight="1">
      <c r="A101" s="17">
        <v>10100</v>
      </c>
      <c r="B101" s="18">
        <v>45812</v>
      </c>
      <c r="C101" s="17" t="s">
        <v>45</v>
      </c>
      <c r="D101" s="17" t="s">
        <v>111</v>
      </c>
      <c r="E101" s="17" t="s">
        <v>168</v>
      </c>
      <c r="F101" s="17" t="s">
        <v>163</v>
      </c>
      <c r="G101" s="17">
        <v>5</v>
      </c>
      <c r="H101" s="17">
        <v>57287</v>
      </c>
      <c r="I101" s="17">
        <v>286435</v>
      </c>
      <c r="J101" s="17">
        <v>4232</v>
      </c>
      <c r="K101" s="17">
        <v>282203</v>
      </c>
      <c r="L101" s="17">
        <v>44191.415730000001</v>
      </c>
      <c r="M101" s="17">
        <v>2025</v>
      </c>
      <c r="N101" s="17" t="s">
        <v>120</v>
      </c>
    </row>
    <row r="102" spans="1:14" ht="14.25" customHeight="1">
      <c r="A102" s="17">
        <v>10101</v>
      </c>
      <c r="B102" s="18">
        <v>45635</v>
      </c>
      <c r="C102" s="17" t="s">
        <v>58</v>
      </c>
      <c r="D102" s="17" t="s">
        <v>89</v>
      </c>
      <c r="E102" s="17" t="s">
        <v>168</v>
      </c>
      <c r="F102" s="17" t="s">
        <v>163</v>
      </c>
      <c r="G102" s="17">
        <v>4</v>
      </c>
      <c r="H102" s="17">
        <v>5944</v>
      </c>
      <c r="I102" s="17">
        <v>23776</v>
      </c>
      <c r="J102" s="17">
        <v>4308</v>
      </c>
      <c r="K102" s="17">
        <v>19468</v>
      </c>
      <c r="L102" s="17">
        <v>2471.6859509999999</v>
      </c>
      <c r="M102" s="17">
        <v>2024</v>
      </c>
      <c r="N102" s="17" t="s">
        <v>169</v>
      </c>
    </row>
    <row r="103" spans="1:14" ht="14.25" customHeight="1">
      <c r="A103" s="17">
        <v>10102</v>
      </c>
      <c r="B103" s="18">
        <v>45420</v>
      </c>
      <c r="C103" s="17" t="s">
        <v>167</v>
      </c>
      <c r="D103" s="17" t="s">
        <v>83</v>
      </c>
      <c r="E103" s="17" t="s">
        <v>168</v>
      </c>
      <c r="F103" s="17" t="s">
        <v>172</v>
      </c>
      <c r="G103" s="17">
        <v>5</v>
      </c>
      <c r="H103" s="17">
        <v>10840</v>
      </c>
      <c r="I103" s="17">
        <v>54200</v>
      </c>
      <c r="J103" s="17">
        <v>1862</v>
      </c>
      <c r="K103" s="17">
        <v>52338</v>
      </c>
      <c r="L103" s="17">
        <v>9122.7058120000002</v>
      </c>
      <c r="M103" s="17">
        <v>2024</v>
      </c>
      <c r="N103" s="17" t="s">
        <v>117</v>
      </c>
    </row>
    <row r="104" spans="1:14" ht="14.25" customHeight="1">
      <c r="A104" s="17">
        <v>10103</v>
      </c>
      <c r="B104" s="18">
        <v>45939</v>
      </c>
      <c r="C104" s="17" t="s">
        <v>58</v>
      </c>
      <c r="D104" s="17" t="s">
        <v>111</v>
      </c>
      <c r="E104" s="17" t="s">
        <v>162</v>
      </c>
      <c r="F104" s="17" t="s">
        <v>172</v>
      </c>
      <c r="G104" s="17">
        <v>6</v>
      </c>
      <c r="H104" s="17">
        <v>58114</v>
      </c>
      <c r="I104" s="17">
        <v>348684</v>
      </c>
      <c r="J104" s="17">
        <v>618</v>
      </c>
      <c r="K104" s="17">
        <v>348066</v>
      </c>
      <c r="L104" s="17">
        <v>47984.59332</v>
      </c>
      <c r="M104" s="17">
        <v>2025</v>
      </c>
      <c r="N104" s="17" t="s">
        <v>174</v>
      </c>
    </row>
    <row r="105" spans="1:14" ht="14.25" customHeight="1">
      <c r="A105" s="17">
        <v>10104</v>
      </c>
      <c r="B105" s="18">
        <v>45763</v>
      </c>
      <c r="C105" s="17" t="s">
        <v>45</v>
      </c>
      <c r="D105" s="17" t="s">
        <v>111</v>
      </c>
      <c r="E105" s="17" t="s">
        <v>168</v>
      </c>
      <c r="F105" s="17" t="s">
        <v>172</v>
      </c>
      <c r="G105" s="17">
        <v>3</v>
      </c>
      <c r="H105" s="17">
        <v>44442</v>
      </c>
      <c r="I105" s="17">
        <v>133326</v>
      </c>
      <c r="J105" s="17">
        <v>959</v>
      </c>
      <c r="K105" s="17">
        <v>132367</v>
      </c>
      <c r="L105" s="17">
        <v>32209.786260000001</v>
      </c>
      <c r="M105" s="17">
        <v>2025</v>
      </c>
      <c r="N105" s="17" t="s">
        <v>114</v>
      </c>
    </row>
    <row r="106" spans="1:14" ht="14.25" customHeight="1">
      <c r="A106" s="17">
        <v>10105</v>
      </c>
      <c r="B106" s="18">
        <v>45354</v>
      </c>
      <c r="C106" s="17" t="s">
        <v>58</v>
      </c>
      <c r="D106" s="17" t="s">
        <v>170</v>
      </c>
      <c r="E106" s="17" t="s">
        <v>162</v>
      </c>
      <c r="F106" s="17" t="s">
        <v>163</v>
      </c>
      <c r="G106" s="17">
        <v>1</v>
      </c>
      <c r="H106" s="17">
        <v>48489</v>
      </c>
      <c r="I106" s="17">
        <v>48489</v>
      </c>
      <c r="J106" s="17">
        <v>3278</v>
      </c>
      <c r="K106" s="17">
        <v>45211</v>
      </c>
      <c r="L106" s="17">
        <v>7850.7686540000004</v>
      </c>
      <c r="M106" s="17">
        <v>2024</v>
      </c>
      <c r="N106" s="17" t="s">
        <v>112</v>
      </c>
    </row>
    <row r="107" spans="1:14" ht="14.25" customHeight="1">
      <c r="A107" s="17">
        <v>10106</v>
      </c>
      <c r="B107" s="18">
        <v>45430</v>
      </c>
      <c r="C107" s="17" t="s">
        <v>167</v>
      </c>
      <c r="D107" s="17" t="s">
        <v>83</v>
      </c>
      <c r="E107" s="17" t="s">
        <v>168</v>
      </c>
      <c r="F107" s="17" t="s">
        <v>164</v>
      </c>
      <c r="G107" s="17">
        <v>4</v>
      </c>
      <c r="H107" s="17">
        <v>50261</v>
      </c>
      <c r="I107" s="17">
        <v>201044</v>
      </c>
      <c r="J107" s="17">
        <v>3735</v>
      </c>
      <c r="K107" s="17">
        <v>197309</v>
      </c>
      <c r="L107" s="17">
        <v>19995.736250000002</v>
      </c>
      <c r="M107" s="17">
        <v>2024</v>
      </c>
      <c r="N107" s="17" t="s">
        <v>117</v>
      </c>
    </row>
    <row r="108" spans="1:14" ht="14.25" customHeight="1">
      <c r="A108" s="17">
        <v>10107</v>
      </c>
      <c r="B108" s="18">
        <v>45790</v>
      </c>
      <c r="C108" s="17" t="s">
        <v>167</v>
      </c>
      <c r="D108" s="17" t="s">
        <v>89</v>
      </c>
      <c r="E108" s="17" t="s">
        <v>168</v>
      </c>
      <c r="F108" s="17" t="s">
        <v>163</v>
      </c>
      <c r="G108" s="17">
        <v>6</v>
      </c>
      <c r="H108" s="17">
        <v>49278</v>
      </c>
      <c r="I108" s="17">
        <v>295668</v>
      </c>
      <c r="J108" s="17">
        <v>2213</v>
      </c>
      <c r="K108" s="17">
        <v>293455</v>
      </c>
      <c r="L108" s="17">
        <v>33433.79135</v>
      </c>
      <c r="M108" s="17">
        <v>2025</v>
      </c>
      <c r="N108" s="17" t="s">
        <v>117</v>
      </c>
    </row>
    <row r="109" spans="1:14" ht="14.25" customHeight="1">
      <c r="A109" s="17">
        <v>10108</v>
      </c>
      <c r="B109" s="18">
        <v>45884</v>
      </c>
      <c r="C109" s="17" t="s">
        <v>39</v>
      </c>
      <c r="D109" s="17" t="s">
        <v>89</v>
      </c>
      <c r="E109" s="17" t="s">
        <v>162</v>
      </c>
      <c r="F109" s="17" t="s">
        <v>172</v>
      </c>
      <c r="G109" s="17">
        <v>2</v>
      </c>
      <c r="H109" s="17">
        <v>38602</v>
      </c>
      <c r="I109" s="17">
        <v>77204</v>
      </c>
      <c r="J109" s="17">
        <v>3574</v>
      </c>
      <c r="K109" s="17">
        <v>73630</v>
      </c>
      <c r="L109" s="17">
        <v>10503.22185</v>
      </c>
      <c r="M109" s="17">
        <v>2025</v>
      </c>
      <c r="N109" s="17" t="s">
        <v>126</v>
      </c>
    </row>
    <row r="110" spans="1:14" ht="14.25" customHeight="1">
      <c r="A110" s="17">
        <v>10109</v>
      </c>
      <c r="B110" s="18">
        <v>45683</v>
      </c>
      <c r="C110" s="17" t="s">
        <v>50</v>
      </c>
      <c r="D110" s="17" t="s">
        <v>83</v>
      </c>
      <c r="E110" s="17" t="s">
        <v>165</v>
      </c>
      <c r="F110" s="17" t="s">
        <v>163</v>
      </c>
      <c r="G110" s="17">
        <v>2</v>
      </c>
      <c r="H110" s="17">
        <v>25134</v>
      </c>
      <c r="I110" s="17">
        <v>50268</v>
      </c>
      <c r="J110" s="17">
        <v>3996</v>
      </c>
      <c r="K110" s="17">
        <v>46272</v>
      </c>
      <c r="L110" s="17">
        <v>5266.8838519999999</v>
      </c>
      <c r="M110" s="17">
        <v>2025</v>
      </c>
      <c r="N110" s="17" t="s">
        <v>171</v>
      </c>
    </row>
    <row r="111" spans="1:14" ht="14.25" customHeight="1">
      <c r="A111" s="17">
        <v>10110</v>
      </c>
      <c r="B111" s="18">
        <v>45966</v>
      </c>
      <c r="C111" s="17" t="s">
        <v>39</v>
      </c>
      <c r="D111" s="17" t="s">
        <v>83</v>
      </c>
      <c r="E111" s="17" t="s">
        <v>165</v>
      </c>
      <c r="F111" s="17" t="s">
        <v>166</v>
      </c>
      <c r="G111" s="17">
        <v>1</v>
      </c>
      <c r="H111" s="17">
        <v>74720</v>
      </c>
      <c r="I111" s="17">
        <v>74720</v>
      </c>
      <c r="J111" s="17">
        <v>2477</v>
      </c>
      <c r="K111" s="17">
        <v>72243</v>
      </c>
      <c r="L111" s="17">
        <v>16911.676960000001</v>
      </c>
      <c r="M111" s="17">
        <v>2025</v>
      </c>
      <c r="N111" s="17" t="s">
        <v>173</v>
      </c>
    </row>
    <row r="112" spans="1:14" ht="14.25" customHeight="1">
      <c r="A112" s="17">
        <v>10111</v>
      </c>
      <c r="B112" s="18">
        <v>45710</v>
      </c>
      <c r="C112" s="17" t="s">
        <v>167</v>
      </c>
      <c r="D112" s="17" t="s">
        <v>86</v>
      </c>
      <c r="E112" s="17" t="s">
        <v>162</v>
      </c>
      <c r="F112" s="17" t="s">
        <v>163</v>
      </c>
      <c r="G112" s="17">
        <v>9</v>
      </c>
      <c r="H112" s="17">
        <v>77714</v>
      </c>
      <c r="I112" s="17">
        <v>699426</v>
      </c>
      <c r="J112" s="17">
        <v>3251</v>
      </c>
      <c r="K112" s="17">
        <v>696175</v>
      </c>
      <c r="L112" s="17">
        <v>158834.2303</v>
      </c>
      <c r="M112" s="17">
        <v>2025</v>
      </c>
      <c r="N112" s="17" t="s">
        <v>175</v>
      </c>
    </row>
    <row r="113" spans="1:14" ht="14.25" customHeight="1">
      <c r="A113" s="17">
        <v>10112</v>
      </c>
      <c r="B113" s="18">
        <v>45580</v>
      </c>
      <c r="C113" s="17" t="s">
        <v>45</v>
      </c>
      <c r="D113" s="17" t="s">
        <v>170</v>
      </c>
      <c r="E113" s="17" t="s">
        <v>162</v>
      </c>
      <c r="F113" s="17" t="s">
        <v>163</v>
      </c>
      <c r="G113" s="17">
        <v>3</v>
      </c>
      <c r="H113" s="17">
        <v>75704</v>
      </c>
      <c r="I113" s="17">
        <v>227112</v>
      </c>
      <c r="J113" s="17">
        <v>2168</v>
      </c>
      <c r="K113" s="17">
        <v>224944</v>
      </c>
      <c r="L113" s="17">
        <v>55252.82069</v>
      </c>
      <c r="M113" s="17">
        <v>2024</v>
      </c>
      <c r="N113" s="17" t="s">
        <v>174</v>
      </c>
    </row>
    <row r="114" spans="1:14" ht="14.25" customHeight="1">
      <c r="A114" s="17">
        <v>10113</v>
      </c>
      <c r="B114" s="18">
        <v>45670</v>
      </c>
      <c r="C114" s="17" t="s">
        <v>45</v>
      </c>
      <c r="D114" s="17" t="s">
        <v>83</v>
      </c>
      <c r="E114" s="17" t="s">
        <v>165</v>
      </c>
      <c r="F114" s="17" t="s">
        <v>164</v>
      </c>
      <c r="G114" s="17">
        <v>2</v>
      </c>
      <c r="H114" s="17">
        <v>37654</v>
      </c>
      <c r="I114" s="17">
        <v>75308</v>
      </c>
      <c r="J114" s="17">
        <v>3245</v>
      </c>
      <c r="K114" s="17">
        <v>72063</v>
      </c>
      <c r="L114" s="17">
        <v>14842.80473</v>
      </c>
      <c r="M114" s="17">
        <v>2025</v>
      </c>
      <c r="N114" s="17" t="s">
        <v>171</v>
      </c>
    </row>
    <row r="115" spans="1:14" ht="14.25" customHeight="1">
      <c r="A115" s="17">
        <v>10114</v>
      </c>
      <c r="B115" s="18">
        <v>45781</v>
      </c>
      <c r="C115" s="17" t="s">
        <v>39</v>
      </c>
      <c r="D115" s="17" t="s">
        <v>83</v>
      </c>
      <c r="E115" s="17" t="s">
        <v>165</v>
      </c>
      <c r="F115" s="17" t="s">
        <v>164</v>
      </c>
      <c r="G115" s="17">
        <v>4</v>
      </c>
      <c r="H115" s="17">
        <v>75527</v>
      </c>
      <c r="I115" s="17">
        <v>302108</v>
      </c>
      <c r="J115" s="17">
        <v>2378</v>
      </c>
      <c r="K115" s="17">
        <v>299730</v>
      </c>
      <c r="L115" s="17">
        <v>58992.763270000003</v>
      </c>
      <c r="M115" s="17">
        <v>2025</v>
      </c>
      <c r="N115" s="17" t="s">
        <v>117</v>
      </c>
    </row>
    <row r="116" spans="1:14" ht="14.25" customHeight="1">
      <c r="A116" s="17">
        <v>10115</v>
      </c>
      <c r="B116" s="18">
        <v>45522</v>
      </c>
      <c r="C116" s="17" t="s">
        <v>167</v>
      </c>
      <c r="D116" s="17" t="s">
        <v>86</v>
      </c>
      <c r="E116" s="17" t="s">
        <v>165</v>
      </c>
      <c r="F116" s="17" t="s">
        <v>164</v>
      </c>
      <c r="G116" s="17">
        <v>6</v>
      </c>
      <c r="H116" s="17">
        <v>13146</v>
      </c>
      <c r="I116" s="17">
        <v>78876</v>
      </c>
      <c r="J116" s="17">
        <v>1722</v>
      </c>
      <c r="K116" s="17">
        <v>77154</v>
      </c>
      <c r="L116" s="17">
        <v>18403.11894</v>
      </c>
      <c r="M116" s="17">
        <v>2024</v>
      </c>
      <c r="N116" s="17" t="s">
        <v>126</v>
      </c>
    </row>
    <row r="117" spans="1:14" ht="14.25" customHeight="1">
      <c r="A117" s="17">
        <v>10116</v>
      </c>
      <c r="B117" s="18">
        <v>45332</v>
      </c>
      <c r="C117" s="17" t="s">
        <v>45</v>
      </c>
      <c r="D117" s="17" t="s">
        <v>86</v>
      </c>
      <c r="E117" s="17" t="s">
        <v>162</v>
      </c>
      <c r="F117" s="17" t="s">
        <v>166</v>
      </c>
      <c r="G117" s="17">
        <v>1</v>
      </c>
      <c r="H117" s="17">
        <v>75826</v>
      </c>
      <c r="I117" s="17">
        <v>75826</v>
      </c>
      <c r="J117" s="17">
        <v>1161</v>
      </c>
      <c r="K117" s="17">
        <v>74665</v>
      </c>
      <c r="L117" s="17">
        <v>18065.866620000001</v>
      </c>
      <c r="M117" s="17">
        <v>2024</v>
      </c>
      <c r="N117" s="17" t="s">
        <v>175</v>
      </c>
    </row>
    <row r="118" spans="1:14" ht="14.25" customHeight="1">
      <c r="A118" s="17">
        <v>10117</v>
      </c>
      <c r="B118" s="18">
        <v>45319</v>
      </c>
      <c r="C118" s="17" t="s">
        <v>167</v>
      </c>
      <c r="D118" s="17" t="s">
        <v>111</v>
      </c>
      <c r="E118" s="17" t="s">
        <v>168</v>
      </c>
      <c r="F118" s="17" t="s">
        <v>164</v>
      </c>
      <c r="G118" s="17">
        <v>9</v>
      </c>
      <c r="H118" s="17">
        <v>62550</v>
      </c>
      <c r="I118" s="17">
        <v>562950</v>
      </c>
      <c r="J118" s="17">
        <v>1889</v>
      </c>
      <c r="K118" s="17">
        <v>561061</v>
      </c>
      <c r="L118" s="17">
        <v>129954.731</v>
      </c>
      <c r="M118" s="17">
        <v>2024</v>
      </c>
      <c r="N118" s="17" t="s">
        <v>171</v>
      </c>
    </row>
    <row r="119" spans="1:14" ht="14.25" customHeight="1">
      <c r="A119" s="17">
        <v>10118</v>
      </c>
      <c r="B119" s="18">
        <v>45426</v>
      </c>
      <c r="C119" s="17" t="s">
        <v>45</v>
      </c>
      <c r="D119" s="17" t="s">
        <v>89</v>
      </c>
      <c r="E119" s="17" t="s">
        <v>162</v>
      </c>
      <c r="F119" s="17" t="s">
        <v>166</v>
      </c>
      <c r="G119" s="17">
        <v>9</v>
      </c>
      <c r="H119" s="17">
        <v>70564</v>
      </c>
      <c r="I119" s="17">
        <v>635076</v>
      </c>
      <c r="J119" s="17">
        <v>2040</v>
      </c>
      <c r="K119" s="17">
        <v>633036</v>
      </c>
      <c r="L119" s="17">
        <v>145105.09849999999</v>
      </c>
      <c r="M119" s="17">
        <v>2024</v>
      </c>
      <c r="N119" s="17" t="s">
        <v>117</v>
      </c>
    </row>
    <row r="120" spans="1:14" ht="14.25" customHeight="1">
      <c r="A120" s="17">
        <v>10119</v>
      </c>
      <c r="B120" s="18">
        <v>45492</v>
      </c>
      <c r="C120" s="17" t="s">
        <v>167</v>
      </c>
      <c r="D120" s="17" t="s">
        <v>170</v>
      </c>
      <c r="E120" s="17" t="s">
        <v>165</v>
      </c>
      <c r="F120" s="17" t="s">
        <v>172</v>
      </c>
      <c r="G120" s="17">
        <v>8</v>
      </c>
      <c r="H120" s="17">
        <v>62531</v>
      </c>
      <c r="I120" s="17">
        <v>500248</v>
      </c>
      <c r="J120" s="17">
        <v>3971</v>
      </c>
      <c r="K120" s="17">
        <v>496277</v>
      </c>
      <c r="L120" s="17">
        <v>99630.331479999993</v>
      </c>
      <c r="M120" s="17">
        <v>2024</v>
      </c>
      <c r="N120" s="17" t="s">
        <v>123</v>
      </c>
    </row>
    <row r="121" spans="1:14" ht="14.25" customHeight="1">
      <c r="A121" s="17">
        <v>10120</v>
      </c>
      <c r="B121" s="18">
        <v>45324</v>
      </c>
      <c r="C121" s="17" t="s">
        <v>58</v>
      </c>
      <c r="D121" s="17" t="s">
        <v>111</v>
      </c>
      <c r="E121" s="17" t="s">
        <v>168</v>
      </c>
      <c r="F121" s="17" t="s">
        <v>164</v>
      </c>
      <c r="G121" s="17">
        <v>6</v>
      </c>
      <c r="H121" s="17">
        <v>12934</v>
      </c>
      <c r="I121" s="17">
        <v>77604</v>
      </c>
      <c r="J121" s="17">
        <v>3401</v>
      </c>
      <c r="K121" s="17">
        <v>74203</v>
      </c>
      <c r="L121" s="17">
        <v>7438.1749149999996</v>
      </c>
      <c r="M121" s="17">
        <v>2024</v>
      </c>
      <c r="N121" s="17" t="s">
        <v>175</v>
      </c>
    </row>
    <row r="122" spans="1:14" ht="14.25" customHeight="1">
      <c r="A122" s="17">
        <v>10121</v>
      </c>
      <c r="B122" s="18">
        <v>45339</v>
      </c>
      <c r="C122" s="17" t="s">
        <v>167</v>
      </c>
      <c r="D122" s="17" t="s">
        <v>83</v>
      </c>
      <c r="E122" s="17" t="s">
        <v>162</v>
      </c>
      <c r="F122" s="17" t="s">
        <v>163</v>
      </c>
      <c r="G122" s="17">
        <v>4</v>
      </c>
      <c r="H122" s="17">
        <v>53049</v>
      </c>
      <c r="I122" s="17">
        <v>212196</v>
      </c>
      <c r="J122" s="17">
        <v>3309</v>
      </c>
      <c r="K122" s="17">
        <v>208887</v>
      </c>
      <c r="L122" s="17">
        <v>34346.779210000001</v>
      </c>
      <c r="M122" s="17">
        <v>2024</v>
      </c>
      <c r="N122" s="17" t="s">
        <v>175</v>
      </c>
    </row>
    <row r="123" spans="1:14" ht="14.25" customHeight="1">
      <c r="A123" s="17">
        <v>10122</v>
      </c>
      <c r="B123" s="18">
        <v>45794</v>
      </c>
      <c r="C123" s="17" t="s">
        <v>167</v>
      </c>
      <c r="D123" s="17" t="s">
        <v>86</v>
      </c>
      <c r="E123" s="17" t="s">
        <v>165</v>
      </c>
      <c r="F123" s="17" t="s">
        <v>163</v>
      </c>
      <c r="G123" s="17">
        <v>2</v>
      </c>
      <c r="H123" s="17">
        <v>60280</v>
      </c>
      <c r="I123" s="17">
        <v>120560</v>
      </c>
      <c r="J123" s="17">
        <v>1099</v>
      </c>
      <c r="K123" s="17">
        <v>119461</v>
      </c>
      <c r="L123" s="17">
        <v>23336.636549999999</v>
      </c>
      <c r="M123" s="17">
        <v>2025</v>
      </c>
      <c r="N123" s="17" t="s">
        <v>117</v>
      </c>
    </row>
    <row r="124" spans="1:14" ht="14.25" customHeight="1">
      <c r="A124" s="17">
        <v>10123</v>
      </c>
      <c r="B124" s="18">
        <v>45698</v>
      </c>
      <c r="C124" s="17" t="s">
        <v>39</v>
      </c>
      <c r="D124" s="17" t="s">
        <v>89</v>
      </c>
      <c r="E124" s="17" t="s">
        <v>162</v>
      </c>
      <c r="F124" s="17" t="s">
        <v>166</v>
      </c>
      <c r="G124" s="17">
        <v>8</v>
      </c>
      <c r="H124" s="17">
        <v>58404</v>
      </c>
      <c r="I124" s="17">
        <v>467232</v>
      </c>
      <c r="J124" s="17">
        <v>4018</v>
      </c>
      <c r="K124" s="17">
        <v>463214</v>
      </c>
      <c r="L124" s="17">
        <v>84336.959359999993</v>
      </c>
      <c r="M124" s="17">
        <v>2025</v>
      </c>
      <c r="N124" s="17" t="s">
        <v>175</v>
      </c>
    </row>
    <row r="125" spans="1:14" ht="14.25" customHeight="1">
      <c r="A125" s="17">
        <v>10124</v>
      </c>
      <c r="B125" s="18">
        <v>45865</v>
      </c>
      <c r="C125" s="17" t="s">
        <v>58</v>
      </c>
      <c r="D125" s="17" t="s">
        <v>111</v>
      </c>
      <c r="E125" s="17" t="s">
        <v>168</v>
      </c>
      <c r="F125" s="17" t="s">
        <v>164</v>
      </c>
      <c r="G125" s="17">
        <v>7</v>
      </c>
      <c r="H125" s="17">
        <v>7127</v>
      </c>
      <c r="I125" s="17">
        <v>49889</v>
      </c>
      <c r="J125" s="17">
        <v>1688</v>
      </c>
      <c r="K125" s="17">
        <v>48201</v>
      </c>
      <c r="L125" s="17">
        <v>10756.968699999999</v>
      </c>
      <c r="M125" s="17">
        <v>2025</v>
      </c>
      <c r="N125" s="17" t="s">
        <v>123</v>
      </c>
    </row>
    <row r="126" spans="1:14" ht="14.25" customHeight="1">
      <c r="A126" s="17">
        <v>10125</v>
      </c>
      <c r="B126" s="18">
        <v>46019</v>
      </c>
      <c r="C126" s="17" t="s">
        <v>50</v>
      </c>
      <c r="D126" s="17" t="s">
        <v>89</v>
      </c>
      <c r="E126" s="17" t="s">
        <v>165</v>
      </c>
      <c r="F126" s="17" t="s">
        <v>163</v>
      </c>
      <c r="G126" s="17">
        <v>4</v>
      </c>
      <c r="H126" s="17">
        <v>67736</v>
      </c>
      <c r="I126" s="17">
        <v>270944</v>
      </c>
      <c r="J126" s="17">
        <v>4132</v>
      </c>
      <c r="K126" s="17">
        <v>266812</v>
      </c>
      <c r="L126" s="17">
        <v>59455.143129999997</v>
      </c>
      <c r="M126" s="17">
        <v>2025</v>
      </c>
      <c r="N126" s="17" t="s">
        <v>169</v>
      </c>
    </row>
    <row r="127" spans="1:14" ht="14.25" customHeight="1">
      <c r="A127" s="17">
        <v>10126</v>
      </c>
      <c r="B127" s="18">
        <v>45390</v>
      </c>
      <c r="C127" s="17" t="s">
        <v>39</v>
      </c>
      <c r="D127" s="17" t="s">
        <v>86</v>
      </c>
      <c r="E127" s="17" t="s">
        <v>162</v>
      </c>
      <c r="F127" s="17" t="s">
        <v>172</v>
      </c>
      <c r="G127" s="17">
        <v>3</v>
      </c>
      <c r="H127" s="17">
        <v>24091</v>
      </c>
      <c r="I127" s="17">
        <v>72273</v>
      </c>
      <c r="J127" s="17">
        <v>844</v>
      </c>
      <c r="K127" s="17">
        <v>71429</v>
      </c>
      <c r="L127" s="17">
        <v>13557.38859</v>
      </c>
      <c r="M127" s="17">
        <v>2024</v>
      </c>
      <c r="N127" s="17" t="s">
        <v>114</v>
      </c>
    </row>
    <row r="128" spans="1:14" ht="14.25" customHeight="1">
      <c r="A128" s="17">
        <v>10127</v>
      </c>
      <c r="B128" s="18">
        <v>45975</v>
      </c>
      <c r="C128" s="17" t="s">
        <v>50</v>
      </c>
      <c r="D128" s="17" t="s">
        <v>111</v>
      </c>
      <c r="E128" s="17" t="s">
        <v>168</v>
      </c>
      <c r="F128" s="17" t="s">
        <v>164</v>
      </c>
      <c r="G128" s="17">
        <v>6</v>
      </c>
      <c r="H128" s="17">
        <v>14933</v>
      </c>
      <c r="I128" s="17">
        <v>89598</v>
      </c>
      <c r="J128" s="17">
        <v>1643</v>
      </c>
      <c r="K128" s="17">
        <v>87955</v>
      </c>
      <c r="L128" s="17">
        <v>9085.6730430000007</v>
      </c>
      <c r="M128" s="17">
        <v>2025</v>
      </c>
      <c r="N128" s="17" t="s">
        <v>173</v>
      </c>
    </row>
    <row r="129" spans="1:14" ht="14.25" customHeight="1">
      <c r="A129" s="17">
        <v>10128</v>
      </c>
      <c r="B129" s="18">
        <v>46017</v>
      </c>
      <c r="C129" s="17" t="s">
        <v>45</v>
      </c>
      <c r="D129" s="17" t="s">
        <v>111</v>
      </c>
      <c r="E129" s="17" t="s">
        <v>168</v>
      </c>
      <c r="F129" s="17" t="s">
        <v>172</v>
      </c>
      <c r="G129" s="17">
        <v>1</v>
      </c>
      <c r="H129" s="17">
        <v>20877</v>
      </c>
      <c r="I129" s="17">
        <v>20877</v>
      </c>
      <c r="J129" s="17">
        <v>2333</v>
      </c>
      <c r="K129" s="17">
        <v>18544</v>
      </c>
      <c r="L129" s="17">
        <v>2881.7281950000001</v>
      </c>
      <c r="M129" s="17">
        <v>2025</v>
      </c>
      <c r="N129" s="17" t="s">
        <v>169</v>
      </c>
    </row>
    <row r="130" spans="1:14" ht="14.25" customHeight="1">
      <c r="A130" s="17">
        <v>10129</v>
      </c>
      <c r="B130" s="18">
        <v>45838</v>
      </c>
      <c r="C130" s="17" t="s">
        <v>50</v>
      </c>
      <c r="D130" s="17" t="s">
        <v>89</v>
      </c>
      <c r="E130" s="17" t="s">
        <v>162</v>
      </c>
      <c r="F130" s="17" t="s">
        <v>163</v>
      </c>
      <c r="G130" s="17">
        <v>2</v>
      </c>
      <c r="H130" s="17">
        <v>39581</v>
      </c>
      <c r="I130" s="17">
        <v>79162</v>
      </c>
      <c r="J130" s="17">
        <v>1263</v>
      </c>
      <c r="K130" s="17">
        <v>77899</v>
      </c>
      <c r="L130" s="17">
        <v>10463.58748</v>
      </c>
      <c r="M130" s="17">
        <v>2025</v>
      </c>
      <c r="N130" s="17" t="s">
        <v>120</v>
      </c>
    </row>
    <row r="131" spans="1:14" ht="14.25" customHeight="1">
      <c r="A131" s="17">
        <v>10130</v>
      </c>
      <c r="B131" s="18">
        <v>45904</v>
      </c>
      <c r="C131" s="17" t="s">
        <v>167</v>
      </c>
      <c r="D131" s="17" t="s">
        <v>86</v>
      </c>
      <c r="E131" s="17" t="s">
        <v>168</v>
      </c>
      <c r="F131" s="17" t="s">
        <v>164</v>
      </c>
      <c r="G131" s="17">
        <v>7</v>
      </c>
      <c r="H131" s="17">
        <v>17519</v>
      </c>
      <c r="I131" s="17">
        <v>122633</v>
      </c>
      <c r="J131" s="17">
        <v>2934</v>
      </c>
      <c r="K131" s="17">
        <v>119699</v>
      </c>
      <c r="L131" s="17">
        <v>18052.789669999998</v>
      </c>
      <c r="M131" s="17">
        <v>2025</v>
      </c>
      <c r="N131" s="17" t="s">
        <v>129</v>
      </c>
    </row>
    <row r="132" spans="1:14" ht="14.25" customHeight="1">
      <c r="A132" s="17">
        <v>10131</v>
      </c>
      <c r="B132" s="18">
        <v>45753</v>
      </c>
      <c r="C132" s="17" t="s">
        <v>50</v>
      </c>
      <c r="D132" s="17" t="s">
        <v>83</v>
      </c>
      <c r="E132" s="17" t="s">
        <v>165</v>
      </c>
      <c r="F132" s="17" t="s">
        <v>166</v>
      </c>
      <c r="G132" s="17">
        <v>3</v>
      </c>
      <c r="H132" s="17">
        <v>78352</v>
      </c>
      <c r="I132" s="17">
        <v>235056</v>
      </c>
      <c r="J132" s="17">
        <v>3685</v>
      </c>
      <c r="K132" s="17">
        <v>231371</v>
      </c>
      <c r="L132" s="17">
        <v>44560.642820000001</v>
      </c>
      <c r="M132" s="17">
        <v>2025</v>
      </c>
      <c r="N132" s="17" t="s">
        <v>114</v>
      </c>
    </row>
    <row r="133" spans="1:14" ht="14.25" customHeight="1">
      <c r="A133" s="17">
        <v>10132</v>
      </c>
      <c r="B133" s="18">
        <v>45934</v>
      </c>
      <c r="C133" s="17" t="s">
        <v>39</v>
      </c>
      <c r="D133" s="17" t="s">
        <v>111</v>
      </c>
      <c r="E133" s="17" t="s">
        <v>168</v>
      </c>
      <c r="F133" s="17" t="s">
        <v>163</v>
      </c>
      <c r="G133" s="17">
        <v>1</v>
      </c>
      <c r="H133" s="17">
        <v>13351</v>
      </c>
      <c r="I133" s="17">
        <v>13351</v>
      </c>
      <c r="J133" s="17">
        <v>215</v>
      </c>
      <c r="K133" s="17">
        <v>13136</v>
      </c>
      <c r="L133" s="17">
        <v>1444.5565329999999</v>
      </c>
      <c r="M133" s="17">
        <v>2025</v>
      </c>
      <c r="N133" s="17" t="s">
        <v>174</v>
      </c>
    </row>
    <row r="134" spans="1:14" ht="14.25" customHeight="1">
      <c r="A134" s="17">
        <v>10133</v>
      </c>
      <c r="B134" s="18">
        <v>45296</v>
      </c>
      <c r="C134" s="17" t="s">
        <v>39</v>
      </c>
      <c r="D134" s="17" t="s">
        <v>83</v>
      </c>
      <c r="E134" s="17" t="s">
        <v>162</v>
      </c>
      <c r="F134" s="17" t="s">
        <v>172</v>
      </c>
      <c r="G134" s="17">
        <v>2</v>
      </c>
      <c r="H134" s="17">
        <v>20648</v>
      </c>
      <c r="I134" s="17">
        <v>41296</v>
      </c>
      <c r="J134" s="17">
        <v>4776</v>
      </c>
      <c r="K134" s="17">
        <v>36520</v>
      </c>
      <c r="L134" s="17">
        <v>3773.8419450000001</v>
      </c>
      <c r="M134" s="17">
        <v>2024</v>
      </c>
      <c r="N134" s="17" t="s">
        <v>171</v>
      </c>
    </row>
    <row r="135" spans="1:14" ht="14.25" customHeight="1">
      <c r="A135" s="17">
        <v>10134</v>
      </c>
      <c r="B135" s="18">
        <v>45509</v>
      </c>
      <c r="C135" s="17" t="s">
        <v>50</v>
      </c>
      <c r="D135" s="17" t="s">
        <v>86</v>
      </c>
      <c r="E135" s="17" t="s">
        <v>165</v>
      </c>
      <c r="F135" s="17" t="s">
        <v>164</v>
      </c>
      <c r="G135" s="17">
        <v>9</v>
      </c>
      <c r="H135" s="17">
        <v>62548</v>
      </c>
      <c r="I135" s="17">
        <v>562932</v>
      </c>
      <c r="J135" s="17">
        <v>3657</v>
      </c>
      <c r="K135" s="17">
        <v>559275</v>
      </c>
      <c r="L135" s="17">
        <v>92577.315010000006</v>
      </c>
      <c r="M135" s="17">
        <v>2024</v>
      </c>
      <c r="N135" s="17" t="s">
        <v>126</v>
      </c>
    </row>
    <row r="136" spans="1:14" ht="14.25" customHeight="1">
      <c r="A136" s="17">
        <v>10135</v>
      </c>
      <c r="B136" s="18">
        <v>45794</v>
      </c>
      <c r="C136" s="17" t="s">
        <v>39</v>
      </c>
      <c r="D136" s="17" t="s">
        <v>111</v>
      </c>
      <c r="E136" s="17" t="s">
        <v>168</v>
      </c>
      <c r="F136" s="17" t="s">
        <v>172</v>
      </c>
      <c r="G136" s="17">
        <v>7</v>
      </c>
      <c r="H136" s="17">
        <v>67823</v>
      </c>
      <c r="I136" s="17">
        <v>474761</v>
      </c>
      <c r="J136" s="17">
        <v>2340</v>
      </c>
      <c r="K136" s="17">
        <v>472421</v>
      </c>
      <c r="L136" s="17">
        <v>103477.2415</v>
      </c>
      <c r="M136" s="17">
        <v>2025</v>
      </c>
      <c r="N136" s="17" t="s">
        <v>117</v>
      </c>
    </row>
    <row r="137" spans="1:14" ht="14.25" customHeight="1">
      <c r="A137" s="17">
        <v>10136</v>
      </c>
      <c r="B137" s="18">
        <v>45689</v>
      </c>
      <c r="C137" s="17" t="s">
        <v>39</v>
      </c>
      <c r="D137" s="17" t="s">
        <v>111</v>
      </c>
      <c r="E137" s="17" t="s">
        <v>168</v>
      </c>
      <c r="F137" s="17" t="s">
        <v>172</v>
      </c>
      <c r="G137" s="17">
        <v>7</v>
      </c>
      <c r="H137" s="17">
        <v>49480</v>
      </c>
      <c r="I137" s="17">
        <v>346360</v>
      </c>
      <c r="J137" s="17">
        <v>1507</v>
      </c>
      <c r="K137" s="17">
        <v>344853</v>
      </c>
      <c r="L137" s="17">
        <v>36073.27433</v>
      </c>
      <c r="M137" s="17">
        <v>2025</v>
      </c>
      <c r="N137" s="17" t="s">
        <v>175</v>
      </c>
    </row>
    <row r="138" spans="1:14" ht="14.25" customHeight="1">
      <c r="A138" s="17">
        <v>10137</v>
      </c>
      <c r="B138" s="18">
        <v>45684</v>
      </c>
      <c r="C138" s="17" t="s">
        <v>50</v>
      </c>
      <c r="D138" s="17" t="s">
        <v>83</v>
      </c>
      <c r="E138" s="17" t="s">
        <v>165</v>
      </c>
      <c r="F138" s="17" t="s">
        <v>166</v>
      </c>
      <c r="G138" s="17">
        <v>8</v>
      </c>
      <c r="H138" s="17">
        <v>44017</v>
      </c>
      <c r="I138" s="17">
        <v>352136</v>
      </c>
      <c r="J138" s="17">
        <v>2090</v>
      </c>
      <c r="K138" s="17">
        <v>350046</v>
      </c>
      <c r="L138" s="17">
        <v>79585.509149999998</v>
      </c>
      <c r="M138" s="17">
        <v>2025</v>
      </c>
      <c r="N138" s="17" t="s">
        <v>171</v>
      </c>
    </row>
    <row r="139" spans="1:14" ht="14.25" customHeight="1">
      <c r="A139" s="17">
        <v>10138</v>
      </c>
      <c r="B139" s="18">
        <v>45498</v>
      </c>
      <c r="C139" s="17" t="s">
        <v>58</v>
      </c>
      <c r="D139" s="17" t="s">
        <v>170</v>
      </c>
      <c r="E139" s="17" t="s">
        <v>165</v>
      </c>
      <c r="F139" s="17" t="s">
        <v>166</v>
      </c>
      <c r="G139" s="17">
        <v>8</v>
      </c>
      <c r="H139" s="17">
        <v>44253</v>
      </c>
      <c r="I139" s="17">
        <v>354024</v>
      </c>
      <c r="J139" s="17">
        <v>3378</v>
      </c>
      <c r="K139" s="17">
        <v>350646</v>
      </c>
      <c r="L139" s="17">
        <v>55255.478660000001</v>
      </c>
      <c r="M139" s="17">
        <v>2024</v>
      </c>
      <c r="N139" s="17" t="s">
        <v>123</v>
      </c>
    </row>
    <row r="140" spans="1:14" ht="14.25" customHeight="1">
      <c r="A140" s="17">
        <v>10139</v>
      </c>
      <c r="B140" s="18">
        <v>45306</v>
      </c>
      <c r="C140" s="17" t="s">
        <v>58</v>
      </c>
      <c r="D140" s="17" t="s">
        <v>83</v>
      </c>
      <c r="E140" s="17" t="s">
        <v>168</v>
      </c>
      <c r="F140" s="17" t="s">
        <v>163</v>
      </c>
      <c r="G140" s="17">
        <v>9</v>
      </c>
      <c r="H140" s="17">
        <v>79713</v>
      </c>
      <c r="I140" s="17">
        <v>717417</v>
      </c>
      <c r="J140" s="17">
        <v>1116</v>
      </c>
      <c r="K140" s="17">
        <v>716301</v>
      </c>
      <c r="L140" s="17">
        <v>84333.9234</v>
      </c>
      <c r="M140" s="17">
        <v>2024</v>
      </c>
      <c r="N140" s="17" t="s">
        <v>171</v>
      </c>
    </row>
    <row r="141" spans="1:14" ht="14.25" customHeight="1">
      <c r="A141" s="17">
        <v>10140</v>
      </c>
      <c r="B141" s="18">
        <v>45845</v>
      </c>
      <c r="C141" s="17" t="s">
        <v>45</v>
      </c>
      <c r="D141" s="17" t="s">
        <v>83</v>
      </c>
      <c r="E141" s="17" t="s">
        <v>165</v>
      </c>
      <c r="F141" s="17" t="s">
        <v>166</v>
      </c>
      <c r="G141" s="17">
        <v>2</v>
      </c>
      <c r="H141" s="17">
        <v>26924</v>
      </c>
      <c r="I141" s="17">
        <v>53848</v>
      </c>
      <c r="J141" s="17">
        <v>2740</v>
      </c>
      <c r="K141" s="17">
        <v>51108</v>
      </c>
      <c r="L141" s="17">
        <v>9461.3510889999998</v>
      </c>
      <c r="M141" s="17">
        <v>2025</v>
      </c>
      <c r="N141" s="17" t="s">
        <v>123</v>
      </c>
    </row>
    <row r="142" spans="1:14" ht="14.25" customHeight="1">
      <c r="A142" s="17">
        <v>10141</v>
      </c>
      <c r="B142" s="18">
        <v>45752</v>
      </c>
      <c r="C142" s="17" t="s">
        <v>39</v>
      </c>
      <c r="D142" s="17" t="s">
        <v>170</v>
      </c>
      <c r="E142" s="17" t="s">
        <v>162</v>
      </c>
      <c r="F142" s="17" t="s">
        <v>166</v>
      </c>
      <c r="G142" s="17">
        <v>8</v>
      </c>
      <c r="H142" s="17">
        <v>39864</v>
      </c>
      <c r="I142" s="17">
        <v>318912</v>
      </c>
      <c r="J142" s="17">
        <v>2161</v>
      </c>
      <c r="K142" s="17">
        <v>316751</v>
      </c>
      <c r="L142" s="17">
        <v>76924.27403</v>
      </c>
      <c r="M142" s="17">
        <v>2025</v>
      </c>
      <c r="N142" s="17" t="s">
        <v>114</v>
      </c>
    </row>
    <row r="143" spans="1:14" ht="14.25" customHeight="1">
      <c r="A143" s="17">
        <v>10142</v>
      </c>
      <c r="B143" s="18">
        <v>45982</v>
      </c>
      <c r="C143" s="17" t="s">
        <v>50</v>
      </c>
      <c r="D143" s="17" t="s">
        <v>86</v>
      </c>
      <c r="E143" s="17" t="s">
        <v>168</v>
      </c>
      <c r="F143" s="17" t="s">
        <v>163</v>
      </c>
      <c r="G143" s="17">
        <v>8</v>
      </c>
      <c r="H143" s="17">
        <v>17493</v>
      </c>
      <c r="I143" s="17">
        <v>139944</v>
      </c>
      <c r="J143" s="17">
        <v>3256</v>
      </c>
      <c r="K143" s="17">
        <v>136688</v>
      </c>
      <c r="L143" s="17">
        <v>24792.050469999998</v>
      </c>
      <c r="M143" s="17">
        <v>2025</v>
      </c>
      <c r="N143" s="17" t="s">
        <v>173</v>
      </c>
    </row>
    <row r="144" spans="1:14" ht="14.25" customHeight="1">
      <c r="A144" s="17">
        <v>10143</v>
      </c>
      <c r="B144" s="18">
        <v>45866</v>
      </c>
      <c r="C144" s="17" t="s">
        <v>39</v>
      </c>
      <c r="D144" s="17" t="s">
        <v>86</v>
      </c>
      <c r="E144" s="17" t="s">
        <v>162</v>
      </c>
      <c r="F144" s="17" t="s">
        <v>163</v>
      </c>
      <c r="G144" s="17">
        <v>5</v>
      </c>
      <c r="H144" s="17">
        <v>10337</v>
      </c>
      <c r="I144" s="17">
        <v>51685</v>
      </c>
      <c r="J144" s="17">
        <v>2968</v>
      </c>
      <c r="K144" s="17">
        <v>48717</v>
      </c>
      <c r="L144" s="17">
        <v>9889.3178100000005</v>
      </c>
      <c r="M144" s="17">
        <v>2025</v>
      </c>
      <c r="N144" s="17" t="s">
        <v>123</v>
      </c>
    </row>
    <row r="145" spans="1:14" ht="14.25" customHeight="1">
      <c r="A145" s="17">
        <v>10144</v>
      </c>
      <c r="B145" s="18">
        <v>45532</v>
      </c>
      <c r="C145" s="17" t="s">
        <v>167</v>
      </c>
      <c r="D145" s="17" t="s">
        <v>111</v>
      </c>
      <c r="E145" s="17" t="s">
        <v>168</v>
      </c>
      <c r="F145" s="17" t="s">
        <v>163</v>
      </c>
      <c r="G145" s="17">
        <v>5</v>
      </c>
      <c r="H145" s="17">
        <v>68281</v>
      </c>
      <c r="I145" s="17">
        <v>341405</v>
      </c>
      <c r="J145" s="17">
        <v>1148</v>
      </c>
      <c r="K145" s="17">
        <v>340257</v>
      </c>
      <c r="L145" s="17">
        <v>75694.658670000004</v>
      </c>
      <c r="M145" s="17">
        <v>2024</v>
      </c>
      <c r="N145" s="17" t="s">
        <v>126</v>
      </c>
    </row>
    <row r="146" spans="1:14" ht="14.25" customHeight="1">
      <c r="A146" s="17">
        <v>10145</v>
      </c>
      <c r="B146" s="18">
        <v>45855</v>
      </c>
      <c r="C146" s="17" t="s">
        <v>39</v>
      </c>
      <c r="D146" s="17" t="s">
        <v>89</v>
      </c>
      <c r="E146" s="17" t="s">
        <v>162</v>
      </c>
      <c r="F146" s="17" t="s">
        <v>163</v>
      </c>
      <c r="G146" s="17">
        <v>4</v>
      </c>
      <c r="H146" s="17">
        <v>21035</v>
      </c>
      <c r="I146" s="17">
        <v>84140</v>
      </c>
      <c r="J146" s="17">
        <v>3176</v>
      </c>
      <c r="K146" s="17">
        <v>80964</v>
      </c>
      <c r="L146" s="17">
        <v>17804.066050000001</v>
      </c>
      <c r="M146" s="17">
        <v>2025</v>
      </c>
      <c r="N146" s="17" t="s">
        <v>123</v>
      </c>
    </row>
    <row r="147" spans="1:14" ht="14.25" customHeight="1">
      <c r="A147" s="17">
        <v>10146</v>
      </c>
      <c r="B147" s="18">
        <v>45387</v>
      </c>
      <c r="C147" s="17" t="s">
        <v>39</v>
      </c>
      <c r="D147" s="17" t="s">
        <v>89</v>
      </c>
      <c r="E147" s="17" t="s">
        <v>162</v>
      </c>
      <c r="F147" s="17" t="s">
        <v>172</v>
      </c>
      <c r="G147" s="17">
        <v>5</v>
      </c>
      <c r="H147" s="17">
        <v>74318</v>
      </c>
      <c r="I147" s="17">
        <v>371590</v>
      </c>
      <c r="J147" s="17">
        <v>4253</v>
      </c>
      <c r="K147" s="17">
        <v>367337</v>
      </c>
      <c r="L147" s="17">
        <v>40762.582159999998</v>
      </c>
      <c r="M147" s="17">
        <v>2024</v>
      </c>
      <c r="N147" s="17" t="s">
        <v>114</v>
      </c>
    </row>
    <row r="148" spans="1:14" ht="14.25" customHeight="1">
      <c r="A148" s="17">
        <v>10147</v>
      </c>
      <c r="B148" s="18">
        <v>45776</v>
      </c>
      <c r="C148" s="17" t="s">
        <v>58</v>
      </c>
      <c r="D148" s="17" t="s">
        <v>111</v>
      </c>
      <c r="E148" s="17" t="s">
        <v>165</v>
      </c>
      <c r="F148" s="17" t="s">
        <v>172</v>
      </c>
      <c r="G148" s="17">
        <v>2</v>
      </c>
      <c r="H148" s="17">
        <v>24884</v>
      </c>
      <c r="I148" s="17">
        <v>49768</v>
      </c>
      <c r="J148" s="17">
        <v>3345</v>
      </c>
      <c r="K148" s="17">
        <v>46423</v>
      </c>
      <c r="L148" s="17">
        <v>9802.1845099999991</v>
      </c>
      <c r="M148" s="17">
        <v>2025</v>
      </c>
      <c r="N148" s="17" t="s">
        <v>114</v>
      </c>
    </row>
    <row r="149" spans="1:14" ht="14.25" customHeight="1">
      <c r="A149" s="17">
        <v>10148</v>
      </c>
      <c r="B149" s="18">
        <v>45698</v>
      </c>
      <c r="C149" s="17" t="s">
        <v>50</v>
      </c>
      <c r="D149" s="17" t="s">
        <v>89</v>
      </c>
      <c r="E149" s="17" t="s">
        <v>168</v>
      </c>
      <c r="F149" s="17" t="s">
        <v>163</v>
      </c>
      <c r="G149" s="17">
        <v>2</v>
      </c>
      <c r="H149" s="17">
        <v>14074</v>
      </c>
      <c r="I149" s="17">
        <v>28148</v>
      </c>
      <c r="J149" s="17">
        <v>3961</v>
      </c>
      <c r="K149" s="17">
        <v>24187</v>
      </c>
      <c r="L149" s="17">
        <v>5863.3504970000004</v>
      </c>
      <c r="M149" s="17">
        <v>2025</v>
      </c>
      <c r="N149" s="17" t="s">
        <v>175</v>
      </c>
    </row>
    <row r="150" spans="1:14" ht="14.25" customHeight="1">
      <c r="A150" s="17">
        <v>10149</v>
      </c>
      <c r="B150" s="18">
        <v>45522</v>
      </c>
      <c r="C150" s="17" t="s">
        <v>39</v>
      </c>
      <c r="D150" s="17" t="s">
        <v>83</v>
      </c>
      <c r="E150" s="17" t="s">
        <v>165</v>
      </c>
      <c r="F150" s="17" t="s">
        <v>163</v>
      </c>
      <c r="G150" s="17">
        <v>5</v>
      </c>
      <c r="H150" s="17">
        <v>31907</v>
      </c>
      <c r="I150" s="17">
        <v>159535</v>
      </c>
      <c r="J150" s="17">
        <v>1140</v>
      </c>
      <c r="K150" s="17">
        <v>158395</v>
      </c>
      <c r="L150" s="17">
        <v>32486.471590000001</v>
      </c>
      <c r="M150" s="17">
        <v>2024</v>
      </c>
      <c r="N150" s="17" t="s">
        <v>126</v>
      </c>
    </row>
    <row r="151" spans="1:14" ht="14.25" customHeight="1">
      <c r="A151" s="17">
        <v>10150</v>
      </c>
      <c r="B151" s="18">
        <v>45946</v>
      </c>
      <c r="C151" s="17" t="s">
        <v>58</v>
      </c>
      <c r="D151" s="17" t="s">
        <v>83</v>
      </c>
      <c r="E151" s="17" t="s">
        <v>165</v>
      </c>
      <c r="F151" s="17" t="s">
        <v>164</v>
      </c>
      <c r="G151" s="17">
        <v>3</v>
      </c>
      <c r="H151" s="17">
        <v>13624</v>
      </c>
      <c r="I151" s="17">
        <v>40872</v>
      </c>
      <c r="J151" s="17">
        <v>2933</v>
      </c>
      <c r="K151" s="17">
        <v>37939</v>
      </c>
      <c r="L151" s="17">
        <v>8553.9710419999992</v>
      </c>
      <c r="M151" s="17">
        <v>2025</v>
      </c>
      <c r="N151" s="17" t="s">
        <v>174</v>
      </c>
    </row>
    <row r="152" spans="1:14" ht="14.25" customHeight="1">
      <c r="A152" s="17">
        <v>10151</v>
      </c>
      <c r="B152" s="18">
        <v>45462</v>
      </c>
      <c r="C152" s="17" t="s">
        <v>45</v>
      </c>
      <c r="D152" s="17" t="s">
        <v>170</v>
      </c>
      <c r="E152" s="17" t="s">
        <v>168</v>
      </c>
      <c r="F152" s="17" t="s">
        <v>164</v>
      </c>
      <c r="G152" s="17">
        <v>1</v>
      </c>
      <c r="H152" s="17">
        <v>78425</v>
      </c>
      <c r="I152" s="17">
        <v>78425</v>
      </c>
      <c r="J152" s="17">
        <v>2107</v>
      </c>
      <c r="K152" s="17">
        <v>76318</v>
      </c>
      <c r="L152" s="17">
        <v>13190.22731</v>
      </c>
      <c r="M152" s="17">
        <v>2024</v>
      </c>
      <c r="N152" s="17" t="s">
        <v>120</v>
      </c>
    </row>
    <row r="153" spans="1:14" ht="14.25" customHeight="1">
      <c r="A153" s="17">
        <v>10152</v>
      </c>
      <c r="B153" s="18">
        <v>45832</v>
      </c>
      <c r="C153" s="17" t="s">
        <v>58</v>
      </c>
      <c r="D153" s="17" t="s">
        <v>170</v>
      </c>
      <c r="E153" s="17" t="s">
        <v>162</v>
      </c>
      <c r="F153" s="17" t="s">
        <v>164</v>
      </c>
      <c r="G153" s="17">
        <v>9</v>
      </c>
      <c r="H153" s="17">
        <v>32256</v>
      </c>
      <c r="I153" s="17">
        <v>290304</v>
      </c>
      <c r="J153" s="17">
        <v>2448</v>
      </c>
      <c r="K153" s="17">
        <v>287856</v>
      </c>
      <c r="L153" s="17">
        <v>42562.502999999997</v>
      </c>
      <c r="M153" s="17">
        <v>2025</v>
      </c>
      <c r="N153" s="17" t="s">
        <v>120</v>
      </c>
    </row>
    <row r="154" spans="1:14" ht="14.25" customHeight="1">
      <c r="A154" s="17">
        <v>10153</v>
      </c>
      <c r="B154" s="18">
        <v>45327</v>
      </c>
      <c r="C154" s="17" t="s">
        <v>58</v>
      </c>
      <c r="D154" s="17" t="s">
        <v>111</v>
      </c>
      <c r="E154" s="17" t="s">
        <v>168</v>
      </c>
      <c r="F154" s="17" t="s">
        <v>166</v>
      </c>
      <c r="G154" s="17">
        <v>2</v>
      </c>
      <c r="H154" s="17">
        <v>15455</v>
      </c>
      <c r="I154" s="17">
        <v>30910</v>
      </c>
      <c r="J154" s="17">
        <v>827</v>
      </c>
      <c r="K154" s="17">
        <v>30083</v>
      </c>
      <c r="L154" s="17">
        <v>6059.7956819999999</v>
      </c>
      <c r="M154" s="17">
        <v>2024</v>
      </c>
      <c r="N154" s="17" t="s">
        <v>175</v>
      </c>
    </row>
    <row r="155" spans="1:14" ht="14.25" customHeight="1">
      <c r="A155" s="17">
        <v>10154</v>
      </c>
      <c r="B155" s="18">
        <v>45816</v>
      </c>
      <c r="C155" s="17" t="s">
        <v>58</v>
      </c>
      <c r="D155" s="17" t="s">
        <v>111</v>
      </c>
      <c r="E155" s="17" t="s">
        <v>168</v>
      </c>
      <c r="F155" s="17" t="s">
        <v>172</v>
      </c>
      <c r="G155" s="17">
        <v>2</v>
      </c>
      <c r="H155" s="17">
        <v>16194</v>
      </c>
      <c r="I155" s="17">
        <v>32388</v>
      </c>
      <c r="J155" s="17">
        <v>1203</v>
      </c>
      <c r="K155" s="17">
        <v>31185</v>
      </c>
      <c r="L155" s="17">
        <v>5420.8884479999997</v>
      </c>
      <c r="M155" s="17">
        <v>2025</v>
      </c>
      <c r="N155" s="17" t="s">
        <v>120</v>
      </c>
    </row>
    <row r="156" spans="1:14" ht="14.25" customHeight="1">
      <c r="A156" s="17">
        <v>10155</v>
      </c>
      <c r="B156" s="18">
        <v>45451</v>
      </c>
      <c r="C156" s="17" t="s">
        <v>39</v>
      </c>
      <c r="D156" s="17" t="s">
        <v>111</v>
      </c>
      <c r="E156" s="17" t="s">
        <v>168</v>
      </c>
      <c r="F156" s="17" t="s">
        <v>172</v>
      </c>
      <c r="G156" s="17">
        <v>4</v>
      </c>
      <c r="H156" s="17">
        <v>26622</v>
      </c>
      <c r="I156" s="17">
        <v>106488</v>
      </c>
      <c r="J156" s="17">
        <v>3303</v>
      </c>
      <c r="K156" s="17">
        <v>103185</v>
      </c>
      <c r="L156" s="17">
        <v>24175.557100000002</v>
      </c>
      <c r="M156" s="17">
        <v>2024</v>
      </c>
      <c r="N156" s="17" t="s">
        <v>120</v>
      </c>
    </row>
    <row r="157" spans="1:14" ht="14.25" customHeight="1">
      <c r="A157" s="17">
        <v>10156</v>
      </c>
      <c r="B157" s="18">
        <v>45990</v>
      </c>
      <c r="C157" s="17" t="s">
        <v>39</v>
      </c>
      <c r="D157" s="17" t="s">
        <v>83</v>
      </c>
      <c r="E157" s="17" t="s">
        <v>165</v>
      </c>
      <c r="F157" s="17" t="s">
        <v>164</v>
      </c>
      <c r="G157" s="17">
        <v>2</v>
      </c>
      <c r="H157" s="17">
        <v>55969</v>
      </c>
      <c r="I157" s="17">
        <v>111938</v>
      </c>
      <c r="J157" s="17">
        <v>844</v>
      </c>
      <c r="K157" s="17">
        <v>111094</v>
      </c>
      <c r="L157" s="17">
        <v>27346.598559999999</v>
      </c>
      <c r="M157" s="17">
        <v>2025</v>
      </c>
      <c r="N157" s="17" t="s">
        <v>173</v>
      </c>
    </row>
    <row r="158" spans="1:14" ht="14.25" customHeight="1">
      <c r="A158" s="17">
        <v>10157</v>
      </c>
      <c r="B158" s="18">
        <v>45534</v>
      </c>
      <c r="C158" s="17" t="s">
        <v>45</v>
      </c>
      <c r="D158" s="17" t="s">
        <v>89</v>
      </c>
      <c r="E158" s="17" t="s">
        <v>168</v>
      </c>
      <c r="F158" s="17" t="s">
        <v>164</v>
      </c>
      <c r="G158" s="17">
        <v>7</v>
      </c>
      <c r="H158" s="17">
        <v>78106</v>
      </c>
      <c r="I158" s="17">
        <v>546742</v>
      </c>
      <c r="J158" s="17">
        <v>2971</v>
      </c>
      <c r="K158" s="17">
        <v>543771</v>
      </c>
      <c r="L158" s="17">
        <v>121244.7885</v>
      </c>
      <c r="M158" s="17">
        <v>2024</v>
      </c>
      <c r="N158" s="17" t="s">
        <v>126</v>
      </c>
    </row>
    <row r="159" spans="1:14" ht="14.25" customHeight="1">
      <c r="A159" s="17">
        <v>10158</v>
      </c>
      <c r="B159" s="18">
        <v>45377</v>
      </c>
      <c r="C159" s="17" t="s">
        <v>167</v>
      </c>
      <c r="D159" s="17" t="s">
        <v>111</v>
      </c>
      <c r="E159" s="17" t="s">
        <v>168</v>
      </c>
      <c r="F159" s="17" t="s">
        <v>172</v>
      </c>
      <c r="G159" s="17">
        <v>1</v>
      </c>
      <c r="H159" s="17">
        <v>26487</v>
      </c>
      <c r="I159" s="17">
        <v>26487</v>
      </c>
      <c r="J159" s="17">
        <v>1268</v>
      </c>
      <c r="K159" s="17">
        <v>25219</v>
      </c>
      <c r="L159" s="17">
        <v>6277.0580909999999</v>
      </c>
      <c r="M159" s="17">
        <v>2024</v>
      </c>
      <c r="N159" s="17" t="s">
        <v>112</v>
      </c>
    </row>
    <row r="160" spans="1:14" ht="14.25" customHeight="1">
      <c r="A160" s="17">
        <v>10159</v>
      </c>
      <c r="B160" s="18">
        <v>45869</v>
      </c>
      <c r="C160" s="17" t="s">
        <v>167</v>
      </c>
      <c r="D160" s="17" t="s">
        <v>111</v>
      </c>
      <c r="E160" s="17" t="s">
        <v>168</v>
      </c>
      <c r="F160" s="17" t="s">
        <v>166</v>
      </c>
      <c r="G160" s="17">
        <v>2</v>
      </c>
      <c r="H160" s="17">
        <v>5617</v>
      </c>
      <c r="I160" s="17">
        <v>11234</v>
      </c>
      <c r="J160" s="17">
        <v>4733</v>
      </c>
      <c r="K160" s="17">
        <v>6501</v>
      </c>
      <c r="L160" s="17">
        <v>989.81358899999998</v>
      </c>
      <c r="M160" s="17">
        <v>2025</v>
      </c>
      <c r="N160" s="17" t="s">
        <v>123</v>
      </c>
    </row>
    <row r="161" spans="1:14" ht="14.25" customHeight="1">
      <c r="A161" s="17">
        <v>10160</v>
      </c>
      <c r="B161" s="18">
        <v>45973</v>
      </c>
      <c r="C161" s="17" t="s">
        <v>167</v>
      </c>
      <c r="D161" s="17" t="s">
        <v>83</v>
      </c>
      <c r="E161" s="17" t="s">
        <v>162</v>
      </c>
      <c r="F161" s="17" t="s">
        <v>164</v>
      </c>
      <c r="G161" s="17">
        <v>5</v>
      </c>
      <c r="H161" s="17">
        <v>11285</v>
      </c>
      <c r="I161" s="17">
        <v>56425</v>
      </c>
      <c r="J161" s="17">
        <v>4744</v>
      </c>
      <c r="K161" s="17">
        <v>51681</v>
      </c>
      <c r="L161" s="17">
        <v>12112.13006</v>
      </c>
      <c r="M161" s="17">
        <v>2025</v>
      </c>
      <c r="N161" s="17" t="s">
        <v>173</v>
      </c>
    </row>
    <row r="162" spans="1:14" ht="14.25" customHeight="1">
      <c r="A162" s="17">
        <v>10161</v>
      </c>
      <c r="B162" s="18">
        <v>45848</v>
      </c>
      <c r="C162" s="17" t="s">
        <v>45</v>
      </c>
      <c r="D162" s="17" t="s">
        <v>83</v>
      </c>
      <c r="E162" s="17" t="s">
        <v>162</v>
      </c>
      <c r="F162" s="17" t="s">
        <v>163</v>
      </c>
      <c r="G162" s="17">
        <v>2</v>
      </c>
      <c r="H162" s="17">
        <v>38224</v>
      </c>
      <c r="I162" s="17">
        <v>76448</v>
      </c>
      <c r="J162" s="17">
        <v>1629</v>
      </c>
      <c r="K162" s="17">
        <v>74819</v>
      </c>
      <c r="L162" s="17">
        <v>11184.69563</v>
      </c>
      <c r="M162" s="17">
        <v>2025</v>
      </c>
      <c r="N162" s="17" t="s">
        <v>123</v>
      </c>
    </row>
    <row r="163" spans="1:14" ht="14.25" customHeight="1">
      <c r="A163" s="17">
        <v>10162</v>
      </c>
      <c r="B163" s="18">
        <v>45865</v>
      </c>
      <c r="C163" s="17" t="s">
        <v>167</v>
      </c>
      <c r="D163" s="17" t="s">
        <v>83</v>
      </c>
      <c r="E163" s="17" t="s">
        <v>162</v>
      </c>
      <c r="F163" s="17" t="s">
        <v>164</v>
      </c>
      <c r="G163" s="17">
        <v>9</v>
      </c>
      <c r="H163" s="17">
        <v>71036</v>
      </c>
      <c r="I163" s="17">
        <v>639324</v>
      </c>
      <c r="J163" s="17">
        <v>3530</v>
      </c>
      <c r="K163" s="17">
        <v>635794</v>
      </c>
      <c r="L163" s="17">
        <v>74836.585009999995</v>
      </c>
      <c r="M163" s="17">
        <v>2025</v>
      </c>
      <c r="N163" s="17" t="s">
        <v>123</v>
      </c>
    </row>
    <row r="164" spans="1:14" ht="14.25" customHeight="1">
      <c r="A164" s="17">
        <v>10163</v>
      </c>
      <c r="B164" s="18">
        <v>45937</v>
      </c>
      <c r="C164" s="17" t="s">
        <v>167</v>
      </c>
      <c r="D164" s="17" t="s">
        <v>89</v>
      </c>
      <c r="E164" s="17" t="s">
        <v>162</v>
      </c>
      <c r="F164" s="17" t="s">
        <v>172</v>
      </c>
      <c r="G164" s="17">
        <v>4</v>
      </c>
      <c r="H164" s="17">
        <v>62226</v>
      </c>
      <c r="I164" s="17">
        <v>248904</v>
      </c>
      <c r="J164" s="17">
        <v>803</v>
      </c>
      <c r="K164" s="17">
        <v>248101</v>
      </c>
      <c r="L164" s="17">
        <v>47934.615279999998</v>
      </c>
      <c r="M164" s="17">
        <v>2025</v>
      </c>
      <c r="N164" s="17" t="s">
        <v>174</v>
      </c>
    </row>
    <row r="165" spans="1:14" ht="14.25" customHeight="1">
      <c r="A165" s="17">
        <v>10164</v>
      </c>
      <c r="B165" s="18">
        <v>45319</v>
      </c>
      <c r="C165" s="17" t="s">
        <v>58</v>
      </c>
      <c r="D165" s="17" t="s">
        <v>111</v>
      </c>
      <c r="E165" s="17" t="s">
        <v>165</v>
      </c>
      <c r="F165" s="17" t="s">
        <v>172</v>
      </c>
      <c r="G165" s="17">
        <v>9</v>
      </c>
      <c r="H165" s="17">
        <v>33994</v>
      </c>
      <c r="I165" s="17">
        <v>305946</v>
      </c>
      <c r="J165" s="17">
        <v>127</v>
      </c>
      <c r="K165" s="17">
        <v>305819</v>
      </c>
      <c r="L165" s="17">
        <v>51453.525370000003</v>
      </c>
      <c r="M165" s="17">
        <v>2024</v>
      </c>
      <c r="N165" s="17" t="s">
        <v>171</v>
      </c>
    </row>
    <row r="166" spans="1:14" ht="14.25" customHeight="1">
      <c r="A166" s="17">
        <v>10165</v>
      </c>
      <c r="B166" s="18">
        <v>45911</v>
      </c>
      <c r="C166" s="17" t="s">
        <v>39</v>
      </c>
      <c r="D166" s="17" t="s">
        <v>86</v>
      </c>
      <c r="E166" s="17" t="s">
        <v>165</v>
      </c>
      <c r="F166" s="17" t="s">
        <v>164</v>
      </c>
      <c r="G166" s="17">
        <v>1</v>
      </c>
      <c r="H166" s="17">
        <v>67439</v>
      </c>
      <c r="I166" s="17">
        <v>67439</v>
      </c>
      <c r="J166" s="17">
        <v>951</v>
      </c>
      <c r="K166" s="17">
        <v>66488</v>
      </c>
      <c r="L166" s="17">
        <v>15841.09079</v>
      </c>
      <c r="M166" s="17">
        <v>2025</v>
      </c>
      <c r="N166" s="17" t="s">
        <v>129</v>
      </c>
    </row>
    <row r="167" spans="1:14" ht="14.25" customHeight="1">
      <c r="A167" s="17">
        <v>10166</v>
      </c>
      <c r="B167" s="18">
        <v>45847</v>
      </c>
      <c r="C167" s="17" t="s">
        <v>39</v>
      </c>
      <c r="D167" s="17" t="s">
        <v>86</v>
      </c>
      <c r="E167" s="17" t="s">
        <v>168</v>
      </c>
      <c r="F167" s="17" t="s">
        <v>164</v>
      </c>
      <c r="G167" s="17">
        <v>1</v>
      </c>
      <c r="H167" s="17">
        <v>56467</v>
      </c>
      <c r="I167" s="17">
        <v>56467</v>
      </c>
      <c r="J167" s="17">
        <v>2264</v>
      </c>
      <c r="K167" s="17">
        <v>54203</v>
      </c>
      <c r="L167" s="17">
        <v>9422.0577929999999</v>
      </c>
      <c r="M167" s="17">
        <v>2025</v>
      </c>
      <c r="N167" s="17" t="s">
        <v>123</v>
      </c>
    </row>
    <row r="168" spans="1:14" ht="14.25" customHeight="1">
      <c r="A168" s="17">
        <v>10167</v>
      </c>
      <c r="B168" s="18">
        <v>45631</v>
      </c>
      <c r="C168" s="17" t="s">
        <v>58</v>
      </c>
      <c r="D168" s="17" t="s">
        <v>111</v>
      </c>
      <c r="E168" s="17" t="s">
        <v>165</v>
      </c>
      <c r="F168" s="17" t="s">
        <v>163</v>
      </c>
      <c r="G168" s="17">
        <v>1</v>
      </c>
      <c r="H168" s="17">
        <v>28014</v>
      </c>
      <c r="I168" s="17">
        <v>28014</v>
      </c>
      <c r="J168" s="17">
        <v>19</v>
      </c>
      <c r="K168" s="17">
        <v>27995</v>
      </c>
      <c r="L168" s="17">
        <v>6694.8611090000004</v>
      </c>
      <c r="M168" s="17">
        <v>2024</v>
      </c>
      <c r="N168" s="17" t="s">
        <v>169</v>
      </c>
    </row>
    <row r="169" spans="1:14" ht="14.25" customHeight="1">
      <c r="A169" s="17">
        <v>10168</v>
      </c>
      <c r="B169" s="18">
        <v>45622</v>
      </c>
      <c r="C169" s="17" t="s">
        <v>58</v>
      </c>
      <c r="D169" s="17" t="s">
        <v>111</v>
      </c>
      <c r="E169" s="17" t="s">
        <v>162</v>
      </c>
      <c r="F169" s="17" t="s">
        <v>163</v>
      </c>
      <c r="G169" s="17">
        <v>4</v>
      </c>
      <c r="H169" s="17">
        <v>75509</v>
      </c>
      <c r="I169" s="17">
        <v>302036</v>
      </c>
      <c r="J169" s="17">
        <v>3638</v>
      </c>
      <c r="K169" s="17">
        <v>298398</v>
      </c>
      <c r="L169" s="17">
        <v>33359.428310000003</v>
      </c>
      <c r="M169" s="17">
        <v>2024</v>
      </c>
      <c r="N169" s="17" t="s">
        <v>173</v>
      </c>
    </row>
    <row r="170" spans="1:14" ht="14.25" customHeight="1">
      <c r="A170" s="17">
        <v>10169</v>
      </c>
      <c r="B170" s="18">
        <v>45931</v>
      </c>
      <c r="C170" s="17" t="s">
        <v>58</v>
      </c>
      <c r="D170" s="17" t="s">
        <v>111</v>
      </c>
      <c r="E170" s="17" t="s">
        <v>168</v>
      </c>
      <c r="F170" s="17" t="s">
        <v>166</v>
      </c>
      <c r="G170" s="17">
        <v>9</v>
      </c>
      <c r="H170" s="17">
        <v>75310</v>
      </c>
      <c r="I170" s="17">
        <v>677790</v>
      </c>
      <c r="J170" s="17">
        <v>1781</v>
      </c>
      <c r="K170" s="17">
        <v>676009</v>
      </c>
      <c r="L170" s="17">
        <v>151815.92129999999</v>
      </c>
      <c r="M170" s="17">
        <v>2025</v>
      </c>
      <c r="N170" s="17" t="s">
        <v>174</v>
      </c>
    </row>
    <row r="171" spans="1:14" ht="14.25" customHeight="1">
      <c r="A171" s="17">
        <v>10170</v>
      </c>
      <c r="B171" s="18">
        <v>45797</v>
      </c>
      <c r="C171" s="17" t="s">
        <v>39</v>
      </c>
      <c r="D171" s="17" t="s">
        <v>111</v>
      </c>
      <c r="E171" s="17" t="s">
        <v>168</v>
      </c>
      <c r="F171" s="17" t="s">
        <v>166</v>
      </c>
      <c r="G171" s="17">
        <v>8</v>
      </c>
      <c r="H171" s="17">
        <v>70254</v>
      </c>
      <c r="I171" s="17">
        <v>562032</v>
      </c>
      <c r="J171" s="17">
        <v>3834</v>
      </c>
      <c r="K171" s="17">
        <v>558198</v>
      </c>
      <c r="L171" s="17">
        <v>119380.21</v>
      </c>
      <c r="M171" s="17">
        <v>2025</v>
      </c>
      <c r="N171" s="17" t="s">
        <v>117</v>
      </c>
    </row>
    <row r="172" spans="1:14" ht="14.25" customHeight="1">
      <c r="A172" s="17">
        <v>10171</v>
      </c>
      <c r="B172" s="18">
        <v>45639</v>
      </c>
      <c r="C172" s="17" t="s">
        <v>167</v>
      </c>
      <c r="D172" s="17" t="s">
        <v>89</v>
      </c>
      <c r="E172" s="17" t="s">
        <v>162</v>
      </c>
      <c r="F172" s="17" t="s">
        <v>163</v>
      </c>
      <c r="G172" s="17">
        <v>7</v>
      </c>
      <c r="H172" s="17">
        <v>52117</v>
      </c>
      <c r="I172" s="17">
        <v>364819</v>
      </c>
      <c r="J172" s="17">
        <v>3131</v>
      </c>
      <c r="K172" s="17">
        <v>361688</v>
      </c>
      <c r="L172" s="17">
        <v>75229.925270000007</v>
      </c>
      <c r="M172" s="17">
        <v>2024</v>
      </c>
      <c r="N172" s="17" t="s">
        <v>169</v>
      </c>
    </row>
    <row r="173" spans="1:14" ht="14.25" customHeight="1">
      <c r="A173" s="17">
        <v>10172</v>
      </c>
      <c r="B173" s="18">
        <v>45764</v>
      </c>
      <c r="C173" s="17" t="s">
        <v>58</v>
      </c>
      <c r="D173" s="17" t="s">
        <v>86</v>
      </c>
      <c r="E173" s="17" t="s">
        <v>162</v>
      </c>
      <c r="F173" s="17" t="s">
        <v>166</v>
      </c>
      <c r="G173" s="17">
        <v>1</v>
      </c>
      <c r="H173" s="17">
        <v>66594</v>
      </c>
      <c r="I173" s="17">
        <v>66594</v>
      </c>
      <c r="J173" s="17">
        <v>4770</v>
      </c>
      <c r="K173" s="17">
        <v>61824</v>
      </c>
      <c r="L173" s="17">
        <v>9475.7878660000006</v>
      </c>
      <c r="M173" s="17">
        <v>2025</v>
      </c>
      <c r="N173" s="17" t="s">
        <v>114</v>
      </c>
    </row>
    <row r="174" spans="1:14" ht="14.25" customHeight="1">
      <c r="A174" s="17">
        <v>10173</v>
      </c>
      <c r="B174" s="18">
        <v>45522</v>
      </c>
      <c r="C174" s="17" t="s">
        <v>45</v>
      </c>
      <c r="D174" s="17" t="s">
        <v>170</v>
      </c>
      <c r="E174" s="17" t="s">
        <v>162</v>
      </c>
      <c r="F174" s="17" t="s">
        <v>166</v>
      </c>
      <c r="G174" s="17">
        <v>3</v>
      </c>
      <c r="H174" s="17">
        <v>55218</v>
      </c>
      <c r="I174" s="17">
        <v>165654</v>
      </c>
      <c r="J174" s="17">
        <v>4834</v>
      </c>
      <c r="K174" s="17">
        <v>160820</v>
      </c>
      <c r="L174" s="17">
        <v>34988.633699999998</v>
      </c>
      <c r="M174" s="17">
        <v>2024</v>
      </c>
      <c r="N174" s="17" t="s">
        <v>126</v>
      </c>
    </row>
    <row r="175" spans="1:14" ht="14.25" customHeight="1">
      <c r="A175" s="17">
        <v>10174</v>
      </c>
      <c r="B175" s="18">
        <v>45481</v>
      </c>
      <c r="C175" s="17" t="s">
        <v>58</v>
      </c>
      <c r="D175" s="17" t="s">
        <v>86</v>
      </c>
      <c r="E175" s="17" t="s">
        <v>165</v>
      </c>
      <c r="F175" s="17" t="s">
        <v>164</v>
      </c>
      <c r="G175" s="17">
        <v>9</v>
      </c>
      <c r="H175" s="17">
        <v>51390</v>
      </c>
      <c r="I175" s="17">
        <v>462510</v>
      </c>
      <c r="J175" s="17">
        <v>556</v>
      </c>
      <c r="K175" s="17">
        <v>461954</v>
      </c>
      <c r="L175" s="17">
        <v>79684.518200000006</v>
      </c>
      <c r="M175" s="17">
        <v>2024</v>
      </c>
      <c r="N175" s="17" t="s">
        <v>123</v>
      </c>
    </row>
    <row r="176" spans="1:14" ht="14.25" customHeight="1">
      <c r="A176" s="17">
        <v>10175</v>
      </c>
      <c r="B176" s="18">
        <v>45516</v>
      </c>
      <c r="C176" s="17" t="s">
        <v>50</v>
      </c>
      <c r="D176" s="17" t="s">
        <v>86</v>
      </c>
      <c r="E176" s="17" t="s">
        <v>168</v>
      </c>
      <c r="F176" s="17" t="s">
        <v>163</v>
      </c>
      <c r="G176" s="17">
        <v>9</v>
      </c>
      <c r="H176" s="17">
        <v>42484</v>
      </c>
      <c r="I176" s="17">
        <v>382356</v>
      </c>
      <c r="J176" s="17">
        <v>2244</v>
      </c>
      <c r="K176" s="17">
        <v>380112</v>
      </c>
      <c r="L176" s="17">
        <v>78789.815539999996</v>
      </c>
      <c r="M176" s="17">
        <v>2024</v>
      </c>
      <c r="N176" s="17" t="s">
        <v>126</v>
      </c>
    </row>
    <row r="177" spans="1:14" ht="14.25" customHeight="1">
      <c r="A177" s="17">
        <v>10176</v>
      </c>
      <c r="B177" s="18">
        <v>45676</v>
      </c>
      <c r="C177" s="17" t="s">
        <v>58</v>
      </c>
      <c r="D177" s="17" t="s">
        <v>83</v>
      </c>
      <c r="E177" s="17" t="s">
        <v>162</v>
      </c>
      <c r="F177" s="17" t="s">
        <v>164</v>
      </c>
      <c r="G177" s="17">
        <v>5</v>
      </c>
      <c r="H177" s="17">
        <v>47588</v>
      </c>
      <c r="I177" s="17">
        <v>237940</v>
      </c>
      <c r="J177" s="17">
        <v>2983</v>
      </c>
      <c r="K177" s="17">
        <v>234957</v>
      </c>
      <c r="L177" s="17">
        <v>42958.145060000003</v>
      </c>
      <c r="M177" s="17">
        <v>2025</v>
      </c>
      <c r="N177" s="17" t="s">
        <v>171</v>
      </c>
    </row>
    <row r="178" spans="1:14" ht="14.25" customHeight="1">
      <c r="A178" s="17">
        <v>10177</v>
      </c>
      <c r="B178" s="18">
        <v>45668</v>
      </c>
      <c r="C178" s="17" t="s">
        <v>39</v>
      </c>
      <c r="D178" s="17" t="s">
        <v>111</v>
      </c>
      <c r="E178" s="17" t="s">
        <v>168</v>
      </c>
      <c r="F178" s="17" t="s">
        <v>164</v>
      </c>
      <c r="G178" s="17">
        <v>6</v>
      </c>
      <c r="H178" s="17">
        <v>18302</v>
      </c>
      <c r="I178" s="17">
        <v>109812</v>
      </c>
      <c r="J178" s="17">
        <v>3563</v>
      </c>
      <c r="K178" s="17">
        <v>106249</v>
      </c>
      <c r="L178" s="17">
        <v>13134.071679999999</v>
      </c>
      <c r="M178" s="17">
        <v>2025</v>
      </c>
      <c r="N178" s="17" t="s">
        <v>171</v>
      </c>
    </row>
    <row r="179" spans="1:14" ht="14.25" customHeight="1">
      <c r="A179" s="17">
        <v>10178</v>
      </c>
      <c r="B179" s="18">
        <v>45574</v>
      </c>
      <c r="C179" s="17" t="s">
        <v>58</v>
      </c>
      <c r="D179" s="17" t="s">
        <v>111</v>
      </c>
      <c r="E179" s="17" t="s">
        <v>168</v>
      </c>
      <c r="F179" s="17" t="s">
        <v>166</v>
      </c>
      <c r="G179" s="17">
        <v>6</v>
      </c>
      <c r="H179" s="17">
        <v>60760</v>
      </c>
      <c r="I179" s="17">
        <v>364560</v>
      </c>
      <c r="J179" s="17">
        <v>2725</v>
      </c>
      <c r="K179" s="17">
        <v>361835</v>
      </c>
      <c r="L179" s="17">
        <v>39687.433620000003</v>
      </c>
      <c r="M179" s="17">
        <v>2024</v>
      </c>
      <c r="N179" s="17" t="s">
        <v>174</v>
      </c>
    </row>
    <row r="180" spans="1:14" ht="14.25" customHeight="1">
      <c r="A180" s="17">
        <v>10179</v>
      </c>
      <c r="B180" s="18">
        <v>45924</v>
      </c>
      <c r="C180" s="17" t="s">
        <v>50</v>
      </c>
      <c r="D180" s="17" t="s">
        <v>111</v>
      </c>
      <c r="E180" s="17" t="s">
        <v>165</v>
      </c>
      <c r="F180" s="17" t="s">
        <v>164</v>
      </c>
      <c r="G180" s="17">
        <v>4</v>
      </c>
      <c r="H180" s="17">
        <v>8234</v>
      </c>
      <c r="I180" s="17">
        <v>32936</v>
      </c>
      <c r="J180" s="17">
        <v>4599</v>
      </c>
      <c r="K180" s="17">
        <v>28337</v>
      </c>
      <c r="L180" s="17">
        <v>4390.1946699999999</v>
      </c>
      <c r="M180" s="17">
        <v>2025</v>
      </c>
      <c r="N180" s="17" t="s">
        <v>129</v>
      </c>
    </row>
    <row r="181" spans="1:14" ht="14.25" customHeight="1">
      <c r="A181" s="17">
        <v>10180</v>
      </c>
      <c r="B181" s="18">
        <v>45919</v>
      </c>
      <c r="C181" s="17" t="s">
        <v>45</v>
      </c>
      <c r="D181" s="17" t="s">
        <v>83</v>
      </c>
      <c r="E181" s="17" t="s">
        <v>168</v>
      </c>
      <c r="F181" s="17" t="s">
        <v>172</v>
      </c>
      <c r="G181" s="17">
        <v>1</v>
      </c>
      <c r="H181" s="17">
        <v>11494</v>
      </c>
      <c r="I181" s="17">
        <v>11494</v>
      </c>
      <c r="J181" s="17">
        <v>4833</v>
      </c>
      <c r="K181" s="17">
        <v>6661</v>
      </c>
      <c r="L181" s="17">
        <v>1598.0959519999999</v>
      </c>
      <c r="M181" s="17">
        <v>2025</v>
      </c>
      <c r="N181" s="17" t="s">
        <v>129</v>
      </c>
    </row>
    <row r="182" spans="1:14" ht="14.25" customHeight="1">
      <c r="A182" s="17">
        <v>10181</v>
      </c>
      <c r="B182" s="18">
        <v>45550</v>
      </c>
      <c r="C182" s="17" t="s">
        <v>167</v>
      </c>
      <c r="D182" s="17" t="s">
        <v>89</v>
      </c>
      <c r="E182" s="17" t="s">
        <v>162</v>
      </c>
      <c r="F182" s="17" t="s">
        <v>166</v>
      </c>
      <c r="G182" s="17">
        <v>5</v>
      </c>
      <c r="H182" s="17">
        <v>64625</v>
      </c>
      <c r="I182" s="17">
        <v>323125</v>
      </c>
      <c r="J182" s="17">
        <v>4887</v>
      </c>
      <c r="K182" s="17">
        <v>318238</v>
      </c>
      <c r="L182" s="17">
        <v>57111.072030000003</v>
      </c>
      <c r="M182" s="17">
        <v>2024</v>
      </c>
      <c r="N182" s="17" t="s">
        <v>129</v>
      </c>
    </row>
    <row r="183" spans="1:14" ht="14.25" customHeight="1">
      <c r="A183" s="17">
        <v>10182</v>
      </c>
      <c r="B183" s="18">
        <v>45650</v>
      </c>
      <c r="C183" s="17" t="s">
        <v>58</v>
      </c>
      <c r="D183" s="17" t="s">
        <v>89</v>
      </c>
      <c r="E183" s="17" t="s">
        <v>162</v>
      </c>
      <c r="F183" s="17" t="s">
        <v>172</v>
      </c>
      <c r="G183" s="17">
        <v>1</v>
      </c>
      <c r="H183" s="17">
        <v>19239</v>
      </c>
      <c r="I183" s="17">
        <v>19239</v>
      </c>
      <c r="J183" s="17">
        <v>3331</v>
      </c>
      <c r="K183" s="17">
        <v>15908</v>
      </c>
      <c r="L183" s="17">
        <v>3504.9907119999998</v>
      </c>
      <c r="M183" s="17">
        <v>2024</v>
      </c>
      <c r="N183" s="17" t="s">
        <v>169</v>
      </c>
    </row>
    <row r="184" spans="1:14" ht="14.25" customHeight="1">
      <c r="A184" s="17">
        <v>10183</v>
      </c>
      <c r="B184" s="18">
        <v>46001</v>
      </c>
      <c r="C184" s="17" t="s">
        <v>50</v>
      </c>
      <c r="D184" s="17" t="s">
        <v>170</v>
      </c>
      <c r="E184" s="17" t="s">
        <v>168</v>
      </c>
      <c r="F184" s="17" t="s">
        <v>166</v>
      </c>
      <c r="G184" s="17">
        <v>1</v>
      </c>
      <c r="H184" s="17">
        <v>75034</v>
      </c>
      <c r="I184" s="17">
        <v>75034</v>
      </c>
      <c r="J184" s="17">
        <v>196</v>
      </c>
      <c r="K184" s="17">
        <v>74838</v>
      </c>
      <c r="L184" s="17">
        <v>13949.276390000001</v>
      </c>
      <c r="M184" s="17">
        <v>2025</v>
      </c>
      <c r="N184" s="17" t="s">
        <v>169</v>
      </c>
    </row>
    <row r="185" spans="1:14" ht="14.25" customHeight="1">
      <c r="A185" s="17">
        <v>10184</v>
      </c>
      <c r="B185" s="18">
        <v>45747</v>
      </c>
      <c r="C185" s="17" t="s">
        <v>50</v>
      </c>
      <c r="D185" s="17" t="s">
        <v>89</v>
      </c>
      <c r="E185" s="17" t="s">
        <v>168</v>
      </c>
      <c r="F185" s="17" t="s">
        <v>164</v>
      </c>
      <c r="G185" s="17">
        <v>5</v>
      </c>
      <c r="H185" s="17">
        <v>75803</v>
      </c>
      <c r="I185" s="17">
        <v>379015</v>
      </c>
      <c r="J185" s="17">
        <v>2828</v>
      </c>
      <c r="K185" s="17">
        <v>376187</v>
      </c>
      <c r="L185" s="17">
        <v>91671.427389999997</v>
      </c>
      <c r="M185" s="17">
        <v>2025</v>
      </c>
      <c r="N185" s="17" t="s">
        <v>112</v>
      </c>
    </row>
    <row r="186" spans="1:14" ht="14.25" customHeight="1">
      <c r="A186" s="17">
        <v>10185</v>
      </c>
      <c r="B186" s="18">
        <v>45702</v>
      </c>
      <c r="C186" s="17" t="s">
        <v>45</v>
      </c>
      <c r="D186" s="17" t="s">
        <v>89</v>
      </c>
      <c r="E186" s="17" t="s">
        <v>165</v>
      </c>
      <c r="F186" s="17" t="s">
        <v>166</v>
      </c>
      <c r="G186" s="17">
        <v>5</v>
      </c>
      <c r="H186" s="17">
        <v>60323</v>
      </c>
      <c r="I186" s="17">
        <v>301615</v>
      </c>
      <c r="J186" s="17">
        <v>4839</v>
      </c>
      <c r="K186" s="17">
        <v>296776</v>
      </c>
      <c r="L186" s="17">
        <v>46124.43159</v>
      </c>
      <c r="M186" s="17">
        <v>2025</v>
      </c>
      <c r="N186" s="17" t="s">
        <v>175</v>
      </c>
    </row>
    <row r="187" spans="1:14" ht="14.25" customHeight="1">
      <c r="A187" s="17">
        <v>10186</v>
      </c>
      <c r="B187" s="18">
        <v>45940</v>
      </c>
      <c r="C187" s="17" t="s">
        <v>39</v>
      </c>
      <c r="D187" s="17" t="s">
        <v>111</v>
      </c>
      <c r="E187" s="17" t="s">
        <v>162</v>
      </c>
      <c r="F187" s="17" t="s">
        <v>172</v>
      </c>
      <c r="G187" s="17">
        <v>7</v>
      </c>
      <c r="H187" s="17">
        <v>17546</v>
      </c>
      <c r="I187" s="17">
        <v>122822</v>
      </c>
      <c r="J187" s="17">
        <v>3988</v>
      </c>
      <c r="K187" s="17">
        <v>118834</v>
      </c>
      <c r="L187" s="17">
        <v>12900.33007</v>
      </c>
      <c r="M187" s="17">
        <v>2025</v>
      </c>
      <c r="N187" s="17" t="s">
        <v>174</v>
      </c>
    </row>
    <row r="188" spans="1:14" ht="14.25" customHeight="1">
      <c r="A188" s="17">
        <v>10187</v>
      </c>
      <c r="B188" s="18">
        <v>45609</v>
      </c>
      <c r="C188" s="17" t="s">
        <v>58</v>
      </c>
      <c r="D188" s="17" t="s">
        <v>86</v>
      </c>
      <c r="E188" s="17" t="s">
        <v>162</v>
      </c>
      <c r="F188" s="17" t="s">
        <v>166</v>
      </c>
      <c r="G188" s="17">
        <v>2</v>
      </c>
      <c r="H188" s="17">
        <v>29479</v>
      </c>
      <c r="I188" s="17">
        <v>58958</v>
      </c>
      <c r="J188" s="17">
        <v>2469</v>
      </c>
      <c r="K188" s="17">
        <v>56489</v>
      </c>
      <c r="L188" s="17">
        <v>12263.776449999999</v>
      </c>
      <c r="M188" s="17">
        <v>2024</v>
      </c>
      <c r="N188" s="17" t="s">
        <v>173</v>
      </c>
    </row>
    <row r="189" spans="1:14" ht="14.25" customHeight="1">
      <c r="A189" s="17">
        <v>10188</v>
      </c>
      <c r="B189" s="18">
        <v>45968</v>
      </c>
      <c r="C189" s="17" t="s">
        <v>50</v>
      </c>
      <c r="D189" s="17" t="s">
        <v>89</v>
      </c>
      <c r="E189" s="17" t="s">
        <v>168</v>
      </c>
      <c r="F189" s="17" t="s">
        <v>172</v>
      </c>
      <c r="G189" s="17">
        <v>6</v>
      </c>
      <c r="H189" s="17">
        <v>41437</v>
      </c>
      <c r="I189" s="17">
        <v>248622</v>
      </c>
      <c r="J189" s="17">
        <v>1630</v>
      </c>
      <c r="K189" s="17">
        <v>246992</v>
      </c>
      <c r="L189" s="17">
        <v>50835.517090000001</v>
      </c>
      <c r="M189" s="17">
        <v>2025</v>
      </c>
      <c r="N189" s="17" t="s">
        <v>173</v>
      </c>
    </row>
    <row r="190" spans="1:14" ht="14.25" customHeight="1">
      <c r="A190" s="17">
        <v>10189</v>
      </c>
      <c r="B190" s="18">
        <v>45516</v>
      </c>
      <c r="C190" s="17" t="s">
        <v>45</v>
      </c>
      <c r="D190" s="17" t="s">
        <v>89</v>
      </c>
      <c r="E190" s="17" t="s">
        <v>168</v>
      </c>
      <c r="F190" s="17" t="s">
        <v>163</v>
      </c>
      <c r="G190" s="17">
        <v>2</v>
      </c>
      <c r="H190" s="17">
        <v>58867</v>
      </c>
      <c r="I190" s="17">
        <v>117734</v>
      </c>
      <c r="J190" s="17">
        <v>3278</v>
      </c>
      <c r="K190" s="17">
        <v>114456</v>
      </c>
      <c r="L190" s="17">
        <v>20502.521290000001</v>
      </c>
      <c r="M190" s="17">
        <v>2024</v>
      </c>
      <c r="N190" s="17" t="s">
        <v>126</v>
      </c>
    </row>
    <row r="191" spans="1:14" ht="14.25" customHeight="1">
      <c r="A191" s="17">
        <v>10190</v>
      </c>
      <c r="B191" s="18">
        <v>45525</v>
      </c>
      <c r="C191" s="17" t="s">
        <v>167</v>
      </c>
      <c r="D191" s="17" t="s">
        <v>83</v>
      </c>
      <c r="E191" s="17" t="s">
        <v>168</v>
      </c>
      <c r="F191" s="17" t="s">
        <v>164</v>
      </c>
      <c r="G191" s="17">
        <v>5</v>
      </c>
      <c r="H191" s="17">
        <v>14657</v>
      </c>
      <c r="I191" s="17">
        <v>73285</v>
      </c>
      <c r="J191" s="17">
        <v>2038</v>
      </c>
      <c r="K191" s="17">
        <v>71247</v>
      </c>
      <c r="L191" s="17">
        <v>10612.859539999999</v>
      </c>
      <c r="M191" s="17">
        <v>2024</v>
      </c>
      <c r="N191" s="17" t="s">
        <v>126</v>
      </c>
    </row>
    <row r="192" spans="1:14" ht="14.25" customHeight="1">
      <c r="A192" s="17">
        <v>10191</v>
      </c>
      <c r="B192" s="18">
        <v>45975</v>
      </c>
      <c r="C192" s="17" t="s">
        <v>50</v>
      </c>
      <c r="D192" s="17" t="s">
        <v>170</v>
      </c>
      <c r="E192" s="17" t="s">
        <v>162</v>
      </c>
      <c r="F192" s="17" t="s">
        <v>172</v>
      </c>
      <c r="G192" s="17">
        <v>4</v>
      </c>
      <c r="H192" s="17">
        <v>22259</v>
      </c>
      <c r="I192" s="17">
        <v>89036</v>
      </c>
      <c r="J192" s="17">
        <v>2479</v>
      </c>
      <c r="K192" s="17">
        <v>86557</v>
      </c>
      <c r="L192" s="17">
        <v>11100.04996</v>
      </c>
      <c r="M192" s="17">
        <v>2025</v>
      </c>
      <c r="N192" s="17" t="s">
        <v>173</v>
      </c>
    </row>
    <row r="193" spans="1:14" ht="14.25" customHeight="1">
      <c r="A193" s="17">
        <v>10192</v>
      </c>
      <c r="B193" s="18">
        <v>45955</v>
      </c>
      <c r="C193" s="17" t="s">
        <v>45</v>
      </c>
      <c r="D193" s="17" t="s">
        <v>83</v>
      </c>
      <c r="E193" s="17" t="s">
        <v>168</v>
      </c>
      <c r="F193" s="17" t="s">
        <v>163</v>
      </c>
      <c r="G193" s="17">
        <v>5</v>
      </c>
      <c r="H193" s="17">
        <v>33645</v>
      </c>
      <c r="I193" s="17">
        <v>168225</v>
      </c>
      <c r="J193" s="17">
        <v>4330</v>
      </c>
      <c r="K193" s="17">
        <v>163895</v>
      </c>
      <c r="L193" s="17">
        <v>28245.894840000001</v>
      </c>
      <c r="M193" s="17">
        <v>2025</v>
      </c>
      <c r="N193" s="17" t="s">
        <v>174</v>
      </c>
    </row>
    <row r="194" spans="1:14" ht="14.25" customHeight="1">
      <c r="A194" s="17">
        <v>10193</v>
      </c>
      <c r="B194" s="18">
        <v>45665</v>
      </c>
      <c r="C194" s="17" t="s">
        <v>39</v>
      </c>
      <c r="D194" s="17" t="s">
        <v>111</v>
      </c>
      <c r="E194" s="17" t="s">
        <v>165</v>
      </c>
      <c r="F194" s="17" t="s">
        <v>164</v>
      </c>
      <c r="G194" s="17">
        <v>2</v>
      </c>
      <c r="H194" s="17">
        <v>67674</v>
      </c>
      <c r="I194" s="17">
        <v>135348</v>
      </c>
      <c r="J194" s="17">
        <v>4574</v>
      </c>
      <c r="K194" s="17">
        <v>130774</v>
      </c>
      <c r="L194" s="17">
        <v>26145.673460000002</v>
      </c>
      <c r="M194" s="17">
        <v>2025</v>
      </c>
      <c r="N194" s="17" t="s">
        <v>171</v>
      </c>
    </row>
    <row r="195" spans="1:14" ht="14.25" customHeight="1">
      <c r="A195" s="17">
        <v>10194</v>
      </c>
      <c r="B195" s="18">
        <v>45963</v>
      </c>
      <c r="C195" s="17" t="s">
        <v>39</v>
      </c>
      <c r="D195" s="17" t="s">
        <v>86</v>
      </c>
      <c r="E195" s="17" t="s">
        <v>165</v>
      </c>
      <c r="F195" s="17" t="s">
        <v>163</v>
      </c>
      <c r="G195" s="17">
        <v>8</v>
      </c>
      <c r="H195" s="17">
        <v>79270</v>
      </c>
      <c r="I195" s="17">
        <v>634160</v>
      </c>
      <c r="J195" s="17">
        <v>2475</v>
      </c>
      <c r="K195" s="17">
        <v>631685</v>
      </c>
      <c r="L195" s="17">
        <v>118019.5811</v>
      </c>
      <c r="M195" s="17">
        <v>2025</v>
      </c>
      <c r="N195" s="17" t="s">
        <v>173</v>
      </c>
    </row>
    <row r="196" spans="1:14" ht="14.25" customHeight="1">
      <c r="A196" s="17">
        <v>10195</v>
      </c>
      <c r="B196" s="18">
        <v>45899</v>
      </c>
      <c r="C196" s="17" t="s">
        <v>50</v>
      </c>
      <c r="D196" s="17" t="s">
        <v>170</v>
      </c>
      <c r="E196" s="17" t="s">
        <v>168</v>
      </c>
      <c r="F196" s="17" t="s">
        <v>172</v>
      </c>
      <c r="G196" s="17">
        <v>8</v>
      </c>
      <c r="H196" s="17">
        <v>74052</v>
      </c>
      <c r="I196" s="17">
        <v>592416</v>
      </c>
      <c r="J196" s="17">
        <v>4761</v>
      </c>
      <c r="K196" s="17">
        <v>587655</v>
      </c>
      <c r="L196" s="17">
        <v>97329.522880000004</v>
      </c>
      <c r="M196" s="17">
        <v>2025</v>
      </c>
      <c r="N196" s="17" t="s">
        <v>126</v>
      </c>
    </row>
    <row r="197" spans="1:14" ht="14.25" customHeight="1">
      <c r="A197" s="17">
        <v>10196</v>
      </c>
      <c r="B197" s="18">
        <v>45763</v>
      </c>
      <c r="C197" s="17" t="s">
        <v>50</v>
      </c>
      <c r="D197" s="17" t="s">
        <v>83</v>
      </c>
      <c r="E197" s="17" t="s">
        <v>165</v>
      </c>
      <c r="F197" s="17" t="s">
        <v>164</v>
      </c>
      <c r="G197" s="17">
        <v>6</v>
      </c>
      <c r="H197" s="17">
        <v>20032</v>
      </c>
      <c r="I197" s="17">
        <v>120192</v>
      </c>
      <c r="J197" s="17">
        <v>3309</v>
      </c>
      <c r="K197" s="17">
        <v>116883</v>
      </c>
      <c r="L197" s="17">
        <v>21150.46586</v>
      </c>
      <c r="M197" s="17">
        <v>2025</v>
      </c>
      <c r="N197" s="17" t="s">
        <v>114</v>
      </c>
    </row>
    <row r="198" spans="1:14" ht="14.25" customHeight="1">
      <c r="A198" s="17">
        <v>10197</v>
      </c>
      <c r="B198" s="18">
        <v>45524</v>
      </c>
      <c r="C198" s="17" t="s">
        <v>58</v>
      </c>
      <c r="D198" s="17" t="s">
        <v>89</v>
      </c>
      <c r="E198" s="17" t="s">
        <v>165</v>
      </c>
      <c r="F198" s="17" t="s">
        <v>163</v>
      </c>
      <c r="G198" s="17">
        <v>3</v>
      </c>
      <c r="H198" s="17">
        <v>45001</v>
      </c>
      <c r="I198" s="17">
        <v>135003</v>
      </c>
      <c r="J198" s="17">
        <v>3178</v>
      </c>
      <c r="K198" s="17">
        <v>131825</v>
      </c>
      <c r="L198" s="17">
        <v>15317.1738</v>
      </c>
      <c r="M198" s="17">
        <v>2024</v>
      </c>
      <c r="N198" s="17" t="s">
        <v>126</v>
      </c>
    </row>
    <row r="199" spans="1:14" ht="14.25" customHeight="1">
      <c r="A199" s="17">
        <v>10198</v>
      </c>
      <c r="B199" s="18">
        <v>45983</v>
      </c>
      <c r="C199" s="17" t="s">
        <v>45</v>
      </c>
      <c r="D199" s="17" t="s">
        <v>89</v>
      </c>
      <c r="E199" s="17" t="s">
        <v>165</v>
      </c>
      <c r="F199" s="17" t="s">
        <v>172</v>
      </c>
      <c r="G199" s="17">
        <v>4</v>
      </c>
      <c r="H199" s="17">
        <v>31004</v>
      </c>
      <c r="I199" s="17">
        <v>124016</v>
      </c>
      <c r="J199" s="17">
        <v>1387</v>
      </c>
      <c r="K199" s="17">
        <v>122629</v>
      </c>
      <c r="L199" s="17">
        <v>25062.42641</v>
      </c>
      <c r="M199" s="17">
        <v>2025</v>
      </c>
      <c r="N199" s="17" t="s">
        <v>173</v>
      </c>
    </row>
    <row r="200" spans="1:14" ht="14.25" customHeight="1">
      <c r="A200" s="17">
        <v>10199</v>
      </c>
      <c r="B200" s="18">
        <v>45404</v>
      </c>
      <c r="C200" s="17" t="s">
        <v>50</v>
      </c>
      <c r="D200" s="17" t="s">
        <v>170</v>
      </c>
      <c r="E200" s="17" t="s">
        <v>165</v>
      </c>
      <c r="F200" s="17" t="s">
        <v>163</v>
      </c>
      <c r="G200" s="17">
        <v>1</v>
      </c>
      <c r="H200" s="17">
        <v>18170</v>
      </c>
      <c r="I200" s="17">
        <v>18170</v>
      </c>
      <c r="J200" s="17">
        <v>641</v>
      </c>
      <c r="K200" s="17">
        <v>17529</v>
      </c>
      <c r="L200" s="17">
        <v>3683.5161290000001</v>
      </c>
      <c r="M200" s="17">
        <v>2024</v>
      </c>
      <c r="N200" s="17" t="s">
        <v>114</v>
      </c>
    </row>
    <row r="201" spans="1:14" ht="14.25" customHeight="1">
      <c r="A201" s="17">
        <v>10200</v>
      </c>
      <c r="B201" s="18">
        <v>45788</v>
      </c>
      <c r="C201" s="17" t="s">
        <v>58</v>
      </c>
      <c r="D201" s="17" t="s">
        <v>89</v>
      </c>
      <c r="E201" s="17" t="s">
        <v>165</v>
      </c>
      <c r="F201" s="17" t="s">
        <v>164</v>
      </c>
      <c r="G201" s="17">
        <v>9</v>
      </c>
      <c r="H201" s="17">
        <v>22842</v>
      </c>
      <c r="I201" s="17">
        <v>205578</v>
      </c>
      <c r="J201" s="17">
        <v>574</v>
      </c>
      <c r="K201" s="17">
        <v>205004</v>
      </c>
      <c r="L201" s="17">
        <v>20852.57445</v>
      </c>
      <c r="M201" s="17">
        <v>2025</v>
      </c>
      <c r="N201" s="17" t="s">
        <v>117</v>
      </c>
    </row>
    <row r="202" spans="1:14" ht="14.25" customHeight="1">
      <c r="A202" s="17">
        <v>10201</v>
      </c>
      <c r="B202" s="18">
        <v>45733</v>
      </c>
      <c r="C202" s="17" t="s">
        <v>58</v>
      </c>
      <c r="D202" s="17" t="s">
        <v>83</v>
      </c>
      <c r="E202" s="17" t="s">
        <v>162</v>
      </c>
      <c r="F202" s="17" t="s">
        <v>164</v>
      </c>
      <c r="G202" s="17">
        <v>5</v>
      </c>
      <c r="H202" s="17">
        <v>31067</v>
      </c>
      <c r="I202" s="17">
        <v>155335</v>
      </c>
      <c r="J202" s="17">
        <v>3144</v>
      </c>
      <c r="K202" s="17">
        <v>152191</v>
      </c>
      <c r="L202" s="17">
        <v>21394.696260000001</v>
      </c>
      <c r="M202" s="17">
        <v>2025</v>
      </c>
      <c r="N202" s="17" t="s">
        <v>112</v>
      </c>
    </row>
    <row r="203" spans="1:14" ht="14.25" customHeight="1">
      <c r="A203" s="17">
        <v>10202</v>
      </c>
      <c r="B203" s="18">
        <v>45855</v>
      </c>
      <c r="C203" s="17" t="s">
        <v>50</v>
      </c>
      <c r="D203" s="17" t="s">
        <v>83</v>
      </c>
      <c r="E203" s="17" t="s">
        <v>168</v>
      </c>
      <c r="F203" s="17" t="s">
        <v>164</v>
      </c>
      <c r="G203" s="17">
        <v>8</v>
      </c>
      <c r="H203" s="17">
        <v>73708</v>
      </c>
      <c r="I203" s="17">
        <v>589664</v>
      </c>
      <c r="J203" s="17">
        <v>1721</v>
      </c>
      <c r="K203" s="17">
        <v>587943</v>
      </c>
      <c r="L203" s="17">
        <v>66918.219469999996</v>
      </c>
      <c r="M203" s="17">
        <v>2025</v>
      </c>
      <c r="N203" s="17" t="s">
        <v>123</v>
      </c>
    </row>
    <row r="204" spans="1:14" ht="14.25" customHeight="1">
      <c r="A204" s="17">
        <v>10203</v>
      </c>
      <c r="B204" s="18">
        <v>45559</v>
      </c>
      <c r="C204" s="17" t="s">
        <v>39</v>
      </c>
      <c r="D204" s="17" t="s">
        <v>89</v>
      </c>
      <c r="E204" s="17" t="s">
        <v>165</v>
      </c>
      <c r="F204" s="17" t="s">
        <v>172</v>
      </c>
      <c r="G204" s="17">
        <v>3</v>
      </c>
      <c r="H204" s="17">
        <v>56622</v>
      </c>
      <c r="I204" s="17">
        <v>169866</v>
      </c>
      <c r="J204" s="17">
        <v>1018</v>
      </c>
      <c r="K204" s="17">
        <v>168848</v>
      </c>
      <c r="L204" s="17">
        <v>42167.224849999999</v>
      </c>
      <c r="M204" s="17">
        <v>2024</v>
      </c>
      <c r="N204" s="17" t="s">
        <v>129</v>
      </c>
    </row>
    <row r="205" spans="1:14" ht="14.25" customHeight="1">
      <c r="A205" s="17">
        <v>10204</v>
      </c>
      <c r="B205" s="18">
        <v>45801</v>
      </c>
      <c r="C205" s="17" t="s">
        <v>45</v>
      </c>
      <c r="D205" s="17" t="s">
        <v>89</v>
      </c>
      <c r="E205" s="17" t="s">
        <v>168</v>
      </c>
      <c r="F205" s="17" t="s">
        <v>163</v>
      </c>
      <c r="G205" s="17">
        <v>4</v>
      </c>
      <c r="H205" s="17">
        <v>41195</v>
      </c>
      <c r="I205" s="17">
        <v>164780</v>
      </c>
      <c r="J205" s="17">
        <v>4058</v>
      </c>
      <c r="K205" s="17">
        <v>160722</v>
      </c>
      <c r="L205" s="17">
        <v>30376.687040000001</v>
      </c>
      <c r="M205" s="17">
        <v>2025</v>
      </c>
      <c r="N205" s="17" t="s">
        <v>117</v>
      </c>
    </row>
    <row r="206" spans="1:14" ht="14.25" customHeight="1">
      <c r="A206" s="17">
        <v>10205</v>
      </c>
      <c r="B206" s="18">
        <v>45677</v>
      </c>
      <c r="C206" s="17" t="s">
        <v>45</v>
      </c>
      <c r="D206" s="17" t="s">
        <v>111</v>
      </c>
      <c r="E206" s="17" t="s">
        <v>165</v>
      </c>
      <c r="F206" s="17" t="s">
        <v>163</v>
      </c>
      <c r="G206" s="17">
        <v>4</v>
      </c>
      <c r="H206" s="17">
        <v>45566</v>
      </c>
      <c r="I206" s="17">
        <v>182264</v>
      </c>
      <c r="J206" s="17">
        <v>3420</v>
      </c>
      <c r="K206" s="17">
        <v>178844</v>
      </c>
      <c r="L206" s="17">
        <v>30378.56956</v>
      </c>
      <c r="M206" s="17">
        <v>2025</v>
      </c>
      <c r="N206" s="17" t="s">
        <v>171</v>
      </c>
    </row>
    <row r="207" spans="1:14" ht="14.25" customHeight="1">
      <c r="A207" s="17">
        <v>10206</v>
      </c>
      <c r="B207" s="18">
        <v>45678</v>
      </c>
      <c r="C207" s="17" t="s">
        <v>39</v>
      </c>
      <c r="D207" s="17" t="s">
        <v>86</v>
      </c>
      <c r="E207" s="17" t="s">
        <v>162</v>
      </c>
      <c r="F207" s="17" t="s">
        <v>172</v>
      </c>
      <c r="G207" s="17">
        <v>8</v>
      </c>
      <c r="H207" s="17">
        <v>12736</v>
      </c>
      <c r="I207" s="17">
        <v>101888</v>
      </c>
      <c r="J207" s="17">
        <v>399</v>
      </c>
      <c r="K207" s="17">
        <v>101489</v>
      </c>
      <c r="L207" s="17">
        <v>17197.326560000001</v>
      </c>
      <c r="M207" s="17">
        <v>2025</v>
      </c>
      <c r="N207" s="17" t="s">
        <v>171</v>
      </c>
    </row>
    <row r="208" spans="1:14" ht="14.25" customHeight="1">
      <c r="A208" s="17">
        <v>10207</v>
      </c>
      <c r="B208" s="18">
        <v>45404</v>
      </c>
      <c r="C208" s="17" t="s">
        <v>50</v>
      </c>
      <c r="D208" s="17" t="s">
        <v>170</v>
      </c>
      <c r="E208" s="17" t="s">
        <v>162</v>
      </c>
      <c r="F208" s="17" t="s">
        <v>164</v>
      </c>
      <c r="G208" s="17">
        <v>9</v>
      </c>
      <c r="H208" s="17">
        <v>53258</v>
      </c>
      <c r="I208" s="17">
        <v>479322</v>
      </c>
      <c r="J208" s="17">
        <v>4690</v>
      </c>
      <c r="K208" s="17">
        <v>474632</v>
      </c>
      <c r="L208" s="17">
        <v>116150.08620000001</v>
      </c>
      <c r="M208" s="17">
        <v>2024</v>
      </c>
      <c r="N208" s="17" t="s">
        <v>114</v>
      </c>
    </row>
    <row r="209" spans="1:14" ht="14.25" customHeight="1">
      <c r="A209" s="17">
        <v>10208</v>
      </c>
      <c r="B209" s="18">
        <v>45904</v>
      </c>
      <c r="C209" s="17" t="s">
        <v>45</v>
      </c>
      <c r="D209" s="17" t="s">
        <v>83</v>
      </c>
      <c r="E209" s="17" t="s">
        <v>165</v>
      </c>
      <c r="F209" s="17" t="s">
        <v>166</v>
      </c>
      <c r="G209" s="17">
        <v>3</v>
      </c>
      <c r="H209" s="17">
        <v>48475</v>
      </c>
      <c r="I209" s="17">
        <v>145425</v>
      </c>
      <c r="J209" s="17">
        <v>1456</v>
      </c>
      <c r="K209" s="17">
        <v>143969</v>
      </c>
      <c r="L209" s="17">
        <v>28646.713459999999</v>
      </c>
      <c r="M209" s="17">
        <v>2025</v>
      </c>
      <c r="N209" s="17" t="s">
        <v>129</v>
      </c>
    </row>
    <row r="210" spans="1:14" ht="14.25" customHeight="1">
      <c r="A210" s="17">
        <v>10209</v>
      </c>
      <c r="B210" s="18">
        <v>45916</v>
      </c>
      <c r="C210" s="17" t="s">
        <v>50</v>
      </c>
      <c r="D210" s="17" t="s">
        <v>170</v>
      </c>
      <c r="E210" s="17" t="s">
        <v>165</v>
      </c>
      <c r="F210" s="17" t="s">
        <v>164</v>
      </c>
      <c r="G210" s="17">
        <v>7</v>
      </c>
      <c r="H210" s="17">
        <v>49511</v>
      </c>
      <c r="I210" s="17">
        <v>346577</v>
      </c>
      <c r="J210" s="17">
        <v>1595</v>
      </c>
      <c r="K210" s="17">
        <v>344982</v>
      </c>
      <c r="L210" s="17">
        <v>43225.876759999999</v>
      </c>
      <c r="M210" s="17">
        <v>2025</v>
      </c>
      <c r="N210" s="17" t="s">
        <v>129</v>
      </c>
    </row>
    <row r="211" spans="1:14" ht="14.25" customHeight="1">
      <c r="A211" s="17">
        <v>10210</v>
      </c>
      <c r="B211" s="18">
        <v>45372</v>
      </c>
      <c r="C211" s="17" t="s">
        <v>50</v>
      </c>
      <c r="D211" s="17" t="s">
        <v>111</v>
      </c>
      <c r="E211" s="17" t="s">
        <v>165</v>
      </c>
      <c r="F211" s="17" t="s">
        <v>166</v>
      </c>
      <c r="G211" s="17">
        <v>9</v>
      </c>
      <c r="H211" s="17">
        <v>9206</v>
      </c>
      <c r="I211" s="17">
        <v>82854</v>
      </c>
      <c r="J211" s="17">
        <v>116</v>
      </c>
      <c r="K211" s="17">
        <v>82738</v>
      </c>
      <c r="L211" s="17">
        <v>13835.76477</v>
      </c>
      <c r="M211" s="17">
        <v>2024</v>
      </c>
      <c r="N211" s="17" t="s">
        <v>112</v>
      </c>
    </row>
    <row r="212" spans="1:14" ht="14.25" customHeight="1">
      <c r="A212" s="17">
        <v>10211</v>
      </c>
      <c r="B212" s="18">
        <v>45990</v>
      </c>
      <c r="C212" s="17" t="s">
        <v>58</v>
      </c>
      <c r="D212" s="17" t="s">
        <v>83</v>
      </c>
      <c r="E212" s="17" t="s">
        <v>162</v>
      </c>
      <c r="F212" s="17" t="s">
        <v>164</v>
      </c>
      <c r="G212" s="17">
        <v>2</v>
      </c>
      <c r="H212" s="17">
        <v>24348</v>
      </c>
      <c r="I212" s="17">
        <v>48696</v>
      </c>
      <c r="J212" s="17">
        <v>382</v>
      </c>
      <c r="K212" s="17">
        <v>48314</v>
      </c>
      <c r="L212" s="17">
        <v>10442.08193</v>
      </c>
      <c r="M212" s="17">
        <v>2025</v>
      </c>
      <c r="N212" s="17" t="s">
        <v>173</v>
      </c>
    </row>
    <row r="213" spans="1:14" ht="14.25" customHeight="1">
      <c r="A213" s="17">
        <v>10212</v>
      </c>
      <c r="B213" s="18">
        <v>45404</v>
      </c>
      <c r="C213" s="17" t="s">
        <v>39</v>
      </c>
      <c r="D213" s="17" t="s">
        <v>111</v>
      </c>
      <c r="E213" s="17" t="s">
        <v>162</v>
      </c>
      <c r="F213" s="17" t="s">
        <v>172</v>
      </c>
      <c r="G213" s="17">
        <v>4</v>
      </c>
      <c r="H213" s="17">
        <v>61057</v>
      </c>
      <c r="I213" s="17">
        <v>244228</v>
      </c>
      <c r="J213" s="17">
        <v>4954</v>
      </c>
      <c r="K213" s="17">
        <v>239274</v>
      </c>
      <c r="L213" s="17">
        <v>39121.899579999998</v>
      </c>
      <c r="M213" s="17">
        <v>2024</v>
      </c>
      <c r="N213" s="17" t="s">
        <v>114</v>
      </c>
    </row>
    <row r="214" spans="1:14" ht="14.25" customHeight="1">
      <c r="A214" s="17">
        <v>10213</v>
      </c>
      <c r="B214" s="18">
        <v>45293</v>
      </c>
      <c r="C214" s="17" t="s">
        <v>50</v>
      </c>
      <c r="D214" s="17" t="s">
        <v>111</v>
      </c>
      <c r="E214" s="17" t="s">
        <v>168</v>
      </c>
      <c r="F214" s="17" t="s">
        <v>166</v>
      </c>
      <c r="G214" s="17">
        <v>3</v>
      </c>
      <c r="H214" s="17">
        <v>41081</v>
      </c>
      <c r="I214" s="17">
        <v>123243</v>
      </c>
      <c r="J214" s="17">
        <v>2129</v>
      </c>
      <c r="K214" s="17">
        <v>121114</v>
      </c>
      <c r="L214" s="17">
        <v>17734.724699999999</v>
      </c>
      <c r="M214" s="17">
        <v>2024</v>
      </c>
      <c r="N214" s="17" t="s">
        <v>171</v>
      </c>
    </row>
    <row r="215" spans="1:14" ht="14.25" customHeight="1">
      <c r="A215" s="17">
        <v>10214</v>
      </c>
      <c r="B215" s="18">
        <v>45933</v>
      </c>
      <c r="C215" s="17" t="s">
        <v>167</v>
      </c>
      <c r="D215" s="17" t="s">
        <v>89</v>
      </c>
      <c r="E215" s="17" t="s">
        <v>162</v>
      </c>
      <c r="F215" s="17" t="s">
        <v>172</v>
      </c>
      <c r="G215" s="17">
        <v>8</v>
      </c>
      <c r="H215" s="17">
        <v>67208</v>
      </c>
      <c r="I215" s="17">
        <v>537664</v>
      </c>
      <c r="J215" s="17">
        <v>1850</v>
      </c>
      <c r="K215" s="17">
        <v>535814</v>
      </c>
      <c r="L215" s="17">
        <v>133247.51759999999</v>
      </c>
      <c r="M215" s="17">
        <v>2025</v>
      </c>
      <c r="N215" s="17" t="s">
        <v>174</v>
      </c>
    </row>
    <row r="216" spans="1:14" ht="14.25" customHeight="1">
      <c r="A216" s="17">
        <v>10215</v>
      </c>
      <c r="B216" s="18">
        <v>45511</v>
      </c>
      <c r="C216" s="17" t="s">
        <v>39</v>
      </c>
      <c r="D216" s="17" t="s">
        <v>170</v>
      </c>
      <c r="E216" s="17" t="s">
        <v>165</v>
      </c>
      <c r="F216" s="17" t="s">
        <v>166</v>
      </c>
      <c r="G216" s="17">
        <v>4</v>
      </c>
      <c r="H216" s="17">
        <v>29854</v>
      </c>
      <c r="I216" s="17">
        <v>119416</v>
      </c>
      <c r="J216" s="17">
        <v>831</v>
      </c>
      <c r="K216" s="17">
        <v>118585</v>
      </c>
      <c r="L216" s="17">
        <v>28501.379440000001</v>
      </c>
      <c r="M216" s="17">
        <v>2024</v>
      </c>
      <c r="N216" s="17" t="s">
        <v>126</v>
      </c>
    </row>
    <row r="217" spans="1:14" ht="14.25" customHeight="1">
      <c r="A217" s="17">
        <v>10216</v>
      </c>
      <c r="B217" s="18">
        <v>45857</v>
      </c>
      <c r="C217" s="17" t="s">
        <v>45</v>
      </c>
      <c r="D217" s="17" t="s">
        <v>170</v>
      </c>
      <c r="E217" s="17" t="s">
        <v>168</v>
      </c>
      <c r="F217" s="17" t="s">
        <v>163</v>
      </c>
      <c r="G217" s="17">
        <v>9</v>
      </c>
      <c r="H217" s="17">
        <v>23032</v>
      </c>
      <c r="I217" s="17">
        <v>207288</v>
      </c>
      <c r="J217" s="17">
        <v>4968</v>
      </c>
      <c r="K217" s="17">
        <v>202320</v>
      </c>
      <c r="L217" s="17">
        <v>48806.474090000003</v>
      </c>
      <c r="M217" s="17">
        <v>2025</v>
      </c>
      <c r="N217" s="17" t="s">
        <v>123</v>
      </c>
    </row>
    <row r="218" spans="1:14" ht="14.25" customHeight="1">
      <c r="A218" s="17">
        <v>10217</v>
      </c>
      <c r="B218" s="18">
        <v>45516</v>
      </c>
      <c r="C218" s="17" t="s">
        <v>58</v>
      </c>
      <c r="D218" s="17" t="s">
        <v>89</v>
      </c>
      <c r="E218" s="17" t="s">
        <v>162</v>
      </c>
      <c r="F218" s="17" t="s">
        <v>166</v>
      </c>
      <c r="G218" s="17">
        <v>1</v>
      </c>
      <c r="H218" s="17">
        <v>59679</v>
      </c>
      <c r="I218" s="17">
        <v>59679</v>
      </c>
      <c r="J218" s="17">
        <v>2700</v>
      </c>
      <c r="K218" s="17">
        <v>56979</v>
      </c>
      <c r="L218" s="17">
        <v>6823.2853599999999</v>
      </c>
      <c r="M218" s="17">
        <v>2024</v>
      </c>
      <c r="N218" s="17" t="s">
        <v>126</v>
      </c>
    </row>
    <row r="219" spans="1:14" ht="14.25" customHeight="1">
      <c r="A219" s="17">
        <v>10218</v>
      </c>
      <c r="B219" s="18">
        <v>45676</v>
      </c>
      <c r="C219" s="17" t="s">
        <v>45</v>
      </c>
      <c r="D219" s="17" t="s">
        <v>170</v>
      </c>
      <c r="E219" s="17" t="s">
        <v>162</v>
      </c>
      <c r="F219" s="17" t="s">
        <v>166</v>
      </c>
      <c r="G219" s="17">
        <v>1</v>
      </c>
      <c r="H219" s="17">
        <v>34272</v>
      </c>
      <c r="I219" s="17">
        <v>34272</v>
      </c>
      <c r="J219" s="17">
        <v>2781</v>
      </c>
      <c r="K219" s="17">
        <v>31491</v>
      </c>
      <c r="L219" s="17">
        <v>4255.6398440000003</v>
      </c>
      <c r="M219" s="17">
        <v>2025</v>
      </c>
      <c r="N219" s="17" t="s">
        <v>171</v>
      </c>
    </row>
    <row r="220" spans="1:14" ht="14.25" customHeight="1">
      <c r="A220" s="17">
        <v>10219</v>
      </c>
      <c r="B220" s="18">
        <v>45694</v>
      </c>
      <c r="C220" s="17" t="s">
        <v>45</v>
      </c>
      <c r="D220" s="17" t="s">
        <v>89</v>
      </c>
      <c r="E220" s="17" t="s">
        <v>165</v>
      </c>
      <c r="F220" s="17" t="s">
        <v>166</v>
      </c>
      <c r="G220" s="17">
        <v>4</v>
      </c>
      <c r="H220" s="17">
        <v>40109</v>
      </c>
      <c r="I220" s="17">
        <v>160436</v>
      </c>
      <c r="J220" s="17">
        <v>3481</v>
      </c>
      <c r="K220" s="17">
        <v>156955</v>
      </c>
      <c r="L220" s="17">
        <v>26103.192910000002</v>
      </c>
      <c r="M220" s="17">
        <v>2025</v>
      </c>
      <c r="N220" s="17" t="s">
        <v>175</v>
      </c>
    </row>
    <row r="221" spans="1:14" ht="14.25" customHeight="1">
      <c r="A221" s="17">
        <v>10220</v>
      </c>
      <c r="B221" s="18">
        <v>45929</v>
      </c>
      <c r="C221" s="17" t="s">
        <v>39</v>
      </c>
      <c r="D221" s="17" t="s">
        <v>83</v>
      </c>
      <c r="E221" s="17" t="s">
        <v>168</v>
      </c>
      <c r="F221" s="17" t="s">
        <v>163</v>
      </c>
      <c r="G221" s="17">
        <v>3</v>
      </c>
      <c r="H221" s="17">
        <v>55670</v>
      </c>
      <c r="I221" s="17">
        <v>167010</v>
      </c>
      <c r="J221" s="17">
        <v>2117</v>
      </c>
      <c r="K221" s="17">
        <v>164893</v>
      </c>
      <c r="L221" s="17">
        <v>37071.143470000003</v>
      </c>
      <c r="M221" s="17">
        <v>2025</v>
      </c>
      <c r="N221" s="17" t="s">
        <v>129</v>
      </c>
    </row>
    <row r="222" spans="1:14" ht="14.25" customHeight="1">
      <c r="A222" s="17">
        <v>10221</v>
      </c>
      <c r="B222" s="18">
        <v>45421</v>
      </c>
      <c r="C222" s="17" t="s">
        <v>45</v>
      </c>
      <c r="D222" s="17" t="s">
        <v>111</v>
      </c>
      <c r="E222" s="17" t="s">
        <v>162</v>
      </c>
      <c r="F222" s="17" t="s">
        <v>172</v>
      </c>
      <c r="G222" s="17">
        <v>3</v>
      </c>
      <c r="H222" s="17">
        <v>55022</v>
      </c>
      <c r="I222" s="17">
        <v>165066</v>
      </c>
      <c r="J222" s="17">
        <v>4482</v>
      </c>
      <c r="K222" s="17">
        <v>160584</v>
      </c>
      <c r="L222" s="17">
        <v>33806.807059999999</v>
      </c>
      <c r="M222" s="17">
        <v>2024</v>
      </c>
      <c r="N222" s="17" t="s">
        <v>117</v>
      </c>
    </row>
    <row r="223" spans="1:14" ht="14.25" customHeight="1">
      <c r="A223" s="17">
        <v>10222</v>
      </c>
      <c r="B223" s="18">
        <v>45344</v>
      </c>
      <c r="C223" s="17" t="s">
        <v>50</v>
      </c>
      <c r="D223" s="17" t="s">
        <v>111</v>
      </c>
      <c r="E223" s="17" t="s">
        <v>162</v>
      </c>
      <c r="F223" s="17" t="s">
        <v>163</v>
      </c>
      <c r="G223" s="17">
        <v>2</v>
      </c>
      <c r="H223" s="17">
        <v>10538</v>
      </c>
      <c r="I223" s="17">
        <v>21076</v>
      </c>
      <c r="J223" s="17">
        <v>2006</v>
      </c>
      <c r="K223" s="17">
        <v>19070</v>
      </c>
      <c r="L223" s="17">
        <v>4337.4735840000003</v>
      </c>
      <c r="M223" s="17">
        <v>2024</v>
      </c>
      <c r="N223" s="17" t="s">
        <v>175</v>
      </c>
    </row>
    <row r="224" spans="1:14" ht="14.25" customHeight="1">
      <c r="A224" s="17">
        <v>10223</v>
      </c>
      <c r="B224" s="18">
        <v>45975</v>
      </c>
      <c r="C224" s="17" t="s">
        <v>45</v>
      </c>
      <c r="D224" s="17" t="s">
        <v>170</v>
      </c>
      <c r="E224" s="17" t="s">
        <v>165</v>
      </c>
      <c r="F224" s="17" t="s">
        <v>166</v>
      </c>
      <c r="G224" s="17">
        <v>2</v>
      </c>
      <c r="H224" s="17">
        <v>49237</v>
      </c>
      <c r="I224" s="17">
        <v>98474</v>
      </c>
      <c r="J224" s="17">
        <v>2571</v>
      </c>
      <c r="K224" s="17">
        <v>95903</v>
      </c>
      <c r="L224" s="17">
        <v>22835.89429</v>
      </c>
      <c r="M224" s="17">
        <v>2025</v>
      </c>
      <c r="N224" s="17" t="s">
        <v>173</v>
      </c>
    </row>
    <row r="225" spans="1:14" ht="14.25" customHeight="1">
      <c r="A225" s="17">
        <v>10224</v>
      </c>
      <c r="B225" s="18">
        <v>46021</v>
      </c>
      <c r="C225" s="17" t="s">
        <v>58</v>
      </c>
      <c r="D225" s="17" t="s">
        <v>86</v>
      </c>
      <c r="E225" s="17" t="s">
        <v>168</v>
      </c>
      <c r="F225" s="17" t="s">
        <v>164</v>
      </c>
      <c r="G225" s="17">
        <v>8</v>
      </c>
      <c r="H225" s="17">
        <v>14533</v>
      </c>
      <c r="I225" s="17">
        <v>116264</v>
      </c>
      <c r="J225" s="17">
        <v>296</v>
      </c>
      <c r="K225" s="17">
        <v>115968</v>
      </c>
      <c r="L225" s="17">
        <v>25178.395390000001</v>
      </c>
      <c r="M225" s="17">
        <v>2025</v>
      </c>
      <c r="N225" s="17" t="s">
        <v>169</v>
      </c>
    </row>
    <row r="226" spans="1:14" ht="14.25" customHeight="1">
      <c r="A226" s="17">
        <v>10225</v>
      </c>
      <c r="B226" s="18">
        <v>45963</v>
      </c>
      <c r="C226" s="17" t="s">
        <v>58</v>
      </c>
      <c r="D226" s="17" t="s">
        <v>111</v>
      </c>
      <c r="E226" s="17" t="s">
        <v>168</v>
      </c>
      <c r="F226" s="17" t="s">
        <v>163</v>
      </c>
      <c r="G226" s="17">
        <v>1</v>
      </c>
      <c r="H226" s="17">
        <v>64650</v>
      </c>
      <c r="I226" s="17">
        <v>64650</v>
      </c>
      <c r="J226" s="17">
        <v>718</v>
      </c>
      <c r="K226" s="17">
        <v>63932</v>
      </c>
      <c r="L226" s="17">
        <v>8903.5220430000008</v>
      </c>
      <c r="M226" s="17">
        <v>2025</v>
      </c>
      <c r="N226" s="17" t="s">
        <v>173</v>
      </c>
    </row>
    <row r="227" spans="1:14" ht="14.25" customHeight="1">
      <c r="A227" s="17">
        <v>10226</v>
      </c>
      <c r="B227" s="18">
        <v>46001</v>
      </c>
      <c r="C227" s="17" t="s">
        <v>167</v>
      </c>
      <c r="D227" s="17" t="s">
        <v>89</v>
      </c>
      <c r="E227" s="17" t="s">
        <v>168</v>
      </c>
      <c r="F227" s="17" t="s">
        <v>164</v>
      </c>
      <c r="G227" s="17">
        <v>8</v>
      </c>
      <c r="H227" s="17">
        <v>76013</v>
      </c>
      <c r="I227" s="17">
        <v>608104</v>
      </c>
      <c r="J227" s="17">
        <v>3136</v>
      </c>
      <c r="K227" s="17">
        <v>604968</v>
      </c>
      <c r="L227" s="17">
        <v>86399.625539999994</v>
      </c>
      <c r="M227" s="17">
        <v>2025</v>
      </c>
      <c r="N227" s="17" t="s">
        <v>169</v>
      </c>
    </row>
    <row r="228" spans="1:14" ht="14.25" customHeight="1">
      <c r="A228" s="17">
        <v>10227</v>
      </c>
      <c r="B228" s="18">
        <v>45707</v>
      </c>
      <c r="C228" s="17" t="s">
        <v>58</v>
      </c>
      <c r="D228" s="17" t="s">
        <v>86</v>
      </c>
      <c r="E228" s="17" t="s">
        <v>168</v>
      </c>
      <c r="F228" s="17" t="s">
        <v>163</v>
      </c>
      <c r="G228" s="17">
        <v>3</v>
      </c>
      <c r="H228" s="17">
        <v>14363</v>
      </c>
      <c r="I228" s="17">
        <v>43089</v>
      </c>
      <c r="J228" s="17">
        <v>3079</v>
      </c>
      <c r="K228" s="17">
        <v>40010</v>
      </c>
      <c r="L228" s="17">
        <v>6116.4548210000003</v>
      </c>
      <c r="M228" s="17">
        <v>2025</v>
      </c>
      <c r="N228" s="17" t="s">
        <v>175</v>
      </c>
    </row>
    <row r="229" spans="1:14" ht="14.25" customHeight="1">
      <c r="A229" s="17">
        <v>10228</v>
      </c>
      <c r="B229" s="18">
        <v>45538</v>
      </c>
      <c r="C229" s="17" t="s">
        <v>45</v>
      </c>
      <c r="D229" s="17" t="s">
        <v>86</v>
      </c>
      <c r="E229" s="17" t="s">
        <v>165</v>
      </c>
      <c r="F229" s="17" t="s">
        <v>163</v>
      </c>
      <c r="G229" s="17">
        <v>2</v>
      </c>
      <c r="H229" s="17">
        <v>51304</v>
      </c>
      <c r="I229" s="17">
        <v>102608</v>
      </c>
      <c r="J229" s="17">
        <v>10</v>
      </c>
      <c r="K229" s="17">
        <v>102598</v>
      </c>
      <c r="L229" s="17">
        <v>14924.03897</v>
      </c>
      <c r="M229" s="17">
        <v>2024</v>
      </c>
      <c r="N229" s="17" t="s">
        <v>129</v>
      </c>
    </row>
    <row r="230" spans="1:14" ht="14.25" customHeight="1">
      <c r="A230" s="17">
        <v>10229</v>
      </c>
      <c r="B230" s="18">
        <v>45730</v>
      </c>
      <c r="C230" s="17" t="s">
        <v>58</v>
      </c>
      <c r="D230" s="17" t="s">
        <v>111</v>
      </c>
      <c r="E230" s="17" t="s">
        <v>162</v>
      </c>
      <c r="F230" s="17" t="s">
        <v>166</v>
      </c>
      <c r="G230" s="17">
        <v>9</v>
      </c>
      <c r="H230" s="17">
        <v>16819</v>
      </c>
      <c r="I230" s="17">
        <v>151371</v>
      </c>
      <c r="J230" s="17">
        <v>4880</v>
      </c>
      <c r="K230" s="17">
        <v>146491</v>
      </c>
      <c r="L230" s="17">
        <v>20122.71314</v>
      </c>
      <c r="M230" s="17">
        <v>2025</v>
      </c>
      <c r="N230" s="17" t="s">
        <v>112</v>
      </c>
    </row>
    <row r="231" spans="1:14" ht="14.25" customHeight="1">
      <c r="A231" s="17">
        <v>10230</v>
      </c>
      <c r="B231" s="18">
        <v>45494</v>
      </c>
      <c r="C231" s="17" t="s">
        <v>39</v>
      </c>
      <c r="D231" s="17" t="s">
        <v>111</v>
      </c>
      <c r="E231" s="17" t="s">
        <v>162</v>
      </c>
      <c r="F231" s="17" t="s">
        <v>172</v>
      </c>
      <c r="G231" s="17">
        <v>5</v>
      </c>
      <c r="H231" s="17">
        <v>17191</v>
      </c>
      <c r="I231" s="17">
        <v>85955</v>
      </c>
      <c r="J231" s="17">
        <v>410</v>
      </c>
      <c r="K231" s="17">
        <v>85545</v>
      </c>
      <c r="L231" s="17">
        <v>18210.213</v>
      </c>
      <c r="M231" s="17">
        <v>2024</v>
      </c>
      <c r="N231" s="17" t="s">
        <v>123</v>
      </c>
    </row>
    <row r="232" spans="1:14" ht="14.25" customHeight="1">
      <c r="A232" s="17">
        <v>10231</v>
      </c>
      <c r="B232" s="18">
        <v>45475</v>
      </c>
      <c r="C232" s="17" t="s">
        <v>58</v>
      </c>
      <c r="D232" s="17" t="s">
        <v>111</v>
      </c>
      <c r="E232" s="17" t="s">
        <v>168</v>
      </c>
      <c r="F232" s="17" t="s">
        <v>172</v>
      </c>
      <c r="G232" s="17">
        <v>5</v>
      </c>
      <c r="H232" s="17">
        <v>11499</v>
      </c>
      <c r="I232" s="17">
        <v>57495</v>
      </c>
      <c r="J232" s="17">
        <v>2939</v>
      </c>
      <c r="K232" s="17">
        <v>54556</v>
      </c>
      <c r="L232" s="17">
        <v>5733.7623659999999</v>
      </c>
      <c r="M232" s="17">
        <v>2024</v>
      </c>
      <c r="N232" s="17" t="s">
        <v>123</v>
      </c>
    </row>
    <row r="233" spans="1:14" ht="14.25" customHeight="1">
      <c r="A233" s="17">
        <v>10232</v>
      </c>
      <c r="B233" s="18">
        <v>45414</v>
      </c>
      <c r="C233" s="17" t="s">
        <v>50</v>
      </c>
      <c r="D233" s="17" t="s">
        <v>89</v>
      </c>
      <c r="E233" s="17" t="s">
        <v>168</v>
      </c>
      <c r="F233" s="17" t="s">
        <v>166</v>
      </c>
      <c r="G233" s="17">
        <v>6</v>
      </c>
      <c r="H233" s="17">
        <v>68001</v>
      </c>
      <c r="I233" s="17">
        <v>408006</v>
      </c>
      <c r="J233" s="17">
        <v>2654</v>
      </c>
      <c r="K233" s="17">
        <v>405352</v>
      </c>
      <c r="L233" s="17">
        <v>84823.578779999996</v>
      </c>
      <c r="M233" s="17">
        <v>2024</v>
      </c>
      <c r="N233" s="17" t="s">
        <v>117</v>
      </c>
    </row>
    <row r="234" spans="1:14" ht="14.25" customHeight="1">
      <c r="A234" s="17">
        <v>10233</v>
      </c>
      <c r="B234" s="18">
        <v>45692</v>
      </c>
      <c r="C234" s="17" t="s">
        <v>39</v>
      </c>
      <c r="D234" s="17" t="s">
        <v>86</v>
      </c>
      <c r="E234" s="17" t="s">
        <v>168</v>
      </c>
      <c r="F234" s="17" t="s">
        <v>163</v>
      </c>
      <c r="G234" s="17">
        <v>4</v>
      </c>
      <c r="H234" s="17">
        <v>22668</v>
      </c>
      <c r="I234" s="17">
        <v>90672</v>
      </c>
      <c r="J234" s="17">
        <v>3186</v>
      </c>
      <c r="K234" s="17">
        <v>87486</v>
      </c>
      <c r="L234" s="17">
        <v>19556.14502</v>
      </c>
      <c r="M234" s="17">
        <v>2025</v>
      </c>
      <c r="N234" s="17" t="s">
        <v>175</v>
      </c>
    </row>
    <row r="235" spans="1:14" ht="14.25" customHeight="1">
      <c r="A235" s="17">
        <v>10234</v>
      </c>
      <c r="B235" s="18">
        <v>45585</v>
      </c>
      <c r="C235" s="17" t="s">
        <v>167</v>
      </c>
      <c r="D235" s="17" t="s">
        <v>170</v>
      </c>
      <c r="E235" s="17" t="s">
        <v>162</v>
      </c>
      <c r="F235" s="17" t="s">
        <v>172</v>
      </c>
      <c r="G235" s="17">
        <v>7</v>
      </c>
      <c r="H235" s="17">
        <v>13762</v>
      </c>
      <c r="I235" s="17">
        <v>96334</v>
      </c>
      <c r="J235" s="17">
        <v>3450</v>
      </c>
      <c r="K235" s="17">
        <v>92884</v>
      </c>
      <c r="L235" s="17">
        <v>10208.56524</v>
      </c>
      <c r="M235" s="17">
        <v>2024</v>
      </c>
      <c r="N235" s="17" t="s">
        <v>174</v>
      </c>
    </row>
    <row r="236" spans="1:14" ht="14.25" customHeight="1">
      <c r="A236" s="17">
        <v>10235</v>
      </c>
      <c r="B236" s="18">
        <v>45571</v>
      </c>
      <c r="C236" s="17" t="s">
        <v>50</v>
      </c>
      <c r="D236" s="17" t="s">
        <v>89</v>
      </c>
      <c r="E236" s="17" t="s">
        <v>162</v>
      </c>
      <c r="F236" s="17" t="s">
        <v>172</v>
      </c>
      <c r="G236" s="17">
        <v>7</v>
      </c>
      <c r="H236" s="17">
        <v>24248</v>
      </c>
      <c r="I236" s="17">
        <v>169736</v>
      </c>
      <c r="J236" s="17">
        <v>598</v>
      </c>
      <c r="K236" s="17">
        <v>169138</v>
      </c>
      <c r="L236" s="17">
        <v>18482.904399999999</v>
      </c>
      <c r="M236" s="17">
        <v>2024</v>
      </c>
      <c r="N236" s="17" t="s">
        <v>174</v>
      </c>
    </row>
    <row r="237" spans="1:14" ht="14.25" customHeight="1">
      <c r="A237" s="17">
        <v>10236</v>
      </c>
      <c r="B237" s="18">
        <v>45901</v>
      </c>
      <c r="C237" s="17" t="s">
        <v>45</v>
      </c>
      <c r="D237" s="17" t="s">
        <v>83</v>
      </c>
      <c r="E237" s="17" t="s">
        <v>168</v>
      </c>
      <c r="F237" s="17" t="s">
        <v>172</v>
      </c>
      <c r="G237" s="17">
        <v>9</v>
      </c>
      <c r="H237" s="17">
        <v>49944</v>
      </c>
      <c r="I237" s="17">
        <v>449496</v>
      </c>
      <c r="J237" s="17">
        <v>823</v>
      </c>
      <c r="K237" s="17">
        <v>448673</v>
      </c>
      <c r="L237" s="17">
        <v>64079.285129999997</v>
      </c>
      <c r="M237" s="17">
        <v>2025</v>
      </c>
      <c r="N237" s="17" t="s">
        <v>129</v>
      </c>
    </row>
    <row r="238" spans="1:14" ht="14.25" customHeight="1">
      <c r="A238" s="17">
        <v>10237</v>
      </c>
      <c r="B238" s="18">
        <v>45489</v>
      </c>
      <c r="C238" s="17" t="s">
        <v>45</v>
      </c>
      <c r="D238" s="17" t="s">
        <v>111</v>
      </c>
      <c r="E238" s="17" t="s">
        <v>165</v>
      </c>
      <c r="F238" s="17" t="s">
        <v>166</v>
      </c>
      <c r="G238" s="17">
        <v>6</v>
      </c>
      <c r="H238" s="17">
        <v>18070</v>
      </c>
      <c r="I238" s="17">
        <v>108420</v>
      </c>
      <c r="J238" s="17">
        <v>2397</v>
      </c>
      <c r="K238" s="17">
        <v>106023</v>
      </c>
      <c r="L238" s="17">
        <v>13915.097030000001</v>
      </c>
      <c r="M238" s="17">
        <v>2024</v>
      </c>
      <c r="N238" s="17" t="s">
        <v>123</v>
      </c>
    </row>
    <row r="239" spans="1:14" ht="14.25" customHeight="1">
      <c r="A239" s="17">
        <v>10238</v>
      </c>
      <c r="B239" s="18">
        <v>45802</v>
      </c>
      <c r="C239" s="17" t="s">
        <v>45</v>
      </c>
      <c r="D239" s="17" t="s">
        <v>86</v>
      </c>
      <c r="E239" s="17" t="s">
        <v>162</v>
      </c>
      <c r="F239" s="17" t="s">
        <v>164</v>
      </c>
      <c r="G239" s="17">
        <v>1</v>
      </c>
      <c r="H239" s="17">
        <v>42807</v>
      </c>
      <c r="I239" s="17">
        <v>42807</v>
      </c>
      <c r="J239" s="17">
        <v>4114</v>
      </c>
      <c r="K239" s="17">
        <v>38693</v>
      </c>
      <c r="L239" s="17">
        <v>7242.1707850000003</v>
      </c>
      <c r="M239" s="17">
        <v>2025</v>
      </c>
      <c r="N239" s="17" t="s">
        <v>117</v>
      </c>
    </row>
    <row r="240" spans="1:14" ht="14.25" customHeight="1">
      <c r="A240" s="17">
        <v>10239</v>
      </c>
      <c r="B240" s="18">
        <v>45435</v>
      </c>
      <c r="C240" s="17" t="s">
        <v>50</v>
      </c>
      <c r="D240" s="17" t="s">
        <v>89</v>
      </c>
      <c r="E240" s="17" t="s">
        <v>162</v>
      </c>
      <c r="F240" s="17" t="s">
        <v>164</v>
      </c>
      <c r="G240" s="17">
        <v>9</v>
      </c>
      <c r="H240" s="17">
        <v>53033</v>
      </c>
      <c r="I240" s="17">
        <v>477297</v>
      </c>
      <c r="J240" s="17">
        <v>312</v>
      </c>
      <c r="K240" s="17">
        <v>476985</v>
      </c>
      <c r="L240" s="17">
        <v>96025.53817</v>
      </c>
      <c r="M240" s="17">
        <v>2024</v>
      </c>
      <c r="N240" s="17" t="s">
        <v>117</v>
      </c>
    </row>
    <row r="241" spans="1:14" ht="14.25" customHeight="1">
      <c r="A241" s="17">
        <v>10240</v>
      </c>
      <c r="B241" s="18">
        <v>45900</v>
      </c>
      <c r="C241" s="17" t="s">
        <v>50</v>
      </c>
      <c r="D241" s="17" t="s">
        <v>83</v>
      </c>
      <c r="E241" s="17" t="s">
        <v>168</v>
      </c>
      <c r="F241" s="17" t="s">
        <v>164</v>
      </c>
      <c r="G241" s="17">
        <v>9</v>
      </c>
      <c r="H241" s="17">
        <v>30212</v>
      </c>
      <c r="I241" s="17">
        <v>271908</v>
      </c>
      <c r="J241" s="17">
        <v>2974</v>
      </c>
      <c r="K241" s="17">
        <v>268934</v>
      </c>
      <c r="L241" s="17">
        <v>52474.751539999997</v>
      </c>
      <c r="M241" s="17">
        <v>2025</v>
      </c>
      <c r="N241" s="17" t="s">
        <v>126</v>
      </c>
    </row>
    <row r="242" spans="1:14" ht="14.25" customHeight="1">
      <c r="A242" s="17">
        <v>10241</v>
      </c>
      <c r="B242" s="18">
        <v>45492</v>
      </c>
      <c r="C242" s="17" t="s">
        <v>50</v>
      </c>
      <c r="D242" s="17" t="s">
        <v>89</v>
      </c>
      <c r="E242" s="17" t="s">
        <v>165</v>
      </c>
      <c r="F242" s="17" t="s">
        <v>164</v>
      </c>
      <c r="G242" s="17">
        <v>5</v>
      </c>
      <c r="H242" s="17">
        <v>9626</v>
      </c>
      <c r="I242" s="17">
        <v>48130</v>
      </c>
      <c r="J242" s="17">
        <v>3738</v>
      </c>
      <c r="K242" s="17">
        <v>44392</v>
      </c>
      <c r="L242" s="17">
        <v>6818.7046689999997</v>
      </c>
      <c r="M242" s="17">
        <v>2024</v>
      </c>
      <c r="N242" s="17" t="s">
        <v>123</v>
      </c>
    </row>
    <row r="243" spans="1:14" ht="14.25" customHeight="1">
      <c r="A243" s="17">
        <v>10242</v>
      </c>
      <c r="B243" s="18">
        <v>45415</v>
      </c>
      <c r="C243" s="17" t="s">
        <v>39</v>
      </c>
      <c r="D243" s="17" t="s">
        <v>89</v>
      </c>
      <c r="E243" s="17" t="s">
        <v>168</v>
      </c>
      <c r="F243" s="17" t="s">
        <v>164</v>
      </c>
      <c r="G243" s="17">
        <v>7</v>
      </c>
      <c r="H243" s="17">
        <v>54270</v>
      </c>
      <c r="I243" s="17">
        <v>379890</v>
      </c>
      <c r="J243" s="17">
        <v>2492</v>
      </c>
      <c r="K243" s="17">
        <v>377398</v>
      </c>
      <c r="L243" s="17">
        <v>65953.9519</v>
      </c>
      <c r="M243" s="17">
        <v>2024</v>
      </c>
      <c r="N243" s="17" t="s">
        <v>117</v>
      </c>
    </row>
    <row r="244" spans="1:14" ht="14.25" customHeight="1">
      <c r="A244" s="17">
        <v>10243</v>
      </c>
      <c r="B244" s="18">
        <v>45478</v>
      </c>
      <c r="C244" s="17" t="s">
        <v>39</v>
      </c>
      <c r="D244" s="17" t="s">
        <v>170</v>
      </c>
      <c r="E244" s="17" t="s">
        <v>168</v>
      </c>
      <c r="F244" s="17" t="s">
        <v>172</v>
      </c>
      <c r="G244" s="17">
        <v>1</v>
      </c>
      <c r="H244" s="17">
        <v>45767</v>
      </c>
      <c r="I244" s="17">
        <v>45767</v>
      </c>
      <c r="J244" s="17">
        <v>1945</v>
      </c>
      <c r="K244" s="17">
        <v>43822</v>
      </c>
      <c r="L244" s="17">
        <v>8589.0517199999995</v>
      </c>
      <c r="M244" s="17">
        <v>2024</v>
      </c>
      <c r="N244" s="17" t="s">
        <v>123</v>
      </c>
    </row>
    <row r="245" spans="1:14" ht="14.25" customHeight="1">
      <c r="A245" s="17">
        <v>10244</v>
      </c>
      <c r="B245" s="18">
        <v>45617</v>
      </c>
      <c r="C245" s="17" t="s">
        <v>45</v>
      </c>
      <c r="D245" s="17" t="s">
        <v>170</v>
      </c>
      <c r="E245" s="17" t="s">
        <v>165</v>
      </c>
      <c r="F245" s="17" t="s">
        <v>172</v>
      </c>
      <c r="G245" s="17">
        <v>4</v>
      </c>
      <c r="H245" s="17">
        <v>66505</v>
      </c>
      <c r="I245" s="17">
        <v>266020</v>
      </c>
      <c r="J245" s="17">
        <v>230</v>
      </c>
      <c r="K245" s="17">
        <v>265790</v>
      </c>
      <c r="L245" s="17">
        <v>31340.3462</v>
      </c>
      <c r="M245" s="17">
        <v>2024</v>
      </c>
      <c r="N245" s="17" t="s">
        <v>173</v>
      </c>
    </row>
    <row r="246" spans="1:14" ht="14.25" customHeight="1">
      <c r="A246" s="17">
        <v>10245</v>
      </c>
      <c r="B246" s="18">
        <v>45755</v>
      </c>
      <c r="C246" s="17" t="s">
        <v>58</v>
      </c>
      <c r="D246" s="17" t="s">
        <v>89</v>
      </c>
      <c r="E246" s="17" t="s">
        <v>165</v>
      </c>
      <c r="F246" s="17" t="s">
        <v>163</v>
      </c>
      <c r="G246" s="17">
        <v>4</v>
      </c>
      <c r="H246" s="17">
        <v>7292</v>
      </c>
      <c r="I246" s="17">
        <v>29168</v>
      </c>
      <c r="J246" s="17">
        <v>3740</v>
      </c>
      <c r="K246" s="17">
        <v>25428</v>
      </c>
      <c r="L246" s="17">
        <v>3418.2043440000002</v>
      </c>
      <c r="M246" s="17">
        <v>2025</v>
      </c>
      <c r="N246" s="17" t="s">
        <v>114</v>
      </c>
    </row>
    <row r="247" spans="1:14" ht="14.25" customHeight="1">
      <c r="A247" s="17">
        <v>10246</v>
      </c>
      <c r="B247" s="18">
        <v>45640</v>
      </c>
      <c r="C247" s="17" t="s">
        <v>45</v>
      </c>
      <c r="D247" s="17" t="s">
        <v>83</v>
      </c>
      <c r="E247" s="17" t="s">
        <v>165</v>
      </c>
      <c r="F247" s="17" t="s">
        <v>172</v>
      </c>
      <c r="G247" s="17">
        <v>5</v>
      </c>
      <c r="H247" s="17">
        <v>19859</v>
      </c>
      <c r="I247" s="17">
        <v>99295</v>
      </c>
      <c r="J247" s="17">
        <v>2672</v>
      </c>
      <c r="K247" s="17">
        <v>96623</v>
      </c>
      <c r="L247" s="17">
        <v>22568.661479999999</v>
      </c>
      <c r="M247" s="17">
        <v>2024</v>
      </c>
      <c r="N247" s="17" t="s">
        <v>169</v>
      </c>
    </row>
    <row r="248" spans="1:14" ht="14.25" customHeight="1">
      <c r="A248" s="17">
        <v>10247</v>
      </c>
      <c r="B248" s="18">
        <v>45951</v>
      </c>
      <c r="C248" s="17" t="s">
        <v>167</v>
      </c>
      <c r="D248" s="17" t="s">
        <v>86</v>
      </c>
      <c r="E248" s="17" t="s">
        <v>162</v>
      </c>
      <c r="F248" s="17" t="s">
        <v>166</v>
      </c>
      <c r="G248" s="17">
        <v>6</v>
      </c>
      <c r="H248" s="17">
        <v>35585</v>
      </c>
      <c r="I248" s="17">
        <v>213510</v>
      </c>
      <c r="J248" s="17">
        <v>3454</v>
      </c>
      <c r="K248" s="17">
        <v>210056</v>
      </c>
      <c r="L248" s="17">
        <v>31791.756399999998</v>
      </c>
      <c r="M248" s="17">
        <v>2025</v>
      </c>
      <c r="N248" s="17" t="s">
        <v>174</v>
      </c>
    </row>
    <row r="249" spans="1:14" ht="14.25" customHeight="1">
      <c r="A249" s="17">
        <v>10248</v>
      </c>
      <c r="B249" s="18">
        <v>45694</v>
      </c>
      <c r="C249" s="17" t="s">
        <v>39</v>
      </c>
      <c r="D249" s="17" t="s">
        <v>86</v>
      </c>
      <c r="E249" s="17" t="s">
        <v>168</v>
      </c>
      <c r="F249" s="17" t="s">
        <v>163</v>
      </c>
      <c r="G249" s="17">
        <v>4</v>
      </c>
      <c r="H249" s="17">
        <v>8819</v>
      </c>
      <c r="I249" s="17">
        <v>35276</v>
      </c>
      <c r="J249" s="17">
        <v>3583</v>
      </c>
      <c r="K249" s="17">
        <v>31693</v>
      </c>
      <c r="L249" s="17">
        <v>6977.9573819999996</v>
      </c>
      <c r="M249" s="17">
        <v>2025</v>
      </c>
      <c r="N249" s="17" t="s">
        <v>175</v>
      </c>
    </row>
    <row r="250" spans="1:14" ht="14.25" customHeight="1">
      <c r="A250" s="17">
        <v>10249</v>
      </c>
      <c r="B250" s="18">
        <v>45637</v>
      </c>
      <c r="C250" s="17" t="s">
        <v>50</v>
      </c>
      <c r="D250" s="17" t="s">
        <v>111</v>
      </c>
      <c r="E250" s="17" t="s">
        <v>162</v>
      </c>
      <c r="F250" s="17" t="s">
        <v>172</v>
      </c>
      <c r="G250" s="17">
        <v>6</v>
      </c>
      <c r="H250" s="17">
        <v>6280</v>
      </c>
      <c r="I250" s="17">
        <v>37680</v>
      </c>
      <c r="J250" s="17">
        <v>43</v>
      </c>
      <c r="K250" s="17">
        <v>37637</v>
      </c>
      <c r="L250" s="17">
        <v>5180.6751960000001</v>
      </c>
      <c r="M250" s="17">
        <v>2024</v>
      </c>
      <c r="N250" s="17" t="s">
        <v>169</v>
      </c>
    </row>
    <row r="251" spans="1:14" ht="14.25" customHeight="1">
      <c r="A251" s="17">
        <v>10250</v>
      </c>
      <c r="B251" s="18">
        <v>45802</v>
      </c>
      <c r="C251" s="17" t="s">
        <v>39</v>
      </c>
      <c r="D251" s="17" t="s">
        <v>111</v>
      </c>
      <c r="E251" s="17" t="s">
        <v>165</v>
      </c>
      <c r="F251" s="17" t="s">
        <v>163</v>
      </c>
      <c r="G251" s="17">
        <v>7</v>
      </c>
      <c r="H251" s="17">
        <v>68480</v>
      </c>
      <c r="I251" s="17">
        <v>479360</v>
      </c>
      <c r="J251" s="17">
        <v>2924</v>
      </c>
      <c r="K251" s="17">
        <v>476436</v>
      </c>
      <c r="L251" s="17">
        <v>50619.444380000001</v>
      </c>
      <c r="M251" s="17">
        <v>2025</v>
      </c>
      <c r="N251" s="17" t="s">
        <v>117</v>
      </c>
    </row>
    <row r="252" spans="1:14" ht="14.25" customHeight="1">
      <c r="A252" s="17">
        <v>10251</v>
      </c>
      <c r="B252" s="18">
        <v>45438</v>
      </c>
      <c r="C252" s="17" t="s">
        <v>50</v>
      </c>
      <c r="D252" s="17" t="s">
        <v>86</v>
      </c>
      <c r="E252" s="17" t="s">
        <v>162</v>
      </c>
      <c r="F252" s="17" t="s">
        <v>163</v>
      </c>
      <c r="G252" s="17">
        <v>3</v>
      </c>
      <c r="H252" s="17">
        <v>19147</v>
      </c>
      <c r="I252" s="17">
        <v>57441</v>
      </c>
      <c r="J252" s="17">
        <v>3693</v>
      </c>
      <c r="K252" s="17">
        <v>53748</v>
      </c>
      <c r="L252" s="17">
        <v>9409.1296569999995</v>
      </c>
      <c r="M252" s="17">
        <v>2024</v>
      </c>
      <c r="N252" s="17" t="s">
        <v>117</v>
      </c>
    </row>
    <row r="253" spans="1:14" ht="14.25" customHeight="1">
      <c r="A253" s="17">
        <v>10252</v>
      </c>
      <c r="B253" s="18">
        <v>45439</v>
      </c>
      <c r="C253" s="17" t="s">
        <v>167</v>
      </c>
      <c r="D253" s="17" t="s">
        <v>89</v>
      </c>
      <c r="E253" s="17" t="s">
        <v>165</v>
      </c>
      <c r="F253" s="17" t="s">
        <v>164</v>
      </c>
      <c r="G253" s="17">
        <v>9</v>
      </c>
      <c r="H253" s="17">
        <v>72165</v>
      </c>
      <c r="I253" s="17">
        <v>649485</v>
      </c>
      <c r="J253" s="17">
        <v>2270</v>
      </c>
      <c r="K253" s="17">
        <v>647215</v>
      </c>
      <c r="L253" s="17">
        <v>151365.6649</v>
      </c>
      <c r="M253" s="17">
        <v>2024</v>
      </c>
      <c r="N253" s="17" t="s">
        <v>117</v>
      </c>
    </row>
    <row r="254" spans="1:14" ht="14.25" customHeight="1">
      <c r="A254" s="17">
        <v>10253</v>
      </c>
      <c r="B254" s="18">
        <v>46002</v>
      </c>
      <c r="C254" s="17" t="s">
        <v>167</v>
      </c>
      <c r="D254" s="17" t="s">
        <v>89</v>
      </c>
      <c r="E254" s="17" t="s">
        <v>165</v>
      </c>
      <c r="F254" s="17" t="s">
        <v>163</v>
      </c>
      <c r="G254" s="17">
        <v>8</v>
      </c>
      <c r="H254" s="17">
        <v>13634</v>
      </c>
      <c r="I254" s="17">
        <v>109072</v>
      </c>
      <c r="J254" s="17">
        <v>3457</v>
      </c>
      <c r="K254" s="17">
        <v>105615</v>
      </c>
      <c r="L254" s="17">
        <v>23540.810649999999</v>
      </c>
      <c r="M254" s="17">
        <v>2025</v>
      </c>
      <c r="N254" s="17" t="s">
        <v>169</v>
      </c>
    </row>
    <row r="255" spans="1:14" ht="14.25" customHeight="1">
      <c r="A255" s="17">
        <v>10254</v>
      </c>
      <c r="B255" s="18">
        <v>45780</v>
      </c>
      <c r="C255" s="17" t="s">
        <v>39</v>
      </c>
      <c r="D255" s="17" t="s">
        <v>170</v>
      </c>
      <c r="E255" s="17" t="s">
        <v>168</v>
      </c>
      <c r="F255" s="17" t="s">
        <v>172</v>
      </c>
      <c r="G255" s="17">
        <v>1</v>
      </c>
      <c r="H255" s="17">
        <v>73550</v>
      </c>
      <c r="I255" s="17">
        <v>73550</v>
      </c>
      <c r="J255" s="17">
        <v>2949</v>
      </c>
      <c r="K255" s="17">
        <v>70601</v>
      </c>
      <c r="L255" s="17">
        <v>9738.7637400000003</v>
      </c>
      <c r="M255" s="17">
        <v>2025</v>
      </c>
      <c r="N255" s="17" t="s">
        <v>117</v>
      </c>
    </row>
    <row r="256" spans="1:14" ht="14.25" customHeight="1">
      <c r="A256" s="17">
        <v>10255</v>
      </c>
      <c r="B256" s="18">
        <v>45931</v>
      </c>
      <c r="C256" s="17" t="s">
        <v>50</v>
      </c>
      <c r="D256" s="17" t="s">
        <v>170</v>
      </c>
      <c r="E256" s="17" t="s">
        <v>168</v>
      </c>
      <c r="F256" s="17" t="s">
        <v>164</v>
      </c>
      <c r="G256" s="17">
        <v>2</v>
      </c>
      <c r="H256" s="17">
        <v>15773</v>
      </c>
      <c r="I256" s="17">
        <v>31546</v>
      </c>
      <c r="J256" s="17">
        <v>2318</v>
      </c>
      <c r="K256" s="17">
        <v>29228</v>
      </c>
      <c r="L256" s="17">
        <v>6912.1404220000004</v>
      </c>
      <c r="M256" s="17">
        <v>2025</v>
      </c>
      <c r="N256" s="17" t="s">
        <v>174</v>
      </c>
    </row>
    <row r="257" spans="1:14" ht="14.25" customHeight="1">
      <c r="A257" s="17">
        <v>10256</v>
      </c>
      <c r="B257" s="18">
        <v>45842</v>
      </c>
      <c r="C257" s="17" t="s">
        <v>167</v>
      </c>
      <c r="D257" s="17" t="s">
        <v>111</v>
      </c>
      <c r="E257" s="17" t="s">
        <v>168</v>
      </c>
      <c r="F257" s="17" t="s">
        <v>172</v>
      </c>
      <c r="G257" s="17">
        <v>2</v>
      </c>
      <c r="H257" s="17">
        <v>22881</v>
      </c>
      <c r="I257" s="17">
        <v>45762</v>
      </c>
      <c r="J257" s="17">
        <v>3385</v>
      </c>
      <c r="K257" s="17">
        <v>42377</v>
      </c>
      <c r="L257" s="17">
        <v>7287.0380720000003</v>
      </c>
      <c r="M257" s="17">
        <v>2025</v>
      </c>
      <c r="N257" s="17" t="s">
        <v>123</v>
      </c>
    </row>
    <row r="258" spans="1:14" ht="14.25" customHeight="1">
      <c r="A258" s="17">
        <v>10257</v>
      </c>
      <c r="B258" s="18">
        <v>45629</v>
      </c>
      <c r="C258" s="17" t="s">
        <v>45</v>
      </c>
      <c r="D258" s="17" t="s">
        <v>86</v>
      </c>
      <c r="E258" s="17" t="s">
        <v>162</v>
      </c>
      <c r="F258" s="17" t="s">
        <v>164</v>
      </c>
      <c r="G258" s="17">
        <v>9</v>
      </c>
      <c r="H258" s="17">
        <v>66596</v>
      </c>
      <c r="I258" s="17">
        <v>599364</v>
      </c>
      <c r="J258" s="17">
        <v>2294</v>
      </c>
      <c r="K258" s="17">
        <v>597070</v>
      </c>
      <c r="L258" s="17">
        <v>64095.37528</v>
      </c>
      <c r="M258" s="17">
        <v>2024</v>
      </c>
      <c r="N258" s="17" t="s">
        <v>169</v>
      </c>
    </row>
    <row r="259" spans="1:14" ht="14.25" customHeight="1">
      <c r="A259" s="17">
        <v>10258</v>
      </c>
      <c r="B259" s="18">
        <v>45932</v>
      </c>
      <c r="C259" s="17" t="s">
        <v>45</v>
      </c>
      <c r="D259" s="17" t="s">
        <v>89</v>
      </c>
      <c r="E259" s="17" t="s">
        <v>168</v>
      </c>
      <c r="F259" s="17" t="s">
        <v>172</v>
      </c>
      <c r="G259" s="17">
        <v>9</v>
      </c>
      <c r="H259" s="17">
        <v>13280</v>
      </c>
      <c r="I259" s="17">
        <v>119520</v>
      </c>
      <c r="J259" s="17">
        <v>2995</v>
      </c>
      <c r="K259" s="17">
        <v>116525</v>
      </c>
      <c r="L259" s="17">
        <v>12140.587450000001</v>
      </c>
      <c r="M259" s="17">
        <v>2025</v>
      </c>
      <c r="N259" s="17" t="s">
        <v>174</v>
      </c>
    </row>
    <row r="260" spans="1:14" ht="14.25" customHeight="1">
      <c r="A260" s="17">
        <v>10259</v>
      </c>
      <c r="B260" s="18">
        <v>45764</v>
      </c>
      <c r="C260" s="17" t="s">
        <v>50</v>
      </c>
      <c r="D260" s="17" t="s">
        <v>86</v>
      </c>
      <c r="E260" s="17" t="s">
        <v>165</v>
      </c>
      <c r="F260" s="17" t="s">
        <v>164</v>
      </c>
      <c r="G260" s="17">
        <v>9</v>
      </c>
      <c r="H260" s="17">
        <v>64593</v>
      </c>
      <c r="I260" s="17">
        <v>581337</v>
      </c>
      <c r="J260" s="17">
        <v>3638</v>
      </c>
      <c r="K260" s="17">
        <v>577699</v>
      </c>
      <c r="L260" s="17">
        <v>99807.35785</v>
      </c>
      <c r="M260" s="17">
        <v>2025</v>
      </c>
      <c r="N260" s="17" t="s">
        <v>114</v>
      </c>
    </row>
    <row r="261" spans="1:14" ht="14.25" customHeight="1">
      <c r="A261" s="17">
        <v>10260</v>
      </c>
      <c r="B261" s="18">
        <v>45442</v>
      </c>
      <c r="C261" s="17" t="s">
        <v>39</v>
      </c>
      <c r="D261" s="17" t="s">
        <v>83</v>
      </c>
      <c r="E261" s="17" t="s">
        <v>168</v>
      </c>
      <c r="F261" s="17" t="s">
        <v>164</v>
      </c>
      <c r="G261" s="17">
        <v>1</v>
      </c>
      <c r="H261" s="17">
        <v>30555</v>
      </c>
      <c r="I261" s="17">
        <v>30555</v>
      </c>
      <c r="J261" s="17">
        <v>4916</v>
      </c>
      <c r="K261" s="17">
        <v>25639</v>
      </c>
      <c r="L261" s="17">
        <v>4664.9757550000004</v>
      </c>
      <c r="M261" s="17">
        <v>2024</v>
      </c>
      <c r="N261" s="17" t="s">
        <v>117</v>
      </c>
    </row>
    <row r="262" spans="1:14" ht="14.25" customHeight="1">
      <c r="A262" s="17">
        <v>10261</v>
      </c>
      <c r="B262" s="18">
        <v>45706</v>
      </c>
      <c r="C262" s="17" t="s">
        <v>167</v>
      </c>
      <c r="D262" s="17" t="s">
        <v>86</v>
      </c>
      <c r="E262" s="17" t="s">
        <v>162</v>
      </c>
      <c r="F262" s="17" t="s">
        <v>166</v>
      </c>
      <c r="G262" s="17">
        <v>7</v>
      </c>
      <c r="H262" s="17">
        <v>46421</v>
      </c>
      <c r="I262" s="17">
        <v>324947</v>
      </c>
      <c r="J262" s="17">
        <v>3367</v>
      </c>
      <c r="K262" s="17">
        <v>321580</v>
      </c>
      <c r="L262" s="17">
        <v>36012.759550000002</v>
      </c>
      <c r="M262" s="17">
        <v>2025</v>
      </c>
      <c r="N262" s="17" t="s">
        <v>175</v>
      </c>
    </row>
    <row r="263" spans="1:14" ht="14.25" customHeight="1">
      <c r="A263" s="17">
        <v>10262</v>
      </c>
      <c r="B263" s="18">
        <v>45589</v>
      </c>
      <c r="C263" s="17" t="s">
        <v>39</v>
      </c>
      <c r="D263" s="17" t="s">
        <v>83</v>
      </c>
      <c r="E263" s="17" t="s">
        <v>168</v>
      </c>
      <c r="F263" s="17" t="s">
        <v>172</v>
      </c>
      <c r="G263" s="17">
        <v>3</v>
      </c>
      <c r="H263" s="17">
        <v>32332</v>
      </c>
      <c r="I263" s="17">
        <v>96996</v>
      </c>
      <c r="J263" s="17">
        <v>3284</v>
      </c>
      <c r="K263" s="17">
        <v>93712</v>
      </c>
      <c r="L263" s="17">
        <v>22334.952420000001</v>
      </c>
      <c r="M263" s="17">
        <v>2024</v>
      </c>
      <c r="N263" s="17" t="s">
        <v>174</v>
      </c>
    </row>
    <row r="264" spans="1:14" ht="14.25" customHeight="1">
      <c r="A264" s="17">
        <v>10263</v>
      </c>
      <c r="B264" s="18">
        <v>45902</v>
      </c>
      <c r="C264" s="17" t="s">
        <v>45</v>
      </c>
      <c r="D264" s="17" t="s">
        <v>170</v>
      </c>
      <c r="E264" s="17" t="s">
        <v>168</v>
      </c>
      <c r="F264" s="17" t="s">
        <v>163</v>
      </c>
      <c r="G264" s="17">
        <v>9</v>
      </c>
      <c r="H264" s="17">
        <v>49588</v>
      </c>
      <c r="I264" s="17">
        <v>446292</v>
      </c>
      <c r="J264" s="17">
        <v>2342</v>
      </c>
      <c r="K264" s="17">
        <v>443950</v>
      </c>
      <c r="L264" s="17">
        <v>92222.854149999999</v>
      </c>
      <c r="M264" s="17">
        <v>2025</v>
      </c>
      <c r="N264" s="17" t="s">
        <v>129</v>
      </c>
    </row>
    <row r="265" spans="1:14" ht="14.25" customHeight="1">
      <c r="A265" s="17">
        <v>10264</v>
      </c>
      <c r="B265" s="18">
        <v>45554</v>
      </c>
      <c r="C265" s="17" t="s">
        <v>167</v>
      </c>
      <c r="D265" s="17" t="s">
        <v>170</v>
      </c>
      <c r="E265" s="17" t="s">
        <v>168</v>
      </c>
      <c r="F265" s="17" t="s">
        <v>164</v>
      </c>
      <c r="G265" s="17">
        <v>8</v>
      </c>
      <c r="H265" s="17">
        <v>12637</v>
      </c>
      <c r="I265" s="17">
        <v>101096</v>
      </c>
      <c r="J265" s="17">
        <v>170</v>
      </c>
      <c r="K265" s="17">
        <v>100926</v>
      </c>
      <c r="L265" s="17">
        <v>22223.1335</v>
      </c>
      <c r="M265" s="17">
        <v>2024</v>
      </c>
      <c r="N265" s="17" t="s">
        <v>129</v>
      </c>
    </row>
    <row r="266" spans="1:14" ht="14.25" customHeight="1">
      <c r="A266" s="17">
        <v>10265</v>
      </c>
      <c r="B266" s="18">
        <v>45435</v>
      </c>
      <c r="C266" s="17" t="s">
        <v>39</v>
      </c>
      <c r="D266" s="17" t="s">
        <v>111</v>
      </c>
      <c r="E266" s="17" t="s">
        <v>162</v>
      </c>
      <c r="F266" s="17" t="s">
        <v>172</v>
      </c>
      <c r="G266" s="17">
        <v>3</v>
      </c>
      <c r="H266" s="17">
        <v>51158</v>
      </c>
      <c r="I266" s="17">
        <v>153474</v>
      </c>
      <c r="J266" s="17">
        <v>4341</v>
      </c>
      <c r="K266" s="17">
        <v>149133</v>
      </c>
      <c r="L266" s="17">
        <v>27977.870930000001</v>
      </c>
      <c r="M266" s="17">
        <v>2024</v>
      </c>
      <c r="N266" s="17" t="s">
        <v>117</v>
      </c>
    </row>
    <row r="267" spans="1:14" ht="14.25" customHeight="1">
      <c r="A267" s="17">
        <v>10266</v>
      </c>
      <c r="B267" s="18">
        <v>45637</v>
      </c>
      <c r="C267" s="17" t="s">
        <v>58</v>
      </c>
      <c r="D267" s="17" t="s">
        <v>86</v>
      </c>
      <c r="E267" s="17" t="s">
        <v>165</v>
      </c>
      <c r="F267" s="17" t="s">
        <v>164</v>
      </c>
      <c r="G267" s="17">
        <v>1</v>
      </c>
      <c r="H267" s="17">
        <v>58798</v>
      </c>
      <c r="I267" s="17">
        <v>58798</v>
      </c>
      <c r="J267" s="17">
        <v>1639</v>
      </c>
      <c r="K267" s="17">
        <v>57159</v>
      </c>
      <c r="L267" s="17">
        <v>11405.02738</v>
      </c>
      <c r="M267" s="17">
        <v>2024</v>
      </c>
      <c r="N267" s="17" t="s">
        <v>169</v>
      </c>
    </row>
    <row r="268" spans="1:14" ht="14.25" customHeight="1">
      <c r="A268" s="17">
        <v>10267</v>
      </c>
      <c r="B268" s="18">
        <v>45915</v>
      </c>
      <c r="C268" s="17" t="s">
        <v>50</v>
      </c>
      <c r="D268" s="17" t="s">
        <v>86</v>
      </c>
      <c r="E268" s="17" t="s">
        <v>165</v>
      </c>
      <c r="F268" s="17" t="s">
        <v>166</v>
      </c>
      <c r="G268" s="17">
        <v>9</v>
      </c>
      <c r="H268" s="17">
        <v>57135</v>
      </c>
      <c r="I268" s="17">
        <v>514215</v>
      </c>
      <c r="J268" s="17">
        <v>616</v>
      </c>
      <c r="K268" s="17">
        <v>513599</v>
      </c>
      <c r="L268" s="17">
        <v>81240.593930000003</v>
      </c>
      <c r="M268" s="17">
        <v>2025</v>
      </c>
      <c r="N268" s="17" t="s">
        <v>129</v>
      </c>
    </row>
    <row r="269" spans="1:14" ht="14.25" customHeight="1">
      <c r="A269" s="17">
        <v>10268</v>
      </c>
      <c r="B269" s="18">
        <v>45863</v>
      </c>
      <c r="C269" s="17" t="s">
        <v>50</v>
      </c>
      <c r="D269" s="17" t="s">
        <v>83</v>
      </c>
      <c r="E269" s="17" t="s">
        <v>165</v>
      </c>
      <c r="F269" s="17" t="s">
        <v>166</v>
      </c>
      <c r="G269" s="17">
        <v>1</v>
      </c>
      <c r="H269" s="17">
        <v>21155</v>
      </c>
      <c r="I269" s="17">
        <v>21155</v>
      </c>
      <c r="J269" s="17">
        <v>239</v>
      </c>
      <c r="K269" s="17">
        <v>20916</v>
      </c>
      <c r="L269" s="17">
        <v>4222.8266739999999</v>
      </c>
      <c r="M269" s="17">
        <v>2025</v>
      </c>
      <c r="N269" s="17" t="s">
        <v>123</v>
      </c>
    </row>
    <row r="270" spans="1:14" ht="14.25" customHeight="1">
      <c r="A270" s="17">
        <v>10269</v>
      </c>
      <c r="B270" s="18">
        <v>45293</v>
      </c>
      <c r="C270" s="17" t="s">
        <v>58</v>
      </c>
      <c r="D270" s="17" t="s">
        <v>170</v>
      </c>
      <c r="E270" s="17" t="s">
        <v>168</v>
      </c>
      <c r="F270" s="17" t="s">
        <v>166</v>
      </c>
      <c r="G270" s="17">
        <v>3</v>
      </c>
      <c r="H270" s="17">
        <v>73596</v>
      </c>
      <c r="I270" s="17">
        <v>220788</v>
      </c>
      <c r="J270" s="17">
        <v>4493</v>
      </c>
      <c r="K270" s="17">
        <v>216295</v>
      </c>
      <c r="L270" s="17">
        <v>53365.91027</v>
      </c>
      <c r="M270" s="17">
        <v>2024</v>
      </c>
      <c r="N270" s="17" t="s">
        <v>171</v>
      </c>
    </row>
    <row r="271" spans="1:14" ht="14.25" customHeight="1">
      <c r="A271" s="17">
        <v>10270</v>
      </c>
      <c r="B271" s="18">
        <v>45595</v>
      </c>
      <c r="C271" s="17" t="s">
        <v>45</v>
      </c>
      <c r="D271" s="17" t="s">
        <v>83</v>
      </c>
      <c r="E271" s="17" t="s">
        <v>168</v>
      </c>
      <c r="F271" s="17" t="s">
        <v>166</v>
      </c>
      <c r="G271" s="17">
        <v>6</v>
      </c>
      <c r="H271" s="17">
        <v>51465</v>
      </c>
      <c r="I271" s="17">
        <v>308790</v>
      </c>
      <c r="J271" s="17">
        <v>1856</v>
      </c>
      <c r="K271" s="17">
        <v>306934</v>
      </c>
      <c r="L271" s="17">
        <v>60514.3053</v>
      </c>
      <c r="M271" s="17">
        <v>2024</v>
      </c>
      <c r="N271" s="17" t="s">
        <v>174</v>
      </c>
    </row>
    <row r="272" spans="1:14" ht="14.25" customHeight="1">
      <c r="A272" s="17">
        <v>10271</v>
      </c>
      <c r="B272" s="18">
        <v>45545</v>
      </c>
      <c r="C272" s="17" t="s">
        <v>167</v>
      </c>
      <c r="D272" s="17" t="s">
        <v>170</v>
      </c>
      <c r="E272" s="17" t="s">
        <v>162</v>
      </c>
      <c r="F272" s="17" t="s">
        <v>163</v>
      </c>
      <c r="G272" s="17">
        <v>6</v>
      </c>
      <c r="H272" s="17">
        <v>53081</v>
      </c>
      <c r="I272" s="17">
        <v>318486</v>
      </c>
      <c r="J272" s="17">
        <v>922</v>
      </c>
      <c r="K272" s="17">
        <v>317564</v>
      </c>
      <c r="L272" s="17">
        <v>48029.985739999996</v>
      </c>
      <c r="M272" s="17">
        <v>2024</v>
      </c>
      <c r="N272" s="17" t="s">
        <v>129</v>
      </c>
    </row>
    <row r="273" spans="1:14" ht="14.25" customHeight="1">
      <c r="A273" s="17">
        <v>10272</v>
      </c>
      <c r="B273" s="18">
        <v>45943</v>
      </c>
      <c r="C273" s="17" t="s">
        <v>50</v>
      </c>
      <c r="D273" s="17" t="s">
        <v>83</v>
      </c>
      <c r="E273" s="17" t="s">
        <v>165</v>
      </c>
      <c r="F273" s="17" t="s">
        <v>163</v>
      </c>
      <c r="G273" s="17">
        <v>4</v>
      </c>
      <c r="H273" s="17">
        <v>61986</v>
      </c>
      <c r="I273" s="17">
        <v>247944</v>
      </c>
      <c r="J273" s="17">
        <v>4887</v>
      </c>
      <c r="K273" s="17">
        <v>243057</v>
      </c>
      <c r="L273" s="17">
        <v>34705.104809999997</v>
      </c>
      <c r="M273" s="17">
        <v>2025</v>
      </c>
      <c r="N273" s="17" t="s">
        <v>174</v>
      </c>
    </row>
    <row r="274" spans="1:14" ht="14.25" customHeight="1">
      <c r="A274" s="17">
        <v>10273</v>
      </c>
      <c r="B274" s="18">
        <v>45744</v>
      </c>
      <c r="C274" s="17" t="s">
        <v>58</v>
      </c>
      <c r="D274" s="17" t="s">
        <v>170</v>
      </c>
      <c r="E274" s="17" t="s">
        <v>168</v>
      </c>
      <c r="F274" s="17" t="s">
        <v>164</v>
      </c>
      <c r="G274" s="17">
        <v>2</v>
      </c>
      <c r="H274" s="17">
        <v>60956</v>
      </c>
      <c r="I274" s="17">
        <v>121912</v>
      </c>
      <c r="J274" s="17">
        <v>1904</v>
      </c>
      <c r="K274" s="17">
        <v>120008</v>
      </c>
      <c r="L274" s="17">
        <v>29342.182949999999</v>
      </c>
      <c r="M274" s="17">
        <v>2025</v>
      </c>
      <c r="N274" s="17" t="s">
        <v>112</v>
      </c>
    </row>
    <row r="275" spans="1:14" ht="14.25" customHeight="1">
      <c r="A275" s="17">
        <v>10274</v>
      </c>
      <c r="B275" s="18">
        <v>45328</v>
      </c>
      <c r="C275" s="17" t="s">
        <v>58</v>
      </c>
      <c r="D275" s="17" t="s">
        <v>83</v>
      </c>
      <c r="E275" s="17" t="s">
        <v>168</v>
      </c>
      <c r="F275" s="17" t="s">
        <v>172</v>
      </c>
      <c r="G275" s="17">
        <v>6</v>
      </c>
      <c r="H275" s="17">
        <v>45278</v>
      </c>
      <c r="I275" s="17">
        <v>271668</v>
      </c>
      <c r="J275" s="17">
        <v>3149</v>
      </c>
      <c r="K275" s="17">
        <v>268519</v>
      </c>
      <c r="L275" s="17">
        <v>34303.394769999999</v>
      </c>
      <c r="M275" s="17">
        <v>2024</v>
      </c>
      <c r="N275" s="17" t="s">
        <v>175</v>
      </c>
    </row>
    <row r="276" spans="1:14" ht="14.25" customHeight="1">
      <c r="A276" s="17">
        <v>10275</v>
      </c>
      <c r="B276" s="18">
        <v>45451</v>
      </c>
      <c r="C276" s="17" t="s">
        <v>45</v>
      </c>
      <c r="D276" s="17" t="s">
        <v>170</v>
      </c>
      <c r="E276" s="17" t="s">
        <v>168</v>
      </c>
      <c r="F276" s="17" t="s">
        <v>166</v>
      </c>
      <c r="G276" s="17">
        <v>5</v>
      </c>
      <c r="H276" s="17">
        <v>73486</v>
      </c>
      <c r="I276" s="17">
        <v>367430</v>
      </c>
      <c r="J276" s="17">
        <v>812</v>
      </c>
      <c r="K276" s="17">
        <v>366618</v>
      </c>
      <c r="L276" s="17">
        <v>80996.728409999996</v>
      </c>
      <c r="M276" s="17">
        <v>2024</v>
      </c>
      <c r="N276" s="17" t="s">
        <v>120</v>
      </c>
    </row>
    <row r="277" spans="1:14" ht="14.25" customHeight="1">
      <c r="A277" s="17">
        <v>10276</v>
      </c>
      <c r="B277" s="18">
        <v>45300</v>
      </c>
      <c r="C277" s="17" t="s">
        <v>45</v>
      </c>
      <c r="D277" s="17" t="s">
        <v>83</v>
      </c>
      <c r="E277" s="17" t="s">
        <v>162</v>
      </c>
      <c r="F277" s="17" t="s">
        <v>166</v>
      </c>
      <c r="G277" s="17">
        <v>6</v>
      </c>
      <c r="H277" s="17">
        <v>58692</v>
      </c>
      <c r="I277" s="17">
        <v>352152</v>
      </c>
      <c r="J277" s="17">
        <v>4999</v>
      </c>
      <c r="K277" s="17">
        <v>347153</v>
      </c>
      <c r="L277" s="17">
        <v>58942.880069999999</v>
      </c>
      <c r="M277" s="17">
        <v>2024</v>
      </c>
      <c r="N277" s="17" t="s">
        <v>171</v>
      </c>
    </row>
    <row r="278" spans="1:14" ht="14.25" customHeight="1">
      <c r="A278" s="17">
        <v>10277</v>
      </c>
      <c r="B278" s="18">
        <v>45524</v>
      </c>
      <c r="C278" s="17" t="s">
        <v>39</v>
      </c>
      <c r="D278" s="17" t="s">
        <v>86</v>
      </c>
      <c r="E278" s="17" t="s">
        <v>165</v>
      </c>
      <c r="F278" s="17" t="s">
        <v>163</v>
      </c>
      <c r="G278" s="17">
        <v>7</v>
      </c>
      <c r="H278" s="17">
        <v>52155</v>
      </c>
      <c r="I278" s="17">
        <v>365085</v>
      </c>
      <c r="J278" s="17">
        <v>1730</v>
      </c>
      <c r="K278" s="17">
        <v>363355</v>
      </c>
      <c r="L278" s="17">
        <v>60521.848830000003</v>
      </c>
      <c r="M278" s="17">
        <v>2024</v>
      </c>
      <c r="N278" s="17" t="s">
        <v>126</v>
      </c>
    </row>
    <row r="279" spans="1:14" ht="14.25" customHeight="1">
      <c r="A279" s="17">
        <v>10278</v>
      </c>
      <c r="B279" s="18">
        <v>45390</v>
      </c>
      <c r="C279" s="17" t="s">
        <v>50</v>
      </c>
      <c r="D279" s="17" t="s">
        <v>111</v>
      </c>
      <c r="E279" s="17" t="s">
        <v>162</v>
      </c>
      <c r="F279" s="17" t="s">
        <v>163</v>
      </c>
      <c r="G279" s="17">
        <v>9</v>
      </c>
      <c r="H279" s="17">
        <v>11063</v>
      </c>
      <c r="I279" s="17">
        <v>99567</v>
      </c>
      <c r="J279" s="17">
        <v>831</v>
      </c>
      <c r="K279" s="17">
        <v>98736</v>
      </c>
      <c r="L279" s="17">
        <v>20944.933659999999</v>
      </c>
      <c r="M279" s="17">
        <v>2024</v>
      </c>
      <c r="N279" s="17" t="s">
        <v>114</v>
      </c>
    </row>
    <row r="280" spans="1:14" ht="14.25" customHeight="1">
      <c r="A280" s="17">
        <v>10279</v>
      </c>
      <c r="B280" s="18">
        <v>45950</v>
      </c>
      <c r="C280" s="17" t="s">
        <v>39</v>
      </c>
      <c r="D280" s="17" t="s">
        <v>83</v>
      </c>
      <c r="E280" s="17" t="s">
        <v>165</v>
      </c>
      <c r="F280" s="17" t="s">
        <v>166</v>
      </c>
      <c r="G280" s="17">
        <v>7</v>
      </c>
      <c r="H280" s="17">
        <v>49690</v>
      </c>
      <c r="I280" s="17">
        <v>347830</v>
      </c>
      <c r="J280" s="17">
        <v>3424</v>
      </c>
      <c r="K280" s="17">
        <v>344406</v>
      </c>
      <c r="L280" s="17">
        <v>42088.398529999999</v>
      </c>
      <c r="M280" s="17">
        <v>2025</v>
      </c>
      <c r="N280" s="17" t="s">
        <v>174</v>
      </c>
    </row>
    <row r="281" spans="1:14" ht="14.25" customHeight="1">
      <c r="A281" s="17">
        <v>10280</v>
      </c>
      <c r="B281" s="18">
        <v>45499</v>
      </c>
      <c r="C281" s="17" t="s">
        <v>58</v>
      </c>
      <c r="D281" s="17" t="s">
        <v>111</v>
      </c>
      <c r="E281" s="17" t="s">
        <v>165</v>
      </c>
      <c r="F281" s="17" t="s">
        <v>172</v>
      </c>
      <c r="G281" s="17">
        <v>4</v>
      </c>
      <c r="H281" s="17">
        <v>31507</v>
      </c>
      <c r="I281" s="17">
        <v>126028</v>
      </c>
      <c r="J281" s="17">
        <v>2207</v>
      </c>
      <c r="K281" s="17">
        <v>123821</v>
      </c>
      <c r="L281" s="17">
        <v>21042.68418</v>
      </c>
      <c r="M281" s="17">
        <v>2024</v>
      </c>
      <c r="N281" s="17" t="s">
        <v>123</v>
      </c>
    </row>
    <row r="282" spans="1:14" ht="14.25" customHeight="1">
      <c r="A282" s="17">
        <v>10281</v>
      </c>
      <c r="B282" s="18">
        <v>45422</v>
      </c>
      <c r="C282" s="17" t="s">
        <v>167</v>
      </c>
      <c r="D282" s="17" t="s">
        <v>86</v>
      </c>
      <c r="E282" s="17" t="s">
        <v>168</v>
      </c>
      <c r="F282" s="17" t="s">
        <v>164</v>
      </c>
      <c r="G282" s="17">
        <v>5</v>
      </c>
      <c r="H282" s="17">
        <v>12661</v>
      </c>
      <c r="I282" s="17">
        <v>63305</v>
      </c>
      <c r="J282" s="17">
        <v>4839</v>
      </c>
      <c r="K282" s="17">
        <v>58466</v>
      </c>
      <c r="L282" s="17">
        <v>6160.8578580000003</v>
      </c>
      <c r="M282" s="17">
        <v>2024</v>
      </c>
      <c r="N282" s="17" t="s">
        <v>117</v>
      </c>
    </row>
    <row r="283" spans="1:14" ht="14.25" customHeight="1">
      <c r="A283" s="17">
        <v>10282</v>
      </c>
      <c r="B283" s="18">
        <v>45695</v>
      </c>
      <c r="C283" s="17" t="s">
        <v>167</v>
      </c>
      <c r="D283" s="17" t="s">
        <v>86</v>
      </c>
      <c r="E283" s="17" t="s">
        <v>168</v>
      </c>
      <c r="F283" s="17" t="s">
        <v>164</v>
      </c>
      <c r="G283" s="17">
        <v>6</v>
      </c>
      <c r="H283" s="17">
        <v>41189</v>
      </c>
      <c r="I283" s="17">
        <v>247134</v>
      </c>
      <c r="J283" s="17">
        <v>3432</v>
      </c>
      <c r="K283" s="17">
        <v>243702</v>
      </c>
      <c r="L283" s="17">
        <v>48877.122479999998</v>
      </c>
      <c r="M283" s="17">
        <v>2025</v>
      </c>
      <c r="N283" s="17" t="s">
        <v>175</v>
      </c>
    </row>
    <row r="284" spans="1:14" ht="14.25" customHeight="1">
      <c r="A284" s="17">
        <v>10283</v>
      </c>
      <c r="B284" s="18">
        <v>45443</v>
      </c>
      <c r="C284" s="17" t="s">
        <v>45</v>
      </c>
      <c r="D284" s="17" t="s">
        <v>170</v>
      </c>
      <c r="E284" s="17" t="s">
        <v>168</v>
      </c>
      <c r="F284" s="17" t="s">
        <v>164</v>
      </c>
      <c r="G284" s="17">
        <v>9</v>
      </c>
      <c r="H284" s="17">
        <v>18057</v>
      </c>
      <c r="I284" s="17">
        <v>162513</v>
      </c>
      <c r="J284" s="17">
        <v>4908</v>
      </c>
      <c r="K284" s="17">
        <v>157605</v>
      </c>
      <c r="L284" s="17">
        <v>17140.582780000001</v>
      </c>
      <c r="M284" s="17">
        <v>2024</v>
      </c>
      <c r="N284" s="17" t="s">
        <v>117</v>
      </c>
    </row>
    <row r="285" spans="1:14" ht="14.25" customHeight="1">
      <c r="A285" s="17">
        <v>10284</v>
      </c>
      <c r="B285" s="18">
        <v>45345</v>
      </c>
      <c r="C285" s="17" t="s">
        <v>167</v>
      </c>
      <c r="D285" s="17" t="s">
        <v>111</v>
      </c>
      <c r="E285" s="17" t="s">
        <v>168</v>
      </c>
      <c r="F285" s="17" t="s">
        <v>164</v>
      </c>
      <c r="G285" s="17">
        <v>5</v>
      </c>
      <c r="H285" s="17">
        <v>40313</v>
      </c>
      <c r="I285" s="17">
        <v>201565</v>
      </c>
      <c r="J285" s="17">
        <v>3368</v>
      </c>
      <c r="K285" s="17">
        <v>198197</v>
      </c>
      <c r="L285" s="17">
        <v>22414.756669999999</v>
      </c>
      <c r="M285" s="17">
        <v>2024</v>
      </c>
      <c r="N285" s="17" t="s">
        <v>175</v>
      </c>
    </row>
    <row r="286" spans="1:14" ht="14.25" customHeight="1">
      <c r="A286" s="17">
        <v>10285</v>
      </c>
      <c r="B286" s="18">
        <v>45411</v>
      </c>
      <c r="C286" s="17" t="s">
        <v>167</v>
      </c>
      <c r="D286" s="17" t="s">
        <v>89</v>
      </c>
      <c r="E286" s="17" t="s">
        <v>168</v>
      </c>
      <c r="F286" s="17" t="s">
        <v>172</v>
      </c>
      <c r="G286" s="17">
        <v>5</v>
      </c>
      <c r="H286" s="17">
        <v>41988</v>
      </c>
      <c r="I286" s="17">
        <v>209940</v>
      </c>
      <c r="J286" s="17">
        <v>2227</v>
      </c>
      <c r="K286" s="17">
        <v>207713</v>
      </c>
      <c r="L286" s="17">
        <v>47093.513319999998</v>
      </c>
      <c r="M286" s="17">
        <v>2024</v>
      </c>
      <c r="N286" s="17" t="s">
        <v>114</v>
      </c>
    </row>
    <row r="287" spans="1:14" ht="14.25" customHeight="1">
      <c r="A287" s="17">
        <v>10286</v>
      </c>
      <c r="B287" s="18">
        <v>45964</v>
      </c>
      <c r="C287" s="17" t="s">
        <v>167</v>
      </c>
      <c r="D287" s="17" t="s">
        <v>170</v>
      </c>
      <c r="E287" s="17" t="s">
        <v>165</v>
      </c>
      <c r="F287" s="17" t="s">
        <v>172</v>
      </c>
      <c r="G287" s="17">
        <v>7</v>
      </c>
      <c r="H287" s="17">
        <v>17491</v>
      </c>
      <c r="I287" s="17">
        <v>122437</v>
      </c>
      <c r="J287" s="17">
        <v>2260</v>
      </c>
      <c r="K287" s="17">
        <v>120177</v>
      </c>
      <c r="L287" s="17">
        <v>20002.653829999999</v>
      </c>
      <c r="M287" s="17">
        <v>2025</v>
      </c>
      <c r="N287" s="17" t="s">
        <v>173</v>
      </c>
    </row>
    <row r="288" spans="1:14" ht="14.25" customHeight="1">
      <c r="A288" s="17">
        <v>10287</v>
      </c>
      <c r="B288" s="18">
        <v>45919</v>
      </c>
      <c r="C288" s="17" t="s">
        <v>58</v>
      </c>
      <c r="D288" s="17" t="s">
        <v>111</v>
      </c>
      <c r="E288" s="17" t="s">
        <v>168</v>
      </c>
      <c r="F288" s="17" t="s">
        <v>172</v>
      </c>
      <c r="G288" s="17">
        <v>2</v>
      </c>
      <c r="H288" s="17">
        <v>65159</v>
      </c>
      <c r="I288" s="17">
        <v>130318</v>
      </c>
      <c r="J288" s="17">
        <v>4625</v>
      </c>
      <c r="K288" s="17">
        <v>125693</v>
      </c>
      <c r="L288" s="17">
        <v>16358.48558</v>
      </c>
      <c r="M288" s="17">
        <v>2025</v>
      </c>
      <c r="N288" s="17" t="s">
        <v>129</v>
      </c>
    </row>
    <row r="289" spans="1:14" ht="14.25" customHeight="1">
      <c r="A289" s="17">
        <v>10288</v>
      </c>
      <c r="B289" s="18">
        <v>45878</v>
      </c>
      <c r="C289" s="17" t="s">
        <v>167</v>
      </c>
      <c r="D289" s="17" t="s">
        <v>83</v>
      </c>
      <c r="E289" s="17" t="s">
        <v>168</v>
      </c>
      <c r="F289" s="17" t="s">
        <v>163</v>
      </c>
      <c r="G289" s="17">
        <v>3</v>
      </c>
      <c r="H289" s="17">
        <v>38410</v>
      </c>
      <c r="I289" s="17">
        <v>115230</v>
      </c>
      <c r="J289" s="17">
        <v>2917</v>
      </c>
      <c r="K289" s="17">
        <v>112313</v>
      </c>
      <c r="L289" s="17">
        <v>21214.542720000001</v>
      </c>
      <c r="M289" s="17">
        <v>2025</v>
      </c>
      <c r="N289" s="17" t="s">
        <v>126</v>
      </c>
    </row>
    <row r="290" spans="1:14" ht="14.25" customHeight="1">
      <c r="A290" s="17">
        <v>10289</v>
      </c>
      <c r="B290" s="18">
        <v>45916</v>
      </c>
      <c r="C290" s="17" t="s">
        <v>167</v>
      </c>
      <c r="D290" s="17" t="s">
        <v>83</v>
      </c>
      <c r="E290" s="17" t="s">
        <v>162</v>
      </c>
      <c r="F290" s="17" t="s">
        <v>166</v>
      </c>
      <c r="G290" s="17">
        <v>2</v>
      </c>
      <c r="H290" s="17">
        <v>67029</v>
      </c>
      <c r="I290" s="17">
        <v>134058</v>
      </c>
      <c r="J290" s="17">
        <v>3520</v>
      </c>
      <c r="K290" s="17">
        <v>130538</v>
      </c>
      <c r="L290" s="17">
        <v>23221.72982</v>
      </c>
      <c r="M290" s="17">
        <v>2025</v>
      </c>
      <c r="N290" s="17" t="s">
        <v>129</v>
      </c>
    </row>
    <row r="291" spans="1:14" ht="14.25" customHeight="1">
      <c r="A291" s="17">
        <v>10290</v>
      </c>
      <c r="B291" s="18">
        <v>45711</v>
      </c>
      <c r="C291" s="17" t="s">
        <v>167</v>
      </c>
      <c r="D291" s="17" t="s">
        <v>86</v>
      </c>
      <c r="E291" s="17" t="s">
        <v>162</v>
      </c>
      <c r="F291" s="17" t="s">
        <v>172</v>
      </c>
      <c r="G291" s="17">
        <v>2</v>
      </c>
      <c r="H291" s="17">
        <v>39354</v>
      </c>
      <c r="I291" s="17">
        <v>78708</v>
      </c>
      <c r="J291" s="17">
        <v>4380</v>
      </c>
      <c r="K291" s="17">
        <v>74328</v>
      </c>
      <c r="L291" s="17">
        <v>12014.099120000001</v>
      </c>
      <c r="M291" s="17">
        <v>2025</v>
      </c>
      <c r="N291" s="17" t="s">
        <v>175</v>
      </c>
    </row>
    <row r="292" spans="1:14" ht="14.25" customHeight="1">
      <c r="A292" s="17">
        <v>10291</v>
      </c>
      <c r="B292" s="18">
        <v>45713</v>
      </c>
      <c r="C292" s="17" t="s">
        <v>39</v>
      </c>
      <c r="D292" s="17" t="s">
        <v>89</v>
      </c>
      <c r="E292" s="17" t="s">
        <v>165</v>
      </c>
      <c r="F292" s="17" t="s">
        <v>164</v>
      </c>
      <c r="G292" s="17">
        <v>3</v>
      </c>
      <c r="H292" s="17">
        <v>11504</v>
      </c>
      <c r="I292" s="17">
        <v>34512</v>
      </c>
      <c r="J292" s="17">
        <v>2708</v>
      </c>
      <c r="K292" s="17">
        <v>31804</v>
      </c>
      <c r="L292" s="17">
        <v>7499.7826590000004</v>
      </c>
      <c r="M292" s="17">
        <v>2025</v>
      </c>
      <c r="N292" s="17" t="s">
        <v>175</v>
      </c>
    </row>
    <row r="293" spans="1:14" ht="14.25" customHeight="1">
      <c r="A293" s="17">
        <v>10292</v>
      </c>
      <c r="B293" s="18">
        <v>45395</v>
      </c>
      <c r="C293" s="17" t="s">
        <v>58</v>
      </c>
      <c r="D293" s="17" t="s">
        <v>83</v>
      </c>
      <c r="E293" s="17" t="s">
        <v>165</v>
      </c>
      <c r="F293" s="17" t="s">
        <v>172</v>
      </c>
      <c r="G293" s="17">
        <v>6</v>
      </c>
      <c r="H293" s="17">
        <v>34811</v>
      </c>
      <c r="I293" s="17">
        <v>208866</v>
      </c>
      <c r="J293" s="17">
        <v>1820</v>
      </c>
      <c r="K293" s="17">
        <v>207046</v>
      </c>
      <c r="L293" s="17">
        <v>43980.4421</v>
      </c>
      <c r="M293" s="17">
        <v>2024</v>
      </c>
      <c r="N293" s="17" t="s">
        <v>114</v>
      </c>
    </row>
    <row r="294" spans="1:14" ht="14.25" customHeight="1">
      <c r="A294" s="17">
        <v>10293</v>
      </c>
      <c r="B294" s="18">
        <v>45545</v>
      </c>
      <c r="C294" s="17" t="s">
        <v>45</v>
      </c>
      <c r="D294" s="17" t="s">
        <v>111</v>
      </c>
      <c r="E294" s="17" t="s">
        <v>162</v>
      </c>
      <c r="F294" s="17" t="s">
        <v>166</v>
      </c>
      <c r="G294" s="17">
        <v>5</v>
      </c>
      <c r="H294" s="17">
        <v>54206</v>
      </c>
      <c r="I294" s="17">
        <v>271030</v>
      </c>
      <c r="J294" s="17">
        <v>648</v>
      </c>
      <c r="K294" s="17">
        <v>270382</v>
      </c>
      <c r="L294" s="17">
        <v>33186.397559999998</v>
      </c>
      <c r="M294" s="17">
        <v>2024</v>
      </c>
      <c r="N294" s="17" t="s">
        <v>129</v>
      </c>
    </row>
    <row r="295" spans="1:14" ht="14.25" customHeight="1">
      <c r="A295" s="17">
        <v>10294</v>
      </c>
      <c r="B295" s="18">
        <v>45518</v>
      </c>
      <c r="C295" s="17" t="s">
        <v>39</v>
      </c>
      <c r="D295" s="17" t="s">
        <v>111</v>
      </c>
      <c r="E295" s="17" t="s">
        <v>162</v>
      </c>
      <c r="F295" s="17" t="s">
        <v>163</v>
      </c>
      <c r="G295" s="17">
        <v>5</v>
      </c>
      <c r="H295" s="17">
        <v>22225</v>
      </c>
      <c r="I295" s="17">
        <v>111125</v>
      </c>
      <c r="J295" s="17">
        <v>188</v>
      </c>
      <c r="K295" s="17">
        <v>110937</v>
      </c>
      <c r="L295" s="17">
        <v>20591.704099999999</v>
      </c>
      <c r="M295" s="17">
        <v>2024</v>
      </c>
      <c r="N295" s="17" t="s">
        <v>126</v>
      </c>
    </row>
    <row r="296" spans="1:14" ht="14.25" customHeight="1">
      <c r="A296" s="17">
        <v>10295</v>
      </c>
      <c r="B296" s="18">
        <v>45403</v>
      </c>
      <c r="C296" s="17" t="s">
        <v>50</v>
      </c>
      <c r="D296" s="17" t="s">
        <v>83</v>
      </c>
      <c r="E296" s="17" t="s">
        <v>168</v>
      </c>
      <c r="F296" s="17" t="s">
        <v>164</v>
      </c>
      <c r="G296" s="17">
        <v>2</v>
      </c>
      <c r="H296" s="17">
        <v>24290</v>
      </c>
      <c r="I296" s="17">
        <v>48580</v>
      </c>
      <c r="J296" s="17">
        <v>1222</v>
      </c>
      <c r="K296" s="17">
        <v>47358</v>
      </c>
      <c r="L296" s="17">
        <v>5366.2100469999996</v>
      </c>
      <c r="M296" s="17">
        <v>2024</v>
      </c>
      <c r="N296" s="17" t="s">
        <v>114</v>
      </c>
    </row>
    <row r="297" spans="1:14" ht="14.25" customHeight="1">
      <c r="A297" s="17">
        <v>10296</v>
      </c>
      <c r="B297" s="18">
        <v>45801</v>
      </c>
      <c r="C297" s="17" t="s">
        <v>58</v>
      </c>
      <c r="D297" s="17" t="s">
        <v>111</v>
      </c>
      <c r="E297" s="17" t="s">
        <v>168</v>
      </c>
      <c r="F297" s="17" t="s">
        <v>163</v>
      </c>
      <c r="G297" s="17">
        <v>2</v>
      </c>
      <c r="H297" s="17">
        <v>7272</v>
      </c>
      <c r="I297" s="17">
        <v>14544</v>
      </c>
      <c r="J297" s="17">
        <v>478</v>
      </c>
      <c r="K297" s="17">
        <v>14066</v>
      </c>
      <c r="L297" s="17">
        <v>1922.7954119999999</v>
      </c>
      <c r="M297" s="17">
        <v>2025</v>
      </c>
      <c r="N297" s="17" t="s">
        <v>117</v>
      </c>
    </row>
    <row r="298" spans="1:14" ht="14.25" customHeight="1">
      <c r="A298" s="17">
        <v>10297</v>
      </c>
      <c r="B298" s="18">
        <v>45764</v>
      </c>
      <c r="C298" s="17" t="s">
        <v>58</v>
      </c>
      <c r="D298" s="17" t="s">
        <v>111</v>
      </c>
      <c r="E298" s="17" t="s">
        <v>165</v>
      </c>
      <c r="F298" s="17" t="s">
        <v>172</v>
      </c>
      <c r="G298" s="17">
        <v>1</v>
      </c>
      <c r="H298" s="17">
        <v>11141</v>
      </c>
      <c r="I298" s="17">
        <v>11141</v>
      </c>
      <c r="J298" s="17">
        <v>3062</v>
      </c>
      <c r="K298" s="17">
        <v>8079</v>
      </c>
      <c r="L298" s="17">
        <v>1910.514261</v>
      </c>
      <c r="M298" s="17">
        <v>2025</v>
      </c>
      <c r="N298" s="17" t="s">
        <v>114</v>
      </c>
    </row>
    <row r="299" spans="1:14" ht="14.25" customHeight="1">
      <c r="A299" s="17">
        <v>10298</v>
      </c>
      <c r="B299" s="18">
        <v>45390</v>
      </c>
      <c r="C299" s="17" t="s">
        <v>50</v>
      </c>
      <c r="D299" s="17" t="s">
        <v>86</v>
      </c>
      <c r="E299" s="17" t="s">
        <v>162</v>
      </c>
      <c r="F299" s="17" t="s">
        <v>164</v>
      </c>
      <c r="G299" s="17">
        <v>3</v>
      </c>
      <c r="H299" s="17">
        <v>69980</v>
      </c>
      <c r="I299" s="17">
        <v>209940</v>
      </c>
      <c r="J299" s="17">
        <v>2025</v>
      </c>
      <c r="K299" s="17">
        <v>207915</v>
      </c>
      <c r="L299" s="17">
        <v>35202.502159999996</v>
      </c>
      <c r="M299" s="17">
        <v>2024</v>
      </c>
      <c r="N299" s="17" t="s">
        <v>114</v>
      </c>
    </row>
    <row r="300" spans="1:14" ht="14.25" customHeight="1">
      <c r="A300" s="17">
        <v>10299</v>
      </c>
      <c r="B300" s="18">
        <v>45444</v>
      </c>
      <c r="C300" s="17" t="s">
        <v>50</v>
      </c>
      <c r="D300" s="17" t="s">
        <v>89</v>
      </c>
      <c r="E300" s="17" t="s">
        <v>165</v>
      </c>
      <c r="F300" s="17" t="s">
        <v>164</v>
      </c>
      <c r="G300" s="17">
        <v>7</v>
      </c>
      <c r="H300" s="17">
        <v>62167</v>
      </c>
      <c r="I300" s="17">
        <v>435169</v>
      </c>
      <c r="J300" s="17">
        <v>4612</v>
      </c>
      <c r="K300" s="17">
        <v>430557</v>
      </c>
      <c r="L300" s="17">
        <v>100671.079</v>
      </c>
      <c r="M300" s="17">
        <v>2024</v>
      </c>
      <c r="N300" s="17" t="s">
        <v>120</v>
      </c>
    </row>
    <row r="301" spans="1:14" ht="14.25" customHeight="1">
      <c r="A301" s="17">
        <v>10300</v>
      </c>
      <c r="B301" s="18">
        <v>45629</v>
      </c>
      <c r="C301" s="17" t="s">
        <v>50</v>
      </c>
      <c r="D301" s="17" t="s">
        <v>86</v>
      </c>
      <c r="E301" s="17" t="s">
        <v>168</v>
      </c>
      <c r="F301" s="17" t="s">
        <v>172</v>
      </c>
      <c r="G301" s="17">
        <v>5</v>
      </c>
      <c r="H301" s="17">
        <v>29678</v>
      </c>
      <c r="I301" s="17">
        <v>148390</v>
      </c>
      <c r="J301" s="17">
        <v>1888</v>
      </c>
      <c r="K301" s="17">
        <v>146502</v>
      </c>
      <c r="L301" s="17">
        <v>18298.077069999999</v>
      </c>
      <c r="M301" s="17">
        <v>2024</v>
      </c>
      <c r="N301" s="17" t="s">
        <v>169</v>
      </c>
    </row>
    <row r="302" spans="1:14" ht="14.25" customHeight="1">
      <c r="A302" s="17">
        <v>10301</v>
      </c>
      <c r="B302" s="18">
        <v>45997</v>
      </c>
      <c r="C302" s="17" t="s">
        <v>45</v>
      </c>
      <c r="D302" s="17" t="s">
        <v>89</v>
      </c>
      <c r="E302" s="17" t="s">
        <v>165</v>
      </c>
      <c r="F302" s="17" t="s">
        <v>172</v>
      </c>
      <c r="G302" s="17">
        <v>7</v>
      </c>
      <c r="H302" s="17">
        <v>79697</v>
      </c>
      <c r="I302" s="17">
        <v>557879</v>
      </c>
      <c r="J302" s="17">
        <v>1550</v>
      </c>
      <c r="K302" s="17">
        <v>556329</v>
      </c>
      <c r="L302" s="17">
        <v>72768.535359999994</v>
      </c>
      <c r="M302" s="17">
        <v>2025</v>
      </c>
      <c r="N302" s="17" t="s">
        <v>169</v>
      </c>
    </row>
    <row r="303" spans="1:14" ht="14.25" customHeight="1">
      <c r="A303" s="17">
        <v>10302</v>
      </c>
      <c r="B303" s="18">
        <v>45454</v>
      </c>
      <c r="C303" s="17" t="s">
        <v>167</v>
      </c>
      <c r="D303" s="17" t="s">
        <v>111</v>
      </c>
      <c r="E303" s="17" t="s">
        <v>165</v>
      </c>
      <c r="F303" s="17" t="s">
        <v>166</v>
      </c>
      <c r="G303" s="17">
        <v>9</v>
      </c>
      <c r="H303" s="17">
        <v>6071</v>
      </c>
      <c r="I303" s="17">
        <v>54639</v>
      </c>
      <c r="J303" s="17">
        <v>2916</v>
      </c>
      <c r="K303" s="17">
        <v>51723</v>
      </c>
      <c r="L303" s="17">
        <v>7909.6729729999997</v>
      </c>
      <c r="M303" s="17">
        <v>2024</v>
      </c>
      <c r="N303" s="17" t="s">
        <v>120</v>
      </c>
    </row>
    <row r="304" spans="1:14" ht="14.25" customHeight="1">
      <c r="A304" s="17">
        <v>10303</v>
      </c>
      <c r="B304" s="18">
        <v>46011</v>
      </c>
      <c r="C304" s="17" t="s">
        <v>58</v>
      </c>
      <c r="D304" s="17" t="s">
        <v>89</v>
      </c>
      <c r="E304" s="17" t="s">
        <v>165</v>
      </c>
      <c r="F304" s="17" t="s">
        <v>172</v>
      </c>
      <c r="G304" s="17">
        <v>6</v>
      </c>
      <c r="H304" s="17">
        <v>22120</v>
      </c>
      <c r="I304" s="17">
        <v>132720</v>
      </c>
      <c r="J304" s="17">
        <v>3255</v>
      </c>
      <c r="K304" s="17">
        <v>129465</v>
      </c>
      <c r="L304" s="17">
        <v>20060.452389999999</v>
      </c>
      <c r="M304" s="17">
        <v>2025</v>
      </c>
      <c r="N304" s="17" t="s">
        <v>169</v>
      </c>
    </row>
    <row r="305" spans="1:14" ht="14.25" customHeight="1">
      <c r="A305" s="17">
        <v>10304</v>
      </c>
      <c r="B305" s="18">
        <v>45972</v>
      </c>
      <c r="C305" s="17" t="s">
        <v>167</v>
      </c>
      <c r="D305" s="17" t="s">
        <v>111</v>
      </c>
      <c r="E305" s="17" t="s">
        <v>168</v>
      </c>
      <c r="F305" s="17" t="s">
        <v>172</v>
      </c>
      <c r="G305" s="17">
        <v>2</v>
      </c>
      <c r="H305" s="17">
        <v>29133</v>
      </c>
      <c r="I305" s="17">
        <v>58266</v>
      </c>
      <c r="J305" s="17">
        <v>2806</v>
      </c>
      <c r="K305" s="17">
        <v>55460</v>
      </c>
      <c r="L305" s="17">
        <v>11745.96161</v>
      </c>
      <c r="M305" s="17">
        <v>2025</v>
      </c>
      <c r="N305" s="17" t="s">
        <v>173</v>
      </c>
    </row>
    <row r="306" spans="1:14" ht="14.25" customHeight="1">
      <c r="A306" s="17">
        <v>10305</v>
      </c>
      <c r="B306" s="18">
        <v>45452</v>
      </c>
      <c r="C306" s="17" t="s">
        <v>167</v>
      </c>
      <c r="D306" s="17" t="s">
        <v>111</v>
      </c>
      <c r="E306" s="17" t="s">
        <v>165</v>
      </c>
      <c r="F306" s="17" t="s">
        <v>172</v>
      </c>
      <c r="G306" s="17">
        <v>1</v>
      </c>
      <c r="H306" s="17">
        <v>8630</v>
      </c>
      <c r="I306" s="17">
        <v>8630</v>
      </c>
      <c r="J306" s="17">
        <v>33</v>
      </c>
      <c r="K306" s="17">
        <v>8597</v>
      </c>
      <c r="L306" s="17">
        <v>1632.6698899999999</v>
      </c>
      <c r="M306" s="17">
        <v>2024</v>
      </c>
      <c r="N306" s="17" t="s">
        <v>120</v>
      </c>
    </row>
    <row r="307" spans="1:14" ht="14.25" customHeight="1">
      <c r="A307" s="17">
        <v>10306</v>
      </c>
      <c r="B307" s="18">
        <v>45871</v>
      </c>
      <c r="C307" s="17" t="s">
        <v>50</v>
      </c>
      <c r="D307" s="17" t="s">
        <v>86</v>
      </c>
      <c r="E307" s="17" t="s">
        <v>168</v>
      </c>
      <c r="F307" s="17" t="s">
        <v>164</v>
      </c>
      <c r="G307" s="17">
        <v>1</v>
      </c>
      <c r="H307" s="17">
        <v>70763</v>
      </c>
      <c r="I307" s="17">
        <v>70763</v>
      </c>
      <c r="J307" s="17">
        <v>295</v>
      </c>
      <c r="K307" s="17">
        <v>70468</v>
      </c>
      <c r="L307" s="17">
        <v>12894.757079999999</v>
      </c>
      <c r="M307" s="17">
        <v>2025</v>
      </c>
      <c r="N307" s="17" t="s">
        <v>126</v>
      </c>
    </row>
    <row r="308" spans="1:14" ht="14.25" customHeight="1">
      <c r="A308" s="17">
        <v>10307</v>
      </c>
      <c r="B308" s="18">
        <v>45689</v>
      </c>
      <c r="C308" s="17" t="s">
        <v>45</v>
      </c>
      <c r="D308" s="17" t="s">
        <v>86</v>
      </c>
      <c r="E308" s="17" t="s">
        <v>162</v>
      </c>
      <c r="F308" s="17" t="s">
        <v>166</v>
      </c>
      <c r="G308" s="17">
        <v>9</v>
      </c>
      <c r="H308" s="17">
        <v>59863</v>
      </c>
      <c r="I308" s="17">
        <v>538767</v>
      </c>
      <c r="J308" s="17">
        <v>2500</v>
      </c>
      <c r="K308" s="17">
        <v>536267</v>
      </c>
      <c r="L308" s="17">
        <v>102081.8159</v>
      </c>
      <c r="M308" s="17">
        <v>2025</v>
      </c>
      <c r="N308" s="17" t="s">
        <v>175</v>
      </c>
    </row>
    <row r="309" spans="1:14" ht="14.25" customHeight="1">
      <c r="A309" s="17">
        <v>10308</v>
      </c>
      <c r="B309" s="18">
        <v>45568</v>
      </c>
      <c r="C309" s="17" t="s">
        <v>39</v>
      </c>
      <c r="D309" s="17" t="s">
        <v>170</v>
      </c>
      <c r="E309" s="17" t="s">
        <v>165</v>
      </c>
      <c r="F309" s="17" t="s">
        <v>164</v>
      </c>
      <c r="G309" s="17">
        <v>6</v>
      </c>
      <c r="H309" s="17">
        <v>60308</v>
      </c>
      <c r="I309" s="17">
        <v>361848</v>
      </c>
      <c r="J309" s="17">
        <v>3779</v>
      </c>
      <c r="K309" s="17">
        <v>358069</v>
      </c>
      <c r="L309" s="17">
        <v>75133.154890000005</v>
      </c>
      <c r="M309" s="17">
        <v>2024</v>
      </c>
      <c r="N309" s="17" t="s">
        <v>174</v>
      </c>
    </row>
    <row r="310" spans="1:14" ht="14.25" customHeight="1">
      <c r="A310" s="17">
        <v>10309</v>
      </c>
      <c r="B310" s="18">
        <v>45795</v>
      </c>
      <c r="C310" s="17" t="s">
        <v>45</v>
      </c>
      <c r="D310" s="17" t="s">
        <v>83</v>
      </c>
      <c r="E310" s="17" t="s">
        <v>165</v>
      </c>
      <c r="F310" s="17" t="s">
        <v>172</v>
      </c>
      <c r="G310" s="17">
        <v>6</v>
      </c>
      <c r="H310" s="17">
        <v>24954</v>
      </c>
      <c r="I310" s="17">
        <v>149724</v>
      </c>
      <c r="J310" s="17">
        <v>3576</v>
      </c>
      <c r="K310" s="17">
        <v>146148</v>
      </c>
      <c r="L310" s="17">
        <v>34187.304909999999</v>
      </c>
      <c r="M310" s="17">
        <v>2025</v>
      </c>
      <c r="N310" s="17" t="s">
        <v>117</v>
      </c>
    </row>
    <row r="311" spans="1:14" ht="14.25" customHeight="1">
      <c r="A311" s="17">
        <v>10310</v>
      </c>
      <c r="B311" s="18">
        <v>45683</v>
      </c>
      <c r="C311" s="17" t="s">
        <v>167</v>
      </c>
      <c r="D311" s="17" t="s">
        <v>170</v>
      </c>
      <c r="E311" s="17" t="s">
        <v>168</v>
      </c>
      <c r="F311" s="17" t="s">
        <v>166</v>
      </c>
      <c r="G311" s="17">
        <v>4</v>
      </c>
      <c r="H311" s="17">
        <v>67787</v>
      </c>
      <c r="I311" s="17">
        <v>271148</v>
      </c>
      <c r="J311" s="17">
        <v>1429</v>
      </c>
      <c r="K311" s="17">
        <v>269719</v>
      </c>
      <c r="L311" s="17">
        <v>43751.38695</v>
      </c>
      <c r="M311" s="17">
        <v>2025</v>
      </c>
      <c r="N311" s="17" t="s">
        <v>171</v>
      </c>
    </row>
    <row r="312" spans="1:14" ht="14.25" customHeight="1">
      <c r="A312" s="17">
        <v>10311</v>
      </c>
      <c r="B312" s="18">
        <v>45426</v>
      </c>
      <c r="C312" s="17" t="s">
        <v>45</v>
      </c>
      <c r="D312" s="17" t="s">
        <v>170</v>
      </c>
      <c r="E312" s="17" t="s">
        <v>165</v>
      </c>
      <c r="F312" s="17" t="s">
        <v>172</v>
      </c>
      <c r="G312" s="17">
        <v>2</v>
      </c>
      <c r="H312" s="17">
        <v>6619</v>
      </c>
      <c r="I312" s="17">
        <v>13238</v>
      </c>
      <c r="J312" s="17">
        <v>2189</v>
      </c>
      <c r="K312" s="17">
        <v>11049</v>
      </c>
      <c r="L312" s="17">
        <v>2435.629312</v>
      </c>
      <c r="M312" s="17">
        <v>2024</v>
      </c>
      <c r="N312" s="17" t="s">
        <v>117</v>
      </c>
    </row>
    <row r="313" spans="1:14" ht="14.25" customHeight="1">
      <c r="A313" s="17">
        <v>10312</v>
      </c>
      <c r="B313" s="18">
        <v>45486</v>
      </c>
      <c r="C313" s="17" t="s">
        <v>50</v>
      </c>
      <c r="D313" s="17" t="s">
        <v>89</v>
      </c>
      <c r="E313" s="17" t="s">
        <v>168</v>
      </c>
      <c r="F313" s="17" t="s">
        <v>164</v>
      </c>
      <c r="G313" s="17">
        <v>3</v>
      </c>
      <c r="H313" s="17">
        <v>72740</v>
      </c>
      <c r="I313" s="17">
        <v>218220</v>
      </c>
      <c r="J313" s="17">
        <v>1987</v>
      </c>
      <c r="K313" s="17">
        <v>216233</v>
      </c>
      <c r="L313" s="17">
        <v>37681.74265</v>
      </c>
      <c r="M313" s="17">
        <v>2024</v>
      </c>
      <c r="N313" s="17" t="s">
        <v>123</v>
      </c>
    </row>
    <row r="314" spans="1:14" ht="14.25" customHeight="1">
      <c r="A314" s="17">
        <v>10313</v>
      </c>
      <c r="B314" s="18">
        <v>45692</v>
      </c>
      <c r="C314" s="17" t="s">
        <v>39</v>
      </c>
      <c r="D314" s="17" t="s">
        <v>111</v>
      </c>
      <c r="E314" s="17" t="s">
        <v>165</v>
      </c>
      <c r="F314" s="17" t="s">
        <v>164</v>
      </c>
      <c r="G314" s="17">
        <v>3</v>
      </c>
      <c r="H314" s="17">
        <v>45342</v>
      </c>
      <c r="I314" s="17">
        <v>136026</v>
      </c>
      <c r="J314" s="17">
        <v>4743</v>
      </c>
      <c r="K314" s="17">
        <v>131283</v>
      </c>
      <c r="L314" s="17">
        <v>27347.789690000001</v>
      </c>
      <c r="M314" s="17">
        <v>2025</v>
      </c>
      <c r="N314" s="17" t="s">
        <v>175</v>
      </c>
    </row>
    <row r="315" spans="1:14" ht="14.25" customHeight="1">
      <c r="A315" s="17">
        <v>10314</v>
      </c>
      <c r="B315" s="18">
        <v>45931</v>
      </c>
      <c r="C315" s="17" t="s">
        <v>50</v>
      </c>
      <c r="D315" s="17" t="s">
        <v>111</v>
      </c>
      <c r="E315" s="17" t="s">
        <v>162</v>
      </c>
      <c r="F315" s="17" t="s">
        <v>172</v>
      </c>
      <c r="G315" s="17">
        <v>8</v>
      </c>
      <c r="H315" s="17">
        <v>14373</v>
      </c>
      <c r="I315" s="17">
        <v>114984</v>
      </c>
      <c r="J315" s="17">
        <v>2882</v>
      </c>
      <c r="K315" s="17">
        <v>112102</v>
      </c>
      <c r="L315" s="17">
        <v>25920.62444</v>
      </c>
      <c r="M315" s="17">
        <v>2025</v>
      </c>
      <c r="N315" s="17" t="s">
        <v>174</v>
      </c>
    </row>
    <row r="316" spans="1:14" ht="14.25" customHeight="1">
      <c r="A316" s="17">
        <v>10315</v>
      </c>
      <c r="B316" s="18">
        <v>45324</v>
      </c>
      <c r="C316" s="17" t="s">
        <v>39</v>
      </c>
      <c r="D316" s="17" t="s">
        <v>111</v>
      </c>
      <c r="E316" s="17" t="s">
        <v>162</v>
      </c>
      <c r="F316" s="17" t="s">
        <v>166</v>
      </c>
      <c r="G316" s="17">
        <v>6</v>
      </c>
      <c r="H316" s="17">
        <v>16448</v>
      </c>
      <c r="I316" s="17">
        <v>98688</v>
      </c>
      <c r="J316" s="17">
        <v>1709</v>
      </c>
      <c r="K316" s="17">
        <v>96979</v>
      </c>
      <c r="L316" s="17">
        <v>10166.52419</v>
      </c>
      <c r="M316" s="17">
        <v>2024</v>
      </c>
      <c r="N316" s="17" t="s">
        <v>175</v>
      </c>
    </row>
    <row r="317" spans="1:14" ht="14.25" customHeight="1">
      <c r="A317" s="17">
        <v>10316</v>
      </c>
      <c r="B317" s="18">
        <v>45979</v>
      </c>
      <c r="C317" s="17" t="s">
        <v>167</v>
      </c>
      <c r="D317" s="17" t="s">
        <v>83</v>
      </c>
      <c r="E317" s="17" t="s">
        <v>162</v>
      </c>
      <c r="F317" s="17" t="s">
        <v>164</v>
      </c>
      <c r="G317" s="17">
        <v>7</v>
      </c>
      <c r="H317" s="17">
        <v>54949</v>
      </c>
      <c r="I317" s="17">
        <v>384643</v>
      </c>
      <c r="J317" s="17">
        <v>2777</v>
      </c>
      <c r="K317" s="17">
        <v>381866</v>
      </c>
      <c r="L317" s="17">
        <v>69497.497719999999</v>
      </c>
      <c r="M317" s="17">
        <v>2025</v>
      </c>
      <c r="N317" s="17" t="s">
        <v>173</v>
      </c>
    </row>
    <row r="318" spans="1:14" ht="14.25" customHeight="1">
      <c r="A318" s="17">
        <v>10317</v>
      </c>
      <c r="B318" s="18">
        <v>45751</v>
      </c>
      <c r="C318" s="17" t="s">
        <v>39</v>
      </c>
      <c r="D318" s="17" t="s">
        <v>89</v>
      </c>
      <c r="E318" s="17" t="s">
        <v>165</v>
      </c>
      <c r="F318" s="17" t="s">
        <v>172</v>
      </c>
      <c r="G318" s="17">
        <v>9</v>
      </c>
      <c r="H318" s="17">
        <v>36210</v>
      </c>
      <c r="I318" s="17">
        <v>325890</v>
      </c>
      <c r="J318" s="17">
        <v>3697</v>
      </c>
      <c r="K318" s="17">
        <v>322193</v>
      </c>
      <c r="L318" s="17">
        <v>80035.026830000003</v>
      </c>
      <c r="M318" s="17">
        <v>2025</v>
      </c>
      <c r="N318" s="17" t="s">
        <v>114</v>
      </c>
    </row>
    <row r="319" spans="1:14" ht="14.25" customHeight="1">
      <c r="A319" s="17">
        <v>10318</v>
      </c>
      <c r="B319" s="18">
        <v>45761</v>
      </c>
      <c r="C319" s="17" t="s">
        <v>39</v>
      </c>
      <c r="D319" s="17" t="s">
        <v>89</v>
      </c>
      <c r="E319" s="17" t="s">
        <v>165</v>
      </c>
      <c r="F319" s="17" t="s">
        <v>163</v>
      </c>
      <c r="G319" s="17">
        <v>1</v>
      </c>
      <c r="H319" s="17">
        <v>30410</v>
      </c>
      <c r="I319" s="17">
        <v>30410</v>
      </c>
      <c r="J319" s="17">
        <v>1547</v>
      </c>
      <c r="K319" s="17">
        <v>28863</v>
      </c>
      <c r="L319" s="17">
        <v>5034.6787910000003</v>
      </c>
      <c r="M319" s="17">
        <v>2025</v>
      </c>
      <c r="N319" s="17" t="s">
        <v>114</v>
      </c>
    </row>
    <row r="320" spans="1:14" ht="14.25" customHeight="1">
      <c r="A320" s="17">
        <v>10319</v>
      </c>
      <c r="B320" s="18">
        <v>45666</v>
      </c>
      <c r="C320" s="17" t="s">
        <v>39</v>
      </c>
      <c r="D320" s="17" t="s">
        <v>111</v>
      </c>
      <c r="E320" s="17" t="s">
        <v>162</v>
      </c>
      <c r="F320" s="17" t="s">
        <v>172</v>
      </c>
      <c r="G320" s="17">
        <v>2</v>
      </c>
      <c r="H320" s="17">
        <v>70047</v>
      </c>
      <c r="I320" s="17">
        <v>140094</v>
      </c>
      <c r="J320" s="17">
        <v>462</v>
      </c>
      <c r="K320" s="17">
        <v>139632</v>
      </c>
      <c r="L320" s="17">
        <v>32065.867770000001</v>
      </c>
      <c r="M320" s="17">
        <v>2025</v>
      </c>
      <c r="N320" s="17" t="s">
        <v>171</v>
      </c>
    </row>
    <row r="321" spans="1:14" ht="14.25" customHeight="1">
      <c r="A321" s="17">
        <v>10320</v>
      </c>
      <c r="B321" s="18">
        <v>45313</v>
      </c>
      <c r="C321" s="17" t="s">
        <v>45</v>
      </c>
      <c r="D321" s="17" t="s">
        <v>170</v>
      </c>
      <c r="E321" s="17" t="s">
        <v>162</v>
      </c>
      <c r="F321" s="17" t="s">
        <v>172</v>
      </c>
      <c r="G321" s="17">
        <v>9</v>
      </c>
      <c r="H321" s="17">
        <v>34028</v>
      </c>
      <c r="I321" s="17">
        <v>306252</v>
      </c>
      <c r="J321" s="17">
        <v>3315</v>
      </c>
      <c r="K321" s="17">
        <v>302937</v>
      </c>
      <c r="L321" s="17">
        <v>38741.091540000001</v>
      </c>
      <c r="M321" s="17">
        <v>2024</v>
      </c>
      <c r="N321" s="17" t="s">
        <v>171</v>
      </c>
    </row>
    <row r="322" spans="1:14" ht="14.25" customHeight="1">
      <c r="A322" s="17">
        <v>10321</v>
      </c>
      <c r="B322" s="18">
        <v>45961</v>
      </c>
      <c r="C322" s="17" t="s">
        <v>45</v>
      </c>
      <c r="D322" s="17" t="s">
        <v>83</v>
      </c>
      <c r="E322" s="17" t="s">
        <v>168</v>
      </c>
      <c r="F322" s="17" t="s">
        <v>166</v>
      </c>
      <c r="G322" s="17">
        <v>5</v>
      </c>
      <c r="H322" s="17">
        <v>73300</v>
      </c>
      <c r="I322" s="17">
        <v>366500</v>
      </c>
      <c r="J322" s="17">
        <v>3304</v>
      </c>
      <c r="K322" s="17">
        <v>363196</v>
      </c>
      <c r="L322" s="17">
        <v>69240.7981</v>
      </c>
      <c r="M322" s="17">
        <v>2025</v>
      </c>
      <c r="N322" s="17" t="s">
        <v>174</v>
      </c>
    </row>
    <row r="323" spans="1:14" ht="14.25" customHeight="1">
      <c r="A323" s="17">
        <v>10322</v>
      </c>
      <c r="B323" s="18">
        <v>45329</v>
      </c>
      <c r="C323" s="17" t="s">
        <v>167</v>
      </c>
      <c r="D323" s="17" t="s">
        <v>170</v>
      </c>
      <c r="E323" s="17" t="s">
        <v>168</v>
      </c>
      <c r="F323" s="17" t="s">
        <v>172</v>
      </c>
      <c r="G323" s="17">
        <v>4</v>
      </c>
      <c r="H323" s="17">
        <v>48369</v>
      </c>
      <c r="I323" s="17">
        <v>193476</v>
      </c>
      <c r="J323" s="17">
        <v>513</v>
      </c>
      <c r="K323" s="17">
        <v>192963</v>
      </c>
      <c r="L323" s="17">
        <v>44486.827440000001</v>
      </c>
      <c r="M323" s="17">
        <v>2024</v>
      </c>
      <c r="N323" s="17" t="s">
        <v>175</v>
      </c>
    </row>
    <row r="324" spans="1:14" ht="14.25" customHeight="1">
      <c r="A324" s="17">
        <v>10323</v>
      </c>
      <c r="B324" s="18">
        <v>45521</v>
      </c>
      <c r="C324" s="17" t="s">
        <v>39</v>
      </c>
      <c r="D324" s="17" t="s">
        <v>86</v>
      </c>
      <c r="E324" s="17" t="s">
        <v>162</v>
      </c>
      <c r="F324" s="17" t="s">
        <v>163</v>
      </c>
      <c r="G324" s="17">
        <v>1</v>
      </c>
      <c r="H324" s="17">
        <v>69735</v>
      </c>
      <c r="I324" s="17">
        <v>69735</v>
      </c>
      <c r="J324" s="17">
        <v>4096</v>
      </c>
      <c r="K324" s="17">
        <v>65639</v>
      </c>
      <c r="L324" s="17">
        <v>10812.71048</v>
      </c>
      <c r="M324" s="17">
        <v>2024</v>
      </c>
      <c r="N324" s="17" t="s">
        <v>126</v>
      </c>
    </row>
    <row r="325" spans="1:14" ht="14.25" customHeight="1">
      <c r="A325" s="17">
        <v>10324</v>
      </c>
      <c r="B325" s="18">
        <v>45656</v>
      </c>
      <c r="C325" s="17" t="s">
        <v>58</v>
      </c>
      <c r="D325" s="17" t="s">
        <v>89</v>
      </c>
      <c r="E325" s="17" t="s">
        <v>162</v>
      </c>
      <c r="F325" s="17" t="s">
        <v>172</v>
      </c>
      <c r="G325" s="17">
        <v>9</v>
      </c>
      <c r="H325" s="17">
        <v>16467</v>
      </c>
      <c r="I325" s="17">
        <v>148203</v>
      </c>
      <c r="J325" s="17">
        <v>3566</v>
      </c>
      <c r="K325" s="17">
        <v>144637</v>
      </c>
      <c r="L325" s="17">
        <v>25023.402770000001</v>
      </c>
      <c r="M325" s="17">
        <v>2024</v>
      </c>
      <c r="N325" s="17" t="s">
        <v>169</v>
      </c>
    </row>
    <row r="326" spans="1:14" ht="14.25" customHeight="1">
      <c r="A326" s="17">
        <v>10325</v>
      </c>
      <c r="B326" s="18">
        <v>45854</v>
      </c>
      <c r="C326" s="17" t="s">
        <v>167</v>
      </c>
      <c r="D326" s="17" t="s">
        <v>89</v>
      </c>
      <c r="E326" s="17" t="s">
        <v>165</v>
      </c>
      <c r="F326" s="17" t="s">
        <v>163</v>
      </c>
      <c r="G326" s="17">
        <v>9</v>
      </c>
      <c r="H326" s="17">
        <v>13199</v>
      </c>
      <c r="I326" s="17">
        <v>118791</v>
      </c>
      <c r="J326" s="17">
        <v>3803</v>
      </c>
      <c r="K326" s="17">
        <v>114988</v>
      </c>
      <c r="L326" s="17">
        <v>12913.461219999999</v>
      </c>
      <c r="M326" s="17">
        <v>2025</v>
      </c>
      <c r="N326" s="17" t="s">
        <v>123</v>
      </c>
    </row>
    <row r="327" spans="1:14" ht="14.25" customHeight="1">
      <c r="A327" s="17">
        <v>10326</v>
      </c>
      <c r="B327" s="18">
        <v>45729</v>
      </c>
      <c r="C327" s="17" t="s">
        <v>39</v>
      </c>
      <c r="D327" s="17" t="s">
        <v>170</v>
      </c>
      <c r="E327" s="17" t="s">
        <v>162</v>
      </c>
      <c r="F327" s="17" t="s">
        <v>164</v>
      </c>
      <c r="G327" s="17">
        <v>4</v>
      </c>
      <c r="H327" s="17">
        <v>32095</v>
      </c>
      <c r="I327" s="17">
        <v>128380</v>
      </c>
      <c r="J327" s="17">
        <v>3687</v>
      </c>
      <c r="K327" s="17">
        <v>124693</v>
      </c>
      <c r="L327" s="17">
        <v>13258.084699999999</v>
      </c>
      <c r="M327" s="17">
        <v>2025</v>
      </c>
      <c r="N327" s="17" t="s">
        <v>112</v>
      </c>
    </row>
    <row r="328" spans="1:14" ht="14.25" customHeight="1">
      <c r="A328" s="17">
        <v>10327</v>
      </c>
      <c r="B328" s="18">
        <v>45574</v>
      </c>
      <c r="C328" s="17" t="s">
        <v>39</v>
      </c>
      <c r="D328" s="17" t="s">
        <v>83</v>
      </c>
      <c r="E328" s="17" t="s">
        <v>168</v>
      </c>
      <c r="F328" s="17" t="s">
        <v>172</v>
      </c>
      <c r="G328" s="17">
        <v>9</v>
      </c>
      <c r="H328" s="17">
        <v>44007</v>
      </c>
      <c r="I328" s="17">
        <v>396063</v>
      </c>
      <c r="J328" s="17">
        <v>3938</v>
      </c>
      <c r="K328" s="17">
        <v>392125</v>
      </c>
      <c r="L328" s="17">
        <v>66781.336299999995</v>
      </c>
      <c r="M328" s="17">
        <v>2024</v>
      </c>
      <c r="N328" s="17" t="s">
        <v>174</v>
      </c>
    </row>
    <row r="329" spans="1:14" ht="14.25" customHeight="1">
      <c r="A329" s="17">
        <v>10328</v>
      </c>
      <c r="B329" s="18">
        <v>45318</v>
      </c>
      <c r="C329" s="17" t="s">
        <v>45</v>
      </c>
      <c r="D329" s="17" t="s">
        <v>89</v>
      </c>
      <c r="E329" s="17" t="s">
        <v>168</v>
      </c>
      <c r="F329" s="17" t="s">
        <v>166</v>
      </c>
      <c r="G329" s="17">
        <v>1</v>
      </c>
      <c r="H329" s="17">
        <v>52711</v>
      </c>
      <c r="I329" s="17">
        <v>52711</v>
      </c>
      <c r="J329" s="17">
        <v>3489</v>
      </c>
      <c r="K329" s="17">
        <v>49222</v>
      </c>
      <c r="L329" s="17">
        <v>11149.83142</v>
      </c>
      <c r="M329" s="17">
        <v>2024</v>
      </c>
      <c r="N329" s="17" t="s">
        <v>171</v>
      </c>
    </row>
    <row r="330" spans="1:14" ht="14.25" customHeight="1">
      <c r="A330" s="17">
        <v>10329</v>
      </c>
      <c r="B330" s="18">
        <v>45517</v>
      </c>
      <c r="C330" s="17" t="s">
        <v>167</v>
      </c>
      <c r="D330" s="17" t="s">
        <v>170</v>
      </c>
      <c r="E330" s="17" t="s">
        <v>168</v>
      </c>
      <c r="F330" s="17" t="s">
        <v>172</v>
      </c>
      <c r="G330" s="17">
        <v>5</v>
      </c>
      <c r="H330" s="17">
        <v>18617</v>
      </c>
      <c r="I330" s="17">
        <v>93085</v>
      </c>
      <c r="J330" s="17">
        <v>1471</v>
      </c>
      <c r="K330" s="17">
        <v>91614</v>
      </c>
      <c r="L330" s="17">
        <v>21959.75128</v>
      </c>
      <c r="M330" s="17">
        <v>2024</v>
      </c>
      <c r="N330" s="17" t="s">
        <v>126</v>
      </c>
    </row>
    <row r="331" spans="1:14" ht="14.25" customHeight="1">
      <c r="A331" s="17">
        <v>10330</v>
      </c>
      <c r="B331" s="18">
        <v>45568</v>
      </c>
      <c r="C331" s="17" t="s">
        <v>39</v>
      </c>
      <c r="D331" s="17" t="s">
        <v>83</v>
      </c>
      <c r="E331" s="17" t="s">
        <v>168</v>
      </c>
      <c r="F331" s="17" t="s">
        <v>163</v>
      </c>
      <c r="G331" s="17">
        <v>1</v>
      </c>
      <c r="H331" s="17">
        <v>33304</v>
      </c>
      <c r="I331" s="17">
        <v>33304</v>
      </c>
      <c r="J331" s="17">
        <v>337</v>
      </c>
      <c r="K331" s="17">
        <v>32967</v>
      </c>
      <c r="L331" s="17">
        <v>6553.772035</v>
      </c>
      <c r="M331" s="17">
        <v>2024</v>
      </c>
      <c r="N331" s="17" t="s">
        <v>174</v>
      </c>
    </row>
    <row r="332" spans="1:14" ht="14.25" customHeight="1">
      <c r="A332" s="17">
        <v>10331</v>
      </c>
      <c r="B332" s="18">
        <v>45900</v>
      </c>
      <c r="C332" s="17" t="s">
        <v>39</v>
      </c>
      <c r="D332" s="17" t="s">
        <v>170</v>
      </c>
      <c r="E332" s="17" t="s">
        <v>168</v>
      </c>
      <c r="F332" s="17" t="s">
        <v>163</v>
      </c>
      <c r="G332" s="17">
        <v>4</v>
      </c>
      <c r="H332" s="17">
        <v>73865</v>
      </c>
      <c r="I332" s="17">
        <v>295460</v>
      </c>
      <c r="J332" s="17">
        <v>3081</v>
      </c>
      <c r="K332" s="17">
        <v>292379</v>
      </c>
      <c r="L332" s="17">
        <v>65481.139410000003</v>
      </c>
      <c r="M332" s="17">
        <v>2025</v>
      </c>
      <c r="N332" s="17" t="s">
        <v>126</v>
      </c>
    </row>
    <row r="333" spans="1:14" ht="14.25" customHeight="1">
      <c r="A333" s="17">
        <v>10332</v>
      </c>
      <c r="B333" s="18">
        <v>45575</v>
      </c>
      <c r="C333" s="17" t="s">
        <v>167</v>
      </c>
      <c r="D333" s="17" t="s">
        <v>83</v>
      </c>
      <c r="E333" s="17" t="s">
        <v>168</v>
      </c>
      <c r="F333" s="17" t="s">
        <v>166</v>
      </c>
      <c r="G333" s="17">
        <v>5</v>
      </c>
      <c r="H333" s="17">
        <v>60221</v>
      </c>
      <c r="I333" s="17">
        <v>301105</v>
      </c>
      <c r="J333" s="17">
        <v>3412</v>
      </c>
      <c r="K333" s="17">
        <v>297693</v>
      </c>
      <c r="L333" s="17">
        <v>62583.441039999998</v>
      </c>
      <c r="M333" s="17">
        <v>2024</v>
      </c>
      <c r="N333" s="17" t="s">
        <v>174</v>
      </c>
    </row>
    <row r="334" spans="1:14" ht="14.25" customHeight="1">
      <c r="A334" s="17">
        <v>10333</v>
      </c>
      <c r="B334" s="18">
        <v>45772</v>
      </c>
      <c r="C334" s="17" t="s">
        <v>58</v>
      </c>
      <c r="D334" s="17" t="s">
        <v>111</v>
      </c>
      <c r="E334" s="17" t="s">
        <v>162</v>
      </c>
      <c r="F334" s="17" t="s">
        <v>163</v>
      </c>
      <c r="G334" s="17">
        <v>3</v>
      </c>
      <c r="H334" s="17">
        <v>76120</v>
      </c>
      <c r="I334" s="17">
        <v>228360</v>
      </c>
      <c r="J334" s="17">
        <v>2392</v>
      </c>
      <c r="K334" s="17">
        <v>225968</v>
      </c>
      <c r="L334" s="17">
        <v>46373.8024</v>
      </c>
      <c r="M334" s="17">
        <v>2025</v>
      </c>
      <c r="N334" s="17" t="s">
        <v>114</v>
      </c>
    </row>
    <row r="335" spans="1:14" ht="14.25" customHeight="1">
      <c r="A335" s="17">
        <v>10334</v>
      </c>
      <c r="B335" s="18">
        <v>45744</v>
      </c>
      <c r="C335" s="17" t="s">
        <v>167</v>
      </c>
      <c r="D335" s="17" t="s">
        <v>83</v>
      </c>
      <c r="E335" s="17" t="s">
        <v>168</v>
      </c>
      <c r="F335" s="17" t="s">
        <v>172</v>
      </c>
      <c r="G335" s="17">
        <v>2</v>
      </c>
      <c r="H335" s="17">
        <v>79341</v>
      </c>
      <c r="I335" s="17">
        <v>158682</v>
      </c>
      <c r="J335" s="17">
        <v>976</v>
      </c>
      <c r="K335" s="17">
        <v>157706</v>
      </c>
      <c r="L335" s="17">
        <v>33962.770080000002</v>
      </c>
      <c r="M335" s="17">
        <v>2025</v>
      </c>
      <c r="N335" s="17" t="s">
        <v>112</v>
      </c>
    </row>
    <row r="336" spans="1:14" ht="14.25" customHeight="1">
      <c r="A336" s="17">
        <v>10335</v>
      </c>
      <c r="B336" s="18">
        <v>45950</v>
      </c>
      <c r="C336" s="17" t="s">
        <v>167</v>
      </c>
      <c r="D336" s="17" t="s">
        <v>86</v>
      </c>
      <c r="E336" s="17" t="s">
        <v>168</v>
      </c>
      <c r="F336" s="17" t="s">
        <v>163</v>
      </c>
      <c r="G336" s="17">
        <v>6</v>
      </c>
      <c r="H336" s="17">
        <v>79625</v>
      </c>
      <c r="I336" s="17">
        <v>477750</v>
      </c>
      <c r="J336" s="17">
        <v>4978</v>
      </c>
      <c r="K336" s="17">
        <v>472772</v>
      </c>
      <c r="L336" s="17">
        <v>83111.163109999994</v>
      </c>
      <c r="M336" s="17">
        <v>2025</v>
      </c>
      <c r="N336" s="17" t="s">
        <v>174</v>
      </c>
    </row>
    <row r="337" spans="1:14" ht="14.25" customHeight="1">
      <c r="A337" s="17">
        <v>10336</v>
      </c>
      <c r="B337" s="18">
        <v>45807</v>
      </c>
      <c r="C337" s="17" t="s">
        <v>58</v>
      </c>
      <c r="D337" s="17" t="s">
        <v>111</v>
      </c>
      <c r="E337" s="17" t="s">
        <v>168</v>
      </c>
      <c r="F337" s="17" t="s">
        <v>172</v>
      </c>
      <c r="G337" s="17">
        <v>3</v>
      </c>
      <c r="H337" s="17">
        <v>18639</v>
      </c>
      <c r="I337" s="17">
        <v>55917</v>
      </c>
      <c r="J337" s="17">
        <v>2245</v>
      </c>
      <c r="K337" s="17">
        <v>53672</v>
      </c>
      <c r="L337" s="17">
        <v>9053.9680840000001</v>
      </c>
      <c r="M337" s="17">
        <v>2025</v>
      </c>
      <c r="N337" s="17" t="s">
        <v>117</v>
      </c>
    </row>
    <row r="338" spans="1:14" ht="14.25" customHeight="1">
      <c r="A338" s="17">
        <v>10337</v>
      </c>
      <c r="B338" s="18">
        <v>45838</v>
      </c>
      <c r="C338" s="17" t="s">
        <v>167</v>
      </c>
      <c r="D338" s="17" t="s">
        <v>170</v>
      </c>
      <c r="E338" s="17" t="s">
        <v>168</v>
      </c>
      <c r="F338" s="17" t="s">
        <v>172</v>
      </c>
      <c r="G338" s="17">
        <v>1</v>
      </c>
      <c r="H338" s="17">
        <v>29685</v>
      </c>
      <c r="I338" s="17">
        <v>29685</v>
      </c>
      <c r="J338" s="17">
        <v>4068</v>
      </c>
      <c r="K338" s="17">
        <v>25617</v>
      </c>
      <c r="L338" s="17">
        <v>3173.2169410000001</v>
      </c>
      <c r="M338" s="17">
        <v>2025</v>
      </c>
      <c r="N338" s="17" t="s">
        <v>120</v>
      </c>
    </row>
    <row r="339" spans="1:14" ht="14.25" customHeight="1">
      <c r="A339" s="17">
        <v>10338</v>
      </c>
      <c r="B339" s="18">
        <v>45483</v>
      </c>
      <c r="C339" s="17" t="s">
        <v>39</v>
      </c>
      <c r="D339" s="17" t="s">
        <v>111</v>
      </c>
      <c r="E339" s="17" t="s">
        <v>162</v>
      </c>
      <c r="F339" s="17" t="s">
        <v>163</v>
      </c>
      <c r="G339" s="17">
        <v>5</v>
      </c>
      <c r="H339" s="17">
        <v>70416</v>
      </c>
      <c r="I339" s="17">
        <v>352080</v>
      </c>
      <c r="J339" s="17">
        <v>1703</v>
      </c>
      <c r="K339" s="17">
        <v>350377</v>
      </c>
      <c r="L339" s="17">
        <v>79385.721879999997</v>
      </c>
      <c r="M339" s="17">
        <v>2024</v>
      </c>
      <c r="N339" s="17" t="s">
        <v>123</v>
      </c>
    </row>
    <row r="340" spans="1:14" ht="14.25" customHeight="1">
      <c r="A340" s="17">
        <v>10339</v>
      </c>
      <c r="B340" s="18">
        <v>45340</v>
      </c>
      <c r="C340" s="17" t="s">
        <v>167</v>
      </c>
      <c r="D340" s="17" t="s">
        <v>111</v>
      </c>
      <c r="E340" s="17" t="s">
        <v>165</v>
      </c>
      <c r="F340" s="17" t="s">
        <v>166</v>
      </c>
      <c r="G340" s="17">
        <v>2</v>
      </c>
      <c r="H340" s="17">
        <v>65356</v>
      </c>
      <c r="I340" s="17">
        <v>130712</v>
      </c>
      <c r="J340" s="17">
        <v>871</v>
      </c>
      <c r="K340" s="17">
        <v>129841</v>
      </c>
      <c r="L340" s="17">
        <v>13853.00662</v>
      </c>
      <c r="M340" s="17">
        <v>2024</v>
      </c>
      <c r="N340" s="17" t="s">
        <v>175</v>
      </c>
    </row>
    <row r="341" spans="1:14" ht="14.25" customHeight="1">
      <c r="A341" s="17">
        <v>10340</v>
      </c>
      <c r="B341" s="18">
        <v>45803</v>
      </c>
      <c r="C341" s="17" t="s">
        <v>58</v>
      </c>
      <c r="D341" s="17" t="s">
        <v>170</v>
      </c>
      <c r="E341" s="17" t="s">
        <v>165</v>
      </c>
      <c r="F341" s="17" t="s">
        <v>164</v>
      </c>
      <c r="G341" s="17">
        <v>2</v>
      </c>
      <c r="H341" s="17">
        <v>16110</v>
      </c>
      <c r="I341" s="17">
        <v>32220</v>
      </c>
      <c r="J341" s="17">
        <v>3409</v>
      </c>
      <c r="K341" s="17">
        <v>28811</v>
      </c>
      <c r="L341" s="17">
        <v>4036.899887</v>
      </c>
      <c r="M341" s="17">
        <v>2025</v>
      </c>
      <c r="N341" s="17" t="s">
        <v>117</v>
      </c>
    </row>
    <row r="342" spans="1:14" ht="14.25" customHeight="1">
      <c r="A342" s="17">
        <v>10341</v>
      </c>
      <c r="B342" s="18">
        <v>45308</v>
      </c>
      <c r="C342" s="17" t="s">
        <v>50</v>
      </c>
      <c r="D342" s="17" t="s">
        <v>170</v>
      </c>
      <c r="E342" s="17" t="s">
        <v>165</v>
      </c>
      <c r="F342" s="17" t="s">
        <v>166</v>
      </c>
      <c r="G342" s="17">
        <v>4</v>
      </c>
      <c r="H342" s="17">
        <v>57762</v>
      </c>
      <c r="I342" s="17">
        <v>231048</v>
      </c>
      <c r="J342" s="17">
        <v>2589</v>
      </c>
      <c r="K342" s="17">
        <v>228459</v>
      </c>
      <c r="L342" s="17">
        <v>40662.828459999997</v>
      </c>
      <c r="M342" s="17">
        <v>2024</v>
      </c>
      <c r="N342" s="17" t="s">
        <v>171</v>
      </c>
    </row>
    <row r="343" spans="1:14" ht="14.25" customHeight="1">
      <c r="A343" s="17">
        <v>10342</v>
      </c>
      <c r="B343" s="18">
        <v>45463</v>
      </c>
      <c r="C343" s="17" t="s">
        <v>167</v>
      </c>
      <c r="D343" s="17" t="s">
        <v>86</v>
      </c>
      <c r="E343" s="17" t="s">
        <v>165</v>
      </c>
      <c r="F343" s="17" t="s">
        <v>164</v>
      </c>
      <c r="G343" s="17">
        <v>4</v>
      </c>
      <c r="H343" s="17">
        <v>26128</v>
      </c>
      <c r="I343" s="17">
        <v>104512</v>
      </c>
      <c r="J343" s="17">
        <v>4552</v>
      </c>
      <c r="K343" s="17">
        <v>99960</v>
      </c>
      <c r="L343" s="17">
        <v>24564.142100000001</v>
      </c>
      <c r="M343" s="17">
        <v>2024</v>
      </c>
      <c r="N343" s="17" t="s">
        <v>120</v>
      </c>
    </row>
    <row r="344" spans="1:14" ht="14.25" customHeight="1">
      <c r="A344" s="17">
        <v>10343</v>
      </c>
      <c r="B344" s="18">
        <v>45511</v>
      </c>
      <c r="C344" s="17" t="s">
        <v>45</v>
      </c>
      <c r="D344" s="17" t="s">
        <v>170</v>
      </c>
      <c r="E344" s="17" t="s">
        <v>168</v>
      </c>
      <c r="F344" s="17" t="s">
        <v>166</v>
      </c>
      <c r="G344" s="17">
        <v>4</v>
      </c>
      <c r="H344" s="17">
        <v>19684</v>
      </c>
      <c r="I344" s="17">
        <v>78736</v>
      </c>
      <c r="J344" s="17">
        <v>1549</v>
      </c>
      <c r="K344" s="17">
        <v>77187</v>
      </c>
      <c r="L344" s="17">
        <v>16818.73402</v>
      </c>
      <c r="M344" s="17">
        <v>2024</v>
      </c>
      <c r="N344" s="17" t="s">
        <v>126</v>
      </c>
    </row>
    <row r="345" spans="1:14" ht="14.25" customHeight="1">
      <c r="A345" s="17">
        <v>10344</v>
      </c>
      <c r="B345" s="18">
        <v>45449</v>
      </c>
      <c r="C345" s="17" t="s">
        <v>39</v>
      </c>
      <c r="D345" s="17" t="s">
        <v>89</v>
      </c>
      <c r="E345" s="17" t="s">
        <v>165</v>
      </c>
      <c r="F345" s="17" t="s">
        <v>172</v>
      </c>
      <c r="G345" s="17">
        <v>7</v>
      </c>
      <c r="H345" s="17">
        <v>56155</v>
      </c>
      <c r="I345" s="17">
        <v>393085</v>
      </c>
      <c r="J345" s="17">
        <v>3507</v>
      </c>
      <c r="K345" s="17">
        <v>389578</v>
      </c>
      <c r="L345" s="17">
        <v>60501.729749999999</v>
      </c>
      <c r="M345" s="17">
        <v>2024</v>
      </c>
      <c r="N345" s="17" t="s">
        <v>120</v>
      </c>
    </row>
    <row r="346" spans="1:14" ht="14.25" customHeight="1">
      <c r="A346" s="17">
        <v>10345</v>
      </c>
      <c r="B346" s="18">
        <v>45768</v>
      </c>
      <c r="C346" s="17" t="s">
        <v>39</v>
      </c>
      <c r="D346" s="17" t="s">
        <v>89</v>
      </c>
      <c r="E346" s="17" t="s">
        <v>165</v>
      </c>
      <c r="F346" s="17" t="s">
        <v>172</v>
      </c>
      <c r="G346" s="17">
        <v>1</v>
      </c>
      <c r="H346" s="17">
        <v>29419</v>
      </c>
      <c r="I346" s="17">
        <v>29419</v>
      </c>
      <c r="J346" s="17">
        <v>4461</v>
      </c>
      <c r="K346" s="17">
        <v>24958</v>
      </c>
      <c r="L346" s="17">
        <v>5168.6085899999998</v>
      </c>
      <c r="M346" s="17">
        <v>2025</v>
      </c>
      <c r="N346" s="17" t="s">
        <v>114</v>
      </c>
    </row>
    <row r="347" spans="1:14" ht="14.25" customHeight="1">
      <c r="A347" s="17">
        <v>10346</v>
      </c>
      <c r="B347" s="18">
        <v>45337</v>
      </c>
      <c r="C347" s="17" t="s">
        <v>45</v>
      </c>
      <c r="D347" s="17" t="s">
        <v>86</v>
      </c>
      <c r="E347" s="17" t="s">
        <v>162</v>
      </c>
      <c r="F347" s="17" t="s">
        <v>163</v>
      </c>
      <c r="G347" s="17">
        <v>8</v>
      </c>
      <c r="H347" s="17">
        <v>6527</v>
      </c>
      <c r="I347" s="17">
        <v>52216</v>
      </c>
      <c r="J347" s="17">
        <v>2621</v>
      </c>
      <c r="K347" s="17">
        <v>49595</v>
      </c>
      <c r="L347" s="17">
        <v>11888.18972</v>
      </c>
      <c r="M347" s="17">
        <v>2024</v>
      </c>
      <c r="N347" s="17" t="s">
        <v>175</v>
      </c>
    </row>
    <row r="348" spans="1:14" ht="14.25" customHeight="1">
      <c r="A348" s="17">
        <v>10347</v>
      </c>
      <c r="B348" s="18">
        <v>45664</v>
      </c>
      <c r="C348" s="17" t="s">
        <v>45</v>
      </c>
      <c r="D348" s="17" t="s">
        <v>83</v>
      </c>
      <c r="E348" s="17" t="s">
        <v>162</v>
      </c>
      <c r="F348" s="17" t="s">
        <v>164</v>
      </c>
      <c r="G348" s="17">
        <v>9</v>
      </c>
      <c r="H348" s="17">
        <v>20220</v>
      </c>
      <c r="I348" s="17">
        <v>181980</v>
      </c>
      <c r="J348" s="17">
        <v>2529</v>
      </c>
      <c r="K348" s="17">
        <v>179451</v>
      </c>
      <c r="L348" s="17">
        <v>32450.576140000001</v>
      </c>
      <c r="M348" s="17">
        <v>2025</v>
      </c>
      <c r="N348" s="17" t="s">
        <v>171</v>
      </c>
    </row>
    <row r="349" spans="1:14" ht="14.25" customHeight="1">
      <c r="A349" s="17">
        <v>10348</v>
      </c>
      <c r="B349" s="18">
        <v>45809</v>
      </c>
      <c r="C349" s="17" t="s">
        <v>167</v>
      </c>
      <c r="D349" s="17" t="s">
        <v>83</v>
      </c>
      <c r="E349" s="17" t="s">
        <v>162</v>
      </c>
      <c r="F349" s="17" t="s">
        <v>164</v>
      </c>
      <c r="G349" s="17">
        <v>6</v>
      </c>
      <c r="H349" s="17">
        <v>28702</v>
      </c>
      <c r="I349" s="17">
        <v>172212</v>
      </c>
      <c r="J349" s="17">
        <v>2157</v>
      </c>
      <c r="K349" s="17">
        <v>170055</v>
      </c>
      <c r="L349" s="17">
        <v>28788.78599</v>
      </c>
      <c r="M349" s="17">
        <v>2025</v>
      </c>
      <c r="N349" s="17" t="s">
        <v>120</v>
      </c>
    </row>
    <row r="350" spans="1:14" ht="14.25" customHeight="1">
      <c r="A350" s="17">
        <v>10349</v>
      </c>
      <c r="B350" s="18">
        <v>45390</v>
      </c>
      <c r="C350" s="17" t="s">
        <v>45</v>
      </c>
      <c r="D350" s="17" t="s">
        <v>89</v>
      </c>
      <c r="E350" s="17" t="s">
        <v>168</v>
      </c>
      <c r="F350" s="17" t="s">
        <v>163</v>
      </c>
      <c r="G350" s="17">
        <v>4</v>
      </c>
      <c r="H350" s="17">
        <v>32757</v>
      </c>
      <c r="I350" s="17">
        <v>131028</v>
      </c>
      <c r="J350" s="17">
        <v>2356</v>
      </c>
      <c r="K350" s="17">
        <v>128672</v>
      </c>
      <c r="L350" s="17">
        <v>23540.412550000001</v>
      </c>
      <c r="M350" s="17">
        <v>2024</v>
      </c>
      <c r="N350" s="17" t="s">
        <v>114</v>
      </c>
    </row>
    <row r="351" spans="1:14" ht="14.25" customHeight="1">
      <c r="A351" s="17">
        <v>10350</v>
      </c>
      <c r="B351" s="18">
        <v>45328</v>
      </c>
      <c r="C351" s="17" t="s">
        <v>50</v>
      </c>
      <c r="D351" s="17" t="s">
        <v>170</v>
      </c>
      <c r="E351" s="17" t="s">
        <v>168</v>
      </c>
      <c r="F351" s="17" t="s">
        <v>166</v>
      </c>
      <c r="G351" s="17">
        <v>6</v>
      </c>
      <c r="H351" s="17">
        <v>51664</v>
      </c>
      <c r="I351" s="17">
        <v>309984</v>
      </c>
      <c r="J351" s="17">
        <v>159</v>
      </c>
      <c r="K351" s="17">
        <v>309825</v>
      </c>
      <c r="L351" s="17">
        <v>45460.469250000002</v>
      </c>
      <c r="M351" s="17">
        <v>2024</v>
      </c>
      <c r="N351" s="17" t="s">
        <v>175</v>
      </c>
    </row>
    <row r="352" spans="1:14" ht="14.25" customHeight="1">
      <c r="A352" s="17">
        <v>10351</v>
      </c>
      <c r="B352" s="18">
        <v>45571</v>
      </c>
      <c r="C352" s="17" t="s">
        <v>58</v>
      </c>
      <c r="D352" s="17" t="s">
        <v>86</v>
      </c>
      <c r="E352" s="17" t="s">
        <v>168</v>
      </c>
      <c r="F352" s="17" t="s">
        <v>163</v>
      </c>
      <c r="G352" s="17">
        <v>7</v>
      </c>
      <c r="H352" s="17">
        <v>20205</v>
      </c>
      <c r="I352" s="17">
        <v>141435</v>
      </c>
      <c r="J352" s="17">
        <v>4939</v>
      </c>
      <c r="K352" s="17">
        <v>136496</v>
      </c>
      <c r="L352" s="17">
        <v>32227.022489999999</v>
      </c>
      <c r="M352" s="17">
        <v>2024</v>
      </c>
      <c r="N352" s="17" t="s">
        <v>174</v>
      </c>
    </row>
    <row r="353" spans="1:14" ht="14.25" customHeight="1">
      <c r="A353" s="17">
        <v>10352</v>
      </c>
      <c r="B353" s="18">
        <v>45640</v>
      </c>
      <c r="C353" s="17" t="s">
        <v>45</v>
      </c>
      <c r="D353" s="17" t="s">
        <v>83</v>
      </c>
      <c r="E353" s="17" t="s">
        <v>162</v>
      </c>
      <c r="F353" s="17" t="s">
        <v>166</v>
      </c>
      <c r="G353" s="17">
        <v>6</v>
      </c>
      <c r="H353" s="17">
        <v>65207</v>
      </c>
      <c r="I353" s="17">
        <v>391242</v>
      </c>
      <c r="J353" s="17">
        <v>2102</v>
      </c>
      <c r="K353" s="17">
        <v>389140</v>
      </c>
      <c r="L353" s="17">
        <v>85452.136679999996</v>
      </c>
      <c r="M353" s="17">
        <v>2024</v>
      </c>
      <c r="N353" s="17" t="s">
        <v>169</v>
      </c>
    </row>
    <row r="354" spans="1:14" ht="14.25" customHeight="1">
      <c r="A354" s="17">
        <v>10353</v>
      </c>
      <c r="B354" s="18">
        <v>45788</v>
      </c>
      <c r="C354" s="17" t="s">
        <v>45</v>
      </c>
      <c r="D354" s="17" t="s">
        <v>83</v>
      </c>
      <c r="E354" s="17" t="s">
        <v>165</v>
      </c>
      <c r="F354" s="17" t="s">
        <v>163</v>
      </c>
      <c r="G354" s="17">
        <v>1</v>
      </c>
      <c r="H354" s="17">
        <v>25994</v>
      </c>
      <c r="I354" s="17">
        <v>25994</v>
      </c>
      <c r="J354" s="17">
        <v>2808</v>
      </c>
      <c r="K354" s="17">
        <v>23186</v>
      </c>
      <c r="L354" s="17">
        <v>4772.2031939999997</v>
      </c>
      <c r="M354" s="17">
        <v>2025</v>
      </c>
      <c r="N354" s="17" t="s">
        <v>117</v>
      </c>
    </row>
    <row r="355" spans="1:14" ht="14.25" customHeight="1">
      <c r="A355" s="17">
        <v>10354</v>
      </c>
      <c r="B355" s="18">
        <v>45593</v>
      </c>
      <c r="C355" s="17" t="s">
        <v>50</v>
      </c>
      <c r="D355" s="17" t="s">
        <v>111</v>
      </c>
      <c r="E355" s="17" t="s">
        <v>162</v>
      </c>
      <c r="F355" s="17" t="s">
        <v>164</v>
      </c>
      <c r="G355" s="17">
        <v>5</v>
      </c>
      <c r="H355" s="17">
        <v>35569</v>
      </c>
      <c r="I355" s="17">
        <v>177845</v>
      </c>
      <c r="J355" s="17">
        <v>1999</v>
      </c>
      <c r="K355" s="17">
        <v>175846</v>
      </c>
      <c r="L355" s="17">
        <v>33123.022900000004</v>
      </c>
      <c r="M355" s="17">
        <v>2024</v>
      </c>
      <c r="N355" s="17" t="s">
        <v>174</v>
      </c>
    </row>
    <row r="356" spans="1:14" ht="14.25" customHeight="1">
      <c r="A356" s="17">
        <v>10355</v>
      </c>
      <c r="B356" s="18">
        <v>45472</v>
      </c>
      <c r="C356" s="17" t="s">
        <v>39</v>
      </c>
      <c r="D356" s="17" t="s">
        <v>89</v>
      </c>
      <c r="E356" s="17" t="s">
        <v>168</v>
      </c>
      <c r="F356" s="17" t="s">
        <v>164</v>
      </c>
      <c r="G356" s="17">
        <v>8</v>
      </c>
      <c r="H356" s="17">
        <v>11626</v>
      </c>
      <c r="I356" s="17">
        <v>93008</v>
      </c>
      <c r="J356" s="17">
        <v>2581</v>
      </c>
      <c r="K356" s="17">
        <v>90427</v>
      </c>
      <c r="L356" s="17">
        <v>22192.704369999999</v>
      </c>
      <c r="M356" s="17">
        <v>2024</v>
      </c>
      <c r="N356" s="17" t="s">
        <v>120</v>
      </c>
    </row>
    <row r="357" spans="1:14" ht="14.25" customHeight="1">
      <c r="A357" s="17">
        <v>10356</v>
      </c>
      <c r="B357" s="18">
        <v>45898</v>
      </c>
      <c r="C357" s="17" t="s">
        <v>39</v>
      </c>
      <c r="D357" s="17" t="s">
        <v>170</v>
      </c>
      <c r="E357" s="17" t="s">
        <v>162</v>
      </c>
      <c r="F357" s="17" t="s">
        <v>166</v>
      </c>
      <c r="G357" s="17">
        <v>8</v>
      </c>
      <c r="H357" s="17">
        <v>8964</v>
      </c>
      <c r="I357" s="17">
        <v>71712</v>
      </c>
      <c r="J357" s="17">
        <v>2993</v>
      </c>
      <c r="K357" s="17">
        <v>68719</v>
      </c>
      <c r="L357" s="17">
        <v>9940.6060039999993</v>
      </c>
      <c r="M357" s="17">
        <v>2025</v>
      </c>
      <c r="N357" s="17" t="s">
        <v>126</v>
      </c>
    </row>
    <row r="358" spans="1:14" ht="14.25" customHeight="1">
      <c r="A358" s="17">
        <v>10357</v>
      </c>
      <c r="B358" s="18">
        <v>45390</v>
      </c>
      <c r="C358" s="17" t="s">
        <v>167</v>
      </c>
      <c r="D358" s="17" t="s">
        <v>86</v>
      </c>
      <c r="E358" s="17" t="s">
        <v>165</v>
      </c>
      <c r="F358" s="17" t="s">
        <v>164</v>
      </c>
      <c r="G358" s="17">
        <v>9</v>
      </c>
      <c r="H358" s="17">
        <v>52377</v>
      </c>
      <c r="I358" s="17">
        <v>471393</v>
      </c>
      <c r="J358" s="17">
        <v>2934</v>
      </c>
      <c r="K358" s="17">
        <v>468459</v>
      </c>
      <c r="L358" s="17">
        <v>66741.482430000004</v>
      </c>
      <c r="M358" s="17">
        <v>2024</v>
      </c>
      <c r="N358" s="17" t="s">
        <v>114</v>
      </c>
    </row>
    <row r="359" spans="1:14" ht="14.25" customHeight="1">
      <c r="A359" s="17">
        <v>10358</v>
      </c>
      <c r="B359" s="18">
        <v>45991</v>
      </c>
      <c r="C359" s="17" t="s">
        <v>50</v>
      </c>
      <c r="D359" s="17" t="s">
        <v>83</v>
      </c>
      <c r="E359" s="17" t="s">
        <v>168</v>
      </c>
      <c r="F359" s="17" t="s">
        <v>164</v>
      </c>
      <c r="G359" s="17">
        <v>4</v>
      </c>
      <c r="H359" s="17">
        <v>23058</v>
      </c>
      <c r="I359" s="17">
        <v>92232</v>
      </c>
      <c r="J359" s="17">
        <v>2311</v>
      </c>
      <c r="K359" s="17">
        <v>89921</v>
      </c>
      <c r="L359" s="17">
        <v>12258.09815</v>
      </c>
      <c r="M359" s="17">
        <v>2025</v>
      </c>
      <c r="N359" s="17" t="s">
        <v>173</v>
      </c>
    </row>
    <row r="360" spans="1:14" ht="14.25" customHeight="1">
      <c r="A360" s="17">
        <v>10359</v>
      </c>
      <c r="B360" s="18">
        <v>45407</v>
      </c>
      <c r="C360" s="17" t="s">
        <v>58</v>
      </c>
      <c r="D360" s="17" t="s">
        <v>111</v>
      </c>
      <c r="E360" s="17" t="s">
        <v>165</v>
      </c>
      <c r="F360" s="17" t="s">
        <v>164</v>
      </c>
      <c r="G360" s="17">
        <v>6</v>
      </c>
      <c r="H360" s="17">
        <v>40160</v>
      </c>
      <c r="I360" s="17">
        <v>240960</v>
      </c>
      <c r="J360" s="17">
        <v>2795</v>
      </c>
      <c r="K360" s="17">
        <v>238165</v>
      </c>
      <c r="L360" s="17">
        <v>50316.261749999998</v>
      </c>
      <c r="M360" s="17">
        <v>2024</v>
      </c>
      <c r="N360" s="17" t="s">
        <v>114</v>
      </c>
    </row>
    <row r="361" spans="1:14" ht="14.25" customHeight="1">
      <c r="A361" s="17">
        <v>10360</v>
      </c>
      <c r="B361" s="18">
        <v>45482</v>
      </c>
      <c r="C361" s="17" t="s">
        <v>58</v>
      </c>
      <c r="D361" s="17" t="s">
        <v>89</v>
      </c>
      <c r="E361" s="17" t="s">
        <v>165</v>
      </c>
      <c r="F361" s="17" t="s">
        <v>164</v>
      </c>
      <c r="G361" s="17">
        <v>7</v>
      </c>
      <c r="H361" s="17">
        <v>21262</v>
      </c>
      <c r="I361" s="17">
        <v>148834</v>
      </c>
      <c r="J361" s="17">
        <v>4328</v>
      </c>
      <c r="K361" s="17">
        <v>144506</v>
      </c>
      <c r="L361" s="17">
        <v>31732.483800000002</v>
      </c>
      <c r="M361" s="17">
        <v>2024</v>
      </c>
      <c r="N361" s="17" t="s">
        <v>123</v>
      </c>
    </row>
    <row r="362" spans="1:14" ht="14.25" customHeight="1">
      <c r="A362" s="17">
        <v>10361</v>
      </c>
      <c r="B362" s="18">
        <v>45544</v>
      </c>
      <c r="C362" s="17" t="s">
        <v>50</v>
      </c>
      <c r="D362" s="17" t="s">
        <v>89</v>
      </c>
      <c r="E362" s="17" t="s">
        <v>168</v>
      </c>
      <c r="F362" s="17" t="s">
        <v>172</v>
      </c>
      <c r="G362" s="17">
        <v>5</v>
      </c>
      <c r="H362" s="17">
        <v>15884</v>
      </c>
      <c r="I362" s="17">
        <v>79420</v>
      </c>
      <c r="J362" s="17">
        <v>4328</v>
      </c>
      <c r="K362" s="17">
        <v>75092</v>
      </c>
      <c r="L362" s="17">
        <v>14234.97466</v>
      </c>
      <c r="M362" s="17">
        <v>2024</v>
      </c>
      <c r="N362" s="17" t="s">
        <v>129</v>
      </c>
    </row>
    <row r="363" spans="1:14" ht="14.25" customHeight="1">
      <c r="A363" s="17">
        <v>10362</v>
      </c>
      <c r="B363" s="18">
        <v>45452</v>
      </c>
      <c r="C363" s="17" t="s">
        <v>58</v>
      </c>
      <c r="D363" s="17" t="s">
        <v>86</v>
      </c>
      <c r="E363" s="17" t="s">
        <v>165</v>
      </c>
      <c r="F363" s="17" t="s">
        <v>163</v>
      </c>
      <c r="G363" s="17">
        <v>8</v>
      </c>
      <c r="H363" s="17">
        <v>9433</v>
      </c>
      <c r="I363" s="17">
        <v>75464</v>
      </c>
      <c r="J363" s="17">
        <v>3588</v>
      </c>
      <c r="K363" s="17">
        <v>71876</v>
      </c>
      <c r="L363" s="17">
        <v>14216.89717</v>
      </c>
      <c r="M363" s="17">
        <v>2024</v>
      </c>
      <c r="N363" s="17" t="s">
        <v>120</v>
      </c>
    </row>
    <row r="364" spans="1:14" ht="14.25" customHeight="1">
      <c r="A364" s="17">
        <v>10363</v>
      </c>
      <c r="B364" s="18">
        <v>45547</v>
      </c>
      <c r="C364" s="17" t="s">
        <v>39</v>
      </c>
      <c r="D364" s="17" t="s">
        <v>83</v>
      </c>
      <c r="E364" s="17" t="s">
        <v>162</v>
      </c>
      <c r="F364" s="17" t="s">
        <v>163</v>
      </c>
      <c r="G364" s="17">
        <v>3</v>
      </c>
      <c r="H364" s="17">
        <v>36063</v>
      </c>
      <c r="I364" s="17">
        <v>108189</v>
      </c>
      <c r="J364" s="17">
        <v>3116</v>
      </c>
      <c r="K364" s="17">
        <v>105073</v>
      </c>
      <c r="L364" s="17">
        <v>16007.25316</v>
      </c>
      <c r="M364" s="17">
        <v>2024</v>
      </c>
      <c r="N364" s="17" t="s">
        <v>129</v>
      </c>
    </row>
    <row r="365" spans="1:14" ht="14.25" customHeight="1">
      <c r="A365" s="17">
        <v>10364</v>
      </c>
      <c r="B365" s="18">
        <v>45614</v>
      </c>
      <c r="C365" s="17" t="s">
        <v>58</v>
      </c>
      <c r="D365" s="17" t="s">
        <v>86</v>
      </c>
      <c r="E365" s="17" t="s">
        <v>165</v>
      </c>
      <c r="F365" s="17" t="s">
        <v>172</v>
      </c>
      <c r="G365" s="17">
        <v>8</v>
      </c>
      <c r="H365" s="17">
        <v>38484</v>
      </c>
      <c r="I365" s="17">
        <v>307872</v>
      </c>
      <c r="J365" s="17">
        <v>4653</v>
      </c>
      <c r="K365" s="17">
        <v>303219</v>
      </c>
      <c r="L365" s="17">
        <v>32130.18634</v>
      </c>
      <c r="M365" s="17">
        <v>2024</v>
      </c>
      <c r="N365" s="17" t="s">
        <v>173</v>
      </c>
    </row>
    <row r="366" spans="1:14" ht="14.25" customHeight="1">
      <c r="A366" s="17">
        <v>10365</v>
      </c>
      <c r="B366" s="18">
        <v>45419</v>
      </c>
      <c r="C366" s="17" t="s">
        <v>58</v>
      </c>
      <c r="D366" s="17" t="s">
        <v>86</v>
      </c>
      <c r="E366" s="17" t="s">
        <v>165</v>
      </c>
      <c r="F366" s="17" t="s">
        <v>164</v>
      </c>
      <c r="G366" s="17">
        <v>5</v>
      </c>
      <c r="H366" s="17">
        <v>41536</v>
      </c>
      <c r="I366" s="17">
        <v>207680</v>
      </c>
      <c r="J366" s="17">
        <v>3747</v>
      </c>
      <c r="K366" s="17">
        <v>203933</v>
      </c>
      <c r="L366" s="17">
        <v>28152.00778</v>
      </c>
      <c r="M366" s="17">
        <v>2024</v>
      </c>
      <c r="N366" s="17" t="s">
        <v>117</v>
      </c>
    </row>
    <row r="367" spans="1:14" ht="14.25" customHeight="1">
      <c r="A367" s="17">
        <v>10366</v>
      </c>
      <c r="B367" s="18">
        <v>45309</v>
      </c>
      <c r="C367" s="17" t="s">
        <v>50</v>
      </c>
      <c r="D367" s="17" t="s">
        <v>111</v>
      </c>
      <c r="E367" s="17" t="s">
        <v>165</v>
      </c>
      <c r="F367" s="17" t="s">
        <v>163</v>
      </c>
      <c r="G367" s="17">
        <v>1</v>
      </c>
      <c r="H367" s="17">
        <v>35084</v>
      </c>
      <c r="I367" s="17">
        <v>35084</v>
      </c>
      <c r="J367" s="17">
        <v>1949</v>
      </c>
      <c r="K367" s="17">
        <v>33135</v>
      </c>
      <c r="L367" s="17">
        <v>6217.6331149999996</v>
      </c>
      <c r="M367" s="17">
        <v>2024</v>
      </c>
      <c r="N367" s="17" t="s">
        <v>171</v>
      </c>
    </row>
    <row r="368" spans="1:14" ht="14.25" customHeight="1">
      <c r="A368" s="17">
        <v>10367</v>
      </c>
      <c r="B368" s="18">
        <v>45857</v>
      </c>
      <c r="C368" s="17" t="s">
        <v>50</v>
      </c>
      <c r="D368" s="17" t="s">
        <v>89</v>
      </c>
      <c r="E368" s="17" t="s">
        <v>162</v>
      </c>
      <c r="F368" s="17" t="s">
        <v>163</v>
      </c>
      <c r="G368" s="17">
        <v>6</v>
      </c>
      <c r="H368" s="17">
        <v>29802</v>
      </c>
      <c r="I368" s="17">
        <v>178812</v>
      </c>
      <c r="J368" s="17">
        <v>1459</v>
      </c>
      <c r="K368" s="17">
        <v>177353</v>
      </c>
      <c r="L368" s="17">
        <v>39361.707499999997</v>
      </c>
      <c r="M368" s="17">
        <v>2025</v>
      </c>
      <c r="N368" s="17" t="s">
        <v>123</v>
      </c>
    </row>
    <row r="369" spans="1:14" ht="14.25" customHeight="1">
      <c r="A369" s="17">
        <v>10368</v>
      </c>
      <c r="B369" s="18">
        <v>45861</v>
      </c>
      <c r="C369" s="17" t="s">
        <v>58</v>
      </c>
      <c r="D369" s="17" t="s">
        <v>170</v>
      </c>
      <c r="E369" s="17" t="s">
        <v>165</v>
      </c>
      <c r="F369" s="17" t="s">
        <v>163</v>
      </c>
      <c r="G369" s="17">
        <v>2</v>
      </c>
      <c r="H369" s="17">
        <v>62012</v>
      </c>
      <c r="I369" s="17">
        <v>124024</v>
      </c>
      <c r="J369" s="17">
        <v>4430</v>
      </c>
      <c r="K369" s="17">
        <v>119594</v>
      </c>
      <c r="L369" s="17">
        <v>25901.578440000001</v>
      </c>
      <c r="M369" s="17">
        <v>2025</v>
      </c>
      <c r="N369" s="17" t="s">
        <v>123</v>
      </c>
    </row>
    <row r="370" spans="1:14" ht="14.25" customHeight="1">
      <c r="A370" s="17">
        <v>10369</v>
      </c>
      <c r="B370" s="18">
        <v>45614</v>
      </c>
      <c r="C370" s="17" t="s">
        <v>45</v>
      </c>
      <c r="D370" s="17" t="s">
        <v>89</v>
      </c>
      <c r="E370" s="17" t="s">
        <v>165</v>
      </c>
      <c r="F370" s="17" t="s">
        <v>166</v>
      </c>
      <c r="G370" s="17">
        <v>7</v>
      </c>
      <c r="H370" s="17">
        <v>25614</v>
      </c>
      <c r="I370" s="17">
        <v>179298</v>
      </c>
      <c r="J370" s="17">
        <v>2451</v>
      </c>
      <c r="K370" s="17">
        <v>176847</v>
      </c>
      <c r="L370" s="17">
        <v>22445.970280000001</v>
      </c>
      <c r="M370" s="17">
        <v>2024</v>
      </c>
      <c r="N370" s="17" t="s">
        <v>173</v>
      </c>
    </row>
    <row r="371" spans="1:14" ht="14.25" customHeight="1">
      <c r="A371" s="17">
        <v>10370</v>
      </c>
      <c r="B371" s="18">
        <v>45977</v>
      </c>
      <c r="C371" s="17" t="s">
        <v>50</v>
      </c>
      <c r="D371" s="17" t="s">
        <v>89</v>
      </c>
      <c r="E371" s="17" t="s">
        <v>162</v>
      </c>
      <c r="F371" s="17" t="s">
        <v>172</v>
      </c>
      <c r="G371" s="17">
        <v>9</v>
      </c>
      <c r="H371" s="17">
        <v>75569</v>
      </c>
      <c r="I371" s="17">
        <v>680121</v>
      </c>
      <c r="J371" s="17">
        <v>4351</v>
      </c>
      <c r="K371" s="17">
        <v>675770</v>
      </c>
      <c r="L371" s="17">
        <v>72791.870809999993</v>
      </c>
      <c r="M371" s="17">
        <v>2025</v>
      </c>
      <c r="N371" s="17" t="s">
        <v>173</v>
      </c>
    </row>
    <row r="372" spans="1:14" ht="14.25" customHeight="1">
      <c r="A372" s="17">
        <v>10371</v>
      </c>
      <c r="B372" s="18">
        <v>45917</v>
      </c>
      <c r="C372" s="17" t="s">
        <v>167</v>
      </c>
      <c r="D372" s="17" t="s">
        <v>111</v>
      </c>
      <c r="E372" s="17" t="s">
        <v>168</v>
      </c>
      <c r="F372" s="17" t="s">
        <v>166</v>
      </c>
      <c r="G372" s="17">
        <v>3</v>
      </c>
      <c r="H372" s="17">
        <v>74922</v>
      </c>
      <c r="I372" s="17">
        <v>224766</v>
      </c>
      <c r="J372" s="17">
        <v>3067</v>
      </c>
      <c r="K372" s="17">
        <v>221699</v>
      </c>
      <c r="L372" s="17">
        <v>50455.146549999998</v>
      </c>
      <c r="M372" s="17">
        <v>2025</v>
      </c>
      <c r="N372" s="17" t="s">
        <v>129</v>
      </c>
    </row>
    <row r="373" spans="1:14" ht="14.25" customHeight="1">
      <c r="A373" s="17">
        <v>10372</v>
      </c>
      <c r="B373" s="18">
        <v>45579</v>
      </c>
      <c r="C373" s="17" t="s">
        <v>167</v>
      </c>
      <c r="D373" s="17" t="s">
        <v>170</v>
      </c>
      <c r="E373" s="17" t="s">
        <v>168</v>
      </c>
      <c r="F373" s="17" t="s">
        <v>166</v>
      </c>
      <c r="G373" s="17">
        <v>4</v>
      </c>
      <c r="H373" s="17">
        <v>13157</v>
      </c>
      <c r="I373" s="17">
        <v>52628</v>
      </c>
      <c r="J373" s="17">
        <v>4090</v>
      </c>
      <c r="K373" s="17">
        <v>48538</v>
      </c>
      <c r="L373" s="17">
        <v>5404.142527</v>
      </c>
      <c r="M373" s="17">
        <v>2024</v>
      </c>
      <c r="N373" s="17" t="s">
        <v>174</v>
      </c>
    </row>
    <row r="374" spans="1:14" ht="14.25" customHeight="1">
      <c r="A374" s="17">
        <v>10373</v>
      </c>
      <c r="B374" s="18">
        <v>45954</v>
      </c>
      <c r="C374" s="17" t="s">
        <v>39</v>
      </c>
      <c r="D374" s="17" t="s">
        <v>83</v>
      </c>
      <c r="E374" s="17" t="s">
        <v>168</v>
      </c>
      <c r="F374" s="17" t="s">
        <v>172</v>
      </c>
      <c r="G374" s="17">
        <v>4</v>
      </c>
      <c r="H374" s="17">
        <v>53742</v>
      </c>
      <c r="I374" s="17">
        <v>214968</v>
      </c>
      <c r="J374" s="17">
        <v>2988</v>
      </c>
      <c r="K374" s="17">
        <v>211980</v>
      </c>
      <c r="L374" s="17">
        <v>33704.118219999997</v>
      </c>
      <c r="M374" s="17">
        <v>2025</v>
      </c>
      <c r="N374" s="17" t="s">
        <v>174</v>
      </c>
    </row>
    <row r="375" spans="1:14" ht="14.25" customHeight="1">
      <c r="A375" s="17">
        <v>10374</v>
      </c>
      <c r="B375" s="18">
        <v>45930</v>
      </c>
      <c r="C375" s="17" t="s">
        <v>58</v>
      </c>
      <c r="D375" s="17" t="s">
        <v>170</v>
      </c>
      <c r="E375" s="17" t="s">
        <v>165</v>
      </c>
      <c r="F375" s="17" t="s">
        <v>163</v>
      </c>
      <c r="G375" s="17">
        <v>4</v>
      </c>
      <c r="H375" s="17">
        <v>12675</v>
      </c>
      <c r="I375" s="17">
        <v>50700</v>
      </c>
      <c r="J375" s="17">
        <v>771</v>
      </c>
      <c r="K375" s="17">
        <v>49929</v>
      </c>
      <c r="L375" s="17">
        <v>5698.5889230000002</v>
      </c>
      <c r="M375" s="17">
        <v>2025</v>
      </c>
      <c r="N375" s="17" t="s">
        <v>129</v>
      </c>
    </row>
    <row r="376" spans="1:14" ht="14.25" customHeight="1">
      <c r="A376" s="17">
        <v>10375</v>
      </c>
      <c r="B376" s="18">
        <v>45446</v>
      </c>
      <c r="C376" s="17" t="s">
        <v>45</v>
      </c>
      <c r="D376" s="17" t="s">
        <v>83</v>
      </c>
      <c r="E376" s="17" t="s">
        <v>168</v>
      </c>
      <c r="F376" s="17" t="s">
        <v>166</v>
      </c>
      <c r="G376" s="17">
        <v>3</v>
      </c>
      <c r="H376" s="17">
        <v>31228</v>
      </c>
      <c r="I376" s="17">
        <v>93684</v>
      </c>
      <c r="J376" s="17">
        <v>1111</v>
      </c>
      <c r="K376" s="17">
        <v>92573</v>
      </c>
      <c r="L376" s="17">
        <v>17089.652190000001</v>
      </c>
      <c r="M376" s="17">
        <v>2024</v>
      </c>
      <c r="N376" s="17" t="s">
        <v>120</v>
      </c>
    </row>
    <row r="377" spans="1:14" ht="14.25" customHeight="1">
      <c r="A377" s="17">
        <v>10376</v>
      </c>
      <c r="B377" s="18">
        <v>45781</v>
      </c>
      <c r="C377" s="17" t="s">
        <v>39</v>
      </c>
      <c r="D377" s="17" t="s">
        <v>170</v>
      </c>
      <c r="E377" s="17" t="s">
        <v>162</v>
      </c>
      <c r="F377" s="17" t="s">
        <v>163</v>
      </c>
      <c r="G377" s="17">
        <v>5</v>
      </c>
      <c r="H377" s="17">
        <v>23251</v>
      </c>
      <c r="I377" s="17">
        <v>116255</v>
      </c>
      <c r="J377" s="17">
        <v>3311</v>
      </c>
      <c r="K377" s="17">
        <v>112944</v>
      </c>
      <c r="L377" s="17">
        <v>17449.90048</v>
      </c>
      <c r="M377" s="17">
        <v>2025</v>
      </c>
      <c r="N377" s="17" t="s">
        <v>117</v>
      </c>
    </row>
    <row r="378" spans="1:14" ht="14.25" customHeight="1">
      <c r="A378" s="17">
        <v>10377</v>
      </c>
      <c r="B378" s="18">
        <v>45677</v>
      </c>
      <c r="C378" s="17" t="s">
        <v>58</v>
      </c>
      <c r="D378" s="17" t="s">
        <v>86</v>
      </c>
      <c r="E378" s="17" t="s">
        <v>165</v>
      </c>
      <c r="F378" s="17" t="s">
        <v>166</v>
      </c>
      <c r="G378" s="17">
        <v>9</v>
      </c>
      <c r="H378" s="17">
        <v>28349</v>
      </c>
      <c r="I378" s="17">
        <v>255141</v>
      </c>
      <c r="J378" s="17">
        <v>4406</v>
      </c>
      <c r="K378" s="17">
        <v>250735</v>
      </c>
      <c r="L378" s="17">
        <v>32689.335589999999</v>
      </c>
      <c r="M378" s="17">
        <v>2025</v>
      </c>
      <c r="N378" s="17" t="s">
        <v>171</v>
      </c>
    </row>
    <row r="379" spans="1:14" ht="14.25" customHeight="1">
      <c r="A379" s="17">
        <v>10378</v>
      </c>
      <c r="B379" s="18">
        <v>45395</v>
      </c>
      <c r="C379" s="17" t="s">
        <v>50</v>
      </c>
      <c r="D379" s="17" t="s">
        <v>170</v>
      </c>
      <c r="E379" s="17" t="s">
        <v>165</v>
      </c>
      <c r="F379" s="17" t="s">
        <v>163</v>
      </c>
      <c r="G379" s="17">
        <v>8</v>
      </c>
      <c r="H379" s="17">
        <v>54178</v>
      </c>
      <c r="I379" s="17">
        <v>433424</v>
      </c>
      <c r="J379" s="17">
        <v>1594</v>
      </c>
      <c r="K379" s="17">
        <v>431830</v>
      </c>
      <c r="L379" s="17">
        <v>81734.688120000006</v>
      </c>
      <c r="M379" s="17">
        <v>2024</v>
      </c>
      <c r="N379" s="17" t="s">
        <v>114</v>
      </c>
    </row>
    <row r="380" spans="1:14" ht="14.25" customHeight="1">
      <c r="A380" s="17">
        <v>10379</v>
      </c>
      <c r="B380" s="18">
        <v>45684</v>
      </c>
      <c r="C380" s="17" t="s">
        <v>167</v>
      </c>
      <c r="D380" s="17" t="s">
        <v>111</v>
      </c>
      <c r="E380" s="17" t="s">
        <v>165</v>
      </c>
      <c r="F380" s="17" t="s">
        <v>164</v>
      </c>
      <c r="G380" s="17">
        <v>2</v>
      </c>
      <c r="H380" s="17">
        <v>79660</v>
      </c>
      <c r="I380" s="17">
        <v>159320</v>
      </c>
      <c r="J380" s="17">
        <v>2729</v>
      </c>
      <c r="K380" s="17">
        <v>156591</v>
      </c>
      <c r="L380" s="17">
        <v>24194.682570000001</v>
      </c>
      <c r="M380" s="17">
        <v>2025</v>
      </c>
      <c r="N380" s="17" t="s">
        <v>171</v>
      </c>
    </row>
    <row r="381" spans="1:14" ht="14.25" customHeight="1">
      <c r="A381" s="17">
        <v>10380</v>
      </c>
      <c r="B381" s="18">
        <v>45537</v>
      </c>
      <c r="C381" s="17" t="s">
        <v>45</v>
      </c>
      <c r="D381" s="17" t="s">
        <v>83</v>
      </c>
      <c r="E381" s="17" t="s">
        <v>168</v>
      </c>
      <c r="F381" s="17" t="s">
        <v>164</v>
      </c>
      <c r="G381" s="17">
        <v>9</v>
      </c>
      <c r="H381" s="17">
        <v>11588</v>
      </c>
      <c r="I381" s="17">
        <v>104292</v>
      </c>
      <c r="J381" s="17">
        <v>1281</v>
      </c>
      <c r="K381" s="17">
        <v>103011</v>
      </c>
      <c r="L381" s="17">
        <v>12878.25369</v>
      </c>
      <c r="M381" s="17">
        <v>2024</v>
      </c>
      <c r="N381" s="17" t="s">
        <v>129</v>
      </c>
    </row>
    <row r="382" spans="1:14" ht="14.25" customHeight="1">
      <c r="A382" s="17">
        <v>10381</v>
      </c>
      <c r="B382" s="18">
        <v>45467</v>
      </c>
      <c r="C382" s="17" t="s">
        <v>167</v>
      </c>
      <c r="D382" s="17" t="s">
        <v>89</v>
      </c>
      <c r="E382" s="17" t="s">
        <v>168</v>
      </c>
      <c r="F382" s="17" t="s">
        <v>164</v>
      </c>
      <c r="G382" s="17">
        <v>2</v>
      </c>
      <c r="H382" s="17">
        <v>68196</v>
      </c>
      <c r="I382" s="17">
        <v>136392</v>
      </c>
      <c r="J382" s="17">
        <v>3585</v>
      </c>
      <c r="K382" s="17">
        <v>132807</v>
      </c>
      <c r="L382" s="17">
        <v>27227.156429999999</v>
      </c>
      <c r="M382" s="17">
        <v>2024</v>
      </c>
      <c r="N382" s="17" t="s">
        <v>120</v>
      </c>
    </row>
    <row r="383" spans="1:14" ht="14.25" customHeight="1">
      <c r="A383" s="17">
        <v>10382</v>
      </c>
      <c r="B383" s="18">
        <v>45330</v>
      </c>
      <c r="C383" s="17" t="s">
        <v>50</v>
      </c>
      <c r="D383" s="17" t="s">
        <v>111</v>
      </c>
      <c r="E383" s="17" t="s">
        <v>168</v>
      </c>
      <c r="F383" s="17" t="s">
        <v>172</v>
      </c>
      <c r="G383" s="17">
        <v>7</v>
      </c>
      <c r="H383" s="17">
        <v>37400</v>
      </c>
      <c r="I383" s="17">
        <v>261800</v>
      </c>
      <c r="J383" s="17">
        <v>2828</v>
      </c>
      <c r="K383" s="17">
        <v>258972</v>
      </c>
      <c r="L383" s="17">
        <v>58403.688240000003</v>
      </c>
      <c r="M383" s="17">
        <v>2024</v>
      </c>
      <c r="N383" s="17" t="s">
        <v>175</v>
      </c>
    </row>
    <row r="384" spans="1:14" ht="14.25" customHeight="1">
      <c r="A384" s="17">
        <v>10383</v>
      </c>
      <c r="B384" s="18">
        <v>45768</v>
      </c>
      <c r="C384" s="17" t="s">
        <v>58</v>
      </c>
      <c r="D384" s="17" t="s">
        <v>83</v>
      </c>
      <c r="E384" s="17" t="s">
        <v>165</v>
      </c>
      <c r="F384" s="17" t="s">
        <v>164</v>
      </c>
      <c r="G384" s="17">
        <v>5</v>
      </c>
      <c r="H384" s="17">
        <v>18536</v>
      </c>
      <c r="I384" s="17">
        <v>92680</v>
      </c>
      <c r="J384" s="17">
        <v>2373</v>
      </c>
      <c r="K384" s="17">
        <v>90307</v>
      </c>
      <c r="L384" s="17">
        <v>12738.83056</v>
      </c>
      <c r="M384" s="17">
        <v>2025</v>
      </c>
      <c r="N384" s="17" t="s">
        <v>114</v>
      </c>
    </row>
    <row r="385" spans="1:14" ht="14.25" customHeight="1">
      <c r="A385" s="17">
        <v>10384</v>
      </c>
      <c r="B385" s="18">
        <v>45973</v>
      </c>
      <c r="C385" s="17" t="s">
        <v>50</v>
      </c>
      <c r="D385" s="17" t="s">
        <v>83</v>
      </c>
      <c r="E385" s="17" t="s">
        <v>162</v>
      </c>
      <c r="F385" s="17" t="s">
        <v>166</v>
      </c>
      <c r="G385" s="17">
        <v>7</v>
      </c>
      <c r="H385" s="17">
        <v>7700</v>
      </c>
      <c r="I385" s="17">
        <v>53900</v>
      </c>
      <c r="J385" s="17">
        <v>4885</v>
      </c>
      <c r="K385" s="17">
        <v>49015</v>
      </c>
      <c r="L385" s="17">
        <v>6272.1435430000001</v>
      </c>
      <c r="M385" s="17">
        <v>2025</v>
      </c>
      <c r="N385" s="17" t="s">
        <v>173</v>
      </c>
    </row>
    <row r="386" spans="1:14" ht="14.25" customHeight="1">
      <c r="A386" s="17">
        <v>10385</v>
      </c>
      <c r="B386" s="18">
        <v>45829</v>
      </c>
      <c r="C386" s="17" t="s">
        <v>50</v>
      </c>
      <c r="D386" s="17" t="s">
        <v>89</v>
      </c>
      <c r="E386" s="17" t="s">
        <v>165</v>
      </c>
      <c r="F386" s="17" t="s">
        <v>163</v>
      </c>
      <c r="G386" s="17">
        <v>5</v>
      </c>
      <c r="H386" s="17">
        <v>79345</v>
      </c>
      <c r="I386" s="17">
        <v>396725</v>
      </c>
      <c r="J386" s="17">
        <v>341</v>
      </c>
      <c r="K386" s="17">
        <v>396384</v>
      </c>
      <c r="L386" s="17">
        <v>44112.695110000001</v>
      </c>
      <c r="M386" s="17">
        <v>2025</v>
      </c>
      <c r="N386" s="17" t="s">
        <v>120</v>
      </c>
    </row>
    <row r="387" spans="1:14" ht="14.25" customHeight="1">
      <c r="A387" s="17">
        <v>10386</v>
      </c>
      <c r="B387" s="18">
        <v>45699</v>
      </c>
      <c r="C387" s="17" t="s">
        <v>167</v>
      </c>
      <c r="D387" s="17" t="s">
        <v>86</v>
      </c>
      <c r="E387" s="17" t="s">
        <v>162</v>
      </c>
      <c r="F387" s="17" t="s">
        <v>163</v>
      </c>
      <c r="G387" s="17">
        <v>6</v>
      </c>
      <c r="H387" s="17">
        <v>20115</v>
      </c>
      <c r="I387" s="17">
        <v>120690</v>
      </c>
      <c r="J387" s="17">
        <v>4933</v>
      </c>
      <c r="K387" s="17">
        <v>115757</v>
      </c>
      <c r="L387" s="17">
        <v>20741.95494</v>
      </c>
      <c r="M387" s="17">
        <v>2025</v>
      </c>
      <c r="N387" s="17" t="s">
        <v>175</v>
      </c>
    </row>
    <row r="388" spans="1:14" ht="14.25" customHeight="1">
      <c r="A388" s="17">
        <v>10387</v>
      </c>
      <c r="B388" s="18">
        <v>45816</v>
      </c>
      <c r="C388" s="17" t="s">
        <v>45</v>
      </c>
      <c r="D388" s="17" t="s">
        <v>111</v>
      </c>
      <c r="E388" s="17" t="s">
        <v>165</v>
      </c>
      <c r="F388" s="17" t="s">
        <v>163</v>
      </c>
      <c r="G388" s="17">
        <v>8</v>
      </c>
      <c r="H388" s="17">
        <v>57929</v>
      </c>
      <c r="I388" s="17">
        <v>463432</v>
      </c>
      <c r="J388" s="17">
        <v>4723</v>
      </c>
      <c r="K388" s="17">
        <v>458709</v>
      </c>
      <c r="L388" s="17">
        <v>103069.1853</v>
      </c>
      <c r="M388" s="17">
        <v>2025</v>
      </c>
      <c r="N388" s="17" t="s">
        <v>120</v>
      </c>
    </row>
    <row r="389" spans="1:14" ht="14.25" customHeight="1">
      <c r="A389" s="17">
        <v>10388</v>
      </c>
      <c r="B389" s="18">
        <v>45797</v>
      </c>
      <c r="C389" s="17" t="s">
        <v>50</v>
      </c>
      <c r="D389" s="17" t="s">
        <v>89</v>
      </c>
      <c r="E389" s="17" t="s">
        <v>162</v>
      </c>
      <c r="F389" s="17" t="s">
        <v>163</v>
      </c>
      <c r="G389" s="17">
        <v>1</v>
      </c>
      <c r="H389" s="17">
        <v>50513</v>
      </c>
      <c r="I389" s="17">
        <v>50513</v>
      </c>
      <c r="J389" s="17">
        <v>2818</v>
      </c>
      <c r="K389" s="17">
        <v>47695</v>
      </c>
      <c r="L389" s="17">
        <v>6563.7136060000003</v>
      </c>
      <c r="M389" s="17">
        <v>2025</v>
      </c>
      <c r="N389" s="17" t="s">
        <v>117</v>
      </c>
    </row>
    <row r="390" spans="1:14" ht="14.25" customHeight="1">
      <c r="A390" s="17">
        <v>10389</v>
      </c>
      <c r="B390" s="18">
        <v>45327</v>
      </c>
      <c r="C390" s="17" t="s">
        <v>167</v>
      </c>
      <c r="D390" s="17" t="s">
        <v>89</v>
      </c>
      <c r="E390" s="17" t="s">
        <v>165</v>
      </c>
      <c r="F390" s="17" t="s">
        <v>166</v>
      </c>
      <c r="G390" s="17">
        <v>1</v>
      </c>
      <c r="H390" s="17">
        <v>43100</v>
      </c>
      <c r="I390" s="17">
        <v>43100</v>
      </c>
      <c r="J390" s="17">
        <v>2925</v>
      </c>
      <c r="K390" s="17">
        <v>40175</v>
      </c>
      <c r="L390" s="17">
        <v>6793.4183709999998</v>
      </c>
      <c r="M390" s="17">
        <v>2024</v>
      </c>
      <c r="N390" s="17" t="s">
        <v>175</v>
      </c>
    </row>
    <row r="391" spans="1:14" ht="14.25" customHeight="1">
      <c r="A391" s="17">
        <v>10390</v>
      </c>
      <c r="B391" s="18">
        <v>45976</v>
      </c>
      <c r="C391" s="17" t="s">
        <v>45</v>
      </c>
      <c r="D391" s="17" t="s">
        <v>86</v>
      </c>
      <c r="E391" s="17" t="s">
        <v>165</v>
      </c>
      <c r="F391" s="17" t="s">
        <v>163</v>
      </c>
      <c r="G391" s="17">
        <v>5</v>
      </c>
      <c r="H391" s="17">
        <v>26440</v>
      </c>
      <c r="I391" s="17">
        <v>132200</v>
      </c>
      <c r="J391" s="17">
        <v>1272</v>
      </c>
      <c r="K391" s="17">
        <v>130928</v>
      </c>
      <c r="L391" s="17">
        <v>16250.85118</v>
      </c>
      <c r="M391" s="17">
        <v>2025</v>
      </c>
      <c r="N391" s="17" t="s">
        <v>173</v>
      </c>
    </row>
    <row r="392" spans="1:14" ht="14.25" customHeight="1">
      <c r="A392" s="17">
        <v>10391</v>
      </c>
      <c r="B392" s="18">
        <v>45311</v>
      </c>
      <c r="C392" s="17" t="s">
        <v>58</v>
      </c>
      <c r="D392" s="17" t="s">
        <v>111</v>
      </c>
      <c r="E392" s="17" t="s">
        <v>162</v>
      </c>
      <c r="F392" s="17" t="s">
        <v>166</v>
      </c>
      <c r="G392" s="17">
        <v>1</v>
      </c>
      <c r="H392" s="17">
        <v>37947</v>
      </c>
      <c r="I392" s="17">
        <v>37947</v>
      </c>
      <c r="J392" s="17">
        <v>709</v>
      </c>
      <c r="K392" s="17">
        <v>37238</v>
      </c>
      <c r="L392" s="17">
        <v>5981.544543</v>
      </c>
      <c r="M392" s="17">
        <v>2024</v>
      </c>
      <c r="N392" s="17" t="s">
        <v>171</v>
      </c>
    </row>
    <row r="393" spans="1:14" ht="14.25" customHeight="1">
      <c r="A393" s="17">
        <v>10392</v>
      </c>
      <c r="B393" s="18">
        <v>45612</v>
      </c>
      <c r="C393" s="17" t="s">
        <v>58</v>
      </c>
      <c r="D393" s="17" t="s">
        <v>89</v>
      </c>
      <c r="E393" s="17" t="s">
        <v>162</v>
      </c>
      <c r="F393" s="17" t="s">
        <v>166</v>
      </c>
      <c r="G393" s="17">
        <v>3</v>
      </c>
      <c r="H393" s="17">
        <v>78532</v>
      </c>
      <c r="I393" s="17">
        <v>235596</v>
      </c>
      <c r="J393" s="17">
        <v>738</v>
      </c>
      <c r="K393" s="17">
        <v>234858</v>
      </c>
      <c r="L393" s="17">
        <v>24029.911059999999</v>
      </c>
      <c r="M393" s="17">
        <v>2024</v>
      </c>
      <c r="N393" s="17" t="s">
        <v>173</v>
      </c>
    </row>
    <row r="394" spans="1:14" ht="14.25" customHeight="1">
      <c r="A394" s="17">
        <v>10393</v>
      </c>
      <c r="B394" s="18">
        <v>45803</v>
      </c>
      <c r="C394" s="17" t="s">
        <v>39</v>
      </c>
      <c r="D394" s="17" t="s">
        <v>86</v>
      </c>
      <c r="E394" s="17" t="s">
        <v>162</v>
      </c>
      <c r="F394" s="17" t="s">
        <v>163</v>
      </c>
      <c r="G394" s="17">
        <v>9</v>
      </c>
      <c r="H394" s="17">
        <v>64413</v>
      </c>
      <c r="I394" s="17">
        <v>579717</v>
      </c>
      <c r="J394" s="17">
        <v>1778</v>
      </c>
      <c r="K394" s="17">
        <v>577939</v>
      </c>
      <c r="L394" s="17">
        <v>136745.777</v>
      </c>
      <c r="M394" s="17">
        <v>2025</v>
      </c>
      <c r="N394" s="17" t="s">
        <v>117</v>
      </c>
    </row>
    <row r="395" spans="1:14" ht="14.25" customHeight="1">
      <c r="A395" s="17">
        <v>10394</v>
      </c>
      <c r="B395" s="18">
        <v>45691</v>
      </c>
      <c r="C395" s="17" t="s">
        <v>167</v>
      </c>
      <c r="D395" s="17" t="s">
        <v>111</v>
      </c>
      <c r="E395" s="17" t="s">
        <v>162</v>
      </c>
      <c r="F395" s="17" t="s">
        <v>163</v>
      </c>
      <c r="G395" s="17">
        <v>7</v>
      </c>
      <c r="H395" s="17">
        <v>28104</v>
      </c>
      <c r="I395" s="17">
        <v>196728</v>
      </c>
      <c r="J395" s="17">
        <v>4590</v>
      </c>
      <c r="K395" s="17">
        <v>192138</v>
      </c>
      <c r="L395" s="17">
        <v>38713.07561</v>
      </c>
      <c r="M395" s="17">
        <v>2025</v>
      </c>
      <c r="N395" s="17" t="s">
        <v>175</v>
      </c>
    </row>
    <row r="396" spans="1:14" ht="14.25" customHeight="1">
      <c r="A396" s="17">
        <v>10395</v>
      </c>
      <c r="B396" s="18">
        <v>45945</v>
      </c>
      <c r="C396" s="17" t="s">
        <v>45</v>
      </c>
      <c r="D396" s="17" t="s">
        <v>170</v>
      </c>
      <c r="E396" s="17" t="s">
        <v>162</v>
      </c>
      <c r="F396" s="17" t="s">
        <v>163</v>
      </c>
      <c r="G396" s="17">
        <v>6</v>
      </c>
      <c r="H396" s="17">
        <v>40860</v>
      </c>
      <c r="I396" s="17">
        <v>245160</v>
      </c>
      <c r="J396" s="17">
        <v>4130</v>
      </c>
      <c r="K396" s="17">
        <v>241030</v>
      </c>
      <c r="L396" s="17">
        <v>36135.71355</v>
      </c>
      <c r="M396" s="17">
        <v>2025</v>
      </c>
      <c r="N396" s="17" t="s">
        <v>174</v>
      </c>
    </row>
    <row r="397" spans="1:14" ht="14.25" customHeight="1">
      <c r="A397" s="17">
        <v>10396</v>
      </c>
      <c r="B397" s="18">
        <v>45762</v>
      </c>
      <c r="C397" s="17" t="s">
        <v>50</v>
      </c>
      <c r="D397" s="17" t="s">
        <v>83</v>
      </c>
      <c r="E397" s="17" t="s">
        <v>162</v>
      </c>
      <c r="F397" s="17" t="s">
        <v>166</v>
      </c>
      <c r="G397" s="17">
        <v>8</v>
      </c>
      <c r="H397" s="17">
        <v>67184</v>
      </c>
      <c r="I397" s="17">
        <v>537472</v>
      </c>
      <c r="J397" s="17">
        <v>3718</v>
      </c>
      <c r="K397" s="17">
        <v>533754</v>
      </c>
      <c r="L397" s="17">
        <v>123926.86440000001</v>
      </c>
      <c r="M397" s="17">
        <v>2025</v>
      </c>
      <c r="N397" s="17" t="s">
        <v>114</v>
      </c>
    </row>
    <row r="398" spans="1:14" ht="14.25" customHeight="1">
      <c r="A398" s="17">
        <v>10397</v>
      </c>
      <c r="B398" s="18">
        <v>45434</v>
      </c>
      <c r="C398" s="17" t="s">
        <v>58</v>
      </c>
      <c r="D398" s="17" t="s">
        <v>86</v>
      </c>
      <c r="E398" s="17" t="s">
        <v>162</v>
      </c>
      <c r="F398" s="17" t="s">
        <v>172</v>
      </c>
      <c r="G398" s="17">
        <v>8</v>
      </c>
      <c r="H398" s="17">
        <v>76063</v>
      </c>
      <c r="I398" s="17">
        <v>608504</v>
      </c>
      <c r="J398" s="17">
        <v>4913</v>
      </c>
      <c r="K398" s="17">
        <v>603591</v>
      </c>
      <c r="L398" s="17">
        <v>76921.301689999993</v>
      </c>
      <c r="M398" s="17">
        <v>2024</v>
      </c>
      <c r="N398" s="17" t="s">
        <v>117</v>
      </c>
    </row>
    <row r="399" spans="1:14" ht="14.25" customHeight="1">
      <c r="A399" s="17">
        <v>10398</v>
      </c>
      <c r="B399" s="18">
        <v>45383</v>
      </c>
      <c r="C399" s="17" t="s">
        <v>45</v>
      </c>
      <c r="D399" s="17" t="s">
        <v>83</v>
      </c>
      <c r="E399" s="17" t="s">
        <v>162</v>
      </c>
      <c r="F399" s="17" t="s">
        <v>166</v>
      </c>
      <c r="G399" s="17">
        <v>6</v>
      </c>
      <c r="H399" s="17">
        <v>18727</v>
      </c>
      <c r="I399" s="17">
        <v>112362</v>
      </c>
      <c r="J399" s="17">
        <v>9</v>
      </c>
      <c r="K399" s="17">
        <v>112353</v>
      </c>
      <c r="L399" s="17">
        <v>12562.19565</v>
      </c>
      <c r="M399" s="17">
        <v>2024</v>
      </c>
      <c r="N399" s="17" t="s">
        <v>114</v>
      </c>
    </row>
    <row r="400" spans="1:14" ht="14.25" customHeight="1">
      <c r="A400" s="17">
        <v>10399</v>
      </c>
      <c r="B400" s="18">
        <v>45645</v>
      </c>
      <c r="C400" s="17" t="s">
        <v>167</v>
      </c>
      <c r="D400" s="17" t="s">
        <v>170</v>
      </c>
      <c r="E400" s="17" t="s">
        <v>165</v>
      </c>
      <c r="F400" s="17" t="s">
        <v>172</v>
      </c>
      <c r="G400" s="17">
        <v>4</v>
      </c>
      <c r="H400" s="17">
        <v>7719</v>
      </c>
      <c r="I400" s="17">
        <v>30876</v>
      </c>
      <c r="J400" s="17">
        <v>1737</v>
      </c>
      <c r="K400" s="17">
        <v>29139</v>
      </c>
      <c r="L400" s="17">
        <v>7033.9575379999997</v>
      </c>
      <c r="M400" s="17">
        <v>2024</v>
      </c>
      <c r="N400" s="17" t="s">
        <v>169</v>
      </c>
    </row>
    <row r="401" spans="1:14" ht="14.25" customHeight="1">
      <c r="A401" s="17">
        <v>10400</v>
      </c>
      <c r="B401" s="18">
        <v>46018</v>
      </c>
      <c r="C401" s="17" t="s">
        <v>39</v>
      </c>
      <c r="D401" s="17" t="s">
        <v>89</v>
      </c>
      <c r="E401" s="17" t="s">
        <v>162</v>
      </c>
      <c r="F401" s="17" t="s">
        <v>163</v>
      </c>
      <c r="G401" s="17">
        <v>4</v>
      </c>
      <c r="H401" s="17">
        <v>17924</v>
      </c>
      <c r="I401" s="17">
        <v>71696</v>
      </c>
      <c r="J401" s="17">
        <v>2578</v>
      </c>
      <c r="K401" s="17">
        <v>69118</v>
      </c>
      <c r="L401" s="17">
        <v>10115.595149999999</v>
      </c>
      <c r="M401" s="17">
        <v>2025</v>
      </c>
      <c r="N401" s="17" t="s">
        <v>169</v>
      </c>
    </row>
    <row r="402" spans="1:14" ht="14.25" customHeight="1">
      <c r="A402" s="17">
        <v>10401</v>
      </c>
      <c r="B402" s="18">
        <v>45342</v>
      </c>
      <c r="C402" s="17" t="s">
        <v>58</v>
      </c>
      <c r="D402" s="17" t="s">
        <v>89</v>
      </c>
      <c r="E402" s="17" t="s">
        <v>162</v>
      </c>
      <c r="F402" s="17" t="s">
        <v>166</v>
      </c>
      <c r="G402" s="17">
        <v>4</v>
      </c>
      <c r="H402" s="17">
        <v>14215</v>
      </c>
      <c r="I402" s="17">
        <v>56860</v>
      </c>
      <c r="J402" s="17">
        <v>1558</v>
      </c>
      <c r="K402" s="17">
        <v>55302</v>
      </c>
      <c r="L402" s="17">
        <v>13294.3801</v>
      </c>
      <c r="M402" s="17">
        <v>2024</v>
      </c>
      <c r="N402" s="17" t="s">
        <v>175</v>
      </c>
    </row>
    <row r="403" spans="1:14" ht="14.25" customHeight="1">
      <c r="A403" s="17">
        <v>10402</v>
      </c>
      <c r="B403" s="18">
        <v>45956</v>
      </c>
      <c r="C403" s="17" t="s">
        <v>45</v>
      </c>
      <c r="D403" s="17" t="s">
        <v>111</v>
      </c>
      <c r="E403" s="17" t="s">
        <v>165</v>
      </c>
      <c r="F403" s="17" t="s">
        <v>163</v>
      </c>
      <c r="G403" s="17">
        <v>6</v>
      </c>
      <c r="H403" s="17">
        <v>65494</v>
      </c>
      <c r="I403" s="17">
        <v>392964</v>
      </c>
      <c r="J403" s="17">
        <v>2142</v>
      </c>
      <c r="K403" s="17">
        <v>390822</v>
      </c>
      <c r="L403" s="17">
        <v>76461.173450000002</v>
      </c>
      <c r="M403" s="17">
        <v>2025</v>
      </c>
      <c r="N403" s="17" t="s">
        <v>174</v>
      </c>
    </row>
    <row r="404" spans="1:14" ht="14.25" customHeight="1">
      <c r="A404" s="17">
        <v>10403</v>
      </c>
      <c r="B404" s="18">
        <v>45989</v>
      </c>
      <c r="C404" s="17" t="s">
        <v>45</v>
      </c>
      <c r="D404" s="17" t="s">
        <v>86</v>
      </c>
      <c r="E404" s="17" t="s">
        <v>165</v>
      </c>
      <c r="F404" s="17" t="s">
        <v>172</v>
      </c>
      <c r="G404" s="17">
        <v>1</v>
      </c>
      <c r="H404" s="17">
        <v>53009</v>
      </c>
      <c r="I404" s="17">
        <v>53009</v>
      </c>
      <c r="J404" s="17">
        <v>2623</v>
      </c>
      <c r="K404" s="17">
        <v>50386</v>
      </c>
      <c r="L404" s="17">
        <v>12445.66648</v>
      </c>
      <c r="M404" s="17">
        <v>2025</v>
      </c>
      <c r="N404" s="17" t="s">
        <v>173</v>
      </c>
    </row>
    <row r="405" spans="1:14" ht="14.25" customHeight="1">
      <c r="A405" s="17">
        <v>10404</v>
      </c>
      <c r="B405" s="18">
        <v>45866</v>
      </c>
      <c r="C405" s="17" t="s">
        <v>45</v>
      </c>
      <c r="D405" s="17" t="s">
        <v>86</v>
      </c>
      <c r="E405" s="17" t="s">
        <v>168</v>
      </c>
      <c r="F405" s="17" t="s">
        <v>172</v>
      </c>
      <c r="G405" s="17">
        <v>2</v>
      </c>
      <c r="H405" s="17">
        <v>36912</v>
      </c>
      <c r="I405" s="17">
        <v>73824</v>
      </c>
      <c r="J405" s="17">
        <v>4000</v>
      </c>
      <c r="K405" s="17">
        <v>69824</v>
      </c>
      <c r="L405" s="17">
        <v>14873.5162</v>
      </c>
      <c r="M405" s="17">
        <v>2025</v>
      </c>
      <c r="N405" s="17" t="s">
        <v>123</v>
      </c>
    </row>
    <row r="406" spans="1:14" ht="14.25" customHeight="1">
      <c r="A406" s="17">
        <v>10405</v>
      </c>
      <c r="B406" s="18">
        <v>45481</v>
      </c>
      <c r="C406" s="17" t="s">
        <v>167</v>
      </c>
      <c r="D406" s="17" t="s">
        <v>111</v>
      </c>
      <c r="E406" s="17" t="s">
        <v>168</v>
      </c>
      <c r="F406" s="17" t="s">
        <v>166</v>
      </c>
      <c r="G406" s="17">
        <v>6</v>
      </c>
      <c r="H406" s="17">
        <v>6144</v>
      </c>
      <c r="I406" s="17">
        <v>36864</v>
      </c>
      <c r="J406" s="17">
        <v>4545</v>
      </c>
      <c r="K406" s="17">
        <v>32319</v>
      </c>
      <c r="L406" s="17">
        <v>3743.2699640000001</v>
      </c>
      <c r="M406" s="17">
        <v>2024</v>
      </c>
      <c r="N406" s="17" t="s">
        <v>123</v>
      </c>
    </row>
    <row r="407" spans="1:14" ht="14.25" customHeight="1">
      <c r="A407" s="17">
        <v>10406</v>
      </c>
      <c r="B407" s="18">
        <v>45416</v>
      </c>
      <c r="C407" s="17" t="s">
        <v>167</v>
      </c>
      <c r="D407" s="17" t="s">
        <v>83</v>
      </c>
      <c r="E407" s="17" t="s">
        <v>162</v>
      </c>
      <c r="F407" s="17" t="s">
        <v>166</v>
      </c>
      <c r="G407" s="17">
        <v>1</v>
      </c>
      <c r="H407" s="17">
        <v>42302</v>
      </c>
      <c r="I407" s="17">
        <v>42302</v>
      </c>
      <c r="J407" s="17">
        <v>2143</v>
      </c>
      <c r="K407" s="17">
        <v>40159</v>
      </c>
      <c r="L407" s="17">
        <v>9149.5976559999999</v>
      </c>
      <c r="M407" s="17">
        <v>2024</v>
      </c>
      <c r="N407" s="17" t="s">
        <v>117</v>
      </c>
    </row>
    <row r="408" spans="1:14" ht="14.25" customHeight="1">
      <c r="A408" s="17">
        <v>10407</v>
      </c>
      <c r="B408" s="18">
        <v>45441</v>
      </c>
      <c r="C408" s="17" t="s">
        <v>167</v>
      </c>
      <c r="D408" s="17" t="s">
        <v>89</v>
      </c>
      <c r="E408" s="17" t="s">
        <v>162</v>
      </c>
      <c r="F408" s="17" t="s">
        <v>166</v>
      </c>
      <c r="G408" s="17">
        <v>9</v>
      </c>
      <c r="H408" s="17">
        <v>58720</v>
      </c>
      <c r="I408" s="17">
        <v>528480</v>
      </c>
      <c r="J408" s="17">
        <v>864</v>
      </c>
      <c r="K408" s="17">
        <v>527616</v>
      </c>
      <c r="L408" s="17">
        <v>64465.061179999997</v>
      </c>
      <c r="M408" s="17">
        <v>2024</v>
      </c>
      <c r="N408" s="17" t="s">
        <v>117</v>
      </c>
    </row>
    <row r="409" spans="1:14" ht="14.25" customHeight="1">
      <c r="A409" s="17">
        <v>10408</v>
      </c>
      <c r="B409" s="18">
        <v>45605</v>
      </c>
      <c r="C409" s="17" t="s">
        <v>50</v>
      </c>
      <c r="D409" s="17" t="s">
        <v>89</v>
      </c>
      <c r="E409" s="17" t="s">
        <v>168</v>
      </c>
      <c r="F409" s="17" t="s">
        <v>166</v>
      </c>
      <c r="G409" s="17">
        <v>6</v>
      </c>
      <c r="H409" s="17">
        <v>71542</v>
      </c>
      <c r="I409" s="17">
        <v>429252</v>
      </c>
      <c r="J409" s="17">
        <v>1800</v>
      </c>
      <c r="K409" s="17">
        <v>427452</v>
      </c>
      <c r="L409" s="17">
        <v>87127.387650000004</v>
      </c>
      <c r="M409" s="17">
        <v>2024</v>
      </c>
      <c r="N409" s="17" t="s">
        <v>173</v>
      </c>
    </row>
    <row r="410" spans="1:14" ht="14.25" customHeight="1">
      <c r="A410" s="17">
        <v>10409</v>
      </c>
      <c r="B410" s="18">
        <v>45861</v>
      </c>
      <c r="C410" s="17" t="s">
        <v>45</v>
      </c>
      <c r="D410" s="17" t="s">
        <v>86</v>
      </c>
      <c r="E410" s="17" t="s">
        <v>168</v>
      </c>
      <c r="F410" s="17" t="s">
        <v>164</v>
      </c>
      <c r="G410" s="17">
        <v>7</v>
      </c>
      <c r="H410" s="17">
        <v>32044</v>
      </c>
      <c r="I410" s="17">
        <v>224308</v>
      </c>
      <c r="J410" s="17">
        <v>3452</v>
      </c>
      <c r="K410" s="17">
        <v>220856</v>
      </c>
      <c r="L410" s="17">
        <v>38663.298150000002</v>
      </c>
      <c r="M410" s="17">
        <v>2025</v>
      </c>
      <c r="N410" s="17" t="s">
        <v>123</v>
      </c>
    </row>
    <row r="411" spans="1:14" ht="14.25" customHeight="1">
      <c r="A411" s="17">
        <v>10410</v>
      </c>
      <c r="B411" s="18">
        <v>45633</v>
      </c>
      <c r="C411" s="17" t="s">
        <v>58</v>
      </c>
      <c r="D411" s="17" t="s">
        <v>86</v>
      </c>
      <c r="E411" s="17" t="s">
        <v>162</v>
      </c>
      <c r="F411" s="17" t="s">
        <v>164</v>
      </c>
      <c r="G411" s="17">
        <v>1</v>
      </c>
      <c r="H411" s="17">
        <v>77635</v>
      </c>
      <c r="I411" s="17">
        <v>77635</v>
      </c>
      <c r="J411" s="17">
        <v>2716</v>
      </c>
      <c r="K411" s="17">
        <v>74919</v>
      </c>
      <c r="L411" s="17">
        <v>15445.207479999999</v>
      </c>
      <c r="M411" s="17">
        <v>2024</v>
      </c>
      <c r="N411" s="17" t="s">
        <v>169</v>
      </c>
    </row>
    <row r="412" spans="1:14" ht="14.25" customHeight="1">
      <c r="A412" s="17">
        <v>10411</v>
      </c>
      <c r="B412" s="18">
        <v>45596</v>
      </c>
      <c r="C412" s="17" t="s">
        <v>167</v>
      </c>
      <c r="D412" s="17" t="s">
        <v>111</v>
      </c>
      <c r="E412" s="17" t="s">
        <v>168</v>
      </c>
      <c r="F412" s="17" t="s">
        <v>163</v>
      </c>
      <c r="G412" s="17">
        <v>8</v>
      </c>
      <c r="H412" s="17">
        <v>5537</v>
      </c>
      <c r="I412" s="17">
        <v>44296</v>
      </c>
      <c r="J412" s="17">
        <v>4302</v>
      </c>
      <c r="K412" s="17">
        <v>39994</v>
      </c>
      <c r="L412" s="17">
        <v>8588.6487049999996</v>
      </c>
      <c r="M412" s="17">
        <v>2024</v>
      </c>
      <c r="N412" s="17" t="s">
        <v>174</v>
      </c>
    </row>
    <row r="413" spans="1:14" ht="14.25" customHeight="1">
      <c r="A413" s="17">
        <v>10412</v>
      </c>
      <c r="B413" s="18">
        <v>45983</v>
      </c>
      <c r="C413" s="17" t="s">
        <v>167</v>
      </c>
      <c r="D413" s="17" t="s">
        <v>170</v>
      </c>
      <c r="E413" s="17" t="s">
        <v>162</v>
      </c>
      <c r="F413" s="17" t="s">
        <v>172</v>
      </c>
      <c r="G413" s="17">
        <v>5</v>
      </c>
      <c r="H413" s="17">
        <v>40453</v>
      </c>
      <c r="I413" s="17">
        <v>202265</v>
      </c>
      <c r="J413" s="17">
        <v>1809</v>
      </c>
      <c r="K413" s="17">
        <v>200456</v>
      </c>
      <c r="L413" s="17">
        <v>44210.527040000001</v>
      </c>
      <c r="M413" s="17">
        <v>2025</v>
      </c>
      <c r="N413" s="17" t="s">
        <v>173</v>
      </c>
    </row>
    <row r="414" spans="1:14" ht="14.25" customHeight="1">
      <c r="A414" s="17">
        <v>10413</v>
      </c>
      <c r="B414" s="18">
        <v>45973</v>
      </c>
      <c r="C414" s="17" t="s">
        <v>45</v>
      </c>
      <c r="D414" s="17" t="s">
        <v>83</v>
      </c>
      <c r="E414" s="17" t="s">
        <v>165</v>
      </c>
      <c r="F414" s="17" t="s">
        <v>172</v>
      </c>
      <c r="G414" s="17">
        <v>5</v>
      </c>
      <c r="H414" s="17">
        <v>6980</v>
      </c>
      <c r="I414" s="17">
        <v>34900</v>
      </c>
      <c r="J414" s="17">
        <v>4945</v>
      </c>
      <c r="K414" s="17">
        <v>29955</v>
      </c>
      <c r="L414" s="17">
        <v>6747.2744810000004</v>
      </c>
      <c r="M414" s="17">
        <v>2025</v>
      </c>
      <c r="N414" s="17" t="s">
        <v>173</v>
      </c>
    </row>
    <row r="415" spans="1:14" ht="14.25" customHeight="1">
      <c r="A415" s="17">
        <v>10414</v>
      </c>
      <c r="B415" s="18">
        <v>45345</v>
      </c>
      <c r="C415" s="17" t="s">
        <v>167</v>
      </c>
      <c r="D415" s="17" t="s">
        <v>170</v>
      </c>
      <c r="E415" s="17" t="s">
        <v>165</v>
      </c>
      <c r="F415" s="17" t="s">
        <v>163</v>
      </c>
      <c r="G415" s="17">
        <v>6</v>
      </c>
      <c r="H415" s="17">
        <v>76442</v>
      </c>
      <c r="I415" s="17">
        <v>458652</v>
      </c>
      <c r="J415" s="17">
        <v>4341</v>
      </c>
      <c r="K415" s="17">
        <v>454311</v>
      </c>
      <c r="L415" s="17">
        <v>103166.61289999999</v>
      </c>
      <c r="M415" s="17">
        <v>2024</v>
      </c>
      <c r="N415" s="17" t="s">
        <v>175</v>
      </c>
    </row>
    <row r="416" spans="1:14" ht="14.25" customHeight="1">
      <c r="A416" s="17">
        <v>10415</v>
      </c>
      <c r="B416" s="18">
        <v>45735</v>
      </c>
      <c r="C416" s="17" t="s">
        <v>50</v>
      </c>
      <c r="D416" s="17" t="s">
        <v>170</v>
      </c>
      <c r="E416" s="17" t="s">
        <v>168</v>
      </c>
      <c r="F416" s="17" t="s">
        <v>163</v>
      </c>
      <c r="G416" s="17">
        <v>7</v>
      </c>
      <c r="H416" s="17">
        <v>38307</v>
      </c>
      <c r="I416" s="17">
        <v>268149</v>
      </c>
      <c r="J416" s="17">
        <v>1997</v>
      </c>
      <c r="K416" s="17">
        <v>266152</v>
      </c>
      <c r="L416" s="17">
        <v>43086.32632</v>
      </c>
      <c r="M416" s="17">
        <v>2025</v>
      </c>
      <c r="N416" s="17" t="s">
        <v>112</v>
      </c>
    </row>
    <row r="417" spans="1:14" ht="14.25" customHeight="1">
      <c r="A417" s="17">
        <v>10416</v>
      </c>
      <c r="B417" s="18">
        <v>45904</v>
      </c>
      <c r="C417" s="17" t="s">
        <v>50</v>
      </c>
      <c r="D417" s="17" t="s">
        <v>86</v>
      </c>
      <c r="E417" s="17" t="s">
        <v>165</v>
      </c>
      <c r="F417" s="17" t="s">
        <v>163</v>
      </c>
      <c r="G417" s="17">
        <v>7</v>
      </c>
      <c r="H417" s="17">
        <v>49844</v>
      </c>
      <c r="I417" s="17">
        <v>348908</v>
      </c>
      <c r="J417" s="17">
        <v>2931</v>
      </c>
      <c r="K417" s="17">
        <v>345977</v>
      </c>
      <c r="L417" s="17">
        <v>80745.569109999997</v>
      </c>
      <c r="M417" s="17">
        <v>2025</v>
      </c>
      <c r="N417" s="17" t="s">
        <v>129</v>
      </c>
    </row>
    <row r="418" spans="1:14" ht="14.25" customHeight="1">
      <c r="A418" s="17">
        <v>10417</v>
      </c>
      <c r="B418" s="18">
        <v>45555</v>
      </c>
      <c r="C418" s="17" t="s">
        <v>167</v>
      </c>
      <c r="D418" s="17" t="s">
        <v>86</v>
      </c>
      <c r="E418" s="17" t="s">
        <v>165</v>
      </c>
      <c r="F418" s="17" t="s">
        <v>164</v>
      </c>
      <c r="G418" s="17">
        <v>5</v>
      </c>
      <c r="H418" s="17">
        <v>33629</v>
      </c>
      <c r="I418" s="17">
        <v>168145</v>
      </c>
      <c r="J418" s="17">
        <v>2130</v>
      </c>
      <c r="K418" s="17">
        <v>166015</v>
      </c>
      <c r="L418" s="17">
        <v>34520.667370000003</v>
      </c>
      <c r="M418" s="17">
        <v>2024</v>
      </c>
      <c r="N418" s="17" t="s">
        <v>129</v>
      </c>
    </row>
    <row r="419" spans="1:14" ht="14.25" customHeight="1">
      <c r="A419" s="17">
        <v>10418</v>
      </c>
      <c r="B419" s="18">
        <v>45344</v>
      </c>
      <c r="C419" s="17" t="s">
        <v>45</v>
      </c>
      <c r="D419" s="17" t="s">
        <v>86</v>
      </c>
      <c r="E419" s="17" t="s">
        <v>165</v>
      </c>
      <c r="F419" s="17" t="s">
        <v>163</v>
      </c>
      <c r="G419" s="17">
        <v>1</v>
      </c>
      <c r="H419" s="17">
        <v>32775</v>
      </c>
      <c r="I419" s="17">
        <v>32775</v>
      </c>
      <c r="J419" s="17">
        <v>4412</v>
      </c>
      <c r="K419" s="17">
        <v>28363</v>
      </c>
      <c r="L419" s="17">
        <v>6405.6598789999998</v>
      </c>
      <c r="M419" s="17">
        <v>2024</v>
      </c>
      <c r="N419" s="17" t="s">
        <v>175</v>
      </c>
    </row>
    <row r="420" spans="1:14" ht="14.25" customHeight="1">
      <c r="A420" s="17">
        <v>10419</v>
      </c>
      <c r="B420" s="18">
        <v>45863</v>
      </c>
      <c r="C420" s="17" t="s">
        <v>45</v>
      </c>
      <c r="D420" s="17" t="s">
        <v>170</v>
      </c>
      <c r="E420" s="17" t="s">
        <v>165</v>
      </c>
      <c r="F420" s="17" t="s">
        <v>172</v>
      </c>
      <c r="G420" s="17">
        <v>9</v>
      </c>
      <c r="H420" s="17">
        <v>45029</v>
      </c>
      <c r="I420" s="17">
        <v>405261</v>
      </c>
      <c r="J420" s="17">
        <v>2692</v>
      </c>
      <c r="K420" s="17">
        <v>402569</v>
      </c>
      <c r="L420" s="17">
        <v>99989.566059999997</v>
      </c>
      <c r="M420" s="17">
        <v>2025</v>
      </c>
      <c r="N420" s="17" t="s">
        <v>123</v>
      </c>
    </row>
    <row r="421" spans="1:14" ht="14.25" customHeight="1">
      <c r="A421" s="17">
        <v>10420</v>
      </c>
      <c r="B421" s="18">
        <v>45911</v>
      </c>
      <c r="C421" s="17" t="s">
        <v>45</v>
      </c>
      <c r="D421" s="17" t="s">
        <v>83</v>
      </c>
      <c r="E421" s="17" t="s">
        <v>162</v>
      </c>
      <c r="F421" s="17" t="s">
        <v>163</v>
      </c>
      <c r="G421" s="17">
        <v>6</v>
      </c>
      <c r="H421" s="17">
        <v>66860</v>
      </c>
      <c r="I421" s="17">
        <v>401160</v>
      </c>
      <c r="J421" s="17">
        <v>3176</v>
      </c>
      <c r="K421" s="17">
        <v>397984</v>
      </c>
      <c r="L421" s="17">
        <v>46748.080710000002</v>
      </c>
      <c r="M421" s="17">
        <v>2025</v>
      </c>
      <c r="N421" s="17" t="s">
        <v>129</v>
      </c>
    </row>
    <row r="422" spans="1:14" ht="14.25" customHeight="1">
      <c r="A422" s="17">
        <v>10421</v>
      </c>
      <c r="B422" s="18">
        <v>45296</v>
      </c>
      <c r="C422" s="17" t="s">
        <v>39</v>
      </c>
      <c r="D422" s="17" t="s">
        <v>86</v>
      </c>
      <c r="E422" s="17" t="s">
        <v>162</v>
      </c>
      <c r="F422" s="17" t="s">
        <v>166</v>
      </c>
      <c r="G422" s="17">
        <v>9</v>
      </c>
      <c r="H422" s="17">
        <v>69783</v>
      </c>
      <c r="I422" s="17">
        <v>628047</v>
      </c>
      <c r="J422" s="17">
        <v>2796</v>
      </c>
      <c r="K422" s="17">
        <v>625251</v>
      </c>
      <c r="L422" s="17">
        <v>97280.898979999998</v>
      </c>
      <c r="M422" s="17">
        <v>2024</v>
      </c>
      <c r="N422" s="17" t="s">
        <v>171</v>
      </c>
    </row>
    <row r="423" spans="1:14" ht="14.25" customHeight="1">
      <c r="A423" s="17">
        <v>10422</v>
      </c>
      <c r="B423" s="18">
        <v>45394</v>
      </c>
      <c r="C423" s="17" t="s">
        <v>167</v>
      </c>
      <c r="D423" s="17" t="s">
        <v>89</v>
      </c>
      <c r="E423" s="17" t="s">
        <v>168</v>
      </c>
      <c r="F423" s="17" t="s">
        <v>172</v>
      </c>
      <c r="G423" s="17">
        <v>4</v>
      </c>
      <c r="H423" s="17">
        <v>46988</v>
      </c>
      <c r="I423" s="17">
        <v>187952</v>
      </c>
      <c r="J423" s="17">
        <v>4695</v>
      </c>
      <c r="K423" s="17">
        <v>183257</v>
      </c>
      <c r="L423" s="17">
        <v>40496.508110000002</v>
      </c>
      <c r="M423" s="17">
        <v>2024</v>
      </c>
      <c r="N423" s="17" t="s">
        <v>114</v>
      </c>
    </row>
    <row r="424" spans="1:14" ht="14.25" customHeight="1">
      <c r="A424" s="17">
        <v>10423</v>
      </c>
      <c r="B424" s="18">
        <v>45487</v>
      </c>
      <c r="C424" s="17" t="s">
        <v>45</v>
      </c>
      <c r="D424" s="17" t="s">
        <v>83</v>
      </c>
      <c r="E424" s="17" t="s">
        <v>165</v>
      </c>
      <c r="F424" s="17" t="s">
        <v>172</v>
      </c>
      <c r="G424" s="17">
        <v>2</v>
      </c>
      <c r="H424" s="17">
        <v>60452</v>
      </c>
      <c r="I424" s="17">
        <v>120904</v>
      </c>
      <c r="J424" s="17">
        <v>1555</v>
      </c>
      <c r="K424" s="17">
        <v>119349</v>
      </c>
      <c r="L424" s="17">
        <v>13479.934950000001</v>
      </c>
      <c r="M424" s="17">
        <v>2024</v>
      </c>
      <c r="N424" s="17" t="s">
        <v>123</v>
      </c>
    </row>
    <row r="425" spans="1:14" ht="14.25" customHeight="1">
      <c r="A425" s="17">
        <v>10424</v>
      </c>
      <c r="B425" s="18">
        <v>45641</v>
      </c>
      <c r="C425" s="17" t="s">
        <v>50</v>
      </c>
      <c r="D425" s="17" t="s">
        <v>89</v>
      </c>
      <c r="E425" s="17" t="s">
        <v>165</v>
      </c>
      <c r="F425" s="17" t="s">
        <v>172</v>
      </c>
      <c r="G425" s="17">
        <v>3</v>
      </c>
      <c r="H425" s="17">
        <v>5051</v>
      </c>
      <c r="I425" s="17">
        <v>15153</v>
      </c>
      <c r="J425" s="17">
        <v>3690</v>
      </c>
      <c r="K425" s="17">
        <v>11463</v>
      </c>
      <c r="L425" s="17">
        <v>2076.1460029999998</v>
      </c>
      <c r="M425" s="17">
        <v>2024</v>
      </c>
      <c r="N425" s="17" t="s">
        <v>169</v>
      </c>
    </row>
    <row r="426" spans="1:14" ht="14.25" customHeight="1">
      <c r="A426" s="17">
        <v>10425</v>
      </c>
      <c r="B426" s="18">
        <v>45338</v>
      </c>
      <c r="C426" s="17" t="s">
        <v>58</v>
      </c>
      <c r="D426" s="17" t="s">
        <v>83</v>
      </c>
      <c r="E426" s="17" t="s">
        <v>165</v>
      </c>
      <c r="F426" s="17" t="s">
        <v>164</v>
      </c>
      <c r="G426" s="17">
        <v>4</v>
      </c>
      <c r="H426" s="17">
        <v>29818</v>
      </c>
      <c r="I426" s="17">
        <v>119272</v>
      </c>
      <c r="J426" s="17">
        <v>4936</v>
      </c>
      <c r="K426" s="17">
        <v>114336</v>
      </c>
      <c r="L426" s="17">
        <v>26155.468349999999</v>
      </c>
      <c r="M426" s="17">
        <v>2024</v>
      </c>
      <c r="N426" s="17" t="s">
        <v>175</v>
      </c>
    </row>
    <row r="427" spans="1:14" ht="14.25" customHeight="1">
      <c r="A427" s="17">
        <v>10426</v>
      </c>
      <c r="B427" s="18">
        <v>45947</v>
      </c>
      <c r="C427" s="17" t="s">
        <v>58</v>
      </c>
      <c r="D427" s="17" t="s">
        <v>86</v>
      </c>
      <c r="E427" s="17" t="s">
        <v>168</v>
      </c>
      <c r="F427" s="17" t="s">
        <v>164</v>
      </c>
      <c r="G427" s="17">
        <v>8</v>
      </c>
      <c r="H427" s="17">
        <v>6686</v>
      </c>
      <c r="I427" s="17">
        <v>53488</v>
      </c>
      <c r="J427" s="17">
        <v>3572</v>
      </c>
      <c r="K427" s="17">
        <v>49916</v>
      </c>
      <c r="L427" s="17">
        <v>5133.7951839999996</v>
      </c>
      <c r="M427" s="17">
        <v>2025</v>
      </c>
      <c r="N427" s="17" t="s">
        <v>174</v>
      </c>
    </row>
    <row r="428" spans="1:14" ht="14.25" customHeight="1">
      <c r="A428" s="17">
        <v>10427</v>
      </c>
      <c r="B428" s="18">
        <v>45560</v>
      </c>
      <c r="C428" s="17" t="s">
        <v>45</v>
      </c>
      <c r="D428" s="17" t="s">
        <v>111</v>
      </c>
      <c r="E428" s="17" t="s">
        <v>162</v>
      </c>
      <c r="F428" s="17" t="s">
        <v>172</v>
      </c>
      <c r="G428" s="17">
        <v>3</v>
      </c>
      <c r="H428" s="17">
        <v>24205</v>
      </c>
      <c r="I428" s="17">
        <v>72615</v>
      </c>
      <c r="J428" s="17">
        <v>4443</v>
      </c>
      <c r="K428" s="17">
        <v>68172</v>
      </c>
      <c r="L428" s="17">
        <v>16424.532350000001</v>
      </c>
      <c r="M428" s="17">
        <v>2024</v>
      </c>
      <c r="N428" s="17" t="s">
        <v>129</v>
      </c>
    </row>
    <row r="429" spans="1:14" ht="14.25" customHeight="1">
      <c r="A429" s="17">
        <v>10428</v>
      </c>
      <c r="B429" s="18">
        <v>45661</v>
      </c>
      <c r="C429" s="17" t="s">
        <v>58</v>
      </c>
      <c r="D429" s="17" t="s">
        <v>86</v>
      </c>
      <c r="E429" s="17" t="s">
        <v>165</v>
      </c>
      <c r="F429" s="17" t="s">
        <v>166</v>
      </c>
      <c r="G429" s="17">
        <v>8</v>
      </c>
      <c r="H429" s="17">
        <v>13096</v>
      </c>
      <c r="I429" s="17">
        <v>104768</v>
      </c>
      <c r="J429" s="17">
        <v>330</v>
      </c>
      <c r="K429" s="17">
        <v>104438</v>
      </c>
      <c r="L429" s="17">
        <v>25767.123370000001</v>
      </c>
      <c r="M429" s="17">
        <v>2025</v>
      </c>
      <c r="N429" s="17" t="s">
        <v>171</v>
      </c>
    </row>
    <row r="430" spans="1:14" ht="14.25" customHeight="1">
      <c r="A430" s="17">
        <v>10429</v>
      </c>
      <c r="B430" s="18">
        <v>45927</v>
      </c>
      <c r="C430" s="17" t="s">
        <v>58</v>
      </c>
      <c r="D430" s="17" t="s">
        <v>170</v>
      </c>
      <c r="E430" s="17" t="s">
        <v>162</v>
      </c>
      <c r="F430" s="17" t="s">
        <v>172</v>
      </c>
      <c r="G430" s="17">
        <v>6</v>
      </c>
      <c r="H430" s="17">
        <v>79152</v>
      </c>
      <c r="I430" s="17">
        <v>474912</v>
      </c>
      <c r="J430" s="17">
        <v>4705</v>
      </c>
      <c r="K430" s="17">
        <v>470207</v>
      </c>
      <c r="L430" s="17">
        <v>69751.512369999997</v>
      </c>
      <c r="M430" s="17">
        <v>2025</v>
      </c>
      <c r="N430" s="17" t="s">
        <v>129</v>
      </c>
    </row>
    <row r="431" spans="1:14" ht="14.25" customHeight="1">
      <c r="A431" s="17">
        <v>10430</v>
      </c>
      <c r="B431" s="18">
        <v>45397</v>
      </c>
      <c r="C431" s="17" t="s">
        <v>39</v>
      </c>
      <c r="D431" s="17" t="s">
        <v>170</v>
      </c>
      <c r="E431" s="17" t="s">
        <v>168</v>
      </c>
      <c r="F431" s="17" t="s">
        <v>164</v>
      </c>
      <c r="G431" s="17">
        <v>4</v>
      </c>
      <c r="H431" s="17">
        <v>48087</v>
      </c>
      <c r="I431" s="17">
        <v>192348</v>
      </c>
      <c r="J431" s="17">
        <v>1944</v>
      </c>
      <c r="K431" s="17">
        <v>190404</v>
      </c>
      <c r="L431" s="17">
        <v>40940.416499999999</v>
      </c>
      <c r="M431" s="17">
        <v>2024</v>
      </c>
      <c r="N431" s="17" t="s">
        <v>114</v>
      </c>
    </row>
    <row r="432" spans="1:14" ht="14.25" customHeight="1">
      <c r="A432" s="17">
        <v>10431</v>
      </c>
      <c r="B432" s="18">
        <v>45961</v>
      </c>
      <c r="C432" s="17" t="s">
        <v>50</v>
      </c>
      <c r="D432" s="17" t="s">
        <v>83</v>
      </c>
      <c r="E432" s="17" t="s">
        <v>162</v>
      </c>
      <c r="F432" s="17" t="s">
        <v>166</v>
      </c>
      <c r="G432" s="17">
        <v>7</v>
      </c>
      <c r="H432" s="17">
        <v>13545</v>
      </c>
      <c r="I432" s="17">
        <v>94815</v>
      </c>
      <c r="J432" s="17">
        <v>4839</v>
      </c>
      <c r="K432" s="17">
        <v>89976</v>
      </c>
      <c r="L432" s="17">
        <v>10714.019550000001</v>
      </c>
      <c r="M432" s="17">
        <v>2025</v>
      </c>
      <c r="N432" s="17" t="s">
        <v>174</v>
      </c>
    </row>
    <row r="433" spans="1:14" ht="14.25" customHeight="1">
      <c r="A433" s="17">
        <v>10432</v>
      </c>
      <c r="B433" s="18">
        <v>45950</v>
      </c>
      <c r="C433" s="17" t="s">
        <v>50</v>
      </c>
      <c r="D433" s="17" t="s">
        <v>170</v>
      </c>
      <c r="E433" s="17" t="s">
        <v>165</v>
      </c>
      <c r="F433" s="17" t="s">
        <v>172</v>
      </c>
      <c r="G433" s="17">
        <v>5</v>
      </c>
      <c r="H433" s="17">
        <v>13484</v>
      </c>
      <c r="I433" s="17">
        <v>67420</v>
      </c>
      <c r="J433" s="17">
        <v>3958</v>
      </c>
      <c r="K433" s="17">
        <v>63462</v>
      </c>
      <c r="L433" s="17">
        <v>13703.326849999999</v>
      </c>
      <c r="M433" s="17">
        <v>2025</v>
      </c>
      <c r="N433" s="17" t="s">
        <v>174</v>
      </c>
    </row>
    <row r="434" spans="1:14" ht="14.25" customHeight="1">
      <c r="A434" s="17">
        <v>10433</v>
      </c>
      <c r="B434" s="18">
        <v>45948</v>
      </c>
      <c r="C434" s="17" t="s">
        <v>39</v>
      </c>
      <c r="D434" s="17" t="s">
        <v>86</v>
      </c>
      <c r="E434" s="17" t="s">
        <v>162</v>
      </c>
      <c r="F434" s="17" t="s">
        <v>164</v>
      </c>
      <c r="G434" s="17">
        <v>5</v>
      </c>
      <c r="H434" s="17">
        <v>71252</v>
      </c>
      <c r="I434" s="17">
        <v>356260</v>
      </c>
      <c r="J434" s="17">
        <v>4664</v>
      </c>
      <c r="K434" s="17">
        <v>351596</v>
      </c>
      <c r="L434" s="17">
        <v>60554.76453</v>
      </c>
      <c r="M434" s="17">
        <v>2025</v>
      </c>
      <c r="N434" s="17" t="s">
        <v>174</v>
      </c>
    </row>
    <row r="435" spans="1:14" ht="14.25" customHeight="1">
      <c r="A435" s="17">
        <v>10434</v>
      </c>
      <c r="B435" s="18">
        <v>45411</v>
      </c>
      <c r="C435" s="17" t="s">
        <v>39</v>
      </c>
      <c r="D435" s="17" t="s">
        <v>89</v>
      </c>
      <c r="E435" s="17" t="s">
        <v>162</v>
      </c>
      <c r="F435" s="17" t="s">
        <v>166</v>
      </c>
      <c r="G435" s="17">
        <v>9</v>
      </c>
      <c r="H435" s="17">
        <v>28667</v>
      </c>
      <c r="I435" s="17">
        <v>258003</v>
      </c>
      <c r="J435" s="17">
        <v>1684</v>
      </c>
      <c r="K435" s="17">
        <v>256319</v>
      </c>
      <c r="L435" s="17">
        <v>58707.550280000003</v>
      </c>
      <c r="M435" s="17">
        <v>2024</v>
      </c>
      <c r="N435" s="17" t="s">
        <v>114</v>
      </c>
    </row>
    <row r="436" spans="1:14" ht="14.25" customHeight="1">
      <c r="A436" s="17">
        <v>10435</v>
      </c>
      <c r="B436" s="18">
        <v>45895</v>
      </c>
      <c r="C436" s="17" t="s">
        <v>58</v>
      </c>
      <c r="D436" s="17" t="s">
        <v>86</v>
      </c>
      <c r="E436" s="17" t="s">
        <v>168</v>
      </c>
      <c r="F436" s="17" t="s">
        <v>163</v>
      </c>
      <c r="G436" s="17">
        <v>3</v>
      </c>
      <c r="H436" s="17">
        <v>75111</v>
      </c>
      <c r="I436" s="17">
        <v>225333</v>
      </c>
      <c r="J436" s="17">
        <v>2436</v>
      </c>
      <c r="K436" s="17">
        <v>222897</v>
      </c>
      <c r="L436" s="17">
        <v>29398.10022</v>
      </c>
      <c r="M436" s="17">
        <v>2025</v>
      </c>
      <c r="N436" s="17" t="s">
        <v>126</v>
      </c>
    </row>
    <row r="437" spans="1:14" ht="14.25" customHeight="1">
      <c r="A437" s="17">
        <v>10436</v>
      </c>
      <c r="B437" s="18">
        <v>45349</v>
      </c>
      <c r="C437" s="17" t="s">
        <v>167</v>
      </c>
      <c r="D437" s="17" t="s">
        <v>83</v>
      </c>
      <c r="E437" s="17" t="s">
        <v>168</v>
      </c>
      <c r="F437" s="17" t="s">
        <v>163</v>
      </c>
      <c r="G437" s="17">
        <v>4</v>
      </c>
      <c r="H437" s="17">
        <v>20637</v>
      </c>
      <c r="I437" s="17">
        <v>82548</v>
      </c>
      <c r="J437" s="17">
        <v>970</v>
      </c>
      <c r="K437" s="17">
        <v>81578</v>
      </c>
      <c r="L437" s="17">
        <v>16388.91358</v>
      </c>
      <c r="M437" s="17">
        <v>2024</v>
      </c>
      <c r="N437" s="17" t="s">
        <v>175</v>
      </c>
    </row>
    <row r="438" spans="1:14" ht="14.25" customHeight="1">
      <c r="A438" s="17">
        <v>10437</v>
      </c>
      <c r="B438" s="18">
        <v>45637</v>
      </c>
      <c r="C438" s="17" t="s">
        <v>58</v>
      </c>
      <c r="D438" s="17" t="s">
        <v>170</v>
      </c>
      <c r="E438" s="17" t="s">
        <v>168</v>
      </c>
      <c r="F438" s="17" t="s">
        <v>172</v>
      </c>
      <c r="G438" s="17">
        <v>5</v>
      </c>
      <c r="H438" s="17">
        <v>45747</v>
      </c>
      <c r="I438" s="17">
        <v>228735</v>
      </c>
      <c r="J438" s="17">
        <v>746</v>
      </c>
      <c r="K438" s="17">
        <v>227989</v>
      </c>
      <c r="L438" s="17">
        <v>49682.878669999998</v>
      </c>
      <c r="M438" s="17">
        <v>2024</v>
      </c>
      <c r="N438" s="17" t="s">
        <v>169</v>
      </c>
    </row>
    <row r="439" spans="1:14" ht="14.25" customHeight="1">
      <c r="A439" s="17">
        <v>10438</v>
      </c>
      <c r="B439" s="18">
        <v>45765</v>
      </c>
      <c r="C439" s="17" t="s">
        <v>39</v>
      </c>
      <c r="D439" s="17" t="s">
        <v>89</v>
      </c>
      <c r="E439" s="17" t="s">
        <v>168</v>
      </c>
      <c r="F439" s="17" t="s">
        <v>163</v>
      </c>
      <c r="G439" s="17">
        <v>1</v>
      </c>
      <c r="H439" s="17">
        <v>64749</v>
      </c>
      <c r="I439" s="17">
        <v>64749</v>
      </c>
      <c r="J439" s="17">
        <v>2184</v>
      </c>
      <c r="K439" s="17">
        <v>62565</v>
      </c>
      <c r="L439" s="17">
        <v>8156.8392860000004</v>
      </c>
      <c r="M439" s="17">
        <v>2025</v>
      </c>
      <c r="N439" s="17" t="s">
        <v>114</v>
      </c>
    </row>
    <row r="440" spans="1:14" ht="14.25" customHeight="1">
      <c r="A440" s="17">
        <v>10439</v>
      </c>
      <c r="B440" s="18">
        <v>45408</v>
      </c>
      <c r="C440" s="17" t="s">
        <v>50</v>
      </c>
      <c r="D440" s="17" t="s">
        <v>111</v>
      </c>
      <c r="E440" s="17" t="s">
        <v>162</v>
      </c>
      <c r="F440" s="17" t="s">
        <v>164</v>
      </c>
      <c r="G440" s="17">
        <v>7</v>
      </c>
      <c r="H440" s="17">
        <v>14491</v>
      </c>
      <c r="I440" s="17">
        <v>101437</v>
      </c>
      <c r="J440" s="17">
        <v>1384</v>
      </c>
      <c r="K440" s="17">
        <v>100053</v>
      </c>
      <c r="L440" s="17">
        <v>22286.114549999998</v>
      </c>
      <c r="M440" s="17">
        <v>2024</v>
      </c>
      <c r="N440" s="17" t="s">
        <v>114</v>
      </c>
    </row>
    <row r="441" spans="1:14" ht="14.25" customHeight="1">
      <c r="A441" s="17">
        <v>10440</v>
      </c>
      <c r="B441" s="18">
        <v>45418</v>
      </c>
      <c r="C441" s="17" t="s">
        <v>58</v>
      </c>
      <c r="D441" s="17" t="s">
        <v>89</v>
      </c>
      <c r="E441" s="17" t="s">
        <v>162</v>
      </c>
      <c r="F441" s="17" t="s">
        <v>166</v>
      </c>
      <c r="G441" s="17">
        <v>8</v>
      </c>
      <c r="H441" s="17">
        <v>58100</v>
      </c>
      <c r="I441" s="17">
        <v>464800</v>
      </c>
      <c r="J441" s="17">
        <v>4030</v>
      </c>
      <c r="K441" s="17">
        <v>460770</v>
      </c>
      <c r="L441" s="17">
        <v>112288.64690000001</v>
      </c>
      <c r="M441" s="17">
        <v>2024</v>
      </c>
      <c r="N441" s="17" t="s">
        <v>117</v>
      </c>
    </row>
    <row r="442" spans="1:14" ht="14.25" customHeight="1">
      <c r="A442" s="17">
        <v>10441</v>
      </c>
      <c r="B442" s="18">
        <v>45684</v>
      </c>
      <c r="C442" s="17" t="s">
        <v>167</v>
      </c>
      <c r="D442" s="17" t="s">
        <v>89</v>
      </c>
      <c r="E442" s="17" t="s">
        <v>168</v>
      </c>
      <c r="F442" s="17" t="s">
        <v>172</v>
      </c>
      <c r="G442" s="17">
        <v>6</v>
      </c>
      <c r="H442" s="17">
        <v>17631</v>
      </c>
      <c r="I442" s="17">
        <v>105786</v>
      </c>
      <c r="J442" s="17">
        <v>1018</v>
      </c>
      <c r="K442" s="17">
        <v>104768</v>
      </c>
      <c r="L442" s="17">
        <v>20158.598409999999</v>
      </c>
      <c r="M442" s="17">
        <v>2025</v>
      </c>
      <c r="N442" s="17" t="s">
        <v>171</v>
      </c>
    </row>
    <row r="443" spans="1:14" ht="14.25" customHeight="1">
      <c r="A443" s="17">
        <v>10442</v>
      </c>
      <c r="B443" s="18">
        <v>45932</v>
      </c>
      <c r="C443" s="17" t="s">
        <v>58</v>
      </c>
      <c r="D443" s="17" t="s">
        <v>86</v>
      </c>
      <c r="E443" s="17" t="s">
        <v>168</v>
      </c>
      <c r="F443" s="17" t="s">
        <v>166</v>
      </c>
      <c r="G443" s="17">
        <v>9</v>
      </c>
      <c r="H443" s="17">
        <v>32182</v>
      </c>
      <c r="I443" s="17">
        <v>289638</v>
      </c>
      <c r="J443" s="17">
        <v>2578</v>
      </c>
      <c r="K443" s="17">
        <v>287060</v>
      </c>
      <c r="L443" s="17">
        <v>62500.874100000001</v>
      </c>
      <c r="M443" s="17">
        <v>2025</v>
      </c>
      <c r="N443" s="17" t="s">
        <v>174</v>
      </c>
    </row>
    <row r="444" spans="1:14" ht="14.25" customHeight="1">
      <c r="A444" s="17">
        <v>10443</v>
      </c>
      <c r="B444" s="18">
        <v>45349</v>
      </c>
      <c r="C444" s="17" t="s">
        <v>45</v>
      </c>
      <c r="D444" s="17" t="s">
        <v>111</v>
      </c>
      <c r="E444" s="17" t="s">
        <v>165</v>
      </c>
      <c r="F444" s="17" t="s">
        <v>166</v>
      </c>
      <c r="G444" s="17">
        <v>3</v>
      </c>
      <c r="H444" s="17">
        <v>13903</v>
      </c>
      <c r="I444" s="17">
        <v>41709</v>
      </c>
      <c r="J444" s="17">
        <v>4111</v>
      </c>
      <c r="K444" s="17">
        <v>37598</v>
      </c>
      <c r="L444" s="17">
        <v>6763.413192</v>
      </c>
      <c r="M444" s="17">
        <v>2024</v>
      </c>
      <c r="N444" s="17" t="s">
        <v>175</v>
      </c>
    </row>
    <row r="445" spans="1:14" ht="14.25" customHeight="1">
      <c r="A445" s="17">
        <v>10444</v>
      </c>
      <c r="B445" s="18">
        <v>45925</v>
      </c>
      <c r="C445" s="17" t="s">
        <v>58</v>
      </c>
      <c r="D445" s="17" t="s">
        <v>83</v>
      </c>
      <c r="E445" s="17" t="s">
        <v>165</v>
      </c>
      <c r="F445" s="17" t="s">
        <v>166</v>
      </c>
      <c r="G445" s="17">
        <v>2</v>
      </c>
      <c r="H445" s="17">
        <v>62782</v>
      </c>
      <c r="I445" s="17">
        <v>125564</v>
      </c>
      <c r="J445" s="17">
        <v>4663</v>
      </c>
      <c r="K445" s="17">
        <v>120901</v>
      </c>
      <c r="L445" s="17">
        <v>22936.794170000001</v>
      </c>
      <c r="M445" s="17">
        <v>2025</v>
      </c>
      <c r="N445" s="17" t="s">
        <v>129</v>
      </c>
    </row>
    <row r="446" spans="1:14" ht="14.25" customHeight="1">
      <c r="A446" s="17">
        <v>10445</v>
      </c>
      <c r="B446" s="18">
        <v>45804</v>
      </c>
      <c r="C446" s="17" t="s">
        <v>39</v>
      </c>
      <c r="D446" s="17" t="s">
        <v>83</v>
      </c>
      <c r="E446" s="17" t="s">
        <v>168</v>
      </c>
      <c r="F446" s="17" t="s">
        <v>164</v>
      </c>
      <c r="G446" s="17">
        <v>5</v>
      </c>
      <c r="H446" s="17">
        <v>41109</v>
      </c>
      <c r="I446" s="17">
        <v>205545</v>
      </c>
      <c r="J446" s="17">
        <v>3940</v>
      </c>
      <c r="K446" s="17">
        <v>201605</v>
      </c>
      <c r="L446" s="17">
        <v>20564.287629999999</v>
      </c>
      <c r="M446" s="17">
        <v>2025</v>
      </c>
      <c r="N446" s="17" t="s">
        <v>117</v>
      </c>
    </row>
    <row r="447" spans="1:14" ht="14.25" customHeight="1">
      <c r="A447" s="17">
        <v>10446</v>
      </c>
      <c r="B447" s="18">
        <v>45387</v>
      </c>
      <c r="C447" s="17" t="s">
        <v>50</v>
      </c>
      <c r="D447" s="17" t="s">
        <v>89</v>
      </c>
      <c r="E447" s="17" t="s">
        <v>162</v>
      </c>
      <c r="F447" s="17" t="s">
        <v>172</v>
      </c>
      <c r="G447" s="17">
        <v>9</v>
      </c>
      <c r="H447" s="17">
        <v>76086</v>
      </c>
      <c r="I447" s="17">
        <v>684774</v>
      </c>
      <c r="J447" s="17">
        <v>2024</v>
      </c>
      <c r="K447" s="17">
        <v>682750</v>
      </c>
      <c r="L447" s="17">
        <v>121968.56969999999</v>
      </c>
      <c r="M447" s="17">
        <v>2024</v>
      </c>
      <c r="N447" s="17" t="s">
        <v>114</v>
      </c>
    </row>
    <row r="448" spans="1:14" ht="14.25" customHeight="1">
      <c r="A448" s="17">
        <v>10447</v>
      </c>
      <c r="B448" s="18">
        <v>45929</v>
      </c>
      <c r="C448" s="17" t="s">
        <v>50</v>
      </c>
      <c r="D448" s="17" t="s">
        <v>89</v>
      </c>
      <c r="E448" s="17" t="s">
        <v>168</v>
      </c>
      <c r="F448" s="17" t="s">
        <v>163</v>
      </c>
      <c r="G448" s="17">
        <v>1</v>
      </c>
      <c r="H448" s="17">
        <v>65436</v>
      </c>
      <c r="I448" s="17">
        <v>65436</v>
      </c>
      <c r="J448" s="17">
        <v>1542</v>
      </c>
      <c r="K448" s="17">
        <v>63894</v>
      </c>
      <c r="L448" s="17">
        <v>11905.660529999999</v>
      </c>
      <c r="M448" s="17">
        <v>2025</v>
      </c>
      <c r="N448" s="17" t="s">
        <v>129</v>
      </c>
    </row>
    <row r="449" spans="1:14" ht="14.25" customHeight="1">
      <c r="A449" s="17">
        <v>10448</v>
      </c>
      <c r="B449" s="18">
        <v>45409</v>
      </c>
      <c r="C449" s="17" t="s">
        <v>39</v>
      </c>
      <c r="D449" s="17" t="s">
        <v>170</v>
      </c>
      <c r="E449" s="17" t="s">
        <v>162</v>
      </c>
      <c r="F449" s="17" t="s">
        <v>166</v>
      </c>
      <c r="G449" s="17">
        <v>1</v>
      </c>
      <c r="H449" s="17">
        <v>23167</v>
      </c>
      <c r="I449" s="17">
        <v>23167</v>
      </c>
      <c r="J449" s="17">
        <v>2711</v>
      </c>
      <c r="K449" s="17">
        <v>20456</v>
      </c>
      <c r="L449" s="17">
        <v>4101.5738890000002</v>
      </c>
      <c r="M449" s="17">
        <v>2024</v>
      </c>
      <c r="N449" s="17" t="s">
        <v>114</v>
      </c>
    </row>
    <row r="450" spans="1:14" ht="14.25" customHeight="1">
      <c r="A450" s="17">
        <v>10449</v>
      </c>
      <c r="B450" s="18">
        <v>45851</v>
      </c>
      <c r="C450" s="17" t="s">
        <v>45</v>
      </c>
      <c r="D450" s="17" t="s">
        <v>111</v>
      </c>
      <c r="E450" s="17" t="s">
        <v>162</v>
      </c>
      <c r="F450" s="17" t="s">
        <v>166</v>
      </c>
      <c r="G450" s="17">
        <v>3</v>
      </c>
      <c r="H450" s="17">
        <v>30443</v>
      </c>
      <c r="I450" s="17">
        <v>91329</v>
      </c>
      <c r="J450" s="17">
        <v>3046</v>
      </c>
      <c r="K450" s="17">
        <v>88283</v>
      </c>
      <c r="L450" s="17">
        <v>11071.446669999999</v>
      </c>
      <c r="M450" s="17">
        <v>2025</v>
      </c>
      <c r="N450" s="17" t="s">
        <v>123</v>
      </c>
    </row>
    <row r="451" spans="1:14" ht="14.25" customHeight="1">
      <c r="A451" s="17">
        <v>10450</v>
      </c>
      <c r="B451" s="18">
        <v>45892</v>
      </c>
      <c r="C451" s="17" t="s">
        <v>39</v>
      </c>
      <c r="D451" s="17" t="s">
        <v>89</v>
      </c>
      <c r="E451" s="17" t="s">
        <v>165</v>
      </c>
      <c r="F451" s="17" t="s">
        <v>166</v>
      </c>
      <c r="G451" s="17">
        <v>3</v>
      </c>
      <c r="H451" s="17">
        <v>55640</v>
      </c>
      <c r="I451" s="17">
        <v>166920</v>
      </c>
      <c r="J451" s="17">
        <v>1454</v>
      </c>
      <c r="K451" s="17">
        <v>165466</v>
      </c>
      <c r="L451" s="17">
        <v>22537.485049999999</v>
      </c>
      <c r="M451" s="17">
        <v>2025</v>
      </c>
      <c r="N451" s="17" t="s">
        <v>126</v>
      </c>
    </row>
    <row r="452" spans="1:14" ht="14.25" customHeight="1">
      <c r="A452" s="17">
        <v>10451</v>
      </c>
      <c r="B452" s="18">
        <v>45779</v>
      </c>
      <c r="C452" s="17" t="s">
        <v>58</v>
      </c>
      <c r="D452" s="17" t="s">
        <v>170</v>
      </c>
      <c r="E452" s="17" t="s">
        <v>168</v>
      </c>
      <c r="F452" s="17" t="s">
        <v>164</v>
      </c>
      <c r="G452" s="17">
        <v>5</v>
      </c>
      <c r="H452" s="17">
        <v>34548</v>
      </c>
      <c r="I452" s="17">
        <v>172740</v>
      </c>
      <c r="J452" s="17">
        <v>3003</v>
      </c>
      <c r="K452" s="17">
        <v>169737</v>
      </c>
      <c r="L452" s="17">
        <v>36221.993730000002</v>
      </c>
      <c r="M452" s="17">
        <v>2025</v>
      </c>
      <c r="N452" s="17" t="s">
        <v>117</v>
      </c>
    </row>
    <row r="453" spans="1:14" ht="14.25" customHeight="1">
      <c r="A453" s="17">
        <v>10452</v>
      </c>
      <c r="B453" s="18">
        <v>45528</v>
      </c>
      <c r="C453" s="17" t="s">
        <v>39</v>
      </c>
      <c r="D453" s="17" t="s">
        <v>111</v>
      </c>
      <c r="E453" s="17" t="s">
        <v>168</v>
      </c>
      <c r="F453" s="17" t="s">
        <v>163</v>
      </c>
      <c r="G453" s="17">
        <v>4</v>
      </c>
      <c r="H453" s="17">
        <v>67358</v>
      </c>
      <c r="I453" s="17">
        <v>269432</v>
      </c>
      <c r="J453" s="17">
        <v>1702</v>
      </c>
      <c r="K453" s="17">
        <v>267730</v>
      </c>
      <c r="L453" s="17">
        <v>33505.291190000004</v>
      </c>
      <c r="M453" s="17">
        <v>2024</v>
      </c>
      <c r="N453" s="17" t="s">
        <v>126</v>
      </c>
    </row>
    <row r="454" spans="1:14" ht="14.25" customHeight="1">
      <c r="A454" s="17">
        <v>10453</v>
      </c>
      <c r="B454" s="18">
        <v>45563</v>
      </c>
      <c r="C454" s="17" t="s">
        <v>39</v>
      </c>
      <c r="D454" s="17" t="s">
        <v>83</v>
      </c>
      <c r="E454" s="17" t="s">
        <v>162</v>
      </c>
      <c r="F454" s="17" t="s">
        <v>166</v>
      </c>
      <c r="G454" s="17">
        <v>6</v>
      </c>
      <c r="H454" s="17">
        <v>23160</v>
      </c>
      <c r="I454" s="17">
        <v>138960</v>
      </c>
      <c r="J454" s="17">
        <v>4420</v>
      </c>
      <c r="K454" s="17">
        <v>134540</v>
      </c>
      <c r="L454" s="17">
        <v>21849.822169999999</v>
      </c>
      <c r="M454" s="17">
        <v>2024</v>
      </c>
      <c r="N454" s="17" t="s">
        <v>129</v>
      </c>
    </row>
    <row r="455" spans="1:14" ht="14.25" customHeight="1">
      <c r="A455" s="17">
        <v>10454</v>
      </c>
      <c r="B455" s="18">
        <v>45480</v>
      </c>
      <c r="C455" s="17" t="s">
        <v>45</v>
      </c>
      <c r="D455" s="17" t="s">
        <v>170</v>
      </c>
      <c r="E455" s="17" t="s">
        <v>168</v>
      </c>
      <c r="F455" s="17" t="s">
        <v>164</v>
      </c>
      <c r="G455" s="17">
        <v>8</v>
      </c>
      <c r="H455" s="17">
        <v>51205</v>
      </c>
      <c r="I455" s="17">
        <v>409640</v>
      </c>
      <c r="J455" s="17">
        <v>3873</v>
      </c>
      <c r="K455" s="17">
        <v>405767</v>
      </c>
      <c r="L455" s="17">
        <v>55822.799700000003</v>
      </c>
      <c r="M455" s="17">
        <v>2024</v>
      </c>
      <c r="N455" s="17" t="s">
        <v>123</v>
      </c>
    </row>
    <row r="456" spans="1:14" ht="14.25" customHeight="1">
      <c r="A456" s="17">
        <v>10455</v>
      </c>
      <c r="B456" s="18">
        <v>45995</v>
      </c>
      <c r="C456" s="17" t="s">
        <v>58</v>
      </c>
      <c r="D456" s="17" t="s">
        <v>111</v>
      </c>
      <c r="E456" s="17" t="s">
        <v>165</v>
      </c>
      <c r="F456" s="17" t="s">
        <v>164</v>
      </c>
      <c r="G456" s="17">
        <v>8</v>
      </c>
      <c r="H456" s="17">
        <v>67280</v>
      </c>
      <c r="I456" s="17">
        <v>538240</v>
      </c>
      <c r="J456" s="17">
        <v>121</v>
      </c>
      <c r="K456" s="17">
        <v>538119</v>
      </c>
      <c r="L456" s="17">
        <v>97817.988700000002</v>
      </c>
      <c r="M456" s="17">
        <v>2025</v>
      </c>
      <c r="N456" s="17" t="s">
        <v>169</v>
      </c>
    </row>
    <row r="457" spans="1:14" ht="14.25" customHeight="1">
      <c r="A457" s="17">
        <v>10456</v>
      </c>
      <c r="B457" s="18">
        <v>45738</v>
      </c>
      <c r="C457" s="17" t="s">
        <v>167</v>
      </c>
      <c r="D457" s="17" t="s">
        <v>170</v>
      </c>
      <c r="E457" s="17" t="s">
        <v>165</v>
      </c>
      <c r="F457" s="17" t="s">
        <v>166</v>
      </c>
      <c r="G457" s="17">
        <v>4</v>
      </c>
      <c r="H457" s="17">
        <v>41852</v>
      </c>
      <c r="I457" s="17">
        <v>167408</v>
      </c>
      <c r="J457" s="17">
        <v>1476</v>
      </c>
      <c r="K457" s="17">
        <v>165932</v>
      </c>
      <c r="L457" s="17">
        <v>41156.218860000001</v>
      </c>
      <c r="M457" s="17">
        <v>2025</v>
      </c>
      <c r="N457" s="17" t="s">
        <v>112</v>
      </c>
    </row>
    <row r="458" spans="1:14" ht="14.25" customHeight="1">
      <c r="A458" s="17">
        <v>10457</v>
      </c>
      <c r="B458" s="18">
        <v>45872</v>
      </c>
      <c r="C458" s="17" t="s">
        <v>167</v>
      </c>
      <c r="D458" s="17" t="s">
        <v>89</v>
      </c>
      <c r="E458" s="17" t="s">
        <v>168</v>
      </c>
      <c r="F458" s="17" t="s">
        <v>166</v>
      </c>
      <c r="G458" s="17">
        <v>1</v>
      </c>
      <c r="H458" s="17">
        <v>50021</v>
      </c>
      <c r="I458" s="17">
        <v>50021</v>
      </c>
      <c r="J458" s="17">
        <v>265</v>
      </c>
      <c r="K458" s="17">
        <v>49756</v>
      </c>
      <c r="L458" s="17">
        <v>11334.69965</v>
      </c>
      <c r="M458" s="17">
        <v>2025</v>
      </c>
      <c r="N458" s="17" t="s">
        <v>126</v>
      </c>
    </row>
    <row r="459" spans="1:14" ht="14.25" customHeight="1">
      <c r="A459" s="17">
        <v>10458</v>
      </c>
      <c r="B459" s="18">
        <v>45538</v>
      </c>
      <c r="C459" s="17" t="s">
        <v>50</v>
      </c>
      <c r="D459" s="17" t="s">
        <v>86</v>
      </c>
      <c r="E459" s="17" t="s">
        <v>168</v>
      </c>
      <c r="F459" s="17" t="s">
        <v>164</v>
      </c>
      <c r="G459" s="17">
        <v>7</v>
      </c>
      <c r="H459" s="17">
        <v>11195</v>
      </c>
      <c r="I459" s="17">
        <v>78365</v>
      </c>
      <c r="J459" s="17">
        <v>27</v>
      </c>
      <c r="K459" s="17">
        <v>78338</v>
      </c>
      <c r="L459" s="17">
        <v>11000.31213</v>
      </c>
      <c r="M459" s="17">
        <v>2024</v>
      </c>
      <c r="N459" s="17" t="s">
        <v>129</v>
      </c>
    </row>
    <row r="460" spans="1:14" ht="14.25" customHeight="1">
      <c r="A460" s="17">
        <v>10459</v>
      </c>
      <c r="B460" s="18">
        <v>45367</v>
      </c>
      <c r="C460" s="17" t="s">
        <v>39</v>
      </c>
      <c r="D460" s="17" t="s">
        <v>83</v>
      </c>
      <c r="E460" s="17" t="s">
        <v>165</v>
      </c>
      <c r="F460" s="17" t="s">
        <v>164</v>
      </c>
      <c r="G460" s="17">
        <v>6</v>
      </c>
      <c r="H460" s="17">
        <v>71547</v>
      </c>
      <c r="I460" s="17">
        <v>429282</v>
      </c>
      <c r="J460" s="17">
        <v>2124</v>
      </c>
      <c r="K460" s="17">
        <v>427158</v>
      </c>
      <c r="L460" s="17">
        <v>66334.122570000007</v>
      </c>
      <c r="M460" s="17">
        <v>2024</v>
      </c>
      <c r="N460" s="17" t="s">
        <v>112</v>
      </c>
    </row>
    <row r="461" spans="1:14" ht="14.25" customHeight="1">
      <c r="A461" s="17">
        <v>10460</v>
      </c>
      <c r="B461" s="18">
        <v>45445</v>
      </c>
      <c r="C461" s="17" t="s">
        <v>50</v>
      </c>
      <c r="D461" s="17" t="s">
        <v>89</v>
      </c>
      <c r="E461" s="17" t="s">
        <v>168</v>
      </c>
      <c r="F461" s="17" t="s">
        <v>166</v>
      </c>
      <c r="G461" s="17">
        <v>5</v>
      </c>
      <c r="H461" s="17">
        <v>29286</v>
      </c>
      <c r="I461" s="17">
        <v>146430</v>
      </c>
      <c r="J461" s="17">
        <v>431</v>
      </c>
      <c r="K461" s="17">
        <v>145999</v>
      </c>
      <c r="L461" s="17">
        <v>34717.837659999997</v>
      </c>
      <c r="M461" s="17">
        <v>2024</v>
      </c>
      <c r="N461" s="17" t="s">
        <v>120</v>
      </c>
    </row>
    <row r="462" spans="1:14" ht="14.25" customHeight="1">
      <c r="A462" s="17">
        <v>10461</v>
      </c>
      <c r="B462" s="18">
        <v>45947</v>
      </c>
      <c r="C462" s="17" t="s">
        <v>45</v>
      </c>
      <c r="D462" s="17" t="s">
        <v>89</v>
      </c>
      <c r="E462" s="17" t="s">
        <v>162</v>
      </c>
      <c r="F462" s="17" t="s">
        <v>164</v>
      </c>
      <c r="G462" s="17">
        <v>4</v>
      </c>
      <c r="H462" s="17">
        <v>38581</v>
      </c>
      <c r="I462" s="17">
        <v>154324</v>
      </c>
      <c r="J462" s="17">
        <v>4974</v>
      </c>
      <c r="K462" s="17">
        <v>149350</v>
      </c>
      <c r="L462" s="17">
        <v>35059.053119999997</v>
      </c>
      <c r="M462" s="17">
        <v>2025</v>
      </c>
      <c r="N462" s="17" t="s">
        <v>174</v>
      </c>
    </row>
    <row r="463" spans="1:14" ht="14.25" customHeight="1">
      <c r="A463" s="17">
        <v>10462</v>
      </c>
      <c r="B463" s="18">
        <v>45726</v>
      </c>
      <c r="C463" s="17" t="s">
        <v>167</v>
      </c>
      <c r="D463" s="17" t="s">
        <v>111</v>
      </c>
      <c r="E463" s="17" t="s">
        <v>168</v>
      </c>
      <c r="F463" s="17" t="s">
        <v>164</v>
      </c>
      <c r="G463" s="17">
        <v>6</v>
      </c>
      <c r="H463" s="17">
        <v>31719</v>
      </c>
      <c r="I463" s="17">
        <v>190314</v>
      </c>
      <c r="J463" s="17">
        <v>3777</v>
      </c>
      <c r="K463" s="17">
        <v>186537</v>
      </c>
      <c r="L463" s="17">
        <v>23145.362809999999</v>
      </c>
      <c r="M463" s="17">
        <v>2025</v>
      </c>
      <c r="N463" s="17" t="s">
        <v>112</v>
      </c>
    </row>
    <row r="464" spans="1:14" ht="14.25" customHeight="1">
      <c r="A464" s="17">
        <v>10463</v>
      </c>
      <c r="B464" s="18">
        <v>45377</v>
      </c>
      <c r="C464" s="17" t="s">
        <v>39</v>
      </c>
      <c r="D464" s="17" t="s">
        <v>170</v>
      </c>
      <c r="E464" s="17" t="s">
        <v>162</v>
      </c>
      <c r="F464" s="17" t="s">
        <v>166</v>
      </c>
      <c r="G464" s="17">
        <v>8</v>
      </c>
      <c r="H464" s="17">
        <v>53450</v>
      </c>
      <c r="I464" s="17">
        <v>427600</v>
      </c>
      <c r="J464" s="17">
        <v>4531</v>
      </c>
      <c r="K464" s="17">
        <v>423069</v>
      </c>
      <c r="L464" s="17">
        <v>94932.736269999994</v>
      </c>
      <c r="M464" s="17">
        <v>2024</v>
      </c>
      <c r="N464" s="17" t="s">
        <v>112</v>
      </c>
    </row>
    <row r="465" spans="1:14" ht="14.25" customHeight="1">
      <c r="A465" s="17">
        <v>10464</v>
      </c>
      <c r="B465" s="18">
        <v>45988</v>
      </c>
      <c r="C465" s="17" t="s">
        <v>45</v>
      </c>
      <c r="D465" s="17" t="s">
        <v>83</v>
      </c>
      <c r="E465" s="17" t="s">
        <v>168</v>
      </c>
      <c r="F465" s="17" t="s">
        <v>166</v>
      </c>
      <c r="G465" s="17">
        <v>6</v>
      </c>
      <c r="H465" s="17">
        <v>25028</v>
      </c>
      <c r="I465" s="17">
        <v>150168</v>
      </c>
      <c r="J465" s="17">
        <v>1085</v>
      </c>
      <c r="K465" s="17">
        <v>149083</v>
      </c>
      <c r="L465" s="17">
        <v>21563.54189</v>
      </c>
      <c r="M465" s="17">
        <v>2025</v>
      </c>
      <c r="N465" s="17" t="s">
        <v>173</v>
      </c>
    </row>
    <row r="466" spans="1:14" ht="14.25" customHeight="1">
      <c r="A466" s="17">
        <v>10465</v>
      </c>
      <c r="B466" s="18">
        <v>45576</v>
      </c>
      <c r="C466" s="17" t="s">
        <v>45</v>
      </c>
      <c r="D466" s="17" t="s">
        <v>89</v>
      </c>
      <c r="E466" s="17" t="s">
        <v>168</v>
      </c>
      <c r="F466" s="17" t="s">
        <v>172</v>
      </c>
      <c r="G466" s="17">
        <v>3</v>
      </c>
      <c r="H466" s="17">
        <v>21192</v>
      </c>
      <c r="I466" s="17">
        <v>63576</v>
      </c>
      <c r="J466" s="17">
        <v>2094</v>
      </c>
      <c r="K466" s="17">
        <v>61482</v>
      </c>
      <c r="L466" s="17">
        <v>11163.31588</v>
      </c>
      <c r="M466" s="17">
        <v>2024</v>
      </c>
      <c r="N466" s="17" t="s">
        <v>174</v>
      </c>
    </row>
    <row r="467" spans="1:14" ht="14.25" customHeight="1">
      <c r="A467" s="17">
        <v>10466</v>
      </c>
      <c r="B467" s="18">
        <v>45511</v>
      </c>
      <c r="C467" s="17" t="s">
        <v>39</v>
      </c>
      <c r="D467" s="17" t="s">
        <v>111</v>
      </c>
      <c r="E467" s="17" t="s">
        <v>165</v>
      </c>
      <c r="F467" s="17" t="s">
        <v>163</v>
      </c>
      <c r="G467" s="17">
        <v>9</v>
      </c>
      <c r="H467" s="17">
        <v>76812</v>
      </c>
      <c r="I467" s="17">
        <v>691308</v>
      </c>
      <c r="J467" s="17">
        <v>2485</v>
      </c>
      <c r="K467" s="17">
        <v>688823</v>
      </c>
      <c r="L467" s="17">
        <v>69409.083169999998</v>
      </c>
      <c r="M467" s="17">
        <v>2024</v>
      </c>
      <c r="N467" s="17" t="s">
        <v>126</v>
      </c>
    </row>
    <row r="468" spans="1:14" ht="14.25" customHeight="1">
      <c r="A468" s="17">
        <v>10467</v>
      </c>
      <c r="B468" s="18">
        <v>45360</v>
      </c>
      <c r="C468" s="17" t="s">
        <v>45</v>
      </c>
      <c r="D468" s="17" t="s">
        <v>83</v>
      </c>
      <c r="E468" s="17" t="s">
        <v>162</v>
      </c>
      <c r="F468" s="17" t="s">
        <v>166</v>
      </c>
      <c r="G468" s="17">
        <v>3</v>
      </c>
      <c r="H468" s="17">
        <v>32551</v>
      </c>
      <c r="I468" s="17">
        <v>97653</v>
      </c>
      <c r="J468" s="17">
        <v>100</v>
      </c>
      <c r="K468" s="17">
        <v>97553</v>
      </c>
      <c r="L468" s="17">
        <v>24367.620330000002</v>
      </c>
      <c r="M468" s="17">
        <v>2024</v>
      </c>
      <c r="N468" s="17" t="s">
        <v>112</v>
      </c>
    </row>
    <row r="469" spans="1:14" ht="14.25" customHeight="1">
      <c r="A469" s="17">
        <v>10468</v>
      </c>
      <c r="B469" s="18">
        <v>45338</v>
      </c>
      <c r="C469" s="17" t="s">
        <v>39</v>
      </c>
      <c r="D469" s="17" t="s">
        <v>170</v>
      </c>
      <c r="E469" s="17" t="s">
        <v>165</v>
      </c>
      <c r="F469" s="17" t="s">
        <v>166</v>
      </c>
      <c r="G469" s="17">
        <v>4</v>
      </c>
      <c r="H469" s="17">
        <v>77364</v>
      </c>
      <c r="I469" s="17">
        <v>309456</v>
      </c>
      <c r="J469" s="17">
        <v>2154</v>
      </c>
      <c r="K469" s="17">
        <v>307302</v>
      </c>
      <c r="L469" s="17">
        <v>65813.170100000003</v>
      </c>
      <c r="M469" s="17">
        <v>2024</v>
      </c>
      <c r="N469" s="17" t="s">
        <v>175</v>
      </c>
    </row>
    <row r="470" spans="1:14" ht="14.25" customHeight="1">
      <c r="A470" s="17">
        <v>10469</v>
      </c>
      <c r="B470" s="18">
        <v>45385</v>
      </c>
      <c r="C470" s="17" t="s">
        <v>39</v>
      </c>
      <c r="D470" s="17" t="s">
        <v>89</v>
      </c>
      <c r="E470" s="17" t="s">
        <v>168</v>
      </c>
      <c r="F470" s="17" t="s">
        <v>166</v>
      </c>
      <c r="G470" s="17">
        <v>5</v>
      </c>
      <c r="H470" s="17">
        <v>69311</v>
      </c>
      <c r="I470" s="17">
        <v>346555</v>
      </c>
      <c r="J470" s="17">
        <v>3048</v>
      </c>
      <c r="K470" s="17">
        <v>343507</v>
      </c>
      <c r="L470" s="17">
        <v>46806.249730000003</v>
      </c>
      <c r="M470" s="17">
        <v>2024</v>
      </c>
      <c r="N470" s="17" t="s">
        <v>114</v>
      </c>
    </row>
    <row r="471" spans="1:14" ht="14.25" customHeight="1">
      <c r="A471" s="17">
        <v>10470</v>
      </c>
      <c r="B471" s="18">
        <v>45744</v>
      </c>
      <c r="C471" s="17" t="s">
        <v>58</v>
      </c>
      <c r="D471" s="17" t="s">
        <v>89</v>
      </c>
      <c r="E471" s="17" t="s">
        <v>165</v>
      </c>
      <c r="F471" s="17" t="s">
        <v>163</v>
      </c>
      <c r="G471" s="17">
        <v>2</v>
      </c>
      <c r="H471" s="17">
        <v>66444</v>
      </c>
      <c r="I471" s="17">
        <v>132888</v>
      </c>
      <c r="J471" s="17">
        <v>4982</v>
      </c>
      <c r="K471" s="17">
        <v>127906</v>
      </c>
      <c r="L471" s="17">
        <v>25909.820459999999</v>
      </c>
      <c r="M471" s="17">
        <v>2025</v>
      </c>
      <c r="N471" s="17" t="s">
        <v>112</v>
      </c>
    </row>
    <row r="472" spans="1:14" ht="14.25" customHeight="1">
      <c r="A472" s="17">
        <v>10471</v>
      </c>
      <c r="B472" s="18">
        <v>45495</v>
      </c>
      <c r="C472" s="17" t="s">
        <v>50</v>
      </c>
      <c r="D472" s="17" t="s">
        <v>89</v>
      </c>
      <c r="E472" s="17" t="s">
        <v>168</v>
      </c>
      <c r="F472" s="17" t="s">
        <v>172</v>
      </c>
      <c r="G472" s="17">
        <v>2</v>
      </c>
      <c r="H472" s="17">
        <v>38124</v>
      </c>
      <c r="I472" s="17">
        <v>76248</v>
      </c>
      <c r="J472" s="17">
        <v>799</v>
      </c>
      <c r="K472" s="17">
        <v>75449</v>
      </c>
      <c r="L472" s="17">
        <v>10864.362080000001</v>
      </c>
      <c r="M472" s="17">
        <v>2024</v>
      </c>
      <c r="N472" s="17" t="s">
        <v>123</v>
      </c>
    </row>
    <row r="473" spans="1:14" ht="14.25" customHeight="1">
      <c r="A473" s="17">
        <v>10472</v>
      </c>
      <c r="B473" s="18">
        <v>45509</v>
      </c>
      <c r="C473" s="17" t="s">
        <v>45</v>
      </c>
      <c r="D473" s="17" t="s">
        <v>83</v>
      </c>
      <c r="E473" s="17" t="s">
        <v>168</v>
      </c>
      <c r="F473" s="17" t="s">
        <v>164</v>
      </c>
      <c r="G473" s="17">
        <v>6</v>
      </c>
      <c r="H473" s="17">
        <v>18654</v>
      </c>
      <c r="I473" s="17">
        <v>111924</v>
      </c>
      <c r="J473" s="17">
        <v>3822</v>
      </c>
      <c r="K473" s="17">
        <v>108102</v>
      </c>
      <c r="L473" s="17">
        <v>12260.752860000001</v>
      </c>
      <c r="M473" s="17">
        <v>2024</v>
      </c>
      <c r="N473" s="17" t="s">
        <v>126</v>
      </c>
    </row>
    <row r="474" spans="1:14" ht="14.25" customHeight="1">
      <c r="A474" s="17">
        <v>10473</v>
      </c>
      <c r="B474" s="18">
        <v>45765</v>
      </c>
      <c r="C474" s="17" t="s">
        <v>45</v>
      </c>
      <c r="D474" s="17" t="s">
        <v>83</v>
      </c>
      <c r="E474" s="17" t="s">
        <v>168</v>
      </c>
      <c r="F474" s="17" t="s">
        <v>163</v>
      </c>
      <c r="G474" s="17">
        <v>2</v>
      </c>
      <c r="H474" s="17">
        <v>5203</v>
      </c>
      <c r="I474" s="17">
        <v>10406</v>
      </c>
      <c r="J474" s="17">
        <v>1295</v>
      </c>
      <c r="K474" s="17">
        <v>9111</v>
      </c>
      <c r="L474" s="17">
        <v>1492.3498520000001</v>
      </c>
      <c r="M474" s="17">
        <v>2025</v>
      </c>
      <c r="N474" s="17" t="s">
        <v>114</v>
      </c>
    </row>
    <row r="475" spans="1:14" ht="14.25" customHeight="1">
      <c r="A475" s="17">
        <v>10474</v>
      </c>
      <c r="B475" s="18">
        <v>45723</v>
      </c>
      <c r="C475" s="17" t="s">
        <v>58</v>
      </c>
      <c r="D475" s="17" t="s">
        <v>83</v>
      </c>
      <c r="E475" s="17" t="s">
        <v>162</v>
      </c>
      <c r="F475" s="17" t="s">
        <v>166</v>
      </c>
      <c r="G475" s="17">
        <v>1</v>
      </c>
      <c r="H475" s="17">
        <v>25129</v>
      </c>
      <c r="I475" s="17">
        <v>25129</v>
      </c>
      <c r="J475" s="17">
        <v>434</v>
      </c>
      <c r="K475" s="17">
        <v>24695</v>
      </c>
      <c r="L475" s="17">
        <v>4742.8680960000002</v>
      </c>
      <c r="M475" s="17">
        <v>2025</v>
      </c>
      <c r="N475" s="17" t="s">
        <v>112</v>
      </c>
    </row>
    <row r="476" spans="1:14" ht="14.25" customHeight="1">
      <c r="A476" s="17">
        <v>10475</v>
      </c>
      <c r="B476" s="18">
        <v>45632</v>
      </c>
      <c r="C476" s="17" t="s">
        <v>58</v>
      </c>
      <c r="D476" s="17" t="s">
        <v>83</v>
      </c>
      <c r="E476" s="17" t="s">
        <v>162</v>
      </c>
      <c r="F476" s="17" t="s">
        <v>166</v>
      </c>
      <c r="G476" s="17">
        <v>8</v>
      </c>
      <c r="H476" s="17">
        <v>77150</v>
      </c>
      <c r="I476" s="17">
        <v>617200</v>
      </c>
      <c r="J476" s="17">
        <v>3804</v>
      </c>
      <c r="K476" s="17">
        <v>613396</v>
      </c>
      <c r="L476" s="17">
        <v>69599.970060000007</v>
      </c>
      <c r="M476" s="17">
        <v>2024</v>
      </c>
      <c r="N476" s="17" t="s">
        <v>169</v>
      </c>
    </row>
    <row r="477" spans="1:14" ht="14.25" customHeight="1">
      <c r="A477" s="17">
        <v>10476</v>
      </c>
      <c r="B477" s="18">
        <v>45842</v>
      </c>
      <c r="C477" s="17" t="s">
        <v>58</v>
      </c>
      <c r="D477" s="17" t="s">
        <v>111</v>
      </c>
      <c r="E477" s="17" t="s">
        <v>162</v>
      </c>
      <c r="F477" s="17" t="s">
        <v>172</v>
      </c>
      <c r="G477" s="17">
        <v>1</v>
      </c>
      <c r="H477" s="17">
        <v>38264</v>
      </c>
      <c r="I477" s="17">
        <v>38264</v>
      </c>
      <c r="J477" s="17">
        <v>2613</v>
      </c>
      <c r="K477" s="17">
        <v>35651</v>
      </c>
      <c r="L477" s="17">
        <v>6337.355442</v>
      </c>
      <c r="M477" s="17">
        <v>2025</v>
      </c>
      <c r="N477" s="17" t="s">
        <v>123</v>
      </c>
    </row>
    <row r="478" spans="1:14" ht="14.25" customHeight="1">
      <c r="A478" s="17">
        <v>10477</v>
      </c>
      <c r="B478" s="18">
        <v>45903</v>
      </c>
      <c r="C478" s="17" t="s">
        <v>167</v>
      </c>
      <c r="D478" s="17" t="s">
        <v>86</v>
      </c>
      <c r="E478" s="17" t="s">
        <v>165</v>
      </c>
      <c r="F478" s="17" t="s">
        <v>172</v>
      </c>
      <c r="G478" s="17">
        <v>6</v>
      </c>
      <c r="H478" s="17">
        <v>17989</v>
      </c>
      <c r="I478" s="17">
        <v>107934</v>
      </c>
      <c r="J478" s="17">
        <v>915</v>
      </c>
      <c r="K478" s="17">
        <v>107019</v>
      </c>
      <c r="L478" s="17">
        <v>18966.938289999998</v>
      </c>
      <c r="M478" s="17">
        <v>2025</v>
      </c>
      <c r="N478" s="17" t="s">
        <v>129</v>
      </c>
    </row>
    <row r="479" spans="1:14" ht="14.25" customHeight="1">
      <c r="A479" s="17">
        <v>10478</v>
      </c>
      <c r="B479" s="18">
        <v>45580</v>
      </c>
      <c r="C479" s="17" t="s">
        <v>167</v>
      </c>
      <c r="D479" s="17" t="s">
        <v>111</v>
      </c>
      <c r="E479" s="17" t="s">
        <v>168</v>
      </c>
      <c r="F479" s="17" t="s">
        <v>172</v>
      </c>
      <c r="G479" s="17">
        <v>1</v>
      </c>
      <c r="H479" s="17">
        <v>54214</v>
      </c>
      <c r="I479" s="17">
        <v>54214</v>
      </c>
      <c r="J479" s="17">
        <v>2275</v>
      </c>
      <c r="K479" s="17">
        <v>51939</v>
      </c>
      <c r="L479" s="17">
        <v>10091.58077</v>
      </c>
      <c r="M479" s="17">
        <v>2024</v>
      </c>
      <c r="N479" s="17" t="s">
        <v>174</v>
      </c>
    </row>
    <row r="480" spans="1:14" ht="14.25" customHeight="1">
      <c r="A480" s="17">
        <v>10479</v>
      </c>
      <c r="B480" s="18">
        <v>45545</v>
      </c>
      <c r="C480" s="17" t="s">
        <v>167</v>
      </c>
      <c r="D480" s="17" t="s">
        <v>89</v>
      </c>
      <c r="E480" s="17" t="s">
        <v>165</v>
      </c>
      <c r="F480" s="17" t="s">
        <v>164</v>
      </c>
      <c r="G480" s="17">
        <v>8</v>
      </c>
      <c r="H480" s="17">
        <v>72115</v>
      </c>
      <c r="I480" s="17">
        <v>576920</v>
      </c>
      <c r="J480" s="17">
        <v>4640</v>
      </c>
      <c r="K480" s="17">
        <v>572280</v>
      </c>
      <c r="L480" s="17">
        <v>78228.870899999994</v>
      </c>
      <c r="M480" s="17">
        <v>2024</v>
      </c>
      <c r="N480" s="17" t="s">
        <v>129</v>
      </c>
    </row>
    <row r="481" spans="1:14" ht="14.25" customHeight="1">
      <c r="A481" s="17">
        <v>10480</v>
      </c>
      <c r="B481" s="18">
        <v>45648</v>
      </c>
      <c r="C481" s="17" t="s">
        <v>39</v>
      </c>
      <c r="D481" s="17" t="s">
        <v>111</v>
      </c>
      <c r="E481" s="17" t="s">
        <v>165</v>
      </c>
      <c r="F481" s="17" t="s">
        <v>163</v>
      </c>
      <c r="G481" s="17">
        <v>5</v>
      </c>
      <c r="H481" s="17">
        <v>66678</v>
      </c>
      <c r="I481" s="17">
        <v>333390</v>
      </c>
      <c r="J481" s="17">
        <v>647</v>
      </c>
      <c r="K481" s="17">
        <v>332743</v>
      </c>
      <c r="L481" s="17">
        <v>34304.54636</v>
      </c>
      <c r="M481" s="17">
        <v>2024</v>
      </c>
      <c r="N481" s="17" t="s">
        <v>169</v>
      </c>
    </row>
    <row r="482" spans="1:14" ht="14.25" customHeight="1">
      <c r="A482" s="17">
        <v>10481</v>
      </c>
      <c r="B482" s="18">
        <v>45314</v>
      </c>
      <c r="C482" s="17" t="s">
        <v>45</v>
      </c>
      <c r="D482" s="17" t="s">
        <v>170</v>
      </c>
      <c r="E482" s="17" t="s">
        <v>168</v>
      </c>
      <c r="F482" s="17" t="s">
        <v>163</v>
      </c>
      <c r="G482" s="17">
        <v>3</v>
      </c>
      <c r="H482" s="17">
        <v>62883</v>
      </c>
      <c r="I482" s="17">
        <v>188649</v>
      </c>
      <c r="J482" s="17">
        <v>2295</v>
      </c>
      <c r="K482" s="17">
        <v>186354</v>
      </c>
      <c r="L482" s="17">
        <v>27716.174370000001</v>
      </c>
      <c r="M482" s="17">
        <v>2024</v>
      </c>
      <c r="N482" s="17" t="s">
        <v>171</v>
      </c>
    </row>
    <row r="483" spans="1:14" ht="14.25" customHeight="1">
      <c r="A483" s="17">
        <v>10482</v>
      </c>
      <c r="B483" s="18">
        <v>45813</v>
      </c>
      <c r="C483" s="17" t="s">
        <v>50</v>
      </c>
      <c r="D483" s="17" t="s">
        <v>83</v>
      </c>
      <c r="E483" s="17" t="s">
        <v>165</v>
      </c>
      <c r="F483" s="17" t="s">
        <v>172</v>
      </c>
      <c r="G483" s="17">
        <v>5</v>
      </c>
      <c r="H483" s="17">
        <v>58445</v>
      </c>
      <c r="I483" s="17">
        <v>292225</v>
      </c>
      <c r="J483" s="17">
        <v>4078</v>
      </c>
      <c r="K483" s="17">
        <v>288147</v>
      </c>
      <c r="L483" s="17">
        <v>46042.196230000001</v>
      </c>
      <c r="M483" s="17">
        <v>2025</v>
      </c>
      <c r="N483" s="17" t="s">
        <v>120</v>
      </c>
    </row>
    <row r="484" spans="1:14" ht="14.25" customHeight="1">
      <c r="A484" s="17">
        <v>10483</v>
      </c>
      <c r="B484" s="18">
        <v>45391</v>
      </c>
      <c r="C484" s="17" t="s">
        <v>39</v>
      </c>
      <c r="D484" s="17" t="s">
        <v>170</v>
      </c>
      <c r="E484" s="17" t="s">
        <v>168</v>
      </c>
      <c r="F484" s="17" t="s">
        <v>164</v>
      </c>
      <c r="G484" s="17">
        <v>1</v>
      </c>
      <c r="H484" s="17">
        <v>75412</v>
      </c>
      <c r="I484" s="17">
        <v>75412</v>
      </c>
      <c r="J484" s="17">
        <v>1431</v>
      </c>
      <c r="K484" s="17">
        <v>73981</v>
      </c>
      <c r="L484" s="17">
        <v>14453.01384</v>
      </c>
      <c r="M484" s="17">
        <v>2024</v>
      </c>
      <c r="N484" s="17" t="s">
        <v>114</v>
      </c>
    </row>
    <row r="485" spans="1:14" ht="14.25" customHeight="1">
      <c r="A485" s="17">
        <v>10484</v>
      </c>
      <c r="B485" s="18">
        <v>45471</v>
      </c>
      <c r="C485" s="17" t="s">
        <v>45</v>
      </c>
      <c r="D485" s="17" t="s">
        <v>170</v>
      </c>
      <c r="E485" s="17" t="s">
        <v>168</v>
      </c>
      <c r="F485" s="17" t="s">
        <v>163</v>
      </c>
      <c r="G485" s="17">
        <v>1</v>
      </c>
      <c r="H485" s="17">
        <v>74661</v>
      </c>
      <c r="I485" s="17">
        <v>74661</v>
      </c>
      <c r="J485" s="17">
        <v>2361</v>
      </c>
      <c r="K485" s="17">
        <v>72300</v>
      </c>
      <c r="L485" s="17">
        <v>17317.71385</v>
      </c>
      <c r="M485" s="17">
        <v>2024</v>
      </c>
      <c r="N485" s="17" t="s">
        <v>120</v>
      </c>
    </row>
    <row r="486" spans="1:14" ht="14.25" customHeight="1">
      <c r="A486" s="17">
        <v>10485</v>
      </c>
      <c r="B486" s="18">
        <v>45514</v>
      </c>
      <c r="C486" s="17" t="s">
        <v>45</v>
      </c>
      <c r="D486" s="17" t="s">
        <v>89</v>
      </c>
      <c r="E486" s="17" t="s">
        <v>168</v>
      </c>
      <c r="F486" s="17" t="s">
        <v>166</v>
      </c>
      <c r="G486" s="17">
        <v>4</v>
      </c>
      <c r="H486" s="17">
        <v>10328</v>
      </c>
      <c r="I486" s="17">
        <v>41312</v>
      </c>
      <c r="J486" s="17">
        <v>4132</v>
      </c>
      <c r="K486" s="17">
        <v>37180</v>
      </c>
      <c r="L486" s="17">
        <v>4852.2810609999997</v>
      </c>
      <c r="M486" s="17">
        <v>2024</v>
      </c>
      <c r="N486" s="17" t="s">
        <v>126</v>
      </c>
    </row>
    <row r="487" spans="1:14" ht="14.25" customHeight="1">
      <c r="A487" s="17">
        <v>10486</v>
      </c>
      <c r="B487" s="18">
        <v>45950</v>
      </c>
      <c r="C487" s="17" t="s">
        <v>58</v>
      </c>
      <c r="D487" s="17" t="s">
        <v>83</v>
      </c>
      <c r="E487" s="17" t="s">
        <v>168</v>
      </c>
      <c r="F487" s="17" t="s">
        <v>166</v>
      </c>
      <c r="G487" s="17">
        <v>9</v>
      </c>
      <c r="H487" s="17">
        <v>53968</v>
      </c>
      <c r="I487" s="17">
        <v>485712</v>
      </c>
      <c r="J487" s="17">
        <v>723</v>
      </c>
      <c r="K487" s="17">
        <v>484989</v>
      </c>
      <c r="L487" s="17">
        <v>98501.287389999998</v>
      </c>
      <c r="M487" s="17">
        <v>2025</v>
      </c>
      <c r="N487" s="17" t="s">
        <v>174</v>
      </c>
    </row>
    <row r="488" spans="1:14" ht="14.25" customHeight="1">
      <c r="A488" s="17">
        <v>10487</v>
      </c>
      <c r="B488" s="18">
        <v>45733</v>
      </c>
      <c r="C488" s="17" t="s">
        <v>58</v>
      </c>
      <c r="D488" s="17" t="s">
        <v>170</v>
      </c>
      <c r="E488" s="17" t="s">
        <v>165</v>
      </c>
      <c r="F488" s="17" t="s">
        <v>166</v>
      </c>
      <c r="G488" s="17">
        <v>9</v>
      </c>
      <c r="H488" s="17">
        <v>47040</v>
      </c>
      <c r="I488" s="17">
        <v>423360</v>
      </c>
      <c r="J488" s="17">
        <v>1547</v>
      </c>
      <c r="K488" s="17">
        <v>421813</v>
      </c>
      <c r="L488" s="17">
        <v>48344.045469999997</v>
      </c>
      <c r="M488" s="17">
        <v>2025</v>
      </c>
      <c r="N488" s="17" t="s">
        <v>112</v>
      </c>
    </row>
    <row r="489" spans="1:14" ht="14.25" customHeight="1">
      <c r="A489" s="17">
        <v>10488</v>
      </c>
      <c r="B489" s="18">
        <v>45899</v>
      </c>
      <c r="C489" s="17" t="s">
        <v>39</v>
      </c>
      <c r="D489" s="17" t="s">
        <v>89</v>
      </c>
      <c r="E489" s="17" t="s">
        <v>165</v>
      </c>
      <c r="F489" s="17" t="s">
        <v>163</v>
      </c>
      <c r="G489" s="17">
        <v>1</v>
      </c>
      <c r="H489" s="17">
        <v>64199</v>
      </c>
      <c r="I489" s="17">
        <v>64199</v>
      </c>
      <c r="J489" s="17">
        <v>979</v>
      </c>
      <c r="K489" s="17">
        <v>63220</v>
      </c>
      <c r="L489" s="17">
        <v>8129.6661080000003</v>
      </c>
      <c r="M489" s="17">
        <v>2025</v>
      </c>
      <c r="N489" s="17" t="s">
        <v>126</v>
      </c>
    </row>
    <row r="490" spans="1:14" ht="14.25" customHeight="1">
      <c r="A490" s="17">
        <v>10489</v>
      </c>
      <c r="B490" s="18">
        <v>45616</v>
      </c>
      <c r="C490" s="17" t="s">
        <v>58</v>
      </c>
      <c r="D490" s="17" t="s">
        <v>83</v>
      </c>
      <c r="E490" s="17" t="s">
        <v>165</v>
      </c>
      <c r="F490" s="17" t="s">
        <v>172</v>
      </c>
      <c r="G490" s="17">
        <v>3</v>
      </c>
      <c r="H490" s="17">
        <v>62039</v>
      </c>
      <c r="I490" s="17">
        <v>186117</v>
      </c>
      <c r="J490" s="17">
        <v>83</v>
      </c>
      <c r="K490" s="17">
        <v>186034</v>
      </c>
      <c r="L490" s="17">
        <v>32810.849459999998</v>
      </c>
      <c r="M490" s="17">
        <v>2024</v>
      </c>
      <c r="N490" s="17" t="s">
        <v>173</v>
      </c>
    </row>
    <row r="491" spans="1:14" ht="14.25" customHeight="1">
      <c r="A491" s="17">
        <v>10490</v>
      </c>
      <c r="B491" s="18">
        <v>45807</v>
      </c>
      <c r="C491" s="17" t="s">
        <v>45</v>
      </c>
      <c r="D491" s="17" t="s">
        <v>86</v>
      </c>
      <c r="E491" s="17" t="s">
        <v>162</v>
      </c>
      <c r="F491" s="17" t="s">
        <v>166</v>
      </c>
      <c r="G491" s="17">
        <v>4</v>
      </c>
      <c r="H491" s="17">
        <v>55750</v>
      </c>
      <c r="I491" s="17">
        <v>223000</v>
      </c>
      <c r="J491" s="17">
        <v>3486</v>
      </c>
      <c r="K491" s="17">
        <v>219514</v>
      </c>
      <c r="L491" s="17">
        <v>45276.219389999998</v>
      </c>
      <c r="M491" s="17">
        <v>2025</v>
      </c>
      <c r="N491" s="17" t="s">
        <v>117</v>
      </c>
    </row>
    <row r="492" spans="1:14" ht="14.25" customHeight="1">
      <c r="A492" s="17">
        <v>10491</v>
      </c>
      <c r="B492" s="18">
        <v>45307</v>
      </c>
      <c r="C492" s="17" t="s">
        <v>58</v>
      </c>
      <c r="D492" s="17" t="s">
        <v>89</v>
      </c>
      <c r="E492" s="17" t="s">
        <v>165</v>
      </c>
      <c r="F492" s="17" t="s">
        <v>172</v>
      </c>
      <c r="G492" s="17">
        <v>2</v>
      </c>
      <c r="H492" s="17">
        <v>21119</v>
      </c>
      <c r="I492" s="17">
        <v>42238</v>
      </c>
      <c r="J492" s="17">
        <v>1365</v>
      </c>
      <c r="K492" s="17">
        <v>40873</v>
      </c>
      <c r="L492" s="17">
        <v>9351.1407650000001</v>
      </c>
      <c r="M492" s="17">
        <v>2024</v>
      </c>
      <c r="N492" s="17" t="s">
        <v>171</v>
      </c>
    </row>
    <row r="493" spans="1:14" ht="14.25" customHeight="1">
      <c r="A493" s="17">
        <v>10492</v>
      </c>
      <c r="B493" s="18">
        <v>45627</v>
      </c>
      <c r="C493" s="17" t="s">
        <v>167</v>
      </c>
      <c r="D493" s="17" t="s">
        <v>111</v>
      </c>
      <c r="E493" s="17" t="s">
        <v>165</v>
      </c>
      <c r="F493" s="17" t="s">
        <v>164</v>
      </c>
      <c r="G493" s="17">
        <v>7</v>
      </c>
      <c r="H493" s="17">
        <v>29017</v>
      </c>
      <c r="I493" s="17">
        <v>203119</v>
      </c>
      <c r="J493" s="17">
        <v>4814</v>
      </c>
      <c r="K493" s="17">
        <v>198305</v>
      </c>
      <c r="L493" s="17">
        <v>41958.465510000002</v>
      </c>
      <c r="M493" s="17">
        <v>2024</v>
      </c>
      <c r="N493" s="17" t="s">
        <v>169</v>
      </c>
    </row>
    <row r="494" spans="1:14" ht="14.25" customHeight="1">
      <c r="A494" s="17">
        <v>10493</v>
      </c>
      <c r="B494" s="18">
        <v>45549</v>
      </c>
      <c r="C494" s="17" t="s">
        <v>58</v>
      </c>
      <c r="D494" s="17" t="s">
        <v>83</v>
      </c>
      <c r="E494" s="17" t="s">
        <v>162</v>
      </c>
      <c r="F494" s="17" t="s">
        <v>166</v>
      </c>
      <c r="G494" s="17">
        <v>3</v>
      </c>
      <c r="H494" s="17">
        <v>53780</v>
      </c>
      <c r="I494" s="17">
        <v>161340</v>
      </c>
      <c r="J494" s="17">
        <v>549</v>
      </c>
      <c r="K494" s="17">
        <v>160791</v>
      </c>
      <c r="L494" s="17">
        <v>16449.388490000001</v>
      </c>
      <c r="M494" s="17">
        <v>2024</v>
      </c>
      <c r="N494" s="17" t="s">
        <v>129</v>
      </c>
    </row>
    <row r="495" spans="1:14" ht="14.25" customHeight="1">
      <c r="A495" s="17">
        <v>10494</v>
      </c>
      <c r="B495" s="18">
        <v>45788</v>
      </c>
      <c r="C495" s="17" t="s">
        <v>45</v>
      </c>
      <c r="D495" s="17" t="s">
        <v>170</v>
      </c>
      <c r="E495" s="17" t="s">
        <v>168</v>
      </c>
      <c r="F495" s="17" t="s">
        <v>164</v>
      </c>
      <c r="G495" s="17">
        <v>1</v>
      </c>
      <c r="H495" s="17">
        <v>31204</v>
      </c>
      <c r="I495" s="17">
        <v>31204</v>
      </c>
      <c r="J495" s="17">
        <v>3492</v>
      </c>
      <c r="K495" s="17">
        <v>27712</v>
      </c>
      <c r="L495" s="17">
        <v>5614.1657359999999</v>
      </c>
      <c r="M495" s="17">
        <v>2025</v>
      </c>
      <c r="N495" s="17" t="s">
        <v>117</v>
      </c>
    </row>
    <row r="496" spans="1:14" ht="14.25" customHeight="1">
      <c r="A496" s="17">
        <v>10495</v>
      </c>
      <c r="B496" s="18">
        <v>45451</v>
      </c>
      <c r="C496" s="17" t="s">
        <v>39</v>
      </c>
      <c r="D496" s="17" t="s">
        <v>170</v>
      </c>
      <c r="E496" s="17" t="s">
        <v>168</v>
      </c>
      <c r="F496" s="17" t="s">
        <v>172</v>
      </c>
      <c r="G496" s="17">
        <v>1</v>
      </c>
      <c r="H496" s="17">
        <v>24562</v>
      </c>
      <c r="I496" s="17">
        <v>24562</v>
      </c>
      <c r="J496" s="17">
        <v>2762</v>
      </c>
      <c r="K496" s="17">
        <v>21800</v>
      </c>
      <c r="L496" s="17">
        <v>4876.6306910000003</v>
      </c>
      <c r="M496" s="17">
        <v>2024</v>
      </c>
      <c r="N496" s="17" t="s">
        <v>120</v>
      </c>
    </row>
    <row r="497" spans="1:14" ht="14.25" customHeight="1">
      <c r="A497" s="17">
        <v>10496</v>
      </c>
      <c r="B497" s="18">
        <v>45766</v>
      </c>
      <c r="C497" s="17" t="s">
        <v>50</v>
      </c>
      <c r="D497" s="17" t="s">
        <v>111</v>
      </c>
      <c r="E497" s="17" t="s">
        <v>168</v>
      </c>
      <c r="F497" s="17" t="s">
        <v>163</v>
      </c>
      <c r="G497" s="17">
        <v>3</v>
      </c>
      <c r="H497" s="17">
        <v>29428</v>
      </c>
      <c r="I497" s="17">
        <v>88284</v>
      </c>
      <c r="J497" s="17">
        <v>3853</v>
      </c>
      <c r="K497" s="17">
        <v>84431</v>
      </c>
      <c r="L497" s="17">
        <v>15098.797549999999</v>
      </c>
      <c r="M497" s="17">
        <v>2025</v>
      </c>
      <c r="N497" s="17" t="s">
        <v>114</v>
      </c>
    </row>
    <row r="498" spans="1:14" ht="14.25" customHeight="1">
      <c r="A498" s="17">
        <v>10497</v>
      </c>
      <c r="B498" s="18">
        <v>45955</v>
      </c>
      <c r="C498" s="17" t="s">
        <v>58</v>
      </c>
      <c r="D498" s="17" t="s">
        <v>111</v>
      </c>
      <c r="E498" s="17" t="s">
        <v>162</v>
      </c>
      <c r="F498" s="17" t="s">
        <v>172</v>
      </c>
      <c r="G498" s="17">
        <v>6</v>
      </c>
      <c r="H498" s="17">
        <v>26497</v>
      </c>
      <c r="I498" s="17">
        <v>158982</v>
      </c>
      <c r="J498" s="17">
        <v>4682</v>
      </c>
      <c r="K498" s="17">
        <v>154300</v>
      </c>
      <c r="L498" s="17">
        <v>37778.7817</v>
      </c>
      <c r="M498" s="17">
        <v>2025</v>
      </c>
      <c r="N498" s="17" t="s">
        <v>174</v>
      </c>
    </row>
    <row r="499" spans="1:14" ht="14.25" customHeight="1">
      <c r="A499" s="17">
        <v>10498</v>
      </c>
      <c r="B499" s="18">
        <v>45981</v>
      </c>
      <c r="C499" s="17" t="s">
        <v>45</v>
      </c>
      <c r="D499" s="17" t="s">
        <v>170</v>
      </c>
      <c r="E499" s="17" t="s">
        <v>165</v>
      </c>
      <c r="F499" s="17" t="s">
        <v>166</v>
      </c>
      <c r="G499" s="17">
        <v>4</v>
      </c>
      <c r="H499" s="17">
        <v>8372</v>
      </c>
      <c r="I499" s="17">
        <v>33488</v>
      </c>
      <c r="J499" s="17">
        <v>3199</v>
      </c>
      <c r="K499" s="17">
        <v>30289</v>
      </c>
      <c r="L499" s="17">
        <v>3048.4928450000002</v>
      </c>
      <c r="M499" s="17">
        <v>2025</v>
      </c>
      <c r="N499" s="17" t="s">
        <v>173</v>
      </c>
    </row>
    <row r="500" spans="1:14" ht="14.25" customHeight="1">
      <c r="A500" s="17">
        <v>10499</v>
      </c>
      <c r="B500" s="18">
        <v>45966</v>
      </c>
      <c r="C500" s="17" t="s">
        <v>50</v>
      </c>
      <c r="D500" s="17" t="s">
        <v>83</v>
      </c>
      <c r="E500" s="17" t="s">
        <v>165</v>
      </c>
      <c r="F500" s="17" t="s">
        <v>166</v>
      </c>
      <c r="G500" s="17">
        <v>1</v>
      </c>
      <c r="H500" s="17">
        <v>22453</v>
      </c>
      <c r="I500" s="17">
        <v>22453</v>
      </c>
      <c r="J500" s="17">
        <v>151</v>
      </c>
      <c r="K500" s="17">
        <v>22302</v>
      </c>
      <c r="L500" s="17">
        <v>4968.8564420000002</v>
      </c>
      <c r="M500" s="17">
        <v>2025</v>
      </c>
      <c r="N500" s="17" t="s">
        <v>173</v>
      </c>
    </row>
    <row r="501" spans="1:14" ht="14.25" customHeight="1">
      <c r="A501" s="17">
        <v>10500</v>
      </c>
      <c r="B501" s="18">
        <v>45671</v>
      </c>
      <c r="C501" s="17" t="s">
        <v>50</v>
      </c>
      <c r="D501" s="17" t="s">
        <v>89</v>
      </c>
      <c r="E501" s="17" t="s">
        <v>165</v>
      </c>
      <c r="F501" s="17" t="s">
        <v>172</v>
      </c>
      <c r="G501" s="17">
        <v>7</v>
      </c>
      <c r="H501" s="17">
        <v>56928</v>
      </c>
      <c r="I501" s="17">
        <v>398496</v>
      </c>
      <c r="J501" s="17">
        <v>3498</v>
      </c>
      <c r="K501" s="17">
        <v>394998</v>
      </c>
      <c r="L501" s="17">
        <v>59337.768669999998</v>
      </c>
      <c r="M501" s="17">
        <v>2025</v>
      </c>
      <c r="N501" s="17" t="s">
        <v>171</v>
      </c>
    </row>
    <row r="502" spans="1:14" ht="14.25" customHeight="1">
      <c r="A502" s="17">
        <v>10501</v>
      </c>
      <c r="B502" s="18">
        <v>45836</v>
      </c>
      <c r="C502" s="17" t="s">
        <v>167</v>
      </c>
      <c r="D502" s="17" t="s">
        <v>111</v>
      </c>
      <c r="E502" s="17" t="s">
        <v>165</v>
      </c>
      <c r="F502" s="17" t="s">
        <v>166</v>
      </c>
      <c r="G502" s="17">
        <v>2</v>
      </c>
      <c r="H502" s="17">
        <v>38960</v>
      </c>
      <c r="I502" s="17">
        <v>77920</v>
      </c>
      <c r="J502" s="17">
        <v>2212</v>
      </c>
      <c r="K502" s="17">
        <v>75708</v>
      </c>
      <c r="L502" s="17">
        <v>14957.437809999999</v>
      </c>
      <c r="M502" s="17">
        <v>2025</v>
      </c>
      <c r="N502" s="17" t="s">
        <v>120</v>
      </c>
    </row>
    <row r="503" spans="1:14" ht="14.25" customHeight="1">
      <c r="A503" s="17">
        <v>10502</v>
      </c>
      <c r="B503" s="18">
        <v>45982</v>
      </c>
      <c r="C503" s="17" t="s">
        <v>50</v>
      </c>
      <c r="D503" s="17" t="s">
        <v>111</v>
      </c>
      <c r="E503" s="17" t="s">
        <v>162</v>
      </c>
      <c r="F503" s="17" t="s">
        <v>166</v>
      </c>
      <c r="G503" s="17">
        <v>5</v>
      </c>
      <c r="H503" s="17">
        <v>22197</v>
      </c>
      <c r="I503" s="17">
        <v>110985</v>
      </c>
      <c r="J503" s="17">
        <v>2985</v>
      </c>
      <c r="K503" s="17">
        <v>108000</v>
      </c>
      <c r="L503" s="17">
        <v>22034.40669</v>
      </c>
      <c r="M503" s="17">
        <v>2025</v>
      </c>
      <c r="N503" s="17" t="s">
        <v>173</v>
      </c>
    </row>
    <row r="504" spans="1:14" ht="14.25" customHeight="1">
      <c r="A504" s="17">
        <v>10503</v>
      </c>
      <c r="B504" s="18">
        <v>45718</v>
      </c>
      <c r="C504" s="17" t="s">
        <v>45</v>
      </c>
      <c r="D504" s="17" t="s">
        <v>111</v>
      </c>
      <c r="E504" s="17" t="s">
        <v>165</v>
      </c>
      <c r="F504" s="17" t="s">
        <v>164</v>
      </c>
      <c r="G504" s="17">
        <v>8</v>
      </c>
      <c r="H504" s="17">
        <v>59984</v>
      </c>
      <c r="I504" s="17">
        <v>479872</v>
      </c>
      <c r="J504" s="17">
        <v>4094</v>
      </c>
      <c r="K504" s="17">
        <v>475778</v>
      </c>
      <c r="L504" s="17">
        <v>69433.78168</v>
      </c>
      <c r="M504" s="17">
        <v>2025</v>
      </c>
      <c r="N504" s="17" t="s">
        <v>112</v>
      </c>
    </row>
    <row r="505" spans="1:14" ht="14.25" customHeight="1">
      <c r="A505" s="17">
        <v>10504</v>
      </c>
      <c r="B505" s="18">
        <v>45904</v>
      </c>
      <c r="C505" s="17" t="s">
        <v>45</v>
      </c>
      <c r="D505" s="17" t="s">
        <v>86</v>
      </c>
      <c r="E505" s="17" t="s">
        <v>168</v>
      </c>
      <c r="F505" s="17" t="s">
        <v>163</v>
      </c>
      <c r="G505" s="17">
        <v>7</v>
      </c>
      <c r="H505" s="17">
        <v>6883</v>
      </c>
      <c r="I505" s="17">
        <v>48181</v>
      </c>
      <c r="J505" s="17">
        <v>1567</v>
      </c>
      <c r="K505" s="17">
        <v>46614</v>
      </c>
      <c r="L505" s="17">
        <v>11621.50765</v>
      </c>
      <c r="M505" s="17">
        <v>2025</v>
      </c>
      <c r="N505" s="17" t="s">
        <v>129</v>
      </c>
    </row>
    <row r="506" spans="1:14" ht="14.25" customHeight="1">
      <c r="A506" s="17">
        <v>10505</v>
      </c>
      <c r="B506" s="18">
        <v>45559</v>
      </c>
      <c r="C506" s="17" t="s">
        <v>58</v>
      </c>
      <c r="D506" s="17" t="s">
        <v>83</v>
      </c>
      <c r="E506" s="17" t="s">
        <v>162</v>
      </c>
      <c r="F506" s="17" t="s">
        <v>172</v>
      </c>
      <c r="G506" s="17">
        <v>8</v>
      </c>
      <c r="H506" s="17">
        <v>21651</v>
      </c>
      <c r="I506" s="17">
        <v>173208</v>
      </c>
      <c r="J506" s="17">
        <v>211</v>
      </c>
      <c r="K506" s="17">
        <v>172997</v>
      </c>
      <c r="L506" s="17">
        <v>19978.991770000001</v>
      </c>
      <c r="M506" s="17">
        <v>2024</v>
      </c>
      <c r="N506" s="17" t="s">
        <v>129</v>
      </c>
    </row>
    <row r="507" spans="1:14" ht="14.25" customHeight="1">
      <c r="A507" s="17">
        <v>10506</v>
      </c>
      <c r="B507" s="18">
        <v>45868</v>
      </c>
      <c r="C507" s="17" t="s">
        <v>58</v>
      </c>
      <c r="D507" s="17" t="s">
        <v>83</v>
      </c>
      <c r="E507" s="17" t="s">
        <v>162</v>
      </c>
      <c r="F507" s="17" t="s">
        <v>164</v>
      </c>
      <c r="G507" s="17">
        <v>6</v>
      </c>
      <c r="H507" s="17">
        <v>7812</v>
      </c>
      <c r="I507" s="17">
        <v>46872</v>
      </c>
      <c r="J507" s="17">
        <v>4837</v>
      </c>
      <c r="K507" s="17">
        <v>42035</v>
      </c>
      <c r="L507" s="17">
        <v>5193.6076389999998</v>
      </c>
      <c r="M507" s="17">
        <v>2025</v>
      </c>
      <c r="N507" s="17" t="s">
        <v>123</v>
      </c>
    </row>
    <row r="508" spans="1:14" ht="14.25" customHeight="1">
      <c r="A508" s="17">
        <v>10507</v>
      </c>
      <c r="B508" s="18">
        <v>45708</v>
      </c>
      <c r="C508" s="17" t="s">
        <v>58</v>
      </c>
      <c r="D508" s="17" t="s">
        <v>83</v>
      </c>
      <c r="E508" s="17" t="s">
        <v>168</v>
      </c>
      <c r="F508" s="17" t="s">
        <v>166</v>
      </c>
      <c r="G508" s="17">
        <v>7</v>
      </c>
      <c r="H508" s="17">
        <v>11562</v>
      </c>
      <c r="I508" s="17">
        <v>80934</v>
      </c>
      <c r="J508" s="17">
        <v>2179</v>
      </c>
      <c r="K508" s="17">
        <v>78755</v>
      </c>
      <c r="L508" s="17">
        <v>18415.183659999999</v>
      </c>
      <c r="M508" s="17">
        <v>2025</v>
      </c>
      <c r="N508" s="17" t="s">
        <v>175</v>
      </c>
    </row>
    <row r="509" spans="1:14" ht="14.25" customHeight="1">
      <c r="A509" s="17">
        <v>10508</v>
      </c>
      <c r="B509" s="18">
        <v>45459</v>
      </c>
      <c r="C509" s="17" t="s">
        <v>50</v>
      </c>
      <c r="D509" s="17" t="s">
        <v>83</v>
      </c>
      <c r="E509" s="17" t="s">
        <v>168</v>
      </c>
      <c r="F509" s="17" t="s">
        <v>164</v>
      </c>
      <c r="G509" s="17">
        <v>9</v>
      </c>
      <c r="H509" s="17">
        <v>77549</v>
      </c>
      <c r="I509" s="17">
        <v>697941</v>
      </c>
      <c r="J509" s="17">
        <v>3223</v>
      </c>
      <c r="K509" s="17">
        <v>694718</v>
      </c>
      <c r="L509" s="17">
        <v>81891.260810000007</v>
      </c>
      <c r="M509" s="17">
        <v>2024</v>
      </c>
      <c r="N509" s="17" t="s">
        <v>120</v>
      </c>
    </row>
    <row r="510" spans="1:14" ht="14.25" customHeight="1">
      <c r="A510" s="17">
        <v>10509</v>
      </c>
      <c r="B510" s="18">
        <v>45334</v>
      </c>
      <c r="C510" s="17" t="s">
        <v>50</v>
      </c>
      <c r="D510" s="17" t="s">
        <v>83</v>
      </c>
      <c r="E510" s="17" t="s">
        <v>165</v>
      </c>
      <c r="F510" s="17" t="s">
        <v>163</v>
      </c>
      <c r="G510" s="17">
        <v>6</v>
      </c>
      <c r="H510" s="17">
        <v>75713</v>
      </c>
      <c r="I510" s="17">
        <v>454278</v>
      </c>
      <c r="J510" s="17">
        <v>4191</v>
      </c>
      <c r="K510" s="17">
        <v>450087</v>
      </c>
      <c r="L510" s="17">
        <v>70750.498659999997</v>
      </c>
      <c r="M510" s="17">
        <v>2024</v>
      </c>
      <c r="N510" s="17" t="s">
        <v>175</v>
      </c>
    </row>
    <row r="511" spans="1:14" ht="14.25" customHeight="1">
      <c r="A511" s="17">
        <v>10510</v>
      </c>
      <c r="B511" s="18">
        <v>45847</v>
      </c>
      <c r="C511" s="17" t="s">
        <v>167</v>
      </c>
      <c r="D511" s="17" t="s">
        <v>170</v>
      </c>
      <c r="E511" s="17" t="s">
        <v>168</v>
      </c>
      <c r="F511" s="17" t="s">
        <v>172</v>
      </c>
      <c r="G511" s="17">
        <v>9</v>
      </c>
      <c r="H511" s="17">
        <v>25469</v>
      </c>
      <c r="I511" s="17">
        <v>229221</v>
      </c>
      <c r="J511" s="17">
        <v>1526</v>
      </c>
      <c r="K511" s="17">
        <v>227695</v>
      </c>
      <c r="L511" s="17">
        <v>47809.42239</v>
      </c>
      <c r="M511" s="17">
        <v>2025</v>
      </c>
      <c r="N511" s="17" t="s">
        <v>123</v>
      </c>
    </row>
    <row r="512" spans="1:14" ht="14.25" customHeight="1">
      <c r="A512" s="17">
        <v>10511</v>
      </c>
      <c r="B512" s="18">
        <v>45576</v>
      </c>
      <c r="C512" s="17" t="s">
        <v>58</v>
      </c>
      <c r="D512" s="17" t="s">
        <v>111</v>
      </c>
      <c r="E512" s="17" t="s">
        <v>162</v>
      </c>
      <c r="F512" s="17" t="s">
        <v>163</v>
      </c>
      <c r="G512" s="17">
        <v>2</v>
      </c>
      <c r="H512" s="17">
        <v>54535</v>
      </c>
      <c r="I512" s="17">
        <v>109070</v>
      </c>
      <c r="J512" s="17">
        <v>521</v>
      </c>
      <c r="K512" s="17">
        <v>108549</v>
      </c>
      <c r="L512" s="17">
        <v>23742.247500000001</v>
      </c>
      <c r="M512" s="17">
        <v>2024</v>
      </c>
      <c r="N512" s="17" t="s">
        <v>174</v>
      </c>
    </row>
    <row r="513" spans="1:14" ht="14.25" customHeight="1">
      <c r="A513" s="17">
        <v>10512</v>
      </c>
      <c r="B513" s="18">
        <v>45688</v>
      </c>
      <c r="C513" s="17" t="s">
        <v>39</v>
      </c>
      <c r="D513" s="17" t="s">
        <v>170</v>
      </c>
      <c r="E513" s="17" t="s">
        <v>162</v>
      </c>
      <c r="F513" s="17" t="s">
        <v>163</v>
      </c>
      <c r="G513" s="17">
        <v>2</v>
      </c>
      <c r="H513" s="17">
        <v>66300</v>
      </c>
      <c r="I513" s="17">
        <v>132600</v>
      </c>
      <c r="J513" s="17">
        <v>3946</v>
      </c>
      <c r="K513" s="17">
        <v>128654</v>
      </c>
      <c r="L513" s="17">
        <v>31288.701239999999</v>
      </c>
      <c r="M513" s="17">
        <v>2025</v>
      </c>
      <c r="N513" s="17" t="s">
        <v>171</v>
      </c>
    </row>
    <row r="514" spans="1:14" ht="14.25" customHeight="1">
      <c r="A514" s="17">
        <v>10513</v>
      </c>
      <c r="B514" s="18">
        <v>45303</v>
      </c>
      <c r="C514" s="17" t="s">
        <v>167</v>
      </c>
      <c r="D514" s="17" t="s">
        <v>86</v>
      </c>
      <c r="E514" s="17" t="s">
        <v>162</v>
      </c>
      <c r="F514" s="17" t="s">
        <v>164</v>
      </c>
      <c r="G514" s="17">
        <v>2</v>
      </c>
      <c r="H514" s="17">
        <v>23217</v>
      </c>
      <c r="I514" s="17">
        <v>46434</v>
      </c>
      <c r="J514" s="17">
        <v>1702</v>
      </c>
      <c r="K514" s="17">
        <v>44732</v>
      </c>
      <c r="L514" s="17">
        <v>9771.0825160000004</v>
      </c>
      <c r="M514" s="17">
        <v>2024</v>
      </c>
      <c r="N514" s="17" t="s">
        <v>171</v>
      </c>
    </row>
    <row r="515" spans="1:14" ht="14.25" customHeight="1">
      <c r="A515" s="17">
        <v>10514</v>
      </c>
      <c r="B515" s="18">
        <v>45898</v>
      </c>
      <c r="C515" s="17" t="s">
        <v>39</v>
      </c>
      <c r="D515" s="17" t="s">
        <v>89</v>
      </c>
      <c r="E515" s="17" t="s">
        <v>165</v>
      </c>
      <c r="F515" s="17" t="s">
        <v>164</v>
      </c>
      <c r="G515" s="17">
        <v>6</v>
      </c>
      <c r="H515" s="17">
        <v>13989</v>
      </c>
      <c r="I515" s="17">
        <v>83934</v>
      </c>
      <c r="J515" s="17">
        <v>17</v>
      </c>
      <c r="K515" s="17">
        <v>83917</v>
      </c>
      <c r="L515" s="17">
        <v>19022.293610000001</v>
      </c>
      <c r="M515" s="17">
        <v>2025</v>
      </c>
      <c r="N515" s="17" t="s">
        <v>126</v>
      </c>
    </row>
    <row r="516" spans="1:14" ht="14.25" customHeight="1">
      <c r="A516" s="17">
        <v>10515</v>
      </c>
      <c r="B516" s="18">
        <v>45593</v>
      </c>
      <c r="C516" s="17" t="s">
        <v>50</v>
      </c>
      <c r="D516" s="17" t="s">
        <v>111</v>
      </c>
      <c r="E516" s="17" t="s">
        <v>165</v>
      </c>
      <c r="F516" s="17" t="s">
        <v>163</v>
      </c>
      <c r="G516" s="17">
        <v>2</v>
      </c>
      <c r="H516" s="17">
        <v>42235</v>
      </c>
      <c r="I516" s="17">
        <v>84470</v>
      </c>
      <c r="J516" s="17">
        <v>3480</v>
      </c>
      <c r="K516" s="17">
        <v>80990</v>
      </c>
      <c r="L516" s="17">
        <v>19632.494409999999</v>
      </c>
      <c r="M516" s="17">
        <v>2024</v>
      </c>
      <c r="N516" s="17" t="s">
        <v>174</v>
      </c>
    </row>
    <row r="517" spans="1:14" ht="14.25" customHeight="1">
      <c r="A517" s="17">
        <v>10516</v>
      </c>
      <c r="B517" s="18">
        <v>45544</v>
      </c>
      <c r="C517" s="17" t="s">
        <v>167</v>
      </c>
      <c r="D517" s="17" t="s">
        <v>86</v>
      </c>
      <c r="E517" s="17" t="s">
        <v>168</v>
      </c>
      <c r="F517" s="17" t="s">
        <v>166</v>
      </c>
      <c r="G517" s="17">
        <v>3</v>
      </c>
      <c r="H517" s="17">
        <v>75691</v>
      </c>
      <c r="I517" s="17">
        <v>227073</v>
      </c>
      <c r="J517" s="17">
        <v>1719</v>
      </c>
      <c r="K517" s="17">
        <v>225354</v>
      </c>
      <c r="L517" s="17">
        <v>41251.760430000002</v>
      </c>
      <c r="M517" s="17">
        <v>2024</v>
      </c>
      <c r="N517" s="17" t="s">
        <v>129</v>
      </c>
    </row>
    <row r="518" spans="1:14" ht="14.25" customHeight="1">
      <c r="A518" s="17">
        <v>10517</v>
      </c>
      <c r="B518" s="18">
        <v>45790</v>
      </c>
      <c r="C518" s="17" t="s">
        <v>167</v>
      </c>
      <c r="D518" s="17" t="s">
        <v>170</v>
      </c>
      <c r="E518" s="17" t="s">
        <v>165</v>
      </c>
      <c r="F518" s="17" t="s">
        <v>172</v>
      </c>
      <c r="G518" s="17">
        <v>8</v>
      </c>
      <c r="H518" s="17">
        <v>61850</v>
      </c>
      <c r="I518" s="17">
        <v>494800</v>
      </c>
      <c r="J518" s="17">
        <v>3316</v>
      </c>
      <c r="K518" s="17">
        <v>491484</v>
      </c>
      <c r="L518" s="17">
        <v>74467.207609999998</v>
      </c>
      <c r="M518" s="17">
        <v>2025</v>
      </c>
      <c r="N518" s="17" t="s">
        <v>117</v>
      </c>
    </row>
    <row r="519" spans="1:14" ht="14.25" customHeight="1">
      <c r="A519" s="17">
        <v>10518</v>
      </c>
      <c r="B519" s="18">
        <v>45326</v>
      </c>
      <c r="C519" s="17" t="s">
        <v>45</v>
      </c>
      <c r="D519" s="17" t="s">
        <v>89</v>
      </c>
      <c r="E519" s="17" t="s">
        <v>165</v>
      </c>
      <c r="F519" s="17" t="s">
        <v>166</v>
      </c>
      <c r="G519" s="17">
        <v>8</v>
      </c>
      <c r="H519" s="17">
        <v>55442</v>
      </c>
      <c r="I519" s="17">
        <v>443536</v>
      </c>
      <c r="J519" s="17">
        <v>4014</v>
      </c>
      <c r="K519" s="17">
        <v>439522</v>
      </c>
      <c r="L519" s="17">
        <v>94164.059890000004</v>
      </c>
      <c r="M519" s="17">
        <v>2024</v>
      </c>
      <c r="N519" s="17" t="s">
        <v>175</v>
      </c>
    </row>
    <row r="520" spans="1:14" ht="14.25" customHeight="1">
      <c r="A520" s="17">
        <v>10519</v>
      </c>
      <c r="B520" s="18">
        <v>46018</v>
      </c>
      <c r="C520" s="17" t="s">
        <v>50</v>
      </c>
      <c r="D520" s="17" t="s">
        <v>86</v>
      </c>
      <c r="E520" s="17" t="s">
        <v>162</v>
      </c>
      <c r="F520" s="17" t="s">
        <v>166</v>
      </c>
      <c r="G520" s="17">
        <v>4</v>
      </c>
      <c r="H520" s="17">
        <v>78497</v>
      </c>
      <c r="I520" s="17">
        <v>313988</v>
      </c>
      <c r="J520" s="17">
        <v>878</v>
      </c>
      <c r="K520" s="17">
        <v>313110</v>
      </c>
      <c r="L520" s="17">
        <v>38991.975919999997</v>
      </c>
      <c r="M520" s="17">
        <v>2025</v>
      </c>
      <c r="N520" s="17" t="s">
        <v>169</v>
      </c>
    </row>
    <row r="521" spans="1:14" ht="14.25" customHeight="1">
      <c r="A521" s="17">
        <v>10520</v>
      </c>
      <c r="B521" s="18">
        <v>45381</v>
      </c>
      <c r="C521" s="17" t="s">
        <v>50</v>
      </c>
      <c r="D521" s="17" t="s">
        <v>89</v>
      </c>
      <c r="E521" s="17" t="s">
        <v>162</v>
      </c>
      <c r="F521" s="17" t="s">
        <v>172</v>
      </c>
      <c r="G521" s="17">
        <v>9</v>
      </c>
      <c r="H521" s="17">
        <v>28983</v>
      </c>
      <c r="I521" s="17">
        <v>260847</v>
      </c>
      <c r="J521" s="17">
        <v>593</v>
      </c>
      <c r="K521" s="17">
        <v>260254</v>
      </c>
      <c r="L521" s="17">
        <v>28689.034759999999</v>
      </c>
      <c r="M521" s="17">
        <v>2024</v>
      </c>
      <c r="N521" s="17" t="s">
        <v>112</v>
      </c>
    </row>
    <row r="522" spans="1:14" ht="14.25" customHeight="1">
      <c r="A522" s="17">
        <v>10521</v>
      </c>
      <c r="B522" s="18">
        <v>45896</v>
      </c>
      <c r="C522" s="17" t="s">
        <v>167</v>
      </c>
      <c r="D522" s="17" t="s">
        <v>86</v>
      </c>
      <c r="E522" s="17" t="s">
        <v>168</v>
      </c>
      <c r="F522" s="17" t="s">
        <v>164</v>
      </c>
      <c r="G522" s="17">
        <v>8</v>
      </c>
      <c r="H522" s="17">
        <v>12186</v>
      </c>
      <c r="I522" s="17">
        <v>97488</v>
      </c>
      <c r="J522" s="17">
        <v>4738</v>
      </c>
      <c r="K522" s="17">
        <v>92750</v>
      </c>
      <c r="L522" s="17">
        <v>20200.915659999999</v>
      </c>
      <c r="M522" s="17">
        <v>2025</v>
      </c>
      <c r="N522" s="17" t="s">
        <v>126</v>
      </c>
    </row>
    <row r="523" spans="1:14" ht="14.25" customHeight="1">
      <c r="A523" s="17">
        <v>10522</v>
      </c>
      <c r="B523" s="18">
        <v>45893</v>
      </c>
      <c r="C523" s="17" t="s">
        <v>50</v>
      </c>
      <c r="D523" s="17" t="s">
        <v>170</v>
      </c>
      <c r="E523" s="17" t="s">
        <v>162</v>
      </c>
      <c r="F523" s="17" t="s">
        <v>166</v>
      </c>
      <c r="G523" s="17">
        <v>1</v>
      </c>
      <c r="H523" s="17">
        <v>12506</v>
      </c>
      <c r="I523" s="17">
        <v>12506</v>
      </c>
      <c r="J523" s="17">
        <v>4896</v>
      </c>
      <c r="K523" s="17">
        <v>7610</v>
      </c>
      <c r="L523" s="17">
        <v>1846.1913549999999</v>
      </c>
      <c r="M523" s="17">
        <v>2025</v>
      </c>
      <c r="N523" s="17" t="s">
        <v>126</v>
      </c>
    </row>
    <row r="524" spans="1:14" ht="14.25" customHeight="1">
      <c r="A524" s="17">
        <v>10523</v>
      </c>
      <c r="B524" s="18">
        <v>45709</v>
      </c>
      <c r="C524" s="17" t="s">
        <v>167</v>
      </c>
      <c r="D524" s="17" t="s">
        <v>89</v>
      </c>
      <c r="E524" s="17" t="s">
        <v>165</v>
      </c>
      <c r="F524" s="17" t="s">
        <v>164</v>
      </c>
      <c r="G524" s="17">
        <v>8</v>
      </c>
      <c r="H524" s="17">
        <v>46026</v>
      </c>
      <c r="I524" s="17">
        <v>368208</v>
      </c>
      <c r="J524" s="17">
        <v>4550</v>
      </c>
      <c r="K524" s="17">
        <v>363658</v>
      </c>
      <c r="L524" s="17">
        <v>60500.705670000003</v>
      </c>
      <c r="M524" s="17">
        <v>2025</v>
      </c>
      <c r="N524" s="17" t="s">
        <v>175</v>
      </c>
    </row>
    <row r="525" spans="1:14" ht="14.25" customHeight="1">
      <c r="A525" s="17">
        <v>10524</v>
      </c>
      <c r="B525" s="18">
        <v>45406</v>
      </c>
      <c r="C525" s="17" t="s">
        <v>45</v>
      </c>
      <c r="D525" s="17" t="s">
        <v>86</v>
      </c>
      <c r="E525" s="17" t="s">
        <v>168</v>
      </c>
      <c r="F525" s="17" t="s">
        <v>172</v>
      </c>
      <c r="G525" s="17">
        <v>1</v>
      </c>
      <c r="H525" s="17">
        <v>51070</v>
      </c>
      <c r="I525" s="17">
        <v>51070</v>
      </c>
      <c r="J525" s="17">
        <v>1609</v>
      </c>
      <c r="K525" s="17">
        <v>49461</v>
      </c>
      <c r="L525" s="17">
        <v>6141.5732609999995</v>
      </c>
      <c r="M525" s="17">
        <v>2024</v>
      </c>
      <c r="N525" s="17" t="s">
        <v>114</v>
      </c>
    </row>
    <row r="526" spans="1:14" ht="14.25" customHeight="1">
      <c r="A526" s="17">
        <v>10525</v>
      </c>
      <c r="B526" s="18">
        <v>45908</v>
      </c>
      <c r="C526" s="17" t="s">
        <v>167</v>
      </c>
      <c r="D526" s="17" t="s">
        <v>170</v>
      </c>
      <c r="E526" s="17" t="s">
        <v>168</v>
      </c>
      <c r="F526" s="17" t="s">
        <v>166</v>
      </c>
      <c r="G526" s="17">
        <v>4</v>
      </c>
      <c r="H526" s="17">
        <v>53951</v>
      </c>
      <c r="I526" s="17">
        <v>215804</v>
      </c>
      <c r="J526" s="17">
        <v>875</v>
      </c>
      <c r="K526" s="17">
        <v>214929</v>
      </c>
      <c r="L526" s="17">
        <v>37516.533210000001</v>
      </c>
      <c r="M526" s="17">
        <v>2025</v>
      </c>
      <c r="N526" s="17" t="s">
        <v>129</v>
      </c>
    </row>
    <row r="527" spans="1:14" ht="14.25" customHeight="1">
      <c r="A527" s="17">
        <v>10526</v>
      </c>
      <c r="B527" s="18">
        <v>45487</v>
      </c>
      <c r="C527" s="17" t="s">
        <v>50</v>
      </c>
      <c r="D527" s="17" t="s">
        <v>111</v>
      </c>
      <c r="E527" s="17" t="s">
        <v>162</v>
      </c>
      <c r="F527" s="17" t="s">
        <v>164</v>
      </c>
      <c r="G527" s="17">
        <v>6</v>
      </c>
      <c r="H527" s="17">
        <v>12791</v>
      </c>
      <c r="I527" s="17">
        <v>76746</v>
      </c>
      <c r="J527" s="17">
        <v>3231</v>
      </c>
      <c r="K527" s="17">
        <v>73515</v>
      </c>
      <c r="L527" s="17">
        <v>11688.71428</v>
      </c>
      <c r="M527" s="17">
        <v>2024</v>
      </c>
      <c r="N527" s="17" t="s">
        <v>123</v>
      </c>
    </row>
    <row r="528" spans="1:14" ht="14.25" customHeight="1">
      <c r="A528" s="17">
        <v>10527</v>
      </c>
      <c r="B528" s="18">
        <v>45792</v>
      </c>
      <c r="C528" s="17" t="s">
        <v>50</v>
      </c>
      <c r="D528" s="17" t="s">
        <v>170</v>
      </c>
      <c r="E528" s="17" t="s">
        <v>162</v>
      </c>
      <c r="F528" s="17" t="s">
        <v>164</v>
      </c>
      <c r="G528" s="17">
        <v>7</v>
      </c>
      <c r="H528" s="17">
        <v>66335</v>
      </c>
      <c r="I528" s="17">
        <v>464345</v>
      </c>
      <c r="J528" s="17">
        <v>2448</v>
      </c>
      <c r="K528" s="17">
        <v>461897</v>
      </c>
      <c r="L528" s="17">
        <v>71996.389299999995</v>
      </c>
      <c r="M528" s="17">
        <v>2025</v>
      </c>
      <c r="N528" s="17" t="s">
        <v>117</v>
      </c>
    </row>
    <row r="529" spans="1:14" ht="14.25" customHeight="1">
      <c r="A529" s="17">
        <v>10528</v>
      </c>
      <c r="B529" s="18">
        <v>45917</v>
      </c>
      <c r="C529" s="17" t="s">
        <v>167</v>
      </c>
      <c r="D529" s="17" t="s">
        <v>170</v>
      </c>
      <c r="E529" s="17" t="s">
        <v>162</v>
      </c>
      <c r="F529" s="17" t="s">
        <v>166</v>
      </c>
      <c r="G529" s="17">
        <v>4</v>
      </c>
      <c r="H529" s="17">
        <v>77306</v>
      </c>
      <c r="I529" s="17">
        <v>309224</v>
      </c>
      <c r="J529" s="17">
        <v>4557</v>
      </c>
      <c r="K529" s="17">
        <v>304667</v>
      </c>
      <c r="L529" s="17">
        <v>59170.02579</v>
      </c>
      <c r="M529" s="17">
        <v>2025</v>
      </c>
      <c r="N529" s="17" t="s">
        <v>129</v>
      </c>
    </row>
    <row r="530" spans="1:14" ht="14.25" customHeight="1">
      <c r="A530" s="17">
        <v>10529</v>
      </c>
      <c r="B530" s="18">
        <v>45784</v>
      </c>
      <c r="C530" s="17" t="s">
        <v>167</v>
      </c>
      <c r="D530" s="17" t="s">
        <v>111</v>
      </c>
      <c r="E530" s="17" t="s">
        <v>168</v>
      </c>
      <c r="F530" s="17" t="s">
        <v>172</v>
      </c>
      <c r="G530" s="17">
        <v>8</v>
      </c>
      <c r="H530" s="17">
        <v>14893</v>
      </c>
      <c r="I530" s="17">
        <v>119144</v>
      </c>
      <c r="J530" s="17">
        <v>2136</v>
      </c>
      <c r="K530" s="17">
        <v>117008</v>
      </c>
      <c r="L530" s="17">
        <v>14767.62148</v>
      </c>
      <c r="M530" s="17">
        <v>2025</v>
      </c>
      <c r="N530" s="17" t="s">
        <v>117</v>
      </c>
    </row>
    <row r="531" spans="1:14" ht="14.25" customHeight="1">
      <c r="A531" s="17">
        <v>10530</v>
      </c>
      <c r="B531" s="18">
        <v>45366</v>
      </c>
      <c r="C531" s="17" t="s">
        <v>167</v>
      </c>
      <c r="D531" s="17" t="s">
        <v>170</v>
      </c>
      <c r="E531" s="17" t="s">
        <v>162</v>
      </c>
      <c r="F531" s="17" t="s">
        <v>163</v>
      </c>
      <c r="G531" s="17">
        <v>8</v>
      </c>
      <c r="H531" s="17">
        <v>30154</v>
      </c>
      <c r="I531" s="17">
        <v>241232</v>
      </c>
      <c r="J531" s="17">
        <v>2053</v>
      </c>
      <c r="K531" s="17">
        <v>239179</v>
      </c>
      <c r="L531" s="17">
        <v>37568.37945</v>
      </c>
      <c r="M531" s="17">
        <v>2024</v>
      </c>
      <c r="N531" s="17" t="s">
        <v>112</v>
      </c>
    </row>
    <row r="532" spans="1:14" ht="14.25" customHeight="1">
      <c r="A532" s="17">
        <v>10531</v>
      </c>
      <c r="B532" s="18">
        <v>45704</v>
      </c>
      <c r="C532" s="17" t="s">
        <v>58</v>
      </c>
      <c r="D532" s="17" t="s">
        <v>111</v>
      </c>
      <c r="E532" s="17" t="s">
        <v>165</v>
      </c>
      <c r="F532" s="17" t="s">
        <v>164</v>
      </c>
      <c r="G532" s="17">
        <v>9</v>
      </c>
      <c r="H532" s="17">
        <v>55757</v>
      </c>
      <c r="I532" s="17">
        <v>501813</v>
      </c>
      <c r="J532" s="17">
        <v>83</v>
      </c>
      <c r="K532" s="17">
        <v>501730</v>
      </c>
      <c r="L532" s="17">
        <v>115549.18459999999</v>
      </c>
      <c r="M532" s="17">
        <v>2025</v>
      </c>
      <c r="N532" s="17" t="s">
        <v>175</v>
      </c>
    </row>
    <row r="533" spans="1:14" ht="14.25" customHeight="1">
      <c r="A533" s="17">
        <v>10532</v>
      </c>
      <c r="B533" s="18">
        <v>45667</v>
      </c>
      <c r="C533" s="17" t="s">
        <v>50</v>
      </c>
      <c r="D533" s="17" t="s">
        <v>111</v>
      </c>
      <c r="E533" s="17" t="s">
        <v>168</v>
      </c>
      <c r="F533" s="17" t="s">
        <v>172</v>
      </c>
      <c r="G533" s="17">
        <v>6</v>
      </c>
      <c r="H533" s="17">
        <v>66387</v>
      </c>
      <c r="I533" s="17">
        <v>398322</v>
      </c>
      <c r="J533" s="17">
        <v>1439</v>
      </c>
      <c r="K533" s="17">
        <v>396883</v>
      </c>
      <c r="L533" s="17">
        <v>83127.050940000001</v>
      </c>
      <c r="M533" s="17">
        <v>2025</v>
      </c>
      <c r="N533" s="17" t="s">
        <v>171</v>
      </c>
    </row>
    <row r="534" spans="1:14" ht="14.25" customHeight="1">
      <c r="A534" s="17">
        <v>10533</v>
      </c>
      <c r="B534" s="18">
        <v>45711</v>
      </c>
      <c r="C534" s="17" t="s">
        <v>50</v>
      </c>
      <c r="D534" s="17" t="s">
        <v>111</v>
      </c>
      <c r="E534" s="17" t="s">
        <v>162</v>
      </c>
      <c r="F534" s="17" t="s">
        <v>166</v>
      </c>
      <c r="G534" s="17">
        <v>4</v>
      </c>
      <c r="H534" s="17">
        <v>45755</v>
      </c>
      <c r="I534" s="17">
        <v>183020</v>
      </c>
      <c r="J534" s="17">
        <v>2668</v>
      </c>
      <c r="K534" s="17">
        <v>180352</v>
      </c>
      <c r="L534" s="17">
        <v>19539.023669999999</v>
      </c>
      <c r="M534" s="17">
        <v>2025</v>
      </c>
      <c r="N534" s="17" t="s">
        <v>175</v>
      </c>
    </row>
    <row r="535" spans="1:14" ht="14.25" customHeight="1">
      <c r="A535" s="17">
        <v>10534</v>
      </c>
      <c r="B535" s="18">
        <v>46020</v>
      </c>
      <c r="C535" s="17" t="s">
        <v>58</v>
      </c>
      <c r="D535" s="17" t="s">
        <v>86</v>
      </c>
      <c r="E535" s="17" t="s">
        <v>165</v>
      </c>
      <c r="F535" s="17" t="s">
        <v>164</v>
      </c>
      <c r="G535" s="17">
        <v>2</v>
      </c>
      <c r="H535" s="17">
        <v>18514</v>
      </c>
      <c r="I535" s="17">
        <v>37028</v>
      </c>
      <c r="J535" s="17">
        <v>2219</v>
      </c>
      <c r="K535" s="17">
        <v>34809</v>
      </c>
      <c r="L535" s="17">
        <v>6164.1715850000001</v>
      </c>
      <c r="M535" s="17">
        <v>2025</v>
      </c>
      <c r="N535" s="17" t="s">
        <v>169</v>
      </c>
    </row>
    <row r="536" spans="1:14" ht="14.25" customHeight="1">
      <c r="A536" s="17">
        <v>10535</v>
      </c>
      <c r="B536" s="18">
        <v>45568</v>
      </c>
      <c r="C536" s="17" t="s">
        <v>167</v>
      </c>
      <c r="D536" s="17" t="s">
        <v>89</v>
      </c>
      <c r="E536" s="17" t="s">
        <v>165</v>
      </c>
      <c r="F536" s="17" t="s">
        <v>164</v>
      </c>
      <c r="G536" s="17">
        <v>7</v>
      </c>
      <c r="H536" s="17">
        <v>36358</v>
      </c>
      <c r="I536" s="17">
        <v>254506</v>
      </c>
      <c r="J536" s="17">
        <v>698</v>
      </c>
      <c r="K536" s="17">
        <v>253808</v>
      </c>
      <c r="L536" s="17">
        <v>28856.52231</v>
      </c>
      <c r="M536" s="17">
        <v>2024</v>
      </c>
      <c r="N536" s="17" t="s">
        <v>174</v>
      </c>
    </row>
    <row r="537" spans="1:14" ht="14.25" customHeight="1">
      <c r="A537" s="17">
        <v>10536</v>
      </c>
      <c r="B537" s="18">
        <v>45967</v>
      </c>
      <c r="C537" s="17" t="s">
        <v>45</v>
      </c>
      <c r="D537" s="17" t="s">
        <v>86</v>
      </c>
      <c r="E537" s="17" t="s">
        <v>162</v>
      </c>
      <c r="F537" s="17" t="s">
        <v>164</v>
      </c>
      <c r="G537" s="17">
        <v>3</v>
      </c>
      <c r="H537" s="17">
        <v>28631</v>
      </c>
      <c r="I537" s="17">
        <v>85893</v>
      </c>
      <c r="J537" s="17">
        <v>1820</v>
      </c>
      <c r="K537" s="17">
        <v>84073</v>
      </c>
      <c r="L537" s="17">
        <v>20482.239590000001</v>
      </c>
      <c r="M537" s="17">
        <v>2025</v>
      </c>
      <c r="N537" s="17" t="s">
        <v>173</v>
      </c>
    </row>
    <row r="538" spans="1:14" ht="14.25" customHeight="1">
      <c r="A538" s="17">
        <v>10537</v>
      </c>
      <c r="B538" s="18">
        <v>45685</v>
      </c>
      <c r="C538" s="17" t="s">
        <v>167</v>
      </c>
      <c r="D538" s="17" t="s">
        <v>111</v>
      </c>
      <c r="E538" s="17" t="s">
        <v>165</v>
      </c>
      <c r="F538" s="17" t="s">
        <v>172</v>
      </c>
      <c r="G538" s="17">
        <v>3</v>
      </c>
      <c r="H538" s="17">
        <v>10807</v>
      </c>
      <c r="I538" s="17">
        <v>32421</v>
      </c>
      <c r="J538" s="17">
        <v>4625</v>
      </c>
      <c r="K538" s="17">
        <v>27796</v>
      </c>
      <c r="L538" s="17">
        <v>3799.6046879999999</v>
      </c>
      <c r="M538" s="17">
        <v>2025</v>
      </c>
      <c r="N538" s="17" t="s">
        <v>171</v>
      </c>
    </row>
    <row r="539" spans="1:14" ht="14.25" customHeight="1">
      <c r="A539" s="17">
        <v>10538</v>
      </c>
      <c r="B539" s="18">
        <v>45748</v>
      </c>
      <c r="C539" s="17" t="s">
        <v>167</v>
      </c>
      <c r="D539" s="17" t="s">
        <v>89</v>
      </c>
      <c r="E539" s="17" t="s">
        <v>168</v>
      </c>
      <c r="F539" s="17" t="s">
        <v>164</v>
      </c>
      <c r="G539" s="17">
        <v>3</v>
      </c>
      <c r="H539" s="17">
        <v>76792</v>
      </c>
      <c r="I539" s="17">
        <v>230376</v>
      </c>
      <c r="J539" s="17">
        <v>4414</v>
      </c>
      <c r="K539" s="17">
        <v>225962</v>
      </c>
      <c r="L539" s="17">
        <v>54206.736830000002</v>
      </c>
      <c r="M539" s="17">
        <v>2025</v>
      </c>
      <c r="N539" s="17" t="s">
        <v>114</v>
      </c>
    </row>
    <row r="540" spans="1:14" ht="14.25" customHeight="1">
      <c r="A540" s="17">
        <v>10539</v>
      </c>
      <c r="B540" s="18">
        <v>45483</v>
      </c>
      <c r="C540" s="17" t="s">
        <v>58</v>
      </c>
      <c r="D540" s="17" t="s">
        <v>89</v>
      </c>
      <c r="E540" s="17" t="s">
        <v>168</v>
      </c>
      <c r="F540" s="17" t="s">
        <v>164</v>
      </c>
      <c r="G540" s="17">
        <v>4</v>
      </c>
      <c r="H540" s="17">
        <v>16908</v>
      </c>
      <c r="I540" s="17">
        <v>67632</v>
      </c>
      <c r="J540" s="17">
        <v>1098</v>
      </c>
      <c r="K540" s="17">
        <v>66534</v>
      </c>
      <c r="L540" s="17">
        <v>14976.88732</v>
      </c>
      <c r="M540" s="17">
        <v>2024</v>
      </c>
      <c r="N540" s="17" t="s">
        <v>123</v>
      </c>
    </row>
    <row r="541" spans="1:14" ht="14.25" customHeight="1">
      <c r="A541" s="17">
        <v>10540</v>
      </c>
      <c r="B541" s="18">
        <v>45980</v>
      </c>
      <c r="C541" s="17" t="s">
        <v>50</v>
      </c>
      <c r="D541" s="17" t="s">
        <v>111</v>
      </c>
      <c r="E541" s="17" t="s">
        <v>165</v>
      </c>
      <c r="F541" s="17" t="s">
        <v>166</v>
      </c>
      <c r="G541" s="17">
        <v>2</v>
      </c>
      <c r="H541" s="17">
        <v>29435</v>
      </c>
      <c r="I541" s="17">
        <v>58870</v>
      </c>
      <c r="J541" s="17">
        <v>2894</v>
      </c>
      <c r="K541" s="17">
        <v>55976</v>
      </c>
      <c r="L541" s="17">
        <v>10227.07634</v>
      </c>
      <c r="M541" s="17">
        <v>2025</v>
      </c>
      <c r="N541" s="17" t="s">
        <v>173</v>
      </c>
    </row>
    <row r="542" spans="1:14" ht="14.25" customHeight="1">
      <c r="A542" s="17">
        <v>10541</v>
      </c>
      <c r="B542" s="18">
        <v>45390</v>
      </c>
      <c r="C542" s="17" t="s">
        <v>167</v>
      </c>
      <c r="D542" s="17" t="s">
        <v>89</v>
      </c>
      <c r="E542" s="17" t="s">
        <v>168</v>
      </c>
      <c r="F542" s="17" t="s">
        <v>164</v>
      </c>
      <c r="G542" s="17">
        <v>5</v>
      </c>
      <c r="H542" s="17">
        <v>74820</v>
      </c>
      <c r="I542" s="17">
        <v>374100</v>
      </c>
      <c r="J542" s="17">
        <v>3417</v>
      </c>
      <c r="K542" s="17">
        <v>370683</v>
      </c>
      <c r="L542" s="17">
        <v>55767.658199999998</v>
      </c>
      <c r="M542" s="17">
        <v>2024</v>
      </c>
      <c r="N542" s="17" t="s">
        <v>114</v>
      </c>
    </row>
    <row r="543" spans="1:14" ht="14.25" customHeight="1">
      <c r="A543" s="17">
        <v>10542</v>
      </c>
      <c r="B543" s="18">
        <v>45839</v>
      </c>
      <c r="C543" s="17" t="s">
        <v>50</v>
      </c>
      <c r="D543" s="17" t="s">
        <v>89</v>
      </c>
      <c r="E543" s="17" t="s">
        <v>162</v>
      </c>
      <c r="F543" s="17" t="s">
        <v>172</v>
      </c>
      <c r="G543" s="17">
        <v>3</v>
      </c>
      <c r="H543" s="17">
        <v>66716</v>
      </c>
      <c r="I543" s="17">
        <v>200148</v>
      </c>
      <c r="J543" s="17">
        <v>248</v>
      </c>
      <c r="K543" s="17">
        <v>199900</v>
      </c>
      <c r="L543" s="17">
        <v>45715.531219999997</v>
      </c>
      <c r="M543" s="17">
        <v>2025</v>
      </c>
      <c r="N543" s="17" t="s">
        <v>123</v>
      </c>
    </row>
    <row r="544" spans="1:14" ht="14.25" customHeight="1">
      <c r="A544" s="17">
        <v>10543</v>
      </c>
      <c r="B544" s="18">
        <v>45387</v>
      </c>
      <c r="C544" s="17" t="s">
        <v>39</v>
      </c>
      <c r="D544" s="17" t="s">
        <v>86</v>
      </c>
      <c r="E544" s="17" t="s">
        <v>165</v>
      </c>
      <c r="F544" s="17" t="s">
        <v>166</v>
      </c>
      <c r="G544" s="17">
        <v>5</v>
      </c>
      <c r="H544" s="17">
        <v>35432</v>
      </c>
      <c r="I544" s="17">
        <v>177160</v>
      </c>
      <c r="J544" s="17">
        <v>4482</v>
      </c>
      <c r="K544" s="17">
        <v>172678</v>
      </c>
      <c r="L544" s="17">
        <v>21225.157589999999</v>
      </c>
      <c r="M544" s="17">
        <v>2024</v>
      </c>
      <c r="N544" s="17" t="s">
        <v>114</v>
      </c>
    </row>
    <row r="545" spans="1:14" ht="14.25" customHeight="1">
      <c r="A545" s="17">
        <v>10544</v>
      </c>
      <c r="B545" s="18">
        <v>45955</v>
      </c>
      <c r="C545" s="17" t="s">
        <v>50</v>
      </c>
      <c r="D545" s="17" t="s">
        <v>89</v>
      </c>
      <c r="E545" s="17" t="s">
        <v>168</v>
      </c>
      <c r="F545" s="17" t="s">
        <v>163</v>
      </c>
      <c r="G545" s="17">
        <v>7</v>
      </c>
      <c r="H545" s="17">
        <v>45510</v>
      </c>
      <c r="I545" s="17">
        <v>318570</v>
      </c>
      <c r="J545" s="17">
        <v>1957</v>
      </c>
      <c r="K545" s="17">
        <v>316613</v>
      </c>
      <c r="L545" s="17">
        <v>40208.621619999998</v>
      </c>
      <c r="M545" s="17">
        <v>2025</v>
      </c>
      <c r="N545" s="17" t="s">
        <v>174</v>
      </c>
    </row>
    <row r="546" spans="1:14" ht="14.25" customHeight="1">
      <c r="A546" s="17">
        <v>10545</v>
      </c>
      <c r="B546" s="18">
        <v>45954</v>
      </c>
      <c r="C546" s="17" t="s">
        <v>45</v>
      </c>
      <c r="D546" s="17" t="s">
        <v>111</v>
      </c>
      <c r="E546" s="17" t="s">
        <v>162</v>
      </c>
      <c r="F546" s="17" t="s">
        <v>166</v>
      </c>
      <c r="G546" s="17">
        <v>9</v>
      </c>
      <c r="H546" s="17">
        <v>19227</v>
      </c>
      <c r="I546" s="17">
        <v>173043</v>
      </c>
      <c r="J546" s="17">
        <v>1890</v>
      </c>
      <c r="K546" s="17">
        <v>171153</v>
      </c>
      <c r="L546" s="17">
        <v>22884.594059999999</v>
      </c>
      <c r="M546" s="17">
        <v>2025</v>
      </c>
      <c r="N546" s="17" t="s">
        <v>174</v>
      </c>
    </row>
    <row r="547" spans="1:14" ht="14.25" customHeight="1">
      <c r="A547" s="17">
        <v>10546</v>
      </c>
      <c r="B547" s="18">
        <v>45481</v>
      </c>
      <c r="C547" s="17" t="s">
        <v>45</v>
      </c>
      <c r="D547" s="17" t="s">
        <v>83</v>
      </c>
      <c r="E547" s="17" t="s">
        <v>162</v>
      </c>
      <c r="F547" s="17" t="s">
        <v>164</v>
      </c>
      <c r="G547" s="17">
        <v>2</v>
      </c>
      <c r="H547" s="17">
        <v>23604</v>
      </c>
      <c r="I547" s="17">
        <v>47208</v>
      </c>
      <c r="J547" s="17">
        <v>4458</v>
      </c>
      <c r="K547" s="17">
        <v>42750</v>
      </c>
      <c r="L547" s="17">
        <v>8107.7313569999997</v>
      </c>
      <c r="M547" s="17">
        <v>2024</v>
      </c>
      <c r="N547" s="17" t="s">
        <v>123</v>
      </c>
    </row>
    <row r="548" spans="1:14" ht="14.25" customHeight="1">
      <c r="A548" s="17">
        <v>10547</v>
      </c>
      <c r="B548" s="18">
        <v>45328</v>
      </c>
      <c r="C548" s="17" t="s">
        <v>167</v>
      </c>
      <c r="D548" s="17" t="s">
        <v>83</v>
      </c>
      <c r="E548" s="17" t="s">
        <v>168</v>
      </c>
      <c r="F548" s="17" t="s">
        <v>163</v>
      </c>
      <c r="G548" s="17">
        <v>9</v>
      </c>
      <c r="H548" s="17">
        <v>30790</v>
      </c>
      <c r="I548" s="17">
        <v>277110</v>
      </c>
      <c r="J548" s="17">
        <v>3367</v>
      </c>
      <c r="K548" s="17">
        <v>273743</v>
      </c>
      <c r="L548" s="17">
        <v>40280.949489999999</v>
      </c>
      <c r="M548" s="17">
        <v>2024</v>
      </c>
      <c r="N548" s="17" t="s">
        <v>175</v>
      </c>
    </row>
    <row r="549" spans="1:14" ht="14.25" customHeight="1">
      <c r="A549" s="17">
        <v>10548</v>
      </c>
      <c r="B549" s="18">
        <v>45660</v>
      </c>
      <c r="C549" s="17" t="s">
        <v>50</v>
      </c>
      <c r="D549" s="17" t="s">
        <v>83</v>
      </c>
      <c r="E549" s="17" t="s">
        <v>165</v>
      </c>
      <c r="F549" s="17" t="s">
        <v>166</v>
      </c>
      <c r="G549" s="17">
        <v>6</v>
      </c>
      <c r="H549" s="17">
        <v>35944</v>
      </c>
      <c r="I549" s="17">
        <v>215664</v>
      </c>
      <c r="J549" s="17">
        <v>2115</v>
      </c>
      <c r="K549" s="17">
        <v>213549</v>
      </c>
      <c r="L549" s="17">
        <v>53040.706080000004</v>
      </c>
      <c r="M549" s="17">
        <v>2025</v>
      </c>
      <c r="N549" s="17" t="s">
        <v>171</v>
      </c>
    </row>
    <row r="550" spans="1:14" ht="14.25" customHeight="1">
      <c r="A550" s="17">
        <v>10549</v>
      </c>
      <c r="B550" s="18">
        <v>45986</v>
      </c>
      <c r="C550" s="17" t="s">
        <v>167</v>
      </c>
      <c r="D550" s="17" t="s">
        <v>111</v>
      </c>
      <c r="E550" s="17" t="s">
        <v>162</v>
      </c>
      <c r="F550" s="17" t="s">
        <v>164</v>
      </c>
      <c r="G550" s="17">
        <v>6</v>
      </c>
      <c r="H550" s="17">
        <v>27187</v>
      </c>
      <c r="I550" s="17">
        <v>163122</v>
      </c>
      <c r="J550" s="17">
        <v>3063</v>
      </c>
      <c r="K550" s="17">
        <v>160059</v>
      </c>
      <c r="L550" s="17">
        <v>20690.339599999999</v>
      </c>
      <c r="M550" s="17">
        <v>2025</v>
      </c>
      <c r="N550" s="17" t="s">
        <v>173</v>
      </c>
    </row>
    <row r="551" spans="1:14" ht="14.25" customHeight="1">
      <c r="A551" s="17">
        <v>10550</v>
      </c>
      <c r="B551" s="18">
        <v>45816</v>
      </c>
      <c r="C551" s="17" t="s">
        <v>58</v>
      </c>
      <c r="D551" s="17" t="s">
        <v>83</v>
      </c>
      <c r="E551" s="17" t="s">
        <v>162</v>
      </c>
      <c r="F551" s="17" t="s">
        <v>166</v>
      </c>
      <c r="G551" s="17">
        <v>3</v>
      </c>
      <c r="H551" s="17">
        <v>57546</v>
      </c>
      <c r="I551" s="17">
        <v>172638</v>
      </c>
      <c r="J551" s="17">
        <v>1806</v>
      </c>
      <c r="K551" s="17">
        <v>170832</v>
      </c>
      <c r="L551" s="17">
        <v>37726.797630000001</v>
      </c>
      <c r="M551" s="17">
        <v>2025</v>
      </c>
      <c r="N551" s="17" t="s">
        <v>120</v>
      </c>
    </row>
    <row r="552" spans="1:14" ht="14.25" customHeight="1">
      <c r="A552" s="17">
        <v>10551</v>
      </c>
      <c r="B552" s="18">
        <v>45570</v>
      </c>
      <c r="C552" s="17" t="s">
        <v>45</v>
      </c>
      <c r="D552" s="17" t="s">
        <v>86</v>
      </c>
      <c r="E552" s="17" t="s">
        <v>162</v>
      </c>
      <c r="F552" s="17" t="s">
        <v>172</v>
      </c>
      <c r="G552" s="17">
        <v>9</v>
      </c>
      <c r="H552" s="17">
        <v>9025</v>
      </c>
      <c r="I552" s="17">
        <v>81225</v>
      </c>
      <c r="J552" s="17">
        <v>295</v>
      </c>
      <c r="K552" s="17">
        <v>80930</v>
      </c>
      <c r="L552" s="17">
        <v>9256.4037750000007</v>
      </c>
      <c r="M552" s="17">
        <v>2024</v>
      </c>
      <c r="N552" s="17" t="s">
        <v>174</v>
      </c>
    </row>
    <row r="553" spans="1:14" ht="14.25" customHeight="1">
      <c r="A553" s="17">
        <v>10552</v>
      </c>
      <c r="B553" s="18">
        <v>45508</v>
      </c>
      <c r="C553" s="17" t="s">
        <v>167</v>
      </c>
      <c r="D553" s="17" t="s">
        <v>111</v>
      </c>
      <c r="E553" s="17" t="s">
        <v>162</v>
      </c>
      <c r="F553" s="17" t="s">
        <v>164</v>
      </c>
      <c r="G553" s="17">
        <v>4</v>
      </c>
      <c r="H553" s="17">
        <v>29512</v>
      </c>
      <c r="I553" s="17">
        <v>118048</v>
      </c>
      <c r="J553" s="17">
        <v>2694</v>
      </c>
      <c r="K553" s="17">
        <v>115354</v>
      </c>
      <c r="L553" s="17">
        <v>17651.121210000001</v>
      </c>
      <c r="M553" s="17">
        <v>2024</v>
      </c>
      <c r="N553" s="17" t="s">
        <v>126</v>
      </c>
    </row>
    <row r="554" spans="1:14" ht="14.25" customHeight="1">
      <c r="A554" s="17">
        <v>10553</v>
      </c>
      <c r="B554" s="18">
        <v>45564</v>
      </c>
      <c r="C554" s="17" t="s">
        <v>58</v>
      </c>
      <c r="D554" s="17" t="s">
        <v>111</v>
      </c>
      <c r="E554" s="17" t="s">
        <v>165</v>
      </c>
      <c r="F554" s="17" t="s">
        <v>172</v>
      </c>
      <c r="G554" s="17">
        <v>5</v>
      </c>
      <c r="H554" s="17">
        <v>20907</v>
      </c>
      <c r="I554" s="17">
        <v>104535</v>
      </c>
      <c r="J554" s="17">
        <v>1991</v>
      </c>
      <c r="K554" s="17">
        <v>102544</v>
      </c>
      <c r="L554" s="17">
        <v>14003.85727</v>
      </c>
      <c r="M554" s="17">
        <v>2024</v>
      </c>
      <c r="N554" s="17" t="s">
        <v>129</v>
      </c>
    </row>
    <row r="555" spans="1:14" ht="14.25" customHeight="1">
      <c r="A555" s="17">
        <v>10554</v>
      </c>
      <c r="B555" s="18">
        <v>45353</v>
      </c>
      <c r="C555" s="17" t="s">
        <v>167</v>
      </c>
      <c r="D555" s="17" t="s">
        <v>111</v>
      </c>
      <c r="E555" s="17" t="s">
        <v>168</v>
      </c>
      <c r="F555" s="17" t="s">
        <v>164</v>
      </c>
      <c r="G555" s="17">
        <v>3</v>
      </c>
      <c r="H555" s="17">
        <v>42924</v>
      </c>
      <c r="I555" s="17">
        <v>128772</v>
      </c>
      <c r="J555" s="17">
        <v>3939</v>
      </c>
      <c r="K555" s="17">
        <v>124833</v>
      </c>
      <c r="L555" s="17">
        <v>30774.504300000001</v>
      </c>
      <c r="M555" s="17">
        <v>2024</v>
      </c>
      <c r="N555" s="17" t="s">
        <v>112</v>
      </c>
    </row>
    <row r="556" spans="1:14" ht="14.25" customHeight="1">
      <c r="A556" s="17">
        <v>10555</v>
      </c>
      <c r="B556" s="18">
        <v>45887</v>
      </c>
      <c r="C556" s="17" t="s">
        <v>50</v>
      </c>
      <c r="D556" s="17" t="s">
        <v>89</v>
      </c>
      <c r="E556" s="17" t="s">
        <v>168</v>
      </c>
      <c r="F556" s="17" t="s">
        <v>172</v>
      </c>
      <c r="G556" s="17">
        <v>5</v>
      </c>
      <c r="H556" s="17">
        <v>52196</v>
      </c>
      <c r="I556" s="17">
        <v>260980</v>
      </c>
      <c r="J556" s="17">
        <v>31</v>
      </c>
      <c r="K556" s="17">
        <v>260949</v>
      </c>
      <c r="L556" s="17">
        <v>27102.055359999998</v>
      </c>
      <c r="M556" s="17">
        <v>2025</v>
      </c>
      <c r="N556" s="17" t="s">
        <v>126</v>
      </c>
    </row>
    <row r="557" spans="1:14" ht="14.25" customHeight="1">
      <c r="A557" s="17">
        <v>10556</v>
      </c>
      <c r="B557" s="18">
        <v>46020</v>
      </c>
      <c r="C557" s="17" t="s">
        <v>50</v>
      </c>
      <c r="D557" s="17" t="s">
        <v>89</v>
      </c>
      <c r="E557" s="17" t="s">
        <v>168</v>
      </c>
      <c r="F557" s="17" t="s">
        <v>163</v>
      </c>
      <c r="G557" s="17">
        <v>8</v>
      </c>
      <c r="H557" s="17">
        <v>19410</v>
      </c>
      <c r="I557" s="17">
        <v>155280</v>
      </c>
      <c r="J557" s="17">
        <v>4650</v>
      </c>
      <c r="K557" s="17">
        <v>150630</v>
      </c>
      <c r="L557" s="17">
        <v>31368.7621</v>
      </c>
      <c r="M557" s="17">
        <v>2025</v>
      </c>
      <c r="N557" s="17" t="s">
        <v>169</v>
      </c>
    </row>
    <row r="558" spans="1:14" ht="14.25" customHeight="1">
      <c r="A558" s="17">
        <v>10557</v>
      </c>
      <c r="B558" s="18">
        <v>45633</v>
      </c>
      <c r="C558" s="17" t="s">
        <v>50</v>
      </c>
      <c r="D558" s="17" t="s">
        <v>89</v>
      </c>
      <c r="E558" s="17" t="s">
        <v>162</v>
      </c>
      <c r="F558" s="17" t="s">
        <v>172</v>
      </c>
      <c r="G558" s="17">
        <v>8</v>
      </c>
      <c r="H558" s="17">
        <v>48763</v>
      </c>
      <c r="I558" s="17">
        <v>390104</v>
      </c>
      <c r="J558" s="17">
        <v>3875</v>
      </c>
      <c r="K558" s="17">
        <v>386229</v>
      </c>
      <c r="L558" s="17">
        <v>52974.520320000003</v>
      </c>
      <c r="M558" s="17">
        <v>2024</v>
      </c>
      <c r="N558" s="17" t="s">
        <v>169</v>
      </c>
    </row>
    <row r="559" spans="1:14" ht="14.25" customHeight="1">
      <c r="A559" s="17">
        <v>10558</v>
      </c>
      <c r="B559" s="18">
        <v>45688</v>
      </c>
      <c r="C559" s="17" t="s">
        <v>50</v>
      </c>
      <c r="D559" s="17" t="s">
        <v>170</v>
      </c>
      <c r="E559" s="17" t="s">
        <v>165</v>
      </c>
      <c r="F559" s="17" t="s">
        <v>166</v>
      </c>
      <c r="G559" s="17">
        <v>8</v>
      </c>
      <c r="H559" s="17">
        <v>64574</v>
      </c>
      <c r="I559" s="17">
        <v>516592</v>
      </c>
      <c r="J559" s="17">
        <v>4400</v>
      </c>
      <c r="K559" s="17">
        <v>512192</v>
      </c>
      <c r="L559" s="17">
        <v>113546.46120000001</v>
      </c>
      <c r="M559" s="17">
        <v>2025</v>
      </c>
      <c r="N559" s="17" t="s">
        <v>171</v>
      </c>
    </row>
    <row r="560" spans="1:14" ht="14.25" customHeight="1">
      <c r="A560" s="17">
        <v>10559</v>
      </c>
      <c r="B560" s="18">
        <v>45990</v>
      </c>
      <c r="C560" s="17" t="s">
        <v>39</v>
      </c>
      <c r="D560" s="17" t="s">
        <v>86</v>
      </c>
      <c r="E560" s="17" t="s">
        <v>168</v>
      </c>
      <c r="F560" s="17" t="s">
        <v>164</v>
      </c>
      <c r="G560" s="17">
        <v>6</v>
      </c>
      <c r="H560" s="17">
        <v>13650</v>
      </c>
      <c r="I560" s="17">
        <v>81900</v>
      </c>
      <c r="J560" s="17">
        <v>792</v>
      </c>
      <c r="K560" s="17">
        <v>81108</v>
      </c>
      <c r="L560" s="17">
        <v>11897.218290000001</v>
      </c>
      <c r="M560" s="17">
        <v>2025</v>
      </c>
      <c r="N560" s="17" t="s">
        <v>173</v>
      </c>
    </row>
    <row r="561" spans="1:14" ht="14.25" customHeight="1">
      <c r="A561" s="17">
        <v>10560</v>
      </c>
      <c r="B561" s="18">
        <v>45310</v>
      </c>
      <c r="C561" s="17" t="s">
        <v>58</v>
      </c>
      <c r="D561" s="17" t="s">
        <v>111</v>
      </c>
      <c r="E561" s="17" t="s">
        <v>165</v>
      </c>
      <c r="F561" s="17" t="s">
        <v>166</v>
      </c>
      <c r="G561" s="17">
        <v>1</v>
      </c>
      <c r="H561" s="17">
        <v>53826</v>
      </c>
      <c r="I561" s="17">
        <v>53826</v>
      </c>
      <c r="J561" s="17">
        <v>4191</v>
      </c>
      <c r="K561" s="17">
        <v>49635</v>
      </c>
      <c r="L561" s="17">
        <v>6357.878025</v>
      </c>
      <c r="M561" s="17">
        <v>2024</v>
      </c>
      <c r="N561" s="17" t="s">
        <v>171</v>
      </c>
    </row>
    <row r="562" spans="1:14" ht="14.25" customHeight="1">
      <c r="A562" s="17">
        <v>10561</v>
      </c>
      <c r="B562" s="18">
        <v>45468</v>
      </c>
      <c r="C562" s="17" t="s">
        <v>58</v>
      </c>
      <c r="D562" s="17" t="s">
        <v>111</v>
      </c>
      <c r="E562" s="17" t="s">
        <v>168</v>
      </c>
      <c r="F562" s="17" t="s">
        <v>172</v>
      </c>
      <c r="G562" s="17">
        <v>6</v>
      </c>
      <c r="H562" s="17">
        <v>31277</v>
      </c>
      <c r="I562" s="17">
        <v>187662</v>
      </c>
      <c r="J562" s="17">
        <v>1089</v>
      </c>
      <c r="K562" s="17">
        <v>186573</v>
      </c>
      <c r="L562" s="17">
        <v>38052.678630000002</v>
      </c>
      <c r="M562" s="17">
        <v>2024</v>
      </c>
      <c r="N562" s="17" t="s">
        <v>120</v>
      </c>
    </row>
    <row r="563" spans="1:14" ht="14.25" customHeight="1">
      <c r="A563" s="17">
        <v>10562</v>
      </c>
      <c r="B563" s="18">
        <v>45903</v>
      </c>
      <c r="C563" s="17" t="s">
        <v>50</v>
      </c>
      <c r="D563" s="17" t="s">
        <v>89</v>
      </c>
      <c r="E563" s="17" t="s">
        <v>162</v>
      </c>
      <c r="F563" s="17" t="s">
        <v>164</v>
      </c>
      <c r="G563" s="17">
        <v>7</v>
      </c>
      <c r="H563" s="17">
        <v>62970</v>
      </c>
      <c r="I563" s="17">
        <v>440790</v>
      </c>
      <c r="J563" s="17">
        <v>229</v>
      </c>
      <c r="K563" s="17">
        <v>440561</v>
      </c>
      <c r="L563" s="17">
        <v>61077.826419999998</v>
      </c>
      <c r="M563" s="17">
        <v>2025</v>
      </c>
      <c r="N563" s="17" t="s">
        <v>129</v>
      </c>
    </row>
    <row r="564" spans="1:14" ht="14.25" customHeight="1">
      <c r="A564" s="17">
        <v>10563</v>
      </c>
      <c r="B564" s="18">
        <v>45687</v>
      </c>
      <c r="C564" s="17" t="s">
        <v>39</v>
      </c>
      <c r="D564" s="17" t="s">
        <v>111</v>
      </c>
      <c r="E564" s="17" t="s">
        <v>168</v>
      </c>
      <c r="F564" s="17" t="s">
        <v>172</v>
      </c>
      <c r="G564" s="17">
        <v>9</v>
      </c>
      <c r="H564" s="17">
        <v>7456</v>
      </c>
      <c r="I564" s="17">
        <v>67104</v>
      </c>
      <c r="J564" s="17">
        <v>2780</v>
      </c>
      <c r="K564" s="17">
        <v>64324</v>
      </c>
      <c r="L564" s="17">
        <v>11117.247530000001</v>
      </c>
      <c r="M564" s="17">
        <v>2025</v>
      </c>
      <c r="N564" s="17" t="s">
        <v>171</v>
      </c>
    </row>
    <row r="565" spans="1:14" ht="14.25" customHeight="1">
      <c r="A565" s="17">
        <v>10564</v>
      </c>
      <c r="B565" s="18">
        <v>45736</v>
      </c>
      <c r="C565" s="17" t="s">
        <v>50</v>
      </c>
      <c r="D565" s="17" t="s">
        <v>111</v>
      </c>
      <c r="E565" s="17" t="s">
        <v>162</v>
      </c>
      <c r="F565" s="17" t="s">
        <v>163</v>
      </c>
      <c r="G565" s="17">
        <v>8</v>
      </c>
      <c r="H565" s="17">
        <v>21590</v>
      </c>
      <c r="I565" s="17">
        <v>172720</v>
      </c>
      <c r="J565" s="17">
        <v>4453</v>
      </c>
      <c r="K565" s="17">
        <v>168267</v>
      </c>
      <c r="L565" s="17">
        <v>20146.61016</v>
      </c>
      <c r="M565" s="17">
        <v>2025</v>
      </c>
      <c r="N565" s="17" t="s">
        <v>112</v>
      </c>
    </row>
    <row r="566" spans="1:14" ht="14.25" customHeight="1">
      <c r="A566" s="17">
        <v>10565</v>
      </c>
      <c r="B566" s="18">
        <v>45524</v>
      </c>
      <c r="C566" s="17" t="s">
        <v>39</v>
      </c>
      <c r="D566" s="17" t="s">
        <v>83</v>
      </c>
      <c r="E566" s="17" t="s">
        <v>162</v>
      </c>
      <c r="F566" s="17" t="s">
        <v>163</v>
      </c>
      <c r="G566" s="17">
        <v>8</v>
      </c>
      <c r="H566" s="17">
        <v>32892</v>
      </c>
      <c r="I566" s="17">
        <v>263136</v>
      </c>
      <c r="J566" s="17">
        <v>4497</v>
      </c>
      <c r="K566" s="17">
        <v>258639</v>
      </c>
      <c r="L566" s="17">
        <v>53975.295749999997</v>
      </c>
      <c r="M566" s="17">
        <v>2024</v>
      </c>
      <c r="N566" s="17" t="s">
        <v>126</v>
      </c>
    </row>
    <row r="567" spans="1:14" ht="14.25" customHeight="1">
      <c r="A567" s="17">
        <v>10566</v>
      </c>
      <c r="B567" s="18">
        <v>45367</v>
      </c>
      <c r="C567" s="17" t="s">
        <v>50</v>
      </c>
      <c r="D567" s="17" t="s">
        <v>111</v>
      </c>
      <c r="E567" s="17" t="s">
        <v>168</v>
      </c>
      <c r="F567" s="17" t="s">
        <v>163</v>
      </c>
      <c r="G567" s="17">
        <v>7</v>
      </c>
      <c r="H567" s="17">
        <v>22740</v>
      </c>
      <c r="I567" s="17">
        <v>159180</v>
      </c>
      <c r="J567" s="17">
        <v>789</v>
      </c>
      <c r="K567" s="17">
        <v>158391</v>
      </c>
      <c r="L567" s="17">
        <v>25504.978999999999</v>
      </c>
      <c r="M567" s="17">
        <v>2024</v>
      </c>
      <c r="N567" s="17" t="s">
        <v>112</v>
      </c>
    </row>
    <row r="568" spans="1:14" ht="14.25" customHeight="1">
      <c r="A568" s="17">
        <v>10567</v>
      </c>
      <c r="B568" s="18">
        <v>45556</v>
      </c>
      <c r="C568" s="17" t="s">
        <v>45</v>
      </c>
      <c r="D568" s="17" t="s">
        <v>170</v>
      </c>
      <c r="E568" s="17" t="s">
        <v>165</v>
      </c>
      <c r="F568" s="17" t="s">
        <v>172</v>
      </c>
      <c r="G568" s="17">
        <v>2</v>
      </c>
      <c r="H568" s="17">
        <v>50728</v>
      </c>
      <c r="I568" s="17">
        <v>101456</v>
      </c>
      <c r="J568" s="17">
        <v>4194</v>
      </c>
      <c r="K568" s="17">
        <v>97262</v>
      </c>
      <c r="L568" s="17">
        <v>11777.16028</v>
      </c>
      <c r="M568" s="17">
        <v>2024</v>
      </c>
      <c r="N568" s="17" t="s">
        <v>129</v>
      </c>
    </row>
    <row r="569" spans="1:14" ht="14.25" customHeight="1">
      <c r="A569" s="17">
        <v>10568</v>
      </c>
      <c r="B569" s="18">
        <v>45746</v>
      </c>
      <c r="C569" s="17" t="s">
        <v>45</v>
      </c>
      <c r="D569" s="17" t="s">
        <v>89</v>
      </c>
      <c r="E569" s="17" t="s">
        <v>162</v>
      </c>
      <c r="F569" s="17" t="s">
        <v>172</v>
      </c>
      <c r="G569" s="17">
        <v>1</v>
      </c>
      <c r="H569" s="17">
        <v>16788</v>
      </c>
      <c r="I569" s="17">
        <v>16788</v>
      </c>
      <c r="J569" s="17">
        <v>4366</v>
      </c>
      <c r="K569" s="17">
        <v>12422</v>
      </c>
      <c r="L569" s="17">
        <v>2624.0140510000001</v>
      </c>
      <c r="M569" s="17">
        <v>2025</v>
      </c>
      <c r="N569" s="17" t="s">
        <v>112</v>
      </c>
    </row>
    <row r="570" spans="1:14" ht="14.25" customHeight="1">
      <c r="A570" s="17">
        <v>10569</v>
      </c>
      <c r="B570" s="18">
        <v>46009</v>
      </c>
      <c r="C570" s="17" t="s">
        <v>167</v>
      </c>
      <c r="D570" s="17" t="s">
        <v>86</v>
      </c>
      <c r="E570" s="17" t="s">
        <v>165</v>
      </c>
      <c r="F570" s="17" t="s">
        <v>163</v>
      </c>
      <c r="G570" s="17">
        <v>2</v>
      </c>
      <c r="H570" s="17">
        <v>77692</v>
      </c>
      <c r="I570" s="17">
        <v>155384</v>
      </c>
      <c r="J570" s="17">
        <v>1798</v>
      </c>
      <c r="K570" s="17">
        <v>153586</v>
      </c>
      <c r="L570" s="17">
        <v>17739.847839999999</v>
      </c>
      <c r="M570" s="17">
        <v>2025</v>
      </c>
      <c r="N570" s="17" t="s">
        <v>169</v>
      </c>
    </row>
    <row r="571" spans="1:14" ht="14.25" customHeight="1">
      <c r="A571" s="17">
        <v>10570</v>
      </c>
      <c r="B571" s="18">
        <v>45675</v>
      </c>
      <c r="C571" s="17" t="s">
        <v>50</v>
      </c>
      <c r="D571" s="17" t="s">
        <v>86</v>
      </c>
      <c r="E571" s="17" t="s">
        <v>168</v>
      </c>
      <c r="F571" s="17" t="s">
        <v>172</v>
      </c>
      <c r="G571" s="17">
        <v>6</v>
      </c>
      <c r="H571" s="17">
        <v>13151</v>
      </c>
      <c r="I571" s="17">
        <v>78906</v>
      </c>
      <c r="J571" s="17">
        <v>3980</v>
      </c>
      <c r="K571" s="17">
        <v>74926</v>
      </c>
      <c r="L571" s="17">
        <v>13952.94925</v>
      </c>
      <c r="M571" s="17">
        <v>2025</v>
      </c>
      <c r="N571" s="17" t="s">
        <v>171</v>
      </c>
    </row>
    <row r="572" spans="1:14" ht="14.25" customHeight="1">
      <c r="A572" s="17">
        <v>10571</v>
      </c>
      <c r="B572" s="18">
        <v>45855</v>
      </c>
      <c r="C572" s="17" t="s">
        <v>58</v>
      </c>
      <c r="D572" s="17" t="s">
        <v>83</v>
      </c>
      <c r="E572" s="17" t="s">
        <v>162</v>
      </c>
      <c r="F572" s="17" t="s">
        <v>166</v>
      </c>
      <c r="G572" s="17">
        <v>2</v>
      </c>
      <c r="H572" s="17">
        <v>31515</v>
      </c>
      <c r="I572" s="17">
        <v>63030</v>
      </c>
      <c r="J572" s="17">
        <v>4457</v>
      </c>
      <c r="K572" s="17">
        <v>58573</v>
      </c>
      <c r="L572" s="17">
        <v>11194.634330000001</v>
      </c>
      <c r="M572" s="17">
        <v>2025</v>
      </c>
      <c r="N572" s="17" t="s">
        <v>123</v>
      </c>
    </row>
    <row r="573" spans="1:14" ht="14.25" customHeight="1">
      <c r="A573" s="17">
        <v>10572</v>
      </c>
      <c r="B573" s="18">
        <v>45797</v>
      </c>
      <c r="C573" s="17" t="s">
        <v>167</v>
      </c>
      <c r="D573" s="17" t="s">
        <v>86</v>
      </c>
      <c r="E573" s="17" t="s">
        <v>165</v>
      </c>
      <c r="F573" s="17" t="s">
        <v>172</v>
      </c>
      <c r="G573" s="17">
        <v>4</v>
      </c>
      <c r="H573" s="17">
        <v>15987</v>
      </c>
      <c r="I573" s="17">
        <v>63948</v>
      </c>
      <c r="J573" s="17">
        <v>3240</v>
      </c>
      <c r="K573" s="17">
        <v>60708</v>
      </c>
      <c r="L573" s="17">
        <v>14542.757729999999</v>
      </c>
      <c r="M573" s="17">
        <v>2025</v>
      </c>
      <c r="N573" s="17" t="s">
        <v>117</v>
      </c>
    </row>
    <row r="574" spans="1:14" ht="14.25" customHeight="1">
      <c r="A574" s="17">
        <v>10573</v>
      </c>
      <c r="B574" s="18">
        <v>45658</v>
      </c>
      <c r="C574" s="17" t="s">
        <v>45</v>
      </c>
      <c r="D574" s="17" t="s">
        <v>86</v>
      </c>
      <c r="E574" s="17" t="s">
        <v>162</v>
      </c>
      <c r="F574" s="17" t="s">
        <v>166</v>
      </c>
      <c r="G574" s="17">
        <v>3</v>
      </c>
      <c r="H574" s="17">
        <v>60674</v>
      </c>
      <c r="I574" s="17">
        <v>182022</v>
      </c>
      <c r="J574" s="17">
        <v>4635</v>
      </c>
      <c r="K574" s="17">
        <v>177387</v>
      </c>
      <c r="L574" s="17">
        <v>21755.996650000001</v>
      </c>
      <c r="M574" s="17">
        <v>2025</v>
      </c>
      <c r="N574" s="17" t="s">
        <v>171</v>
      </c>
    </row>
    <row r="575" spans="1:14" ht="14.25" customHeight="1">
      <c r="A575" s="17">
        <v>10574</v>
      </c>
      <c r="B575" s="18">
        <v>45435</v>
      </c>
      <c r="C575" s="17" t="s">
        <v>50</v>
      </c>
      <c r="D575" s="17" t="s">
        <v>89</v>
      </c>
      <c r="E575" s="17" t="s">
        <v>168</v>
      </c>
      <c r="F575" s="17" t="s">
        <v>163</v>
      </c>
      <c r="G575" s="17">
        <v>6</v>
      </c>
      <c r="H575" s="17">
        <v>73209</v>
      </c>
      <c r="I575" s="17">
        <v>439254</v>
      </c>
      <c r="J575" s="17">
        <v>3856</v>
      </c>
      <c r="K575" s="17">
        <v>435398</v>
      </c>
      <c r="L575" s="17">
        <v>86209.654750000002</v>
      </c>
      <c r="M575" s="17">
        <v>2024</v>
      </c>
      <c r="N575" s="17" t="s">
        <v>117</v>
      </c>
    </row>
    <row r="576" spans="1:14" ht="14.25" customHeight="1">
      <c r="A576" s="17">
        <v>10575</v>
      </c>
      <c r="B576" s="18">
        <v>45360</v>
      </c>
      <c r="C576" s="17" t="s">
        <v>167</v>
      </c>
      <c r="D576" s="17" t="s">
        <v>89</v>
      </c>
      <c r="E576" s="17" t="s">
        <v>162</v>
      </c>
      <c r="F576" s="17" t="s">
        <v>172</v>
      </c>
      <c r="G576" s="17">
        <v>8</v>
      </c>
      <c r="H576" s="17">
        <v>52767</v>
      </c>
      <c r="I576" s="17">
        <v>422136</v>
      </c>
      <c r="J576" s="17">
        <v>4928</v>
      </c>
      <c r="K576" s="17">
        <v>417208</v>
      </c>
      <c r="L576" s="17">
        <v>65549.754749999993</v>
      </c>
      <c r="M576" s="17">
        <v>2024</v>
      </c>
      <c r="N576" s="17" t="s">
        <v>112</v>
      </c>
    </row>
    <row r="577" spans="1:14" ht="14.25" customHeight="1">
      <c r="A577" s="17">
        <v>10576</v>
      </c>
      <c r="B577" s="18">
        <v>45390</v>
      </c>
      <c r="C577" s="17" t="s">
        <v>50</v>
      </c>
      <c r="D577" s="17" t="s">
        <v>170</v>
      </c>
      <c r="E577" s="17" t="s">
        <v>168</v>
      </c>
      <c r="F577" s="17" t="s">
        <v>163</v>
      </c>
      <c r="G577" s="17">
        <v>6</v>
      </c>
      <c r="H577" s="17">
        <v>77359</v>
      </c>
      <c r="I577" s="17">
        <v>464154</v>
      </c>
      <c r="J577" s="17">
        <v>313</v>
      </c>
      <c r="K577" s="17">
        <v>463841</v>
      </c>
      <c r="L577" s="17">
        <v>74271.219129999998</v>
      </c>
      <c r="M577" s="17">
        <v>2024</v>
      </c>
      <c r="N577" s="17" t="s">
        <v>114</v>
      </c>
    </row>
    <row r="578" spans="1:14" ht="14.25" customHeight="1">
      <c r="A578" s="17">
        <v>10577</v>
      </c>
      <c r="B578" s="18">
        <v>45687</v>
      </c>
      <c r="C578" s="17" t="s">
        <v>45</v>
      </c>
      <c r="D578" s="17" t="s">
        <v>83</v>
      </c>
      <c r="E578" s="17" t="s">
        <v>165</v>
      </c>
      <c r="F578" s="17" t="s">
        <v>164</v>
      </c>
      <c r="G578" s="17">
        <v>2</v>
      </c>
      <c r="H578" s="17">
        <v>44644</v>
      </c>
      <c r="I578" s="17">
        <v>89288</v>
      </c>
      <c r="J578" s="17">
        <v>232</v>
      </c>
      <c r="K578" s="17">
        <v>89056</v>
      </c>
      <c r="L578" s="17">
        <v>15609.18151</v>
      </c>
      <c r="M578" s="17">
        <v>2025</v>
      </c>
      <c r="N578" s="17" t="s">
        <v>171</v>
      </c>
    </row>
    <row r="579" spans="1:14" ht="14.25" customHeight="1">
      <c r="A579" s="17">
        <v>10578</v>
      </c>
      <c r="B579" s="18">
        <v>45316</v>
      </c>
      <c r="C579" s="17" t="s">
        <v>167</v>
      </c>
      <c r="D579" s="17" t="s">
        <v>86</v>
      </c>
      <c r="E579" s="17" t="s">
        <v>162</v>
      </c>
      <c r="F579" s="17" t="s">
        <v>172</v>
      </c>
      <c r="G579" s="17">
        <v>5</v>
      </c>
      <c r="H579" s="17">
        <v>43741</v>
      </c>
      <c r="I579" s="17">
        <v>218705</v>
      </c>
      <c r="J579" s="17">
        <v>3507</v>
      </c>
      <c r="K579" s="17">
        <v>215198</v>
      </c>
      <c r="L579" s="17">
        <v>29066.297139999999</v>
      </c>
      <c r="M579" s="17">
        <v>2024</v>
      </c>
      <c r="N579" s="17" t="s">
        <v>171</v>
      </c>
    </row>
    <row r="580" spans="1:14" ht="14.25" customHeight="1">
      <c r="A580" s="17">
        <v>10579</v>
      </c>
      <c r="B580" s="18">
        <v>45760</v>
      </c>
      <c r="C580" s="17" t="s">
        <v>45</v>
      </c>
      <c r="D580" s="17" t="s">
        <v>170</v>
      </c>
      <c r="E580" s="17" t="s">
        <v>165</v>
      </c>
      <c r="F580" s="17" t="s">
        <v>172</v>
      </c>
      <c r="G580" s="17">
        <v>6</v>
      </c>
      <c r="H580" s="17">
        <v>70121</v>
      </c>
      <c r="I580" s="17">
        <v>420726</v>
      </c>
      <c r="J580" s="17">
        <v>1029</v>
      </c>
      <c r="K580" s="17">
        <v>419697</v>
      </c>
      <c r="L580" s="17">
        <v>71003.283280000003</v>
      </c>
      <c r="M580" s="17">
        <v>2025</v>
      </c>
      <c r="N580" s="17" t="s">
        <v>114</v>
      </c>
    </row>
    <row r="581" spans="1:14" ht="14.25" customHeight="1">
      <c r="A581" s="17">
        <v>10580</v>
      </c>
      <c r="B581" s="18">
        <v>45775</v>
      </c>
      <c r="C581" s="17" t="s">
        <v>39</v>
      </c>
      <c r="D581" s="17" t="s">
        <v>83</v>
      </c>
      <c r="E581" s="17" t="s">
        <v>168</v>
      </c>
      <c r="F581" s="17" t="s">
        <v>163</v>
      </c>
      <c r="G581" s="17">
        <v>9</v>
      </c>
      <c r="H581" s="17">
        <v>78818</v>
      </c>
      <c r="I581" s="17">
        <v>709362</v>
      </c>
      <c r="J581" s="17">
        <v>3606</v>
      </c>
      <c r="K581" s="17">
        <v>705756</v>
      </c>
      <c r="L581" s="17">
        <v>143287.47070000001</v>
      </c>
      <c r="M581" s="17">
        <v>2025</v>
      </c>
      <c r="N581" s="17" t="s">
        <v>114</v>
      </c>
    </row>
    <row r="582" spans="1:14" ht="14.25" customHeight="1">
      <c r="A582" s="17">
        <v>10581</v>
      </c>
      <c r="B582" s="18">
        <v>45856</v>
      </c>
      <c r="C582" s="17" t="s">
        <v>45</v>
      </c>
      <c r="D582" s="17" t="s">
        <v>86</v>
      </c>
      <c r="E582" s="17" t="s">
        <v>168</v>
      </c>
      <c r="F582" s="17" t="s">
        <v>163</v>
      </c>
      <c r="G582" s="17">
        <v>6</v>
      </c>
      <c r="H582" s="17">
        <v>46435</v>
      </c>
      <c r="I582" s="17">
        <v>278610</v>
      </c>
      <c r="J582" s="17">
        <v>2711</v>
      </c>
      <c r="K582" s="17">
        <v>275899</v>
      </c>
      <c r="L582" s="17">
        <v>46507.454570000002</v>
      </c>
      <c r="M582" s="17">
        <v>2025</v>
      </c>
      <c r="N582" s="17" t="s">
        <v>123</v>
      </c>
    </row>
    <row r="583" spans="1:14" ht="14.25" customHeight="1">
      <c r="A583" s="17">
        <v>10582</v>
      </c>
      <c r="B583" s="18">
        <v>45442</v>
      </c>
      <c r="C583" s="17" t="s">
        <v>50</v>
      </c>
      <c r="D583" s="17" t="s">
        <v>86</v>
      </c>
      <c r="E583" s="17" t="s">
        <v>165</v>
      </c>
      <c r="F583" s="17" t="s">
        <v>163</v>
      </c>
      <c r="G583" s="17">
        <v>5</v>
      </c>
      <c r="H583" s="17">
        <v>13056</v>
      </c>
      <c r="I583" s="17">
        <v>65280</v>
      </c>
      <c r="J583" s="17">
        <v>4339</v>
      </c>
      <c r="K583" s="17">
        <v>60941</v>
      </c>
      <c r="L583" s="17">
        <v>6482.6759099999999</v>
      </c>
      <c r="M583" s="17">
        <v>2024</v>
      </c>
      <c r="N583" s="17" t="s">
        <v>117</v>
      </c>
    </row>
    <row r="584" spans="1:14" ht="14.25" customHeight="1">
      <c r="A584" s="17">
        <v>10583</v>
      </c>
      <c r="B584" s="18">
        <v>45435</v>
      </c>
      <c r="C584" s="17" t="s">
        <v>58</v>
      </c>
      <c r="D584" s="17" t="s">
        <v>89</v>
      </c>
      <c r="E584" s="17" t="s">
        <v>165</v>
      </c>
      <c r="F584" s="17" t="s">
        <v>164</v>
      </c>
      <c r="G584" s="17">
        <v>1</v>
      </c>
      <c r="H584" s="17">
        <v>57418</v>
      </c>
      <c r="I584" s="17">
        <v>57418</v>
      </c>
      <c r="J584" s="17">
        <v>2288</v>
      </c>
      <c r="K584" s="17">
        <v>55130</v>
      </c>
      <c r="L584" s="17">
        <v>7645.0941540000003</v>
      </c>
      <c r="M584" s="17">
        <v>2024</v>
      </c>
      <c r="N584" s="17" t="s">
        <v>117</v>
      </c>
    </row>
    <row r="585" spans="1:14" ht="14.25" customHeight="1">
      <c r="A585" s="17">
        <v>10584</v>
      </c>
      <c r="B585" s="18">
        <v>45860</v>
      </c>
      <c r="C585" s="17" t="s">
        <v>45</v>
      </c>
      <c r="D585" s="17" t="s">
        <v>111</v>
      </c>
      <c r="E585" s="17" t="s">
        <v>168</v>
      </c>
      <c r="F585" s="17" t="s">
        <v>164</v>
      </c>
      <c r="G585" s="17">
        <v>5</v>
      </c>
      <c r="H585" s="17">
        <v>40513</v>
      </c>
      <c r="I585" s="17">
        <v>202565</v>
      </c>
      <c r="J585" s="17">
        <v>3999</v>
      </c>
      <c r="K585" s="17">
        <v>198566</v>
      </c>
      <c r="L585" s="17">
        <v>30324.807290000001</v>
      </c>
      <c r="M585" s="17">
        <v>2025</v>
      </c>
      <c r="N585" s="17" t="s">
        <v>123</v>
      </c>
    </row>
    <row r="586" spans="1:14" ht="14.25" customHeight="1">
      <c r="A586" s="17">
        <v>10585</v>
      </c>
      <c r="B586" s="18">
        <v>45330</v>
      </c>
      <c r="C586" s="17" t="s">
        <v>58</v>
      </c>
      <c r="D586" s="17" t="s">
        <v>83</v>
      </c>
      <c r="E586" s="17" t="s">
        <v>165</v>
      </c>
      <c r="F586" s="17" t="s">
        <v>163</v>
      </c>
      <c r="G586" s="17">
        <v>5</v>
      </c>
      <c r="H586" s="17">
        <v>29660</v>
      </c>
      <c r="I586" s="17">
        <v>148300</v>
      </c>
      <c r="J586" s="17">
        <v>2605</v>
      </c>
      <c r="K586" s="17">
        <v>145695</v>
      </c>
      <c r="L586" s="17">
        <v>22321.664410000001</v>
      </c>
      <c r="M586" s="17">
        <v>2024</v>
      </c>
      <c r="N586" s="17" t="s">
        <v>175</v>
      </c>
    </row>
    <row r="587" spans="1:14" ht="14.25" customHeight="1">
      <c r="A587" s="17">
        <v>10586</v>
      </c>
      <c r="B587" s="18">
        <v>45400</v>
      </c>
      <c r="C587" s="17" t="s">
        <v>39</v>
      </c>
      <c r="D587" s="17" t="s">
        <v>86</v>
      </c>
      <c r="E587" s="17" t="s">
        <v>168</v>
      </c>
      <c r="F587" s="17" t="s">
        <v>172</v>
      </c>
      <c r="G587" s="17">
        <v>6</v>
      </c>
      <c r="H587" s="17">
        <v>7639</v>
      </c>
      <c r="I587" s="17">
        <v>45834</v>
      </c>
      <c r="J587" s="17">
        <v>3344</v>
      </c>
      <c r="K587" s="17">
        <v>42490</v>
      </c>
      <c r="L587" s="17">
        <v>4765.2974290000002</v>
      </c>
      <c r="M587" s="17">
        <v>2024</v>
      </c>
      <c r="N587" s="17" t="s">
        <v>114</v>
      </c>
    </row>
    <row r="588" spans="1:14" ht="14.25" customHeight="1">
      <c r="A588" s="17">
        <v>10587</v>
      </c>
      <c r="B588" s="18">
        <v>45984</v>
      </c>
      <c r="C588" s="17" t="s">
        <v>167</v>
      </c>
      <c r="D588" s="17" t="s">
        <v>83</v>
      </c>
      <c r="E588" s="17" t="s">
        <v>165</v>
      </c>
      <c r="F588" s="17" t="s">
        <v>172</v>
      </c>
      <c r="G588" s="17">
        <v>7</v>
      </c>
      <c r="H588" s="17">
        <v>70612</v>
      </c>
      <c r="I588" s="17">
        <v>494284</v>
      </c>
      <c r="J588" s="17">
        <v>2122</v>
      </c>
      <c r="K588" s="17">
        <v>492162</v>
      </c>
      <c r="L588" s="17">
        <v>82405.431270000001</v>
      </c>
      <c r="M588" s="17">
        <v>2025</v>
      </c>
      <c r="N588" s="17" t="s">
        <v>173</v>
      </c>
    </row>
    <row r="589" spans="1:14" ht="14.25" customHeight="1">
      <c r="A589" s="17">
        <v>10588</v>
      </c>
      <c r="B589" s="18">
        <v>45333</v>
      </c>
      <c r="C589" s="17" t="s">
        <v>167</v>
      </c>
      <c r="D589" s="17" t="s">
        <v>170</v>
      </c>
      <c r="E589" s="17" t="s">
        <v>168</v>
      </c>
      <c r="F589" s="17" t="s">
        <v>163</v>
      </c>
      <c r="G589" s="17">
        <v>4</v>
      </c>
      <c r="H589" s="17">
        <v>77009</v>
      </c>
      <c r="I589" s="17">
        <v>308036</v>
      </c>
      <c r="J589" s="17">
        <v>2330</v>
      </c>
      <c r="K589" s="17">
        <v>305706</v>
      </c>
      <c r="L589" s="17">
        <v>62300.545019999998</v>
      </c>
      <c r="M589" s="17">
        <v>2024</v>
      </c>
      <c r="N589" s="17" t="s">
        <v>175</v>
      </c>
    </row>
    <row r="590" spans="1:14" ht="14.25" customHeight="1">
      <c r="A590" s="17">
        <v>10589</v>
      </c>
      <c r="B590" s="18">
        <v>45477</v>
      </c>
      <c r="C590" s="17" t="s">
        <v>58</v>
      </c>
      <c r="D590" s="17" t="s">
        <v>170</v>
      </c>
      <c r="E590" s="17" t="s">
        <v>168</v>
      </c>
      <c r="F590" s="17" t="s">
        <v>166</v>
      </c>
      <c r="G590" s="17">
        <v>7</v>
      </c>
      <c r="H590" s="17">
        <v>15622</v>
      </c>
      <c r="I590" s="17">
        <v>109354</v>
      </c>
      <c r="J590" s="17">
        <v>3779</v>
      </c>
      <c r="K590" s="17">
        <v>105575</v>
      </c>
      <c r="L590" s="17">
        <v>11328.28225</v>
      </c>
      <c r="M590" s="17">
        <v>2024</v>
      </c>
      <c r="N590" s="17" t="s">
        <v>123</v>
      </c>
    </row>
    <row r="591" spans="1:14" ht="14.25" customHeight="1">
      <c r="A591" s="17">
        <v>10590</v>
      </c>
      <c r="B591" s="18">
        <v>45689</v>
      </c>
      <c r="C591" s="17" t="s">
        <v>167</v>
      </c>
      <c r="D591" s="17" t="s">
        <v>111</v>
      </c>
      <c r="E591" s="17" t="s">
        <v>162</v>
      </c>
      <c r="F591" s="17" t="s">
        <v>164</v>
      </c>
      <c r="G591" s="17">
        <v>5</v>
      </c>
      <c r="H591" s="17">
        <v>23808</v>
      </c>
      <c r="I591" s="17">
        <v>119040</v>
      </c>
      <c r="J591" s="17">
        <v>4182</v>
      </c>
      <c r="K591" s="17">
        <v>114858</v>
      </c>
      <c r="L591" s="17">
        <v>24423.247289999999</v>
      </c>
      <c r="M591" s="17">
        <v>2025</v>
      </c>
      <c r="N591" s="17" t="s">
        <v>175</v>
      </c>
    </row>
    <row r="592" spans="1:14" ht="14.25" customHeight="1">
      <c r="A592" s="17">
        <v>10591</v>
      </c>
      <c r="B592" s="18">
        <v>45514</v>
      </c>
      <c r="C592" s="17" t="s">
        <v>45</v>
      </c>
      <c r="D592" s="17" t="s">
        <v>86</v>
      </c>
      <c r="E592" s="17" t="s">
        <v>168</v>
      </c>
      <c r="F592" s="17" t="s">
        <v>164</v>
      </c>
      <c r="G592" s="17">
        <v>6</v>
      </c>
      <c r="H592" s="17">
        <v>60636</v>
      </c>
      <c r="I592" s="17">
        <v>363816</v>
      </c>
      <c r="J592" s="17">
        <v>880</v>
      </c>
      <c r="K592" s="17">
        <v>362936</v>
      </c>
      <c r="L592" s="17">
        <v>88289.909289999996</v>
      </c>
      <c r="M592" s="17">
        <v>2024</v>
      </c>
      <c r="N592" s="17" t="s">
        <v>126</v>
      </c>
    </row>
    <row r="593" spans="1:14" ht="14.25" customHeight="1">
      <c r="A593" s="17">
        <v>10592</v>
      </c>
      <c r="B593" s="18">
        <v>45925</v>
      </c>
      <c r="C593" s="17" t="s">
        <v>58</v>
      </c>
      <c r="D593" s="17" t="s">
        <v>89</v>
      </c>
      <c r="E593" s="17" t="s">
        <v>168</v>
      </c>
      <c r="F593" s="17" t="s">
        <v>166</v>
      </c>
      <c r="G593" s="17">
        <v>4</v>
      </c>
      <c r="H593" s="17">
        <v>75832</v>
      </c>
      <c r="I593" s="17">
        <v>303328</v>
      </c>
      <c r="J593" s="17">
        <v>2977</v>
      </c>
      <c r="K593" s="17">
        <v>300351</v>
      </c>
      <c r="L593" s="17">
        <v>30455.808690000002</v>
      </c>
      <c r="M593" s="17">
        <v>2025</v>
      </c>
      <c r="N593" s="17" t="s">
        <v>129</v>
      </c>
    </row>
    <row r="594" spans="1:14" ht="14.25" customHeight="1">
      <c r="A594" s="17">
        <v>10593</v>
      </c>
      <c r="B594" s="18">
        <v>45424</v>
      </c>
      <c r="C594" s="17" t="s">
        <v>50</v>
      </c>
      <c r="D594" s="17" t="s">
        <v>86</v>
      </c>
      <c r="E594" s="17" t="s">
        <v>162</v>
      </c>
      <c r="F594" s="17" t="s">
        <v>163</v>
      </c>
      <c r="G594" s="17">
        <v>8</v>
      </c>
      <c r="H594" s="17">
        <v>27951</v>
      </c>
      <c r="I594" s="17">
        <v>223608</v>
      </c>
      <c r="J594" s="17">
        <v>1172</v>
      </c>
      <c r="K594" s="17">
        <v>222436</v>
      </c>
      <c r="L594" s="17">
        <v>28706.221600000001</v>
      </c>
      <c r="M594" s="17">
        <v>2024</v>
      </c>
      <c r="N594" s="17" t="s">
        <v>117</v>
      </c>
    </row>
    <row r="595" spans="1:14" ht="14.25" customHeight="1">
      <c r="A595" s="17">
        <v>10594</v>
      </c>
      <c r="B595" s="18">
        <v>45454</v>
      </c>
      <c r="C595" s="17" t="s">
        <v>45</v>
      </c>
      <c r="D595" s="17" t="s">
        <v>83</v>
      </c>
      <c r="E595" s="17" t="s">
        <v>162</v>
      </c>
      <c r="F595" s="17" t="s">
        <v>172</v>
      </c>
      <c r="G595" s="17">
        <v>9</v>
      </c>
      <c r="H595" s="17">
        <v>70941</v>
      </c>
      <c r="I595" s="17">
        <v>638469</v>
      </c>
      <c r="J595" s="17">
        <v>159</v>
      </c>
      <c r="K595" s="17">
        <v>638310</v>
      </c>
      <c r="L595" s="17">
        <v>115868.053</v>
      </c>
      <c r="M595" s="17">
        <v>2024</v>
      </c>
      <c r="N595" s="17" t="s">
        <v>120</v>
      </c>
    </row>
    <row r="596" spans="1:14" ht="14.25" customHeight="1">
      <c r="A596" s="17">
        <v>10595</v>
      </c>
      <c r="B596" s="18">
        <v>45506</v>
      </c>
      <c r="C596" s="17" t="s">
        <v>45</v>
      </c>
      <c r="D596" s="17" t="s">
        <v>170</v>
      </c>
      <c r="E596" s="17" t="s">
        <v>165</v>
      </c>
      <c r="F596" s="17" t="s">
        <v>172</v>
      </c>
      <c r="G596" s="17">
        <v>2</v>
      </c>
      <c r="H596" s="17">
        <v>50076</v>
      </c>
      <c r="I596" s="17">
        <v>100152</v>
      </c>
      <c r="J596" s="17">
        <v>2493</v>
      </c>
      <c r="K596" s="17">
        <v>97659</v>
      </c>
      <c r="L596" s="17">
        <v>12960.07422</v>
      </c>
      <c r="M596" s="17">
        <v>2024</v>
      </c>
      <c r="N596" s="17" t="s">
        <v>126</v>
      </c>
    </row>
    <row r="597" spans="1:14" ht="14.25" customHeight="1">
      <c r="A597" s="17">
        <v>10596</v>
      </c>
      <c r="B597" s="18">
        <v>45526</v>
      </c>
      <c r="C597" s="17" t="s">
        <v>45</v>
      </c>
      <c r="D597" s="17" t="s">
        <v>83</v>
      </c>
      <c r="E597" s="17" t="s">
        <v>165</v>
      </c>
      <c r="F597" s="17" t="s">
        <v>164</v>
      </c>
      <c r="G597" s="17">
        <v>4</v>
      </c>
      <c r="H597" s="17">
        <v>20345</v>
      </c>
      <c r="I597" s="17">
        <v>81380</v>
      </c>
      <c r="J597" s="17">
        <v>2129</v>
      </c>
      <c r="K597" s="17">
        <v>79251</v>
      </c>
      <c r="L597" s="17">
        <v>17014.70665</v>
      </c>
      <c r="M597" s="17">
        <v>2024</v>
      </c>
      <c r="N597" s="17" t="s">
        <v>126</v>
      </c>
    </row>
    <row r="598" spans="1:14" ht="14.25" customHeight="1">
      <c r="A598" s="17">
        <v>10597</v>
      </c>
      <c r="B598" s="18">
        <v>45949</v>
      </c>
      <c r="C598" s="17" t="s">
        <v>50</v>
      </c>
      <c r="D598" s="17" t="s">
        <v>111</v>
      </c>
      <c r="E598" s="17" t="s">
        <v>168</v>
      </c>
      <c r="F598" s="17" t="s">
        <v>166</v>
      </c>
      <c r="G598" s="17">
        <v>8</v>
      </c>
      <c r="H598" s="17">
        <v>5397</v>
      </c>
      <c r="I598" s="17">
        <v>43176</v>
      </c>
      <c r="J598" s="17">
        <v>3078</v>
      </c>
      <c r="K598" s="17">
        <v>40098</v>
      </c>
      <c r="L598" s="17">
        <v>5887.1942639999997</v>
      </c>
      <c r="M598" s="17">
        <v>2025</v>
      </c>
      <c r="N598" s="17" t="s">
        <v>174</v>
      </c>
    </row>
    <row r="599" spans="1:14" ht="14.25" customHeight="1">
      <c r="A599" s="17">
        <v>10598</v>
      </c>
      <c r="B599" s="18">
        <v>45879</v>
      </c>
      <c r="C599" s="17" t="s">
        <v>39</v>
      </c>
      <c r="D599" s="17" t="s">
        <v>170</v>
      </c>
      <c r="E599" s="17" t="s">
        <v>165</v>
      </c>
      <c r="F599" s="17" t="s">
        <v>172</v>
      </c>
      <c r="G599" s="17">
        <v>8</v>
      </c>
      <c r="H599" s="17">
        <v>19665</v>
      </c>
      <c r="I599" s="17">
        <v>157320</v>
      </c>
      <c r="J599" s="17">
        <v>2229</v>
      </c>
      <c r="K599" s="17">
        <v>155091</v>
      </c>
      <c r="L599" s="17">
        <v>22339.895799999998</v>
      </c>
      <c r="M599" s="17">
        <v>2025</v>
      </c>
      <c r="N599" s="17" t="s">
        <v>126</v>
      </c>
    </row>
    <row r="600" spans="1:14" ht="14.25" customHeight="1">
      <c r="A600" s="17">
        <v>10599</v>
      </c>
      <c r="B600" s="18">
        <v>45300</v>
      </c>
      <c r="C600" s="17" t="s">
        <v>167</v>
      </c>
      <c r="D600" s="17" t="s">
        <v>89</v>
      </c>
      <c r="E600" s="17" t="s">
        <v>165</v>
      </c>
      <c r="F600" s="17" t="s">
        <v>164</v>
      </c>
      <c r="G600" s="17">
        <v>9</v>
      </c>
      <c r="H600" s="17">
        <v>19560</v>
      </c>
      <c r="I600" s="17">
        <v>176040</v>
      </c>
      <c r="J600" s="17">
        <v>2917</v>
      </c>
      <c r="K600" s="17">
        <v>173123</v>
      </c>
      <c r="L600" s="17">
        <v>17336.29162</v>
      </c>
      <c r="M600" s="17">
        <v>2024</v>
      </c>
      <c r="N600" s="17" t="s">
        <v>171</v>
      </c>
    </row>
    <row r="601" spans="1:14" ht="14.25" customHeight="1">
      <c r="A601" s="17">
        <v>10600</v>
      </c>
      <c r="B601" s="18">
        <v>45365</v>
      </c>
      <c r="C601" s="17" t="s">
        <v>58</v>
      </c>
      <c r="D601" s="17" t="s">
        <v>170</v>
      </c>
      <c r="E601" s="17" t="s">
        <v>168</v>
      </c>
      <c r="F601" s="17" t="s">
        <v>172</v>
      </c>
      <c r="G601" s="17">
        <v>3</v>
      </c>
      <c r="H601" s="17">
        <v>31376</v>
      </c>
      <c r="I601" s="17">
        <v>94128</v>
      </c>
      <c r="J601" s="17">
        <v>3013</v>
      </c>
      <c r="K601" s="17">
        <v>91115</v>
      </c>
      <c r="L601" s="17">
        <v>12803.382149999999</v>
      </c>
      <c r="M601" s="17">
        <v>2024</v>
      </c>
      <c r="N601" s="17" t="s">
        <v>112</v>
      </c>
    </row>
    <row r="602" spans="1:14" ht="14.25" customHeight="1">
      <c r="A602" s="17">
        <v>10601</v>
      </c>
      <c r="B602" s="18">
        <v>45783</v>
      </c>
      <c r="C602" s="17" t="s">
        <v>39</v>
      </c>
      <c r="D602" s="17" t="s">
        <v>86</v>
      </c>
      <c r="E602" s="17" t="s">
        <v>162</v>
      </c>
      <c r="F602" s="17" t="s">
        <v>172</v>
      </c>
      <c r="G602" s="17">
        <v>1</v>
      </c>
      <c r="H602" s="17">
        <v>24857</v>
      </c>
      <c r="I602" s="17">
        <v>24857</v>
      </c>
      <c r="J602" s="17">
        <v>1549</v>
      </c>
      <c r="K602" s="17">
        <v>23308</v>
      </c>
      <c r="L602" s="17">
        <v>3091.8196790000002</v>
      </c>
      <c r="M602" s="17">
        <v>2025</v>
      </c>
      <c r="N602" s="17" t="s">
        <v>117</v>
      </c>
    </row>
    <row r="603" spans="1:14" ht="14.25" customHeight="1">
      <c r="A603" s="17">
        <v>10602</v>
      </c>
      <c r="B603" s="18">
        <v>45544</v>
      </c>
      <c r="C603" s="17" t="s">
        <v>58</v>
      </c>
      <c r="D603" s="17" t="s">
        <v>86</v>
      </c>
      <c r="E603" s="17" t="s">
        <v>162</v>
      </c>
      <c r="F603" s="17" t="s">
        <v>172</v>
      </c>
      <c r="G603" s="17">
        <v>9</v>
      </c>
      <c r="H603" s="17">
        <v>69268</v>
      </c>
      <c r="I603" s="17">
        <v>623412</v>
      </c>
      <c r="J603" s="17">
        <v>4573</v>
      </c>
      <c r="K603" s="17">
        <v>618839</v>
      </c>
      <c r="L603" s="17">
        <v>93745.534530000004</v>
      </c>
      <c r="M603" s="17">
        <v>2024</v>
      </c>
      <c r="N603" s="17" t="s">
        <v>129</v>
      </c>
    </row>
    <row r="604" spans="1:14" ht="14.25" customHeight="1">
      <c r="A604" s="17">
        <v>10603</v>
      </c>
      <c r="B604" s="18">
        <v>45521</v>
      </c>
      <c r="C604" s="17" t="s">
        <v>167</v>
      </c>
      <c r="D604" s="17" t="s">
        <v>170</v>
      </c>
      <c r="E604" s="17" t="s">
        <v>168</v>
      </c>
      <c r="F604" s="17" t="s">
        <v>164</v>
      </c>
      <c r="G604" s="17">
        <v>1</v>
      </c>
      <c r="H604" s="17">
        <v>25310</v>
      </c>
      <c r="I604" s="17">
        <v>25310</v>
      </c>
      <c r="J604" s="17">
        <v>3385</v>
      </c>
      <c r="K604" s="17">
        <v>21925</v>
      </c>
      <c r="L604" s="17">
        <v>2678.105818</v>
      </c>
      <c r="M604" s="17">
        <v>2024</v>
      </c>
      <c r="N604" s="17" t="s">
        <v>126</v>
      </c>
    </row>
    <row r="605" spans="1:14" ht="14.25" customHeight="1">
      <c r="A605" s="17">
        <v>10604</v>
      </c>
      <c r="B605" s="18">
        <v>45810</v>
      </c>
      <c r="C605" s="17" t="s">
        <v>50</v>
      </c>
      <c r="D605" s="17" t="s">
        <v>111</v>
      </c>
      <c r="E605" s="17" t="s">
        <v>168</v>
      </c>
      <c r="F605" s="17" t="s">
        <v>166</v>
      </c>
      <c r="G605" s="17">
        <v>3</v>
      </c>
      <c r="H605" s="17">
        <v>23328</v>
      </c>
      <c r="I605" s="17">
        <v>69984</v>
      </c>
      <c r="J605" s="17">
        <v>1579</v>
      </c>
      <c r="K605" s="17">
        <v>68405</v>
      </c>
      <c r="L605" s="17">
        <v>12942.041300000001</v>
      </c>
      <c r="M605" s="17">
        <v>2025</v>
      </c>
      <c r="N605" s="17" t="s">
        <v>120</v>
      </c>
    </row>
    <row r="606" spans="1:14" ht="14.25" customHeight="1">
      <c r="A606" s="17">
        <v>10605</v>
      </c>
      <c r="B606" s="18">
        <v>45465</v>
      </c>
      <c r="C606" s="17" t="s">
        <v>45</v>
      </c>
      <c r="D606" s="17" t="s">
        <v>86</v>
      </c>
      <c r="E606" s="17" t="s">
        <v>168</v>
      </c>
      <c r="F606" s="17" t="s">
        <v>163</v>
      </c>
      <c r="G606" s="17">
        <v>3</v>
      </c>
      <c r="H606" s="17">
        <v>46397</v>
      </c>
      <c r="I606" s="17">
        <v>139191</v>
      </c>
      <c r="J606" s="17">
        <v>3371</v>
      </c>
      <c r="K606" s="17">
        <v>135820</v>
      </c>
      <c r="L606" s="17">
        <v>18445.88147</v>
      </c>
      <c r="M606" s="17">
        <v>2024</v>
      </c>
      <c r="N606" s="17" t="s">
        <v>120</v>
      </c>
    </row>
    <row r="607" spans="1:14" ht="14.25" customHeight="1">
      <c r="A607" s="17">
        <v>10606</v>
      </c>
      <c r="B607" s="18">
        <v>45944</v>
      </c>
      <c r="C607" s="17" t="s">
        <v>45</v>
      </c>
      <c r="D607" s="17" t="s">
        <v>86</v>
      </c>
      <c r="E607" s="17" t="s">
        <v>168</v>
      </c>
      <c r="F607" s="17" t="s">
        <v>166</v>
      </c>
      <c r="G607" s="17">
        <v>9</v>
      </c>
      <c r="H607" s="17">
        <v>43159</v>
      </c>
      <c r="I607" s="17">
        <v>388431</v>
      </c>
      <c r="J607" s="17">
        <v>1960</v>
      </c>
      <c r="K607" s="17">
        <v>386471</v>
      </c>
      <c r="L607" s="17">
        <v>86864.238270000002</v>
      </c>
      <c r="M607" s="17">
        <v>2025</v>
      </c>
      <c r="N607" s="17" t="s">
        <v>174</v>
      </c>
    </row>
    <row r="608" spans="1:14" ht="14.25" customHeight="1">
      <c r="A608" s="17">
        <v>10607</v>
      </c>
      <c r="B608" s="18">
        <v>45459</v>
      </c>
      <c r="C608" s="17" t="s">
        <v>50</v>
      </c>
      <c r="D608" s="17" t="s">
        <v>89</v>
      </c>
      <c r="E608" s="17" t="s">
        <v>168</v>
      </c>
      <c r="F608" s="17" t="s">
        <v>172</v>
      </c>
      <c r="G608" s="17">
        <v>1</v>
      </c>
      <c r="H608" s="17">
        <v>55762</v>
      </c>
      <c r="I608" s="17">
        <v>55762</v>
      </c>
      <c r="J608" s="17">
        <v>3844</v>
      </c>
      <c r="K608" s="17">
        <v>51918</v>
      </c>
      <c r="L608" s="17">
        <v>7407.8519219999998</v>
      </c>
      <c r="M608" s="17">
        <v>2024</v>
      </c>
      <c r="N608" s="17" t="s">
        <v>120</v>
      </c>
    </row>
    <row r="609" spans="1:14" ht="14.25" customHeight="1">
      <c r="A609" s="17">
        <v>10608</v>
      </c>
      <c r="B609" s="18">
        <v>45461</v>
      </c>
      <c r="C609" s="17" t="s">
        <v>39</v>
      </c>
      <c r="D609" s="17" t="s">
        <v>170</v>
      </c>
      <c r="E609" s="17" t="s">
        <v>168</v>
      </c>
      <c r="F609" s="17" t="s">
        <v>166</v>
      </c>
      <c r="G609" s="17">
        <v>7</v>
      </c>
      <c r="H609" s="17">
        <v>78366</v>
      </c>
      <c r="I609" s="17">
        <v>548562</v>
      </c>
      <c r="J609" s="17">
        <v>4697</v>
      </c>
      <c r="K609" s="17">
        <v>543865</v>
      </c>
      <c r="L609" s="17">
        <v>71589.189209999997</v>
      </c>
      <c r="M609" s="17">
        <v>2024</v>
      </c>
      <c r="N609" s="17" t="s">
        <v>120</v>
      </c>
    </row>
    <row r="610" spans="1:14" ht="14.25" customHeight="1">
      <c r="A610" s="17">
        <v>10609</v>
      </c>
      <c r="B610" s="18">
        <v>45684</v>
      </c>
      <c r="C610" s="17" t="s">
        <v>39</v>
      </c>
      <c r="D610" s="17" t="s">
        <v>86</v>
      </c>
      <c r="E610" s="17" t="s">
        <v>165</v>
      </c>
      <c r="F610" s="17" t="s">
        <v>172</v>
      </c>
      <c r="G610" s="17">
        <v>2</v>
      </c>
      <c r="H610" s="17">
        <v>64304</v>
      </c>
      <c r="I610" s="17">
        <v>128608</v>
      </c>
      <c r="J610" s="17">
        <v>2390</v>
      </c>
      <c r="K610" s="17">
        <v>126218</v>
      </c>
      <c r="L610" s="17">
        <v>13696.256509999999</v>
      </c>
      <c r="M610" s="17">
        <v>2025</v>
      </c>
      <c r="N610" s="17" t="s">
        <v>171</v>
      </c>
    </row>
    <row r="611" spans="1:14" ht="14.25" customHeight="1">
      <c r="A611" s="17">
        <v>10610</v>
      </c>
      <c r="B611" s="18">
        <v>45925</v>
      </c>
      <c r="C611" s="17" t="s">
        <v>58</v>
      </c>
      <c r="D611" s="17" t="s">
        <v>111</v>
      </c>
      <c r="E611" s="17" t="s">
        <v>165</v>
      </c>
      <c r="F611" s="17" t="s">
        <v>164</v>
      </c>
      <c r="G611" s="17">
        <v>7</v>
      </c>
      <c r="H611" s="17">
        <v>53998</v>
      </c>
      <c r="I611" s="17">
        <v>377986</v>
      </c>
      <c r="J611" s="17">
        <v>1419</v>
      </c>
      <c r="K611" s="17">
        <v>376567</v>
      </c>
      <c r="L611" s="17">
        <v>79450.366380000007</v>
      </c>
      <c r="M611" s="17">
        <v>2025</v>
      </c>
      <c r="N611" s="17" t="s">
        <v>129</v>
      </c>
    </row>
    <row r="612" spans="1:14" ht="14.25" customHeight="1">
      <c r="A612" s="17">
        <v>10611</v>
      </c>
      <c r="B612" s="18">
        <v>45485</v>
      </c>
      <c r="C612" s="17" t="s">
        <v>50</v>
      </c>
      <c r="D612" s="17" t="s">
        <v>83</v>
      </c>
      <c r="E612" s="17" t="s">
        <v>165</v>
      </c>
      <c r="F612" s="17" t="s">
        <v>164</v>
      </c>
      <c r="G612" s="17">
        <v>1</v>
      </c>
      <c r="H612" s="17">
        <v>69853</v>
      </c>
      <c r="I612" s="17">
        <v>69853</v>
      </c>
      <c r="J612" s="17">
        <v>3917</v>
      </c>
      <c r="K612" s="17">
        <v>65936</v>
      </c>
      <c r="L612" s="17">
        <v>11619.98213</v>
      </c>
      <c r="M612" s="17">
        <v>2024</v>
      </c>
      <c r="N612" s="17" t="s">
        <v>123</v>
      </c>
    </row>
    <row r="613" spans="1:14" ht="14.25" customHeight="1">
      <c r="A613" s="17">
        <v>10612</v>
      </c>
      <c r="B613" s="18">
        <v>45808</v>
      </c>
      <c r="C613" s="17" t="s">
        <v>39</v>
      </c>
      <c r="D613" s="17" t="s">
        <v>170</v>
      </c>
      <c r="E613" s="17" t="s">
        <v>162</v>
      </c>
      <c r="F613" s="17" t="s">
        <v>164</v>
      </c>
      <c r="G613" s="17">
        <v>8</v>
      </c>
      <c r="H613" s="17">
        <v>24048</v>
      </c>
      <c r="I613" s="17">
        <v>192384</v>
      </c>
      <c r="J613" s="17">
        <v>3835</v>
      </c>
      <c r="K613" s="17">
        <v>188549</v>
      </c>
      <c r="L613" s="17">
        <v>22072.950560000001</v>
      </c>
      <c r="M613" s="17">
        <v>2025</v>
      </c>
      <c r="N613" s="17" t="s">
        <v>117</v>
      </c>
    </row>
    <row r="614" spans="1:14" ht="14.25" customHeight="1">
      <c r="A614" s="17">
        <v>10613</v>
      </c>
      <c r="B614" s="18">
        <v>45320</v>
      </c>
      <c r="C614" s="17" t="s">
        <v>50</v>
      </c>
      <c r="D614" s="17" t="s">
        <v>89</v>
      </c>
      <c r="E614" s="17" t="s">
        <v>168</v>
      </c>
      <c r="F614" s="17" t="s">
        <v>172</v>
      </c>
      <c r="G614" s="17">
        <v>2</v>
      </c>
      <c r="H614" s="17">
        <v>55217</v>
      </c>
      <c r="I614" s="17">
        <v>110434</v>
      </c>
      <c r="J614" s="17">
        <v>4428</v>
      </c>
      <c r="K614" s="17">
        <v>106006</v>
      </c>
      <c r="L614" s="17">
        <v>14120.02224</v>
      </c>
      <c r="M614" s="17">
        <v>2024</v>
      </c>
      <c r="N614" s="17" t="s">
        <v>171</v>
      </c>
    </row>
    <row r="615" spans="1:14" ht="14.25" customHeight="1">
      <c r="A615" s="17">
        <v>10614</v>
      </c>
      <c r="B615" s="18">
        <v>45456</v>
      </c>
      <c r="C615" s="17" t="s">
        <v>167</v>
      </c>
      <c r="D615" s="17" t="s">
        <v>86</v>
      </c>
      <c r="E615" s="17" t="s">
        <v>168</v>
      </c>
      <c r="F615" s="17" t="s">
        <v>166</v>
      </c>
      <c r="G615" s="17">
        <v>3</v>
      </c>
      <c r="H615" s="17">
        <v>51255</v>
      </c>
      <c r="I615" s="17">
        <v>153765</v>
      </c>
      <c r="J615" s="17">
        <v>4450</v>
      </c>
      <c r="K615" s="17">
        <v>149315</v>
      </c>
      <c r="L615" s="17">
        <v>37300.060740000001</v>
      </c>
      <c r="M615" s="17">
        <v>2024</v>
      </c>
      <c r="N615" s="17" t="s">
        <v>120</v>
      </c>
    </row>
    <row r="616" spans="1:14" ht="14.25" customHeight="1">
      <c r="A616" s="17">
        <v>10615</v>
      </c>
      <c r="B616" s="18">
        <v>45713</v>
      </c>
      <c r="C616" s="17" t="s">
        <v>45</v>
      </c>
      <c r="D616" s="17" t="s">
        <v>111</v>
      </c>
      <c r="E616" s="17" t="s">
        <v>165</v>
      </c>
      <c r="F616" s="17" t="s">
        <v>163</v>
      </c>
      <c r="G616" s="17">
        <v>8</v>
      </c>
      <c r="H616" s="17">
        <v>63620</v>
      </c>
      <c r="I616" s="17">
        <v>508960</v>
      </c>
      <c r="J616" s="17">
        <v>3630</v>
      </c>
      <c r="K616" s="17">
        <v>505330</v>
      </c>
      <c r="L616" s="17">
        <v>111629.5745</v>
      </c>
      <c r="M616" s="17">
        <v>2025</v>
      </c>
      <c r="N616" s="17" t="s">
        <v>175</v>
      </c>
    </row>
    <row r="617" spans="1:14" ht="14.25" customHeight="1">
      <c r="A617" s="17">
        <v>10616</v>
      </c>
      <c r="B617" s="18">
        <v>45630</v>
      </c>
      <c r="C617" s="17" t="s">
        <v>45</v>
      </c>
      <c r="D617" s="17" t="s">
        <v>170</v>
      </c>
      <c r="E617" s="17" t="s">
        <v>162</v>
      </c>
      <c r="F617" s="17" t="s">
        <v>163</v>
      </c>
      <c r="G617" s="17">
        <v>3</v>
      </c>
      <c r="H617" s="17">
        <v>75929</v>
      </c>
      <c r="I617" s="17">
        <v>227787</v>
      </c>
      <c r="J617" s="17">
        <v>4942</v>
      </c>
      <c r="K617" s="17">
        <v>222845</v>
      </c>
      <c r="L617" s="17">
        <v>33979.499830000001</v>
      </c>
      <c r="M617" s="17">
        <v>2024</v>
      </c>
      <c r="N617" s="17" t="s">
        <v>169</v>
      </c>
    </row>
    <row r="618" spans="1:14" ht="14.25" customHeight="1">
      <c r="A618" s="17">
        <v>10617</v>
      </c>
      <c r="B618" s="18">
        <v>45939</v>
      </c>
      <c r="C618" s="17" t="s">
        <v>45</v>
      </c>
      <c r="D618" s="17" t="s">
        <v>111</v>
      </c>
      <c r="E618" s="17" t="s">
        <v>165</v>
      </c>
      <c r="F618" s="17" t="s">
        <v>164</v>
      </c>
      <c r="G618" s="17">
        <v>1</v>
      </c>
      <c r="H618" s="17">
        <v>28885</v>
      </c>
      <c r="I618" s="17">
        <v>28885</v>
      </c>
      <c r="J618" s="17">
        <v>162</v>
      </c>
      <c r="K618" s="17">
        <v>28723</v>
      </c>
      <c r="L618" s="17">
        <v>5209.8703599999999</v>
      </c>
      <c r="M618" s="17">
        <v>2025</v>
      </c>
      <c r="N618" s="17" t="s">
        <v>174</v>
      </c>
    </row>
    <row r="619" spans="1:14" ht="14.25" customHeight="1">
      <c r="A619" s="17">
        <v>10618</v>
      </c>
      <c r="B619" s="18">
        <v>45787</v>
      </c>
      <c r="C619" s="17" t="s">
        <v>50</v>
      </c>
      <c r="D619" s="17" t="s">
        <v>111</v>
      </c>
      <c r="E619" s="17" t="s">
        <v>168</v>
      </c>
      <c r="F619" s="17" t="s">
        <v>163</v>
      </c>
      <c r="G619" s="17">
        <v>9</v>
      </c>
      <c r="H619" s="17">
        <v>71139</v>
      </c>
      <c r="I619" s="17">
        <v>640251</v>
      </c>
      <c r="J619" s="17">
        <v>115</v>
      </c>
      <c r="K619" s="17">
        <v>640136</v>
      </c>
      <c r="L619" s="17">
        <v>103959.734</v>
      </c>
      <c r="M619" s="17">
        <v>2025</v>
      </c>
      <c r="N619" s="17" t="s">
        <v>117</v>
      </c>
    </row>
    <row r="620" spans="1:14" ht="14.25" customHeight="1">
      <c r="A620" s="17">
        <v>10619</v>
      </c>
      <c r="B620" s="18">
        <v>45656</v>
      </c>
      <c r="C620" s="17" t="s">
        <v>50</v>
      </c>
      <c r="D620" s="17" t="s">
        <v>89</v>
      </c>
      <c r="E620" s="17" t="s">
        <v>168</v>
      </c>
      <c r="F620" s="17" t="s">
        <v>172</v>
      </c>
      <c r="G620" s="17">
        <v>8</v>
      </c>
      <c r="H620" s="17">
        <v>76831</v>
      </c>
      <c r="I620" s="17">
        <v>614648</v>
      </c>
      <c r="J620" s="17">
        <v>1470</v>
      </c>
      <c r="K620" s="17">
        <v>613178</v>
      </c>
      <c r="L620" s="17">
        <v>64664.792139999998</v>
      </c>
      <c r="M620" s="17">
        <v>2024</v>
      </c>
      <c r="N620" s="17" t="s">
        <v>169</v>
      </c>
    </row>
    <row r="621" spans="1:14" ht="14.25" customHeight="1">
      <c r="A621" s="17">
        <v>10620</v>
      </c>
      <c r="B621" s="18">
        <v>45633</v>
      </c>
      <c r="C621" s="17" t="s">
        <v>58</v>
      </c>
      <c r="D621" s="17" t="s">
        <v>170</v>
      </c>
      <c r="E621" s="17" t="s">
        <v>165</v>
      </c>
      <c r="F621" s="17" t="s">
        <v>166</v>
      </c>
      <c r="G621" s="17">
        <v>4</v>
      </c>
      <c r="H621" s="17">
        <v>46148</v>
      </c>
      <c r="I621" s="17">
        <v>184592</v>
      </c>
      <c r="J621" s="17">
        <v>3079</v>
      </c>
      <c r="K621" s="17">
        <v>181513</v>
      </c>
      <c r="L621" s="17">
        <v>39352.300000000003</v>
      </c>
      <c r="M621" s="17">
        <v>2024</v>
      </c>
      <c r="N621" s="17" t="s">
        <v>169</v>
      </c>
    </row>
    <row r="622" spans="1:14" ht="14.25" customHeight="1">
      <c r="A622" s="17">
        <v>10621</v>
      </c>
      <c r="B622" s="18">
        <v>45791</v>
      </c>
      <c r="C622" s="17" t="s">
        <v>45</v>
      </c>
      <c r="D622" s="17" t="s">
        <v>86</v>
      </c>
      <c r="E622" s="17" t="s">
        <v>165</v>
      </c>
      <c r="F622" s="17" t="s">
        <v>163</v>
      </c>
      <c r="G622" s="17">
        <v>8</v>
      </c>
      <c r="H622" s="17">
        <v>12103</v>
      </c>
      <c r="I622" s="17">
        <v>96824</v>
      </c>
      <c r="J622" s="17">
        <v>3852</v>
      </c>
      <c r="K622" s="17">
        <v>92972</v>
      </c>
      <c r="L622" s="17">
        <v>19296.144939999998</v>
      </c>
      <c r="M622" s="17">
        <v>2025</v>
      </c>
      <c r="N622" s="17" t="s">
        <v>117</v>
      </c>
    </row>
    <row r="623" spans="1:14" ht="14.25" customHeight="1">
      <c r="A623" s="17">
        <v>10622</v>
      </c>
      <c r="B623" s="18">
        <v>45948</v>
      </c>
      <c r="C623" s="17" t="s">
        <v>58</v>
      </c>
      <c r="D623" s="17" t="s">
        <v>89</v>
      </c>
      <c r="E623" s="17" t="s">
        <v>168</v>
      </c>
      <c r="F623" s="17" t="s">
        <v>163</v>
      </c>
      <c r="G623" s="17">
        <v>5</v>
      </c>
      <c r="H623" s="17">
        <v>30251</v>
      </c>
      <c r="I623" s="17">
        <v>151255</v>
      </c>
      <c r="J623" s="17">
        <v>2838</v>
      </c>
      <c r="K623" s="17">
        <v>148417</v>
      </c>
      <c r="L623" s="17">
        <v>23942.681970000001</v>
      </c>
      <c r="M623" s="17">
        <v>2025</v>
      </c>
      <c r="N623" s="17" t="s">
        <v>174</v>
      </c>
    </row>
    <row r="624" spans="1:14" ht="14.25" customHeight="1">
      <c r="A624" s="17">
        <v>10623</v>
      </c>
      <c r="B624" s="18">
        <v>45802</v>
      </c>
      <c r="C624" s="17" t="s">
        <v>45</v>
      </c>
      <c r="D624" s="17" t="s">
        <v>86</v>
      </c>
      <c r="E624" s="17" t="s">
        <v>165</v>
      </c>
      <c r="F624" s="17" t="s">
        <v>166</v>
      </c>
      <c r="G624" s="17">
        <v>3</v>
      </c>
      <c r="H624" s="17">
        <v>19546</v>
      </c>
      <c r="I624" s="17">
        <v>58638</v>
      </c>
      <c r="J624" s="17">
        <v>542</v>
      </c>
      <c r="K624" s="17">
        <v>58096</v>
      </c>
      <c r="L624" s="17">
        <v>13181.086010000001</v>
      </c>
      <c r="M624" s="17">
        <v>2025</v>
      </c>
      <c r="N624" s="17" t="s">
        <v>117</v>
      </c>
    </row>
    <row r="625" spans="1:14" ht="14.25" customHeight="1">
      <c r="A625" s="17">
        <v>10624</v>
      </c>
      <c r="B625" s="18">
        <v>45618</v>
      </c>
      <c r="C625" s="17" t="s">
        <v>58</v>
      </c>
      <c r="D625" s="17" t="s">
        <v>83</v>
      </c>
      <c r="E625" s="17" t="s">
        <v>168</v>
      </c>
      <c r="F625" s="17" t="s">
        <v>163</v>
      </c>
      <c r="G625" s="17">
        <v>1</v>
      </c>
      <c r="H625" s="17">
        <v>20456</v>
      </c>
      <c r="I625" s="17">
        <v>20456</v>
      </c>
      <c r="J625" s="17">
        <v>413</v>
      </c>
      <c r="K625" s="17">
        <v>20043</v>
      </c>
      <c r="L625" s="17">
        <v>3611.9663519999999</v>
      </c>
      <c r="M625" s="17">
        <v>2024</v>
      </c>
      <c r="N625" s="17" t="s">
        <v>173</v>
      </c>
    </row>
    <row r="626" spans="1:14" ht="14.25" customHeight="1">
      <c r="A626" s="17">
        <v>10625</v>
      </c>
      <c r="B626" s="18">
        <v>45508</v>
      </c>
      <c r="C626" s="17" t="s">
        <v>58</v>
      </c>
      <c r="D626" s="17" t="s">
        <v>111</v>
      </c>
      <c r="E626" s="17" t="s">
        <v>165</v>
      </c>
      <c r="F626" s="17" t="s">
        <v>166</v>
      </c>
      <c r="G626" s="17">
        <v>5</v>
      </c>
      <c r="H626" s="17">
        <v>23228</v>
      </c>
      <c r="I626" s="17">
        <v>116140</v>
      </c>
      <c r="J626" s="17">
        <v>681</v>
      </c>
      <c r="K626" s="17">
        <v>115459</v>
      </c>
      <c r="L626" s="17">
        <v>12675.23518</v>
      </c>
      <c r="M626" s="17">
        <v>2024</v>
      </c>
      <c r="N626" s="17" t="s">
        <v>126</v>
      </c>
    </row>
    <row r="627" spans="1:14" ht="14.25" customHeight="1">
      <c r="A627" s="17">
        <v>10626</v>
      </c>
      <c r="B627" s="18">
        <v>45592</v>
      </c>
      <c r="C627" s="17" t="s">
        <v>167</v>
      </c>
      <c r="D627" s="17" t="s">
        <v>83</v>
      </c>
      <c r="E627" s="17" t="s">
        <v>162</v>
      </c>
      <c r="F627" s="17" t="s">
        <v>172</v>
      </c>
      <c r="G627" s="17">
        <v>6</v>
      </c>
      <c r="H627" s="17">
        <v>5046</v>
      </c>
      <c r="I627" s="17">
        <v>30276</v>
      </c>
      <c r="J627" s="17">
        <v>641</v>
      </c>
      <c r="K627" s="17">
        <v>29635</v>
      </c>
      <c r="L627" s="17">
        <v>4116.6258120000002</v>
      </c>
      <c r="M627" s="17">
        <v>2024</v>
      </c>
      <c r="N627" s="17" t="s">
        <v>174</v>
      </c>
    </row>
    <row r="628" spans="1:14" ht="14.25" customHeight="1">
      <c r="A628" s="17">
        <v>10627</v>
      </c>
      <c r="B628" s="18">
        <v>45423</v>
      </c>
      <c r="C628" s="17" t="s">
        <v>58</v>
      </c>
      <c r="D628" s="17" t="s">
        <v>111</v>
      </c>
      <c r="E628" s="17" t="s">
        <v>168</v>
      </c>
      <c r="F628" s="17" t="s">
        <v>172</v>
      </c>
      <c r="G628" s="17">
        <v>4</v>
      </c>
      <c r="H628" s="17">
        <v>71355</v>
      </c>
      <c r="I628" s="17">
        <v>285420</v>
      </c>
      <c r="J628" s="17">
        <v>3978</v>
      </c>
      <c r="K628" s="17">
        <v>281442</v>
      </c>
      <c r="L628" s="17">
        <v>47638.540580000001</v>
      </c>
      <c r="M628" s="17">
        <v>2024</v>
      </c>
      <c r="N628" s="17" t="s">
        <v>117</v>
      </c>
    </row>
    <row r="629" spans="1:14" ht="14.25" customHeight="1">
      <c r="A629" s="17">
        <v>10628</v>
      </c>
      <c r="B629" s="18">
        <v>45361</v>
      </c>
      <c r="C629" s="17" t="s">
        <v>50</v>
      </c>
      <c r="D629" s="17" t="s">
        <v>89</v>
      </c>
      <c r="E629" s="17" t="s">
        <v>162</v>
      </c>
      <c r="F629" s="17" t="s">
        <v>172</v>
      </c>
      <c r="G629" s="17">
        <v>7</v>
      </c>
      <c r="H629" s="17">
        <v>41575</v>
      </c>
      <c r="I629" s="17">
        <v>291025</v>
      </c>
      <c r="J629" s="17">
        <v>1432</v>
      </c>
      <c r="K629" s="17">
        <v>289593</v>
      </c>
      <c r="L629" s="17">
        <v>33453.026310000001</v>
      </c>
      <c r="M629" s="17">
        <v>2024</v>
      </c>
      <c r="N629" s="17" t="s">
        <v>112</v>
      </c>
    </row>
    <row r="630" spans="1:14" ht="14.25" customHeight="1">
      <c r="A630" s="17">
        <v>10629</v>
      </c>
      <c r="B630" s="18">
        <v>45543</v>
      </c>
      <c r="C630" s="17" t="s">
        <v>58</v>
      </c>
      <c r="D630" s="17" t="s">
        <v>86</v>
      </c>
      <c r="E630" s="17" t="s">
        <v>165</v>
      </c>
      <c r="F630" s="17" t="s">
        <v>164</v>
      </c>
      <c r="G630" s="17">
        <v>3</v>
      </c>
      <c r="H630" s="17">
        <v>6080</v>
      </c>
      <c r="I630" s="17">
        <v>18240</v>
      </c>
      <c r="J630" s="17">
        <v>668</v>
      </c>
      <c r="K630" s="17">
        <v>17572</v>
      </c>
      <c r="L630" s="17">
        <v>3262.4558080000002</v>
      </c>
      <c r="M630" s="17">
        <v>2024</v>
      </c>
      <c r="N630" s="17" t="s">
        <v>129</v>
      </c>
    </row>
    <row r="631" spans="1:14" ht="14.25" customHeight="1">
      <c r="A631" s="17">
        <v>10630</v>
      </c>
      <c r="B631" s="18">
        <v>45706</v>
      </c>
      <c r="C631" s="17" t="s">
        <v>45</v>
      </c>
      <c r="D631" s="17" t="s">
        <v>86</v>
      </c>
      <c r="E631" s="17" t="s">
        <v>162</v>
      </c>
      <c r="F631" s="17" t="s">
        <v>172</v>
      </c>
      <c r="G631" s="17">
        <v>7</v>
      </c>
      <c r="H631" s="17">
        <v>73682</v>
      </c>
      <c r="I631" s="17">
        <v>515774</v>
      </c>
      <c r="J631" s="17">
        <v>2069</v>
      </c>
      <c r="K631" s="17">
        <v>513705</v>
      </c>
      <c r="L631" s="17">
        <v>60660.970119999998</v>
      </c>
      <c r="M631" s="17">
        <v>2025</v>
      </c>
      <c r="N631" s="17" t="s">
        <v>175</v>
      </c>
    </row>
    <row r="632" spans="1:14" ht="14.25" customHeight="1">
      <c r="A632" s="17">
        <v>10631</v>
      </c>
      <c r="B632" s="18">
        <v>45736</v>
      </c>
      <c r="C632" s="17" t="s">
        <v>58</v>
      </c>
      <c r="D632" s="17" t="s">
        <v>89</v>
      </c>
      <c r="E632" s="17" t="s">
        <v>165</v>
      </c>
      <c r="F632" s="17" t="s">
        <v>163</v>
      </c>
      <c r="G632" s="17">
        <v>1</v>
      </c>
      <c r="H632" s="17">
        <v>20930</v>
      </c>
      <c r="I632" s="17">
        <v>20930</v>
      </c>
      <c r="J632" s="17">
        <v>968</v>
      </c>
      <c r="K632" s="17">
        <v>19962</v>
      </c>
      <c r="L632" s="17">
        <v>2596.5816599999998</v>
      </c>
      <c r="M632" s="17">
        <v>2025</v>
      </c>
      <c r="N632" s="17" t="s">
        <v>112</v>
      </c>
    </row>
    <row r="633" spans="1:14" ht="14.25" customHeight="1">
      <c r="A633" s="17">
        <v>10632</v>
      </c>
      <c r="B633" s="18">
        <v>45473</v>
      </c>
      <c r="C633" s="17" t="s">
        <v>39</v>
      </c>
      <c r="D633" s="17" t="s">
        <v>170</v>
      </c>
      <c r="E633" s="17" t="s">
        <v>162</v>
      </c>
      <c r="F633" s="17" t="s">
        <v>164</v>
      </c>
      <c r="G633" s="17">
        <v>7</v>
      </c>
      <c r="H633" s="17">
        <v>44509</v>
      </c>
      <c r="I633" s="17">
        <v>311563</v>
      </c>
      <c r="J633" s="17">
        <v>1180</v>
      </c>
      <c r="K633" s="17">
        <v>310383</v>
      </c>
      <c r="L633" s="17">
        <v>72659.899609999993</v>
      </c>
      <c r="M633" s="17">
        <v>2024</v>
      </c>
      <c r="N633" s="17" t="s">
        <v>120</v>
      </c>
    </row>
    <row r="634" spans="1:14" ht="14.25" customHeight="1">
      <c r="A634" s="17">
        <v>10633</v>
      </c>
      <c r="B634" s="18">
        <v>45458</v>
      </c>
      <c r="C634" s="17" t="s">
        <v>45</v>
      </c>
      <c r="D634" s="17" t="s">
        <v>83</v>
      </c>
      <c r="E634" s="17" t="s">
        <v>162</v>
      </c>
      <c r="F634" s="17" t="s">
        <v>164</v>
      </c>
      <c r="G634" s="17">
        <v>1</v>
      </c>
      <c r="H634" s="17">
        <v>73422</v>
      </c>
      <c r="I634" s="17">
        <v>73422</v>
      </c>
      <c r="J634" s="17">
        <v>4819</v>
      </c>
      <c r="K634" s="17">
        <v>68603</v>
      </c>
      <c r="L634" s="17">
        <v>17148.819390000001</v>
      </c>
      <c r="M634" s="17">
        <v>2024</v>
      </c>
      <c r="N634" s="17" t="s">
        <v>120</v>
      </c>
    </row>
    <row r="635" spans="1:14" ht="14.25" customHeight="1">
      <c r="A635" s="17">
        <v>10634</v>
      </c>
      <c r="B635" s="18">
        <v>45382</v>
      </c>
      <c r="C635" s="17" t="s">
        <v>39</v>
      </c>
      <c r="D635" s="17" t="s">
        <v>83</v>
      </c>
      <c r="E635" s="17" t="s">
        <v>162</v>
      </c>
      <c r="F635" s="17" t="s">
        <v>164</v>
      </c>
      <c r="G635" s="17">
        <v>1</v>
      </c>
      <c r="H635" s="17">
        <v>46755</v>
      </c>
      <c r="I635" s="17">
        <v>46755</v>
      </c>
      <c r="J635" s="17">
        <v>3235</v>
      </c>
      <c r="K635" s="17">
        <v>43520</v>
      </c>
      <c r="L635" s="17">
        <v>7944.0538299999998</v>
      </c>
      <c r="M635" s="17">
        <v>2024</v>
      </c>
      <c r="N635" s="17" t="s">
        <v>112</v>
      </c>
    </row>
    <row r="636" spans="1:14" ht="14.25" customHeight="1">
      <c r="A636" s="17">
        <v>10635</v>
      </c>
      <c r="B636" s="18">
        <v>46005</v>
      </c>
      <c r="C636" s="17" t="s">
        <v>45</v>
      </c>
      <c r="D636" s="17" t="s">
        <v>86</v>
      </c>
      <c r="E636" s="17" t="s">
        <v>168</v>
      </c>
      <c r="F636" s="17" t="s">
        <v>172</v>
      </c>
      <c r="G636" s="17">
        <v>2</v>
      </c>
      <c r="H636" s="17">
        <v>57480</v>
      </c>
      <c r="I636" s="17">
        <v>114960</v>
      </c>
      <c r="J636" s="17">
        <v>251</v>
      </c>
      <c r="K636" s="17">
        <v>114709</v>
      </c>
      <c r="L636" s="17">
        <v>22132.790860000001</v>
      </c>
      <c r="M636" s="17">
        <v>2025</v>
      </c>
      <c r="N636" s="17" t="s">
        <v>169</v>
      </c>
    </row>
    <row r="637" spans="1:14" ht="14.25" customHeight="1">
      <c r="A637" s="17">
        <v>10636</v>
      </c>
      <c r="B637" s="18">
        <v>45822</v>
      </c>
      <c r="C637" s="17" t="s">
        <v>50</v>
      </c>
      <c r="D637" s="17" t="s">
        <v>86</v>
      </c>
      <c r="E637" s="17" t="s">
        <v>162</v>
      </c>
      <c r="F637" s="17" t="s">
        <v>164</v>
      </c>
      <c r="G637" s="17">
        <v>2</v>
      </c>
      <c r="H637" s="17">
        <v>12293</v>
      </c>
      <c r="I637" s="17">
        <v>24586</v>
      </c>
      <c r="J637" s="17">
        <v>4300</v>
      </c>
      <c r="K637" s="17">
        <v>20286</v>
      </c>
      <c r="L637" s="17">
        <v>4455.1032370000003</v>
      </c>
      <c r="M637" s="17">
        <v>2025</v>
      </c>
      <c r="N637" s="17" t="s">
        <v>120</v>
      </c>
    </row>
    <row r="638" spans="1:14" ht="14.25" customHeight="1">
      <c r="A638" s="17">
        <v>10637</v>
      </c>
      <c r="B638" s="18">
        <v>45330</v>
      </c>
      <c r="C638" s="17" t="s">
        <v>50</v>
      </c>
      <c r="D638" s="17" t="s">
        <v>86</v>
      </c>
      <c r="E638" s="17" t="s">
        <v>165</v>
      </c>
      <c r="F638" s="17" t="s">
        <v>172</v>
      </c>
      <c r="G638" s="17">
        <v>4</v>
      </c>
      <c r="H638" s="17">
        <v>73542</v>
      </c>
      <c r="I638" s="17">
        <v>294168</v>
      </c>
      <c r="J638" s="17">
        <v>2879</v>
      </c>
      <c r="K638" s="17">
        <v>291289</v>
      </c>
      <c r="L638" s="17">
        <v>59545.566659999997</v>
      </c>
      <c r="M638" s="17">
        <v>2024</v>
      </c>
      <c r="N638" s="17" t="s">
        <v>175</v>
      </c>
    </row>
    <row r="639" spans="1:14" ht="14.25" customHeight="1">
      <c r="A639" s="17">
        <v>10638</v>
      </c>
      <c r="B639" s="18">
        <v>45417</v>
      </c>
      <c r="C639" s="17" t="s">
        <v>50</v>
      </c>
      <c r="D639" s="17" t="s">
        <v>89</v>
      </c>
      <c r="E639" s="17" t="s">
        <v>165</v>
      </c>
      <c r="F639" s="17" t="s">
        <v>172</v>
      </c>
      <c r="G639" s="17">
        <v>1</v>
      </c>
      <c r="H639" s="17">
        <v>65528</v>
      </c>
      <c r="I639" s="17">
        <v>65528</v>
      </c>
      <c r="J639" s="17">
        <v>3998</v>
      </c>
      <c r="K639" s="17">
        <v>61530</v>
      </c>
      <c r="L639" s="17">
        <v>7837.0749740000001</v>
      </c>
      <c r="M639" s="17">
        <v>2024</v>
      </c>
      <c r="N639" s="17" t="s">
        <v>117</v>
      </c>
    </row>
    <row r="640" spans="1:14" ht="14.25" customHeight="1">
      <c r="A640" s="17">
        <v>10639</v>
      </c>
      <c r="B640" s="18">
        <v>45742</v>
      </c>
      <c r="C640" s="17" t="s">
        <v>39</v>
      </c>
      <c r="D640" s="17" t="s">
        <v>170</v>
      </c>
      <c r="E640" s="17" t="s">
        <v>168</v>
      </c>
      <c r="F640" s="17" t="s">
        <v>164</v>
      </c>
      <c r="G640" s="17">
        <v>4</v>
      </c>
      <c r="H640" s="17">
        <v>29356</v>
      </c>
      <c r="I640" s="17">
        <v>117424</v>
      </c>
      <c r="J640" s="17">
        <v>790</v>
      </c>
      <c r="K640" s="17">
        <v>116634</v>
      </c>
      <c r="L640" s="17">
        <v>18865.63449</v>
      </c>
      <c r="M640" s="17">
        <v>2025</v>
      </c>
      <c r="N640" s="17" t="s">
        <v>112</v>
      </c>
    </row>
    <row r="641" spans="1:14" ht="14.25" customHeight="1">
      <c r="A641" s="17">
        <v>10640</v>
      </c>
      <c r="B641" s="18">
        <v>45464</v>
      </c>
      <c r="C641" s="17" t="s">
        <v>167</v>
      </c>
      <c r="D641" s="17" t="s">
        <v>83</v>
      </c>
      <c r="E641" s="17" t="s">
        <v>168</v>
      </c>
      <c r="F641" s="17" t="s">
        <v>164</v>
      </c>
      <c r="G641" s="17">
        <v>2</v>
      </c>
      <c r="H641" s="17">
        <v>41911</v>
      </c>
      <c r="I641" s="17">
        <v>83822</v>
      </c>
      <c r="J641" s="17">
        <v>4560</v>
      </c>
      <c r="K641" s="17">
        <v>79262</v>
      </c>
      <c r="L641" s="17">
        <v>14288.36083</v>
      </c>
      <c r="M641" s="17">
        <v>2024</v>
      </c>
      <c r="N641" s="17" t="s">
        <v>120</v>
      </c>
    </row>
    <row r="642" spans="1:14" ht="14.25" customHeight="1">
      <c r="A642" s="17">
        <v>10641</v>
      </c>
      <c r="B642" s="18">
        <v>45944</v>
      </c>
      <c r="C642" s="17" t="s">
        <v>45</v>
      </c>
      <c r="D642" s="17" t="s">
        <v>111</v>
      </c>
      <c r="E642" s="17" t="s">
        <v>165</v>
      </c>
      <c r="F642" s="17" t="s">
        <v>163</v>
      </c>
      <c r="G642" s="17">
        <v>4</v>
      </c>
      <c r="H642" s="17">
        <v>19699</v>
      </c>
      <c r="I642" s="17">
        <v>78796</v>
      </c>
      <c r="J642" s="17">
        <v>1495</v>
      </c>
      <c r="K642" s="17">
        <v>77301</v>
      </c>
      <c r="L642" s="17">
        <v>11901.014510000001</v>
      </c>
      <c r="M642" s="17">
        <v>2025</v>
      </c>
      <c r="N642" s="17" t="s">
        <v>174</v>
      </c>
    </row>
    <row r="643" spans="1:14" ht="14.25" customHeight="1">
      <c r="A643" s="17">
        <v>10642</v>
      </c>
      <c r="B643" s="18">
        <v>45511</v>
      </c>
      <c r="C643" s="17" t="s">
        <v>50</v>
      </c>
      <c r="D643" s="17" t="s">
        <v>89</v>
      </c>
      <c r="E643" s="17" t="s">
        <v>162</v>
      </c>
      <c r="F643" s="17" t="s">
        <v>164</v>
      </c>
      <c r="G643" s="17">
        <v>4</v>
      </c>
      <c r="H643" s="17">
        <v>33434</v>
      </c>
      <c r="I643" s="17">
        <v>133736</v>
      </c>
      <c r="J643" s="17">
        <v>4489</v>
      </c>
      <c r="K643" s="17">
        <v>129247</v>
      </c>
      <c r="L643" s="17">
        <v>16338.87912</v>
      </c>
      <c r="M643" s="17">
        <v>2024</v>
      </c>
      <c r="N643" s="17" t="s">
        <v>126</v>
      </c>
    </row>
    <row r="644" spans="1:14" ht="14.25" customHeight="1">
      <c r="A644" s="17">
        <v>10643</v>
      </c>
      <c r="B644" s="18">
        <v>45929</v>
      </c>
      <c r="C644" s="17" t="s">
        <v>45</v>
      </c>
      <c r="D644" s="17" t="s">
        <v>83</v>
      </c>
      <c r="E644" s="17" t="s">
        <v>165</v>
      </c>
      <c r="F644" s="17" t="s">
        <v>172</v>
      </c>
      <c r="G644" s="17">
        <v>9</v>
      </c>
      <c r="H644" s="17">
        <v>59669</v>
      </c>
      <c r="I644" s="17">
        <v>537021</v>
      </c>
      <c r="J644" s="17">
        <v>3068</v>
      </c>
      <c r="K644" s="17">
        <v>533953</v>
      </c>
      <c r="L644" s="17">
        <v>112352.7893</v>
      </c>
      <c r="M644" s="17">
        <v>2025</v>
      </c>
      <c r="N644" s="17" t="s">
        <v>129</v>
      </c>
    </row>
    <row r="645" spans="1:14" ht="14.25" customHeight="1">
      <c r="A645" s="17">
        <v>10644</v>
      </c>
      <c r="B645" s="18">
        <v>45349</v>
      </c>
      <c r="C645" s="17" t="s">
        <v>39</v>
      </c>
      <c r="D645" s="17" t="s">
        <v>170</v>
      </c>
      <c r="E645" s="17" t="s">
        <v>168</v>
      </c>
      <c r="F645" s="17" t="s">
        <v>163</v>
      </c>
      <c r="G645" s="17">
        <v>9</v>
      </c>
      <c r="H645" s="17">
        <v>22602</v>
      </c>
      <c r="I645" s="17">
        <v>203418</v>
      </c>
      <c r="J645" s="17">
        <v>2707</v>
      </c>
      <c r="K645" s="17">
        <v>200711</v>
      </c>
      <c r="L645" s="17">
        <v>26057.699120000001</v>
      </c>
      <c r="M645" s="17">
        <v>2024</v>
      </c>
      <c r="N645" s="17" t="s">
        <v>175</v>
      </c>
    </row>
    <row r="646" spans="1:14" ht="14.25" customHeight="1">
      <c r="A646" s="17">
        <v>10645</v>
      </c>
      <c r="B646" s="18">
        <v>45951</v>
      </c>
      <c r="C646" s="17" t="s">
        <v>167</v>
      </c>
      <c r="D646" s="17" t="s">
        <v>89</v>
      </c>
      <c r="E646" s="17" t="s">
        <v>168</v>
      </c>
      <c r="F646" s="17" t="s">
        <v>163</v>
      </c>
      <c r="G646" s="17">
        <v>1</v>
      </c>
      <c r="H646" s="17">
        <v>45786</v>
      </c>
      <c r="I646" s="17">
        <v>45786</v>
      </c>
      <c r="J646" s="17">
        <v>2577</v>
      </c>
      <c r="K646" s="17">
        <v>43209</v>
      </c>
      <c r="L646" s="17">
        <v>6009.2004740000002</v>
      </c>
      <c r="M646" s="17">
        <v>2025</v>
      </c>
      <c r="N646" s="17" t="s">
        <v>174</v>
      </c>
    </row>
    <row r="647" spans="1:14" ht="14.25" customHeight="1">
      <c r="A647" s="17">
        <v>10646</v>
      </c>
      <c r="B647" s="18">
        <v>45767</v>
      </c>
      <c r="C647" s="17" t="s">
        <v>39</v>
      </c>
      <c r="D647" s="17" t="s">
        <v>83</v>
      </c>
      <c r="E647" s="17" t="s">
        <v>165</v>
      </c>
      <c r="F647" s="17" t="s">
        <v>172</v>
      </c>
      <c r="G647" s="17">
        <v>5</v>
      </c>
      <c r="H647" s="17">
        <v>14952</v>
      </c>
      <c r="I647" s="17">
        <v>74760</v>
      </c>
      <c r="J647" s="17">
        <v>1235</v>
      </c>
      <c r="K647" s="17">
        <v>73525</v>
      </c>
      <c r="L647" s="17">
        <v>10512.45321</v>
      </c>
      <c r="M647" s="17">
        <v>2025</v>
      </c>
      <c r="N647" s="17" t="s">
        <v>114</v>
      </c>
    </row>
    <row r="648" spans="1:14" ht="14.25" customHeight="1">
      <c r="A648" s="17">
        <v>10647</v>
      </c>
      <c r="B648" s="18">
        <v>45747</v>
      </c>
      <c r="C648" s="17" t="s">
        <v>45</v>
      </c>
      <c r="D648" s="17" t="s">
        <v>89</v>
      </c>
      <c r="E648" s="17" t="s">
        <v>162</v>
      </c>
      <c r="F648" s="17" t="s">
        <v>164</v>
      </c>
      <c r="G648" s="17">
        <v>7</v>
      </c>
      <c r="H648" s="17">
        <v>46684</v>
      </c>
      <c r="I648" s="17">
        <v>326788</v>
      </c>
      <c r="J648" s="17">
        <v>1058</v>
      </c>
      <c r="K648" s="17">
        <v>325730</v>
      </c>
      <c r="L648" s="17">
        <v>40477.452310000001</v>
      </c>
      <c r="M648" s="17">
        <v>2025</v>
      </c>
      <c r="N648" s="17" t="s">
        <v>112</v>
      </c>
    </row>
    <row r="649" spans="1:14" ht="14.25" customHeight="1">
      <c r="A649" s="17">
        <v>10648</v>
      </c>
      <c r="B649" s="18">
        <v>45652</v>
      </c>
      <c r="C649" s="17" t="s">
        <v>167</v>
      </c>
      <c r="D649" s="17" t="s">
        <v>83</v>
      </c>
      <c r="E649" s="17" t="s">
        <v>162</v>
      </c>
      <c r="F649" s="17" t="s">
        <v>164</v>
      </c>
      <c r="G649" s="17">
        <v>4</v>
      </c>
      <c r="H649" s="17">
        <v>35489</v>
      </c>
      <c r="I649" s="17">
        <v>141956</v>
      </c>
      <c r="J649" s="17">
        <v>1170</v>
      </c>
      <c r="K649" s="17">
        <v>140786</v>
      </c>
      <c r="L649" s="17">
        <v>32019.346219999999</v>
      </c>
      <c r="M649" s="17">
        <v>2024</v>
      </c>
      <c r="N649" s="17" t="s">
        <v>169</v>
      </c>
    </row>
    <row r="650" spans="1:14" ht="14.25" customHeight="1">
      <c r="A650" s="17">
        <v>10649</v>
      </c>
      <c r="B650" s="18">
        <v>45292</v>
      </c>
      <c r="C650" s="17" t="s">
        <v>167</v>
      </c>
      <c r="D650" s="17" t="s">
        <v>83</v>
      </c>
      <c r="E650" s="17" t="s">
        <v>168</v>
      </c>
      <c r="F650" s="17" t="s">
        <v>166</v>
      </c>
      <c r="G650" s="17">
        <v>5</v>
      </c>
      <c r="H650" s="17">
        <v>37905</v>
      </c>
      <c r="I650" s="17">
        <v>189525</v>
      </c>
      <c r="J650" s="17">
        <v>3618</v>
      </c>
      <c r="K650" s="17">
        <v>185907</v>
      </c>
      <c r="L650" s="17">
        <v>35618.377200000003</v>
      </c>
      <c r="M650" s="17">
        <v>2024</v>
      </c>
      <c r="N650" s="17" t="s">
        <v>171</v>
      </c>
    </row>
    <row r="651" spans="1:14" ht="14.25" customHeight="1">
      <c r="A651" s="17">
        <v>10650</v>
      </c>
      <c r="B651" s="18">
        <v>45678</v>
      </c>
      <c r="C651" s="17" t="s">
        <v>39</v>
      </c>
      <c r="D651" s="17" t="s">
        <v>170</v>
      </c>
      <c r="E651" s="17" t="s">
        <v>165</v>
      </c>
      <c r="F651" s="17" t="s">
        <v>164</v>
      </c>
      <c r="G651" s="17">
        <v>2</v>
      </c>
      <c r="H651" s="17">
        <v>58602</v>
      </c>
      <c r="I651" s="17">
        <v>117204</v>
      </c>
      <c r="J651" s="17">
        <v>3659</v>
      </c>
      <c r="K651" s="17">
        <v>113545</v>
      </c>
      <c r="L651" s="17">
        <v>25571.721460000001</v>
      </c>
      <c r="M651" s="17">
        <v>2025</v>
      </c>
      <c r="N651" s="17" t="s">
        <v>171</v>
      </c>
    </row>
    <row r="652" spans="1:14" ht="14.25" customHeight="1">
      <c r="A652" s="17">
        <v>10651</v>
      </c>
      <c r="B652" s="18">
        <v>45639</v>
      </c>
      <c r="C652" s="17" t="s">
        <v>50</v>
      </c>
      <c r="D652" s="17" t="s">
        <v>111</v>
      </c>
      <c r="E652" s="17" t="s">
        <v>165</v>
      </c>
      <c r="F652" s="17" t="s">
        <v>166</v>
      </c>
      <c r="G652" s="17">
        <v>3</v>
      </c>
      <c r="H652" s="17">
        <v>51924</v>
      </c>
      <c r="I652" s="17">
        <v>155772</v>
      </c>
      <c r="J652" s="17">
        <v>3655</v>
      </c>
      <c r="K652" s="17">
        <v>152117</v>
      </c>
      <c r="L652" s="17">
        <v>26477.3933</v>
      </c>
      <c r="M652" s="17">
        <v>2024</v>
      </c>
      <c r="N652" s="17" t="s">
        <v>169</v>
      </c>
    </row>
    <row r="653" spans="1:14" ht="14.25" customHeight="1">
      <c r="A653" s="17">
        <v>10652</v>
      </c>
      <c r="B653" s="18">
        <v>45481</v>
      </c>
      <c r="C653" s="17" t="s">
        <v>45</v>
      </c>
      <c r="D653" s="17" t="s">
        <v>170</v>
      </c>
      <c r="E653" s="17" t="s">
        <v>168</v>
      </c>
      <c r="F653" s="17" t="s">
        <v>163</v>
      </c>
      <c r="G653" s="17">
        <v>7</v>
      </c>
      <c r="H653" s="17">
        <v>18381</v>
      </c>
      <c r="I653" s="17">
        <v>128667</v>
      </c>
      <c r="J653" s="17">
        <v>56</v>
      </c>
      <c r="K653" s="17">
        <v>128611</v>
      </c>
      <c r="L653" s="17">
        <v>22884.328320000001</v>
      </c>
      <c r="M653" s="17">
        <v>2024</v>
      </c>
      <c r="N653" s="17" t="s">
        <v>123</v>
      </c>
    </row>
    <row r="654" spans="1:14" ht="14.25" customHeight="1">
      <c r="A654" s="17">
        <v>10653</v>
      </c>
      <c r="B654" s="18">
        <v>45796</v>
      </c>
      <c r="C654" s="17" t="s">
        <v>58</v>
      </c>
      <c r="D654" s="17" t="s">
        <v>83</v>
      </c>
      <c r="E654" s="17" t="s">
        <v>165</v>
      </c>
      <c r="F654" s="17" t="s">
        <v>163</v>
      </c>
      <c r="G654" s="17">
        <v>7</v>
      </c>
      <c r="H654" s="17">
        <v>33130</v>
      </c>
      <c r="I654" s="17">
        <v>231910</v>
      </c>
      <c r="J654" s="17">
        <v>1892</v>
      </c>
      <c r="K654" s="17">
        <v>230018</v>
      </c>
      <c r="L654" s="17">
        <v>44260.453329999997</v>
      </c>
      <c r="M654" s="17">
        <v>2025</v>
      </c>
      <c r="N654" s="17" t="s">
        <v>117</v>
      </c>
    </row>
    <row r="655" spans="1:14" ht="14.25" customHeight="1">
      <c r="A655" s="17">
        <v>10654</v>
      </c>
      <c r="B655" s="18">
        <v>45482</v>
      </c>
      <c r="C655" s="17" t="s">
        <v>58</v>
      </c>
      <c r="D655" s="17" t="s">
        <v>89</v>
      </c>
      <c r="E655" s="17" t="s">
        <v>168</v>
      </c>
      <c r="F655" s="17" t="s">
        <v>163</v>
      </c>
      <c r="G655" s="17">
        <v>4</v>
      </c>
      <c r="H655" s="17">
        <v>35415</v>
      </c>
      <c r="I655" s="17">
        <v>141660</v>
      </c>
      <c r="J655" s="17">
        <v>2569</v>
      </c>
      <c r="K655" s="17">
        <v>139091</v>
      </c>
      <c r="L655" s="17">
        <v>21647.83554</v>
      </c>
      <c r="M655" s="17">
        <v>2024</v>
      </c>
      <c r="N655" s="17" t="s">
        <v>123</v>
      </c>
    </row>
    <row r="656" spans="1:14" ht="14.25" customHeight="1">
      <c r="A656" s="17">
        <v>10655</v>
      </c>
      <c r="B656" s="18">
        <v>45799</v>
      </c>
      <c r="C656" s="17" t="s">
        <v>39</v>
      </c>
      <c r="D656" s="17" t="s">
        <v>170</v>
      </c>
      <c r="E656" s="17" t="s">
        <v>162</v>
      </c>
      <c r="F656" s="17" t="s">
        <v>166</v>
      </c>
      <c r="G656" s="17">
        <v>1</v>
      </c>
      <c r="H656" s="17">
        <v>54128</v>
      </c>
      <c r="I656" s="17">
        <v>54128</v>
      </c>
      <c r="J656" s="17">
        <v>4080</v>
      </c>
      <c r="K656" s="17">
        <v>50048</v>
      </c>
      <c r="L656" s="17">
        <v>8732.7561170000008</v>
      </c>
      <c r="M656" s="17">
        <v>2025</v>
      </c>
      <c r="N656" s="17" t="s">
        <v>117</v>
      </c>
    </row>
    <row r="657" spans="1:14" ht="14.25" customHeight="1">
      <c r="A657" s="17">
        <v>10656</v>
      </c>
      <c r="B657" s="18">
        <v>45660</v>
      </c>
      <c r="C657" s="17" t="s">
        <v>45</v>
      </c>
      <c r="D657" s="17" t="s">
        <v>111</v>
      </c>
      <c r="E657" s="17" t="s">
        <v>162</v>
      </c>
      <c r="F657" s="17" t="s">
        <v>172</v>
      </c>
      <c r="G657" s="17">
        <v>1</v>
      </c>
      <c r="H657" s="17">
        <v>5388</v>
      </c>
      <c r="I657" s="17">
        <v>5388</v>
      </c>
      <c r="J657" s="17">
        <v>4456</v>
      </c>
      <c r="K657" s="17">
        <v>932</v>
      </c>
      <c r="L657" s="17">
        <v>169.65873500000001</v>
      </c>
      <c r="M657" s="17">
        <v>2025</v>
      </c>
      <c r="N657" s="17" t="s">
        <v>171</v>
      </c>
    </row>
    <row r="658" spans="1:14" ht="14.25" customHeight="1">
      <c r="A658" s="17">
        <v>10657</v>
      </c>
      <c r="B658" s="18">
        <v>45700</v>
      </c>
      <c r="C658" s="17" t="s">
        <v>45</v>
      </c>
      <c r="D658" s="17" t="s">
        <v>83</v>
      </c>
      <c r="E658" s="17" t="s">
        <v>165</v>
      </c>
      <c r="F658" s="17" t="s">
        <v>172</v>
      </c>
      <c r="G658" s="17">
        <v>4</v>
      </c>
      <c r="H658" s="17">
        <v>24806</v>
      </c>
      <c r="I658" s="17">
        <v>99224</v>
      </c>
      <c r="J658" s="17">
        <v>1948</v>
      </c>
      <c r="K658" s="17">
        <v>97276</v>
      </c>
      <c r="L658" s="17">
        <v>23641.1191</v>
      </c>
      <c r="M658" s="17">
        <v>2025</v>
      </c>
      <c r="N658" s="17" t="s">
        <v>175</v>
      </c>
    </row>
    <row r="659" spans="1:14" ht="14.25" customHeight="1">
      <c r="A659" s="17">
        <v>10658</v>
      </c>
      <c r="B659" s="18">
        <v>45408</v>
      </c>
      <c r="C659" s="17" t="s">
        <v>39</v>
      </c>
      <c r="D659" s="17" t="s">
        <v>170</v>
      </c>
      <c r="E659" s="17" t="s">
        <v>162</v>
      </c>
      <c r="F659" s="17" t="s">
        <v>163</v>
      </c>
      <c r="G659" s="17">
        <v>4</v>
      </c>
      <c r="H659" s="17">
        <v>69333</v>
      </c>
      <c r="I659" s="17">
        <v>277332</v>
      </c>
      <c r="J659" s="17">
        <v>222</v>
      </c>
      <c r="K659" s="17">
        <v>277110</v>
      </c>
      <c r="L659" s="17">
        <v>64410.400860000002</v>
      </c>
      <c r="M659" s="17">
        <v>2024</v>
      </c>
      <c r="N659" s="17" t="s">
        <v>114</v>
      </c>
    </row>
    <row r="660" spans="1:14" ht="14.25" customHeight="1">
      <c r="A660" s="17">
        <v>10659</v>
      </c>
      <c r="B660" s="18">
        <v>45425</v>
      </c>
      <c r="C660" s="17" t="s">
        <v>45</v>
      </c>
      <c r="D660" s="17" t="s">
        <v>170</v>
      </c>
      <c r="E660" s="17" t="s">
        <v>162</v>
      </c>
      <c r="F660" s="17" t="s">
        <v>166</v>
      </c>
      <c r="G660" s="17">
        <v>6</v>
      </c>
      <c r="H660" s="17">
        <v>9852</v>
      </c>
      <c r="I660" s="17">
        <v>59112</v>
      </c>
      <c r="J660" s="17">
        <v>1639</v>
      </c>
      <c r="K660" s="17">
        <v>57473</v>
      </c>
      <c r="L660" s="17">
        <v>6861.5219889999998</v>
      </c>
      <c r="M660" s="17">
        <v>2024</v>
      </c>
      <c r="N660" s="17" t="s">
        <v>117</v>
      </c>
    </row>
    <row r="661" spans="1:14" ht="14.25" customHeight="1">
      <c r="A661" s="17">
        <v>10660</v>
      </c>
      <c r="B661" s="18">
        <v>45349</v>
      </c>
      <c r="C661" s="17" t="s">
        <v>50</v>
      </c>
      <c r="D661" s="17" t="s">
        <v>170</v>
      </c>
      <c r="E661" s="17" t="s">
        <v>168</v>
      </c>
      <c r="F661" s="17" t="s">
        <v>166</v>
      </c>
      <c r="G661" s="17">
        <v>7</v>
      </c>
      <c r="H661" s="17">
        <v>13627</v>
      </c>
      <c r="I661" s="17">
        <v>95389</v>
      </c>
      <c r="J661" s="17">
        <v>4422</v>
      </c>
      <c r="K661" s="17">
        <v>90967</v>
      </c>
      <c r="L661" s="17">
        <v>9660.0013240000007</v>
      </c>
      <c r="M661" s="17">
        <v>2024</v>
      </c>
      <c r="N661" s="17" t="s">
        <v>175</v>
      </c>
    </row>
    <row r="662" spans="1:14" ht="14.25" customHeight="1">
      <c r="A662" s="17">
        <v>10661</v>
      </c>
      <c r="B662" s="18">
        <v>45847</v>
      </c>
      <c r="C662" s="17" t="s">
        <v>39</v>
      </c>
      <c r="D662" s="17" t="s">
        <v>170</v>
      </c>
      <c r="E662" s="17" t="s">
        <v>168</v>
      </c>
      <c r="F662" s="17" t="s">
        <v>163</v>
      </c>
      <c r="G662" s="17">
        <v>9</v>
      </c>
      <c r="H662" s="17">
        <v>63817</v>
      </c>
      <c r="I662" s="17">
        <v>574353</v>
      </c>
      <c r="J662" s="17">
        <v>1757</v>
      </c>
      <c r="K662" s="17">
        <v>572596</v>
      </c>
      <c r="L662" s="17">
        <v>115693.07490000001</v>
      </c>
      <c r="M662" s="17">
        <v>2025</v>
      </c>
      <c r="N662" s="17" t="s">
        <v>123</v>
      </c>
    </row>
    <row r="663" spans="1:14" ht="14.25" customHeight="1">
      <c r="A663" s="17">
        <v>10662</v>
      </c>
      <c r="B663" s="18">
        <v>45976</v>
      </c>
      <c r="C663" s="17" t="s">
        <v>50</v>
      </c>
      <c r="D663" s="17" t="s">
        <v>89</v>
      </c>
      <c r="E663" s="17" t="s">
        <v>165</v>
      </c>
      <c r="F663" s="17" t="s">
        <v>164</v>
      </c>
      <c r="G663" s="17">
        <v>9</v>
      </c>
      <c r="H663" s="17">
        <v>34048</v>
      </c>
      <c r="I663" s="17">
        <v>306432</v>
      </c>
      <c r="J663" s="17">
        <v>835</v>
      </c>
      <c r="K663" s="17">
        <v>305597</v>
      </c>
      <c r="L663" s="17">
        <v>32814.944739999999</v>
      </c>
      <c r="M663" s="17">
        <v>2025</v>
      </c>
      <c r="N663" s="17" t="s">
        <v>173</v>
      </c>
    </row>
    <row r="664" spans="1:14" ht="14.25" customHeight="1">
      <c r="A664" s="17">
        <v>10663</v>
      </c>
      <c r="B664" s="18">
        <v>45963</v>
      </c>
      <c r="C664" s="17" t="s">
        <v>45</v>
      </c>
      <c r="D664" s="17" t="s">
        <v>111</v>
      </c>
      <c r="E664" s="17" t="s">
        <v>168</v>
      </c>
      <c r="F664" s="17" t="s">
        <v>163</v>
      </c>
      <c r="G664" s="17">
        <v>5</v>
      </c>
      <c r="H664" s="17">
        <v>63117</v>
      </c>
      <c r="I664" s="17">
        <v>315585</v>
      </c>
      <c r="J664" s="17">
        <v>2536</v>
      </c>
      <c r="K664" s="17">
        <v>313049</v>
      </c>
      <c r="L664" s="17">
        <v>34138.826079999999</v>
      </c>
      <c r="M664" s="17">
        <v>2025</v>
      </c>
      <c r="N664" s="17" t="s">
        <v>173</v>
      </c>
    </row>
    <row r="665" spans="1:14" ht="14.25" customHeight="1">
      <c r="A665" s="17">
        <v>10664</v>
      </c>
      <c r="B665" s="18">
        <v>45464</v>
      </c>
      <c r="C665" s="17" t="s">
        <v>39</v>
      </c>
      <c r="D665" s="17" t="s">
        <v>111</v>
      </c>
      <c r="E665" s="17" t="s">
        <v>165</v>
      </c>
      <c r="F665" s="17" t="s">
        <v>166</v>
      </c>
      <c r="G665" s="17">
        <v>3</v>
      </c>
      <c r="H665" s="17">
        <v>13209</v>
      </c>
      <c r="I665" s="17">
        <v>39627</v>
      </c>
      <c r="J665" s="17">
        <v>2525</v>
      </c>
      <c r="K665" s="17">
        <v>37102</v>
      </c>
      <c r="L665" s="17">
        <v>4596.5485820000004</v>
      </c>
      <c r="M665" s="17">
        <v>2024</v>
      </c>
      <c r="N665" s="17" t="s">
        <v>120</v>
      </c>
    </row>
    <row r="666" spans="1:14" ht="14.25" customHeight="1">
      <c r="A666" s="17">
        <v>10665</v>
      </c>
      <c r="B666" s="18">
        <v>45440</v>
      </c>
      <c r="C666" s="17" t="s">
        <v>45</v>
      </c>
      <c r="D666" s="17" t="s">
        <v>83</v>
      </c>
      <c r="E666" s="17" t="s">
        <v>165</v>
      </c>
      <c r="F666" s="17" t="s">
        <v>164</v>
      </c>
      <c r="G666" s="17">
        <v>3</v>
      </c>
      <c r="H666" s="17">
        <v>58482</v>
      </c>
      <c r="I666" s="17">
        <v>175446</v>
      </c>
      <c r="J666" s="17">
        <v>984</v>
      </c>
      <c r="K666" s="17">
        <v>174462</v>
      </c>
      <c r="L666" s="17">
        <v>26650.128369999999</v>
      </c>
      <c r="M666" s="17">
        <v>2024</v>
      </c>
      <c r="N666" s="17" t="s">
        <v>117</v>
      </c>
    </row>
    <row r="667" spans="1:14" ht="14.25" customHeight="1">
      <c r="A667" s="17">
        <v>10666</v>
      </c>
      <c r="B667" s="18">
        <v>45371</v>
      </c>
      <c r="C667" s="17" t="s">
        <v>39</v>
      </c>
      <c r="D667" s="17" t="s">
        <v>86</v>
      </c>
      <c r="E667" s="17" t="s">
        <v>168</v>
      </c>
      <c r="F667" s="17" t="s">
        <v>172</v>
      </c>
      <c r="G667" s="17">
        <v>6</v>
      </c>
      <c r="H667" s="17">
        <v>43197</v>
      </c>
      <c r="I667" s="17">
        <v>259182</v>
      </c>
      <c r="J667" s="17">
        <v>1357</v>
      </c>
      <c r="K667" s="17">
        <v>257825</v>
      </c>
      <c r="L667" s="17">
        <v>42605.43088</v>
      </c>
      <c r="M667" s="17">
        <v>2024</v>
      </c>
      <c r="N667" s="17" t="s">
        <v>112</v>
      </c>
    </row>
    <row r="668" spans="1:14" ht="14.25" customHeight="1">
      <c r="A668" s="17">
        <v>10667</v>
      </c>
      <c r="B668" s="18">
        <v>45504</v>
      </c>
      <c r="C668" s="17" t="s">
        <v>45</v>
      </c>
      <c r="D668" s="17" t="s">
        <v>89</v>
      </c>
      <c r="E668" s="17" t="s">
        <v>162</v>
      </c>
      <c r="F668" s="17" t="s">
        <v>164</v>
      </c>
      <c r="G668" s="17">
        <v>1</v>
      </c>
      <c r="H668" s="17">
        <v>23076</v>
      </c>
      <c r="I668" s="17">
        <v>23076</v>
      </c>
      <c r="J668" s="17">
        <v>4887</v>
      </c>
      <c r="K668" s="17">
        <v>18189</v>
      </c>
      <c r="L668" s="17">
        <v>3235.9450609999999</v>
      </c>
      <c r="M668" s="17">
        <v>2024</v>
      </c>
      <c r="N668" s="17" t="s">
        <v>123</v>
      </c>
    </row>
    <row r="669" spans="1:14" ht="14.25" customHeight="1">
      <c r="A669" s="17">
        <v>10668</v>
      </c>
      <c r="B669" s="18">
        <v>45494</v>
      </c>
      <c r="C669" s="17" t="s">
        <v>50</v>
      </c>
      <c r="D669" s="17" t="s">
        <v>83</v>
      </c>
      <c r="E669" s="17" t="s">
        <v>162</v>
      </c>
      <c r="F669" s="17" t="s">
        <v>172</v>
      </c>
      <c r="G669" s="17">
        <v>7</v>
      </c>
      <c r="H669" s="17">
        <v>74912</v>
      </c>
      <c r="I669" s="17">
        <v>524384</v>
      </c>
      <c r="J669" s="17">
        <v>3060</v>
      </c>
      <c r="K669" s="17">
        <v>521324</v>
      </c>
      <c r="L669" s="17">
        <v>129727.94749999999</v>
      </c>
      <c r="M669" s="17">
        <v>2024</v>
      </c>
      <c r="N669" s="17" t="s">
        <v>123</v>
      </c>
    </row>
    <row r="670" spans="1:14" ht="14.25" customHeight="1">
      <c r="A670" s="17">
        <v>10669</v>
      </c>
      <c r="B670" s="18">
        <v>45520</v>
      </c>
      <c r="C670" s="17" t="s">
        <v>50</v>
      </c>
      <c r="D670" s="17" t="s">
        <v>83</v>
      </c>
      <c r="E670" s="17" t="s">
        <v>162</v>
      </c>
      <c r="F670" s="17" t="s">
        <v>166</v>
      </c>
      <c r="G670" s="17">
        <v>3</v>
      </c>
      <c r="H670" s="17">
        <v>63482</v>
      </c>
      <c r="I670" s="17">
        <v>190446</v>
      </c>
      <c r="J670" s="17">
        <v>4477</v>
      </c>
      <c r="K670" s="17">
        <v>185969</v>
      </c>
      <c r="L670" s="17">
        <v>29343.10252</v>
      </c>
      <c r="M670" s="17">
        <v>2024</v>
      </c>
      <c r="N670" s="17" t="s">
        <v>126</v>
      </c>
    </row>
    <row r="671" spans="1:14" ht="14.25" customHeight="1">
      <c r="A671" s="17">
        <v>10670</v>
      </c>
      <c r="B671" s="18">
        <v>45967</v>
      </c>
      <c r="C671" s="17" t="s">
        <v>45</v>
      </c>
      <c r="D671" s="17" t="s">
        <v>170</v>
      </c>
      <c r="E671" s="17" t="s">
        <v>162</v>
      </c>
      <c r="F671" s="17" t="s">
        <v>163</v>
      </c>
      <c r="G671" s="17">
        <v>5</v>
      </c>
      <c r="H671" s="17">
        <v>23079</v>
      </c>
      <c r="I671" s="17">
        <v>115395</v>
      </c>
      <c r="J671" s="17">
        <v>1446</v>
      </c>
      <c r="K671" s="17">
        <v>113949</v>
      </c>
      <c r="L671" s="17">
        <v>15544.12089</v>
      </c>
      <c r="M671" s="17">
        <v>2025</v>
      </c>
      <c r="N671" s="17" t="s">
        <v>173</v>
      </c>
    </row>
    <row r="672" spans="1:14" ht="14.25" customHeight="1">
      <c r="A672" s="17">
        <v>10671</v>
      </c>
      <c r="B672" s="18">
        <v>45518</v>
      </c>
      <c r="C672" s="17" t="s">
        <v>39</v>
      </c>
      <c r="D672" s="17" t="s">
        <v>86</v>
      </c>
      <c r="E672" s="17" t="s">
        <v>165</v>
      </c>
      <c r="F672" s="17" t="s">
        <v>163</v>
      </c>
      <c r="G672" s="17">
        <v>7</v>
      </c>
      <c r="H672" s="17">
        <v>18978</v>
      </c>
      <c r="I672" s="17">
        <v>132846</v>
      </c>
      <c r="J672" s="17">
        <v>1371</v>
      </c>
      <c r="K672" s="17">
        <v>131475</v>
      </c>
      <c r="L672" s="17">
        <v>24492.19656</v>
      </c>
      <c r="M672" s="17">
        <v>2024</v>
      </c>
      <c r="N672" s="17" t="s">
        <v>126</v>
      </c>
    </row>
    <row r="673" spans="1:14" ht="14.25" customHeight="1">
      <c r="A673" s="17">
        <v>10672</v>
      </c>
      <c r="B673" s="18">
        <v>45950</v>
      </c>
      <c r="C673" s="17" t="s">
        <v>58</v>
      </c>
      <c r="D673" s="17" t="s">
        <v>86</v>
      </c>
      <c r="E673" s="17" t="s">
        <v>162</v>
      </c>
      <c r="F673" s="17" t="s">
        <v>163</v>
      </c>
      <c r="G673" s="17">
        <v>7</v>
      </c>
      <c r="H673" s="17">
        <v>55738</v>
      </c>
      <c r="I673" s="17">
        <v>390166</v>
      </c>
      <c r="J673" s="17">
        <v>3224</v>
      </c>
      <c r="K673" s="17">
        <v>386942</v>
      </c>
      <c r="L673" s="17">
        <v>51181.840989999997</v>
      </c>
      <c r="M673" s="17">
        <v>2025</v>
      </c>
      <c r="N673" s="17" t="s">
        <v>174</v>
      </c>
    </row>
    <row r="674" spans="1:14" ht="14.25" customHeight="1">
      <c r="A674" s="17">
        <v>10673</v>
      </c>
      <c r="B674" s="18">
        <v>45823</v>
      </c>
      <c r="C674" s="17" t="s">
        <v>50</v>
      </c>
      <c r="D674" s="17" t="s">
        <v>89</v>
      </c>
      <c r="E674" s="17" t="s">
        <v>165</v>
      </c>
      <c r="F674" s="17" t="s">
        <v>163</v>
      </c>
      <c r="G674" s="17">
        <v>9</v>
      </c>
      <c r="H674" s="17">
        <v>17705</v>
      </c>
      <c r="I674" s="17">
        <v>159345</v>
      </c>
      <c r="J674" s="17">
        <v>1874</v>
      </c>
      <c r="K674" s="17">
        <v>157471</v>
      </c>
      <c r="L674" s="17">
        <v>37963.34721</v>
      </c>
      <c r="M674" s="17">
        <v>2025</v>
      </c>
      <c r="N674" s="17" t="s">
        <v>120</v>
      </c>
    </row>
    <row r="675" spans="1:14" ht="14.25" customHeight="1">
      <c r="A675" s="17">
        <v>10674</v>
      </c>
      <c r="B675" s="18">
        <v>45732</v>
      </c>
      <c r="C675" s="17" t="s">
        <v>50</v>
      </c>
      <c r="D675" s="17" t="s">
        <v>86</v>
      </c>
      <c r="E675" s="17" t="s">
        <v>168</v>
      </c>
      <c r="F675" s="17" t="s">
        <v>163</v>
      </c>
      <c r="G675" s="17">
        <v>1</v>
      </c>
      <c r="H675" s="17">
        <v>31907</v>
      </c>
      <c r="I675" s="17">
        <v>31907</v>
      </c>
      <c r="J675" s="17">
        <v>2499</v>
      </c>
      <c r="K675" s="17">
        <v>29408</v>
      </c>
      <c r="L675" s="17">
        <v>4084.4225769999998</v>
      </c>
      <c r="M675" s="17">
        <v>2025</v>
      </c>
      <c r="N675" s="17" t="s">
        <v>112</v>
      </c>
    </row>
    <row r="676" spans="1:14" ht="14.25" customHeight="1">
      <c r="A676" s="17">
        <v>10675</v>
      </c>
      <c r="B676" s="18">
        <v>45693</v>
      </c>
      <c r="C676" s="17" t="s">
        <v>58</v>
      </c>
      <c r="D676" s="17" t="s">
        <v>83</v>
      </c>
      <c r="E676" s="17" t="s">
        <v>168</v>
      </c>
      <c r="F676" s="17" t="s">
        <v>166</v>
      </c>
      <c r="G676" s="17">
        <v>3</v>
      </c>
      <c r="H676" s="17">
        <v>58832</v>
      </c>
      <c r="I676" s="17">
        <v>176496</v>
      </c>
      <c r="J676" s="17">
        <v>3361</v>
      </c>
      <c r="K676" s="17">
        <v>173135</v>
      </c>
      <c r="L676" s="17">
        <v>43022.336990000003</v>
      </c>
      <c r="M676" s="17">
        <v>2025</v>
      </c>
      <c r="N676" s="17" t="s">
        <v>175</v>
      </c>
    </row>
    <row r="677" spans="1:14" ht="14.25" customHeight="1">
      <c r="A677" s="17">
        <v>10676</v>
      </c>
      <c r="B677" s="18">
        <v>45338</v>
      </c>
      <c r="C677" s="17" t="s">
        <v>45</v>
      </c>
      <c r="D677" s="17" t="s">
        <v>86</v>
      </c>
      <c r="E677" s="17" t="s">
        <v>165</v>
      </c>
      <c r="F677" s="17" t="s">
        <v>166</v>
      </c>
      <c r="G677" s="17">
        <v>9</v>
      </c>
      <c r="H677" s="17">
        <v>59612</v>
      </c>
      <c r="I677" s="17">
        <v>536508</v>
      </c>
      <c r="J677" s="17">
        <v>1142</v>
      </c>
      <c r="K677" s="17">
        <v>535366</v>
      </c>
      <c r="L677" s="17">
        <v>87157.707160000005</v>
      </c>
      <c r="M677" s="17">
        <v>2024</v>
      </c>
      <c r="N677" s="17" t="s">
        <v>175</v>
      </c>
    </row>
    <row r="678" spans="1:14" ht="14.25" customHeight="1">
      <c r="A678" s="17">
        <v>10677</v>
      </c>
      <c r="B678" s="18">
        <v>45524</v>
      </c>
      <c r="C678" s="17" t="s">
        <v>39</v>
      </c>
      <c r="D678" s="17" t="s">
        <v>86</v>
      </c>
      <c r="E678" s="17" t="s">
        <v>162</v>
      </c>
      <c r="F678" s="17" t="s">
        <v>163</v>
      </c>
      <c r="G678" s="17">
        <v>8</v>
      </c>
      <c r="H678" s="17">
        <v>78501</v>
      </c>
      <c r="I678" s="17">
        <v>628008</v>
      </c>
      <c r="J678" s="17">
        <v>4309</v>
      </c>
      <c r="K678" s="17">
        <v>623699</v>
      </c>
      <c r="L678" s="17">
        <v>138400.61749999999</v>
      </c>
      <c r="M678" s="17">
        <v>2024</v>
      </c>
      <c r="N678" s="17" t="s">
        <v>126</v>
      </c>
    </row>
    <row r="679" spans="1:14" ht="14.25" customHeight="1">
      <c r="A679" s="17">
        <v>10678</v>
      </c>
      <c r="B679" s="18">
        <v>45596</v>
      </c>
      <c r="C679" s="17" t="s">
        <v>45</v>
      </c>
      <c r="D679" s="17" t="s">
        <v>111</v>
      </c>
      <c r="E679" s="17" t="s">
        <v>165</v>
      </c>
      <c r="F679" s="17" t="s">
        <v>164</v>
      </c>
      <c r="G679" s="17">
        <v>2</v>
      </c>
      <c r="H679" s="17">
        <v>15248</v>
      </c>
      <c r="I679" s="17">
        <v>30496</v>
      </c>
      <c r="J679" s="17">
        <v>564</v>
      </c>
      <c r="K679" s="17">
        <v>29932</v>
      </c>
      <c r="L679" s="17">
        <v>5903.8490030000003</v>
      </c>
      <c r="M679" s="17">
        <v>2024</v>
      </c>
      <c r="N679" s="17" t="s">
        <v>174</v>
      </c>
    </row>
    <row r="680" spans="1:14" ht="14.25" customHeight="1">
      <c r="A680" s="17">
        <v>10679</v>
      </c>
      <c r="B680" s="18">
        <v>45817</v>
      </c>
      <c r="C680" s="17" t="s">
        <v>167</v>
      </c>
      <c r="D680" s="17" t="s">
        <v>83</v>
      </c>
      <c r="E680" s="17" t="s">
        <v>162</v>
      </c>
      <c r="F680" s="17" t="s">
        <v>163</v>
      </c>
      <c r="G680" s="17">
        <v>8</v>
      </c>
      <c r="H680" s="17">
        <v>51988</v>
      </c>
      <c r="I680" s="17">
        <v>415904</v>
      </c>
      <c r="J680" s="17">
        <v>4827</v>
      </c>
      <c r="K680" s="17">
        <v>411077</v>
      </c>
      <c r="L680" s="17">
        <v>98668.397710000005</v>
      </c>
      <c r="M680" s="17">
        <v>2025</v>
      </c>
      <c r="N680" s="17" t="s">
        <v>120</v>
      </c>
    </row>
    <row r="681" spans="1:14" ht="14.25" customHeight="1">
      <c r="A681" s="17">
        <v>10680</v>
      </c>
      <c r="B681" s="18">
        <v>45434</v>
      </c>
      <c r="C681" s="17" t="s">
        <v>50</v>
      </c>
      <c r="D681" s="17" t="s">
        <v>86</v>
      </c>
      <c r="E681" s="17" t="s">
        <v>162</v>
      </c>
      <c r="F681" s="17" t="s">
        <v>172</v>
      </c>
      <c r="G681" s="17">
        <v>8</v>
      </c>
      <c r="H681" s="17">
        <v>12461</v>
      </c>
      <c r="I681" s="17">
        <v>99688</v>
      </c>
      <c r="J681" s="17">
        <v>4534</v>
      </c>
      <c r="K681" s="17">
        <v>95154</v>
      </c>
      <c r="L681" s="17">
        <v>18442.18144</v>
      </c>
      <c r="M681" s="17">
        <v>2024</v>
      </c>
      <c r="N681" s="17" t="s">
        <v>117</v>
      </c>
    </row>
    <row r="682" spans="1:14" ht="14.25" customHeight="1">
      <c r="A682" s="17">
        <v>10681</v>
      </c>
      <c r="B682" s="18">
        <v>45706</v>
      </c>
      <c r="C682" s="17" t="s">
        <v>167</v>
      </c>
      <c r="D682" s="17" t="s">
        <v>86</v>
      </c>
      <c r="E682" s="17" t="s">
        <v>165</v>
      </c>
      <c r="F682" s="17" t="s">
        <v>172</v>
      </c>
      <c r="G682" s="17">
        <v>2</v>
      </c>
      <c r="H682" s="17">
        <v>31998</v>
      </c>
      <c r="I682" s="17">
        <v>63996</v>
      </c>
      <c r="J682" s="17">
        <v>1588</v>
      </c>
      <c r="K682" s="17">
        <v>62408</v>
      </c>
      <c r="L682" s="17">
        <v>11681.697749999999</v>
      </c>
      <c r="M682" s="17">
        <v>2025</v>
      </c>
      <c r="N682" s="17" t="s">
        <v>175</v>
      </c>
    </row>
    <row r="683" spans="1:14" ht="14.25" customHeight="1">
      <c r="A683" s="17">
        <v>10682</v>
      </c>
      <c r="B683" s="18">
        <v>45804</v>
      </c>
      <c r="C683" s="17" t="s">
        <v>50</v>
      </c>
      <c r="D683" s="17" t="s">
        <v>170</v>
      </c>
      <c r="E683" s="17" t="s">
        <v>165</v>
      </c>
      <c r="F683" s="17" t="s">
        <v>172</v>
      </c>
      <c r="G683" s="17">
        <v>8</v>
      </c>
      <c r="H683" s="17">
        <v>17821</v>
      </c>
      <c r="I683" s="17">
        <v>142568</v>
      </c>
      <c r="J683" s="17">
        <v>3985</v>
      </c>
      <c r="K683" s="17">
        <v>138583</v>
      </c>
      <c r="L683" s="17">
        <v>27429.437549999999</v>
      </c>
      <c r="M683" s="17">
        <v>2025</v>
      </c>
      <c r="N683" s="17" t="s">
        <v>117</v>
      </c>
    </row>
    <row r="684" spans="1:14" ht="14.25" customHeight="1">
      <c r="A684" s="17">
        <v>10683</v>
      </c>
      <c r="B684" s="18">
        <v>45664</v>
      </c>
      <c r="C684" s="17" t="s">
        <v>50</v>
      </c>
      <c r="D684" s="17" t="s">
        <v>86</v>
      </c>
      <c r="E684" s="17" t="s">
        <v>162</v>
      </c>
      <c r="F684" s="17" t="s">
        <v>172</v>
      </c>
      <c r="G684" s="17">
        <v>3</v>
      </c>
      <c r="H684" s="17">
        <v>24870</v>
      </c>
      <c r="I684" s="17">
        <v>74610</v>
      </c>
      <c r="J684" s="17">
        <v>4724</v>
      </c>
      <c r="K684" s="17">
        <v>69886</v>
      </c>
      <c r="L684" s="17">
        <v>15233.03953</v>
      </c>
      <c r="M684" s="17">
        <v>2025</v>
      </c>
      <c r="N684" s="17" t="s">
        <v>171</v>
      </c>
    </row>
    <row r="685" spans="1:14" ht="14.25" customHeight="1">
      <c r="A685" s="17">
        <v>10684</v>
      </c>
      <c r="B685" s="18">
        <v>45857</v>
      </c>
      <c r="C685" s="17" t="s">
        <v>167</v>
      </c>
      <c r="D685" s="17" t="s">
        <v>86</v>
      </c>
      <c r="E685" s="17" t="s">
        <v>165</v>
      </c>
      <c r="F685" s="17" t="s">
        <v>163</v>
      </c>
      <c r="G685" s="17">
        <v>7</v>
      </c>
      <c r="H685" s="17">
        <v>18410</v>
      </c>
      <c r="I685" s="17">
        <v>128870</v>
      </c>
      <c r="J685" s="17">
        <v>4998</v>
      </c>
      <c r="K685" s="17">
        <v>123872</v>
      </c>
      <c r="L685" s="17">
        <v>29088.3966</v>
      </c>
      <c r="M685" s="17">
        <v>2025</v>
      </c>
      <c r="N685" s="17" t="s">
        <v>123</v>
      </c>
    </row>
    <row r="686" spans="1:14" ht="14.25" customHeight="1">
      <c r="A686" s="17">
        <v>10685</v>
      </c>
      <c r="B686" s="18">
        <v>45550</v>
      </c>
      <c r="C686" s="17" t="s">
        <v>167</v>
      </c>
      <c r="D686" s="17" t="s">
        <v>111</v>
      </c>
      <c r="E686" s="17" t="s">
        <v>162</v>
      </c>
      <c r="F686" s="17" t="s">
        <v>172</v>
      </c>
      <c r="G686" s="17">
        <v>9</v>
      </c>
      <c r="H686" s="17">
        <v>24133</v>
      </c>
      <c r="I686" s="17">
        <v>217197</v>
      </c>
      <c r="J686" s="17">
        <v>1470</v>
      </c>
      <c r="K686" s="17">
        <v>215727</v>
      </c>
      <c r="L686" s="17">
        <v>30206.576690000002</v>
      </c>
      <c r="M686" s="17">
        <v>2024</v>
      </c>
      <c r="N686" s="17" t="s">
        <v>129</v>
      </c>
    </row>
    <row r="687" spans="1:14" ht="14.25" customHeight="1">
      <c r="A687" s="17">
        <v>10686</v>
      </c>
      <c r="B687" s="18">
        <v>45947</v>
      </c>
      <c r="C687" s="17" t="s">
        <v>45</v>
      </c>
      <c r="D687" s="17" t="s">
        <v>83</v>
      </c>
      <c r="E687" s="17" t="s">
        <v>165</v>
      </c>
      <c r="F687" s="17" t="s">
        <v>164</v>
      </c>
      <c r="G687" s="17">
        <v>4</v>
      </c>
      <c r="H687" s="17">
        <v>28359</v>
      </c>
      <c r="I687" s="17">
        <v>113436</v>
      </c>
      <c r="J687" s="17">
        <v>3914</v>
      </c>
      <c r="K687" s="17">
        <v>109522</v>
      </c>
      <c r="L687" s="17">
        <v>14252.43341</v>
      </c>
      <c r="M687" s="17">
        <v>2025</v>
      </c>
      <c r="N687" s="17" t="s">
        <v>174</v>
      </c>
    </row>
    <row r="688" spans="1:14" ht="14.25" customHeight="1">
      <c r="A688" s="17">
        <v>10687</v>
      </c>
      <c r="B688" s="18">
        <v>45762</v>
      </c>
      <c r="C688" s="17" t="s">
        <v>167</v>
      </c>
      <c r="D688" s="17" t="s">
        <v>89</v>
      </c>
      <c r="E688" s="17" t="s">
        <v>168</v>
      </c>
      <c r="F688" s="17" t="s">
        <v>163</v>
      </c>
      <c r="G688" s="17">
        <v>6</v>
      </c>
      <c r="H688" s="17">
        <v>66385</v>
      </c>
      <c r="I688" s="17">
        <v>398310</v>
      </c>
      <c r="J688" s="17">
        <v>3113</v>
      </c>
      <c r="K688" s="17">
        <v>395197</v>
      </c>
      <c r="L688" s="17">
        <v>41555.934500000003</v>
      </c>
      <c r="M688" s="17">
        <v>2025</v>
      </c>
      <c r="N688" s="17" t="s">
        <v>114</v>
      </c>
    </row>
    <row r="689" spans="1:14" ht="14.25" customHeight="1">
      <c r="A689" s="17">
        <v>10688</v>
      </c>
      <c r="B689" s="18">
        <v>45303</v>
      </c>
      <c r="C689" s="17" t="s">
        <v>45</v>
      </c>
      <c r="D689" s="17" t="s">
        <v>83</v>
      </c>
      <c r="E689" s="17" t="s">
        <v>162</v>
      </c>
      <c r="F689" s="17" t="s">
        <v>172</v>
      </c>
      <c r="G689" s="17">
        <v>9</v>
      </c>
      <c r="H689" s="17">
        <v>32400</v>
      </c>
      <c r="I689" s="17">
        <v>291600</v>
      </c>
      <c r="J689" s="17">
        <v>4490</v>
      </c>
      <c r="K689" s="17">
        <v>287110</v>
      </c>
      <c r="L689" s="17">
        <v>44649.016000000003</v>
      </c>
      <c r="M689" s="17">
        <v>2024</v>
      </c>
      <c r="N689" s="17" t="s">
        <v>171</v>
      </c>
    </row>
    <row r="690" spans="1:14" ht="14.25" customHeight="1">
      <c r="A690" s="17">
        <v>10689</v>
      </c>
      <c r="B690" s="18">
        <v>45621</v>
      </c>
      <c r="C690" s="17" t="s">
        <v>45</v>
      </c>
      <c r="D690" s="17" t="s">
        <v>170</v>
      </c>
      <c r="E690" s="17" t="s">
        <v>168</v>
      </c>
      <c r="F690" s="17" t="s">
        <v>163</v>
      </c>
      <c r="G690" s="17">
        <v>5</v>
      </c>
      <c r="H690" s="17">
        <v>39173</v>
      </c>
      <c r="I690" s="17">
        <v>195865</v>
      </c>
      <c r="J690" s="17">
        <v>4342</v>
      </c>
      <c r="K690" s="17">
        <v>191523</v>
      </c>
      <c r="L690" s="17">
        <v>43461.884120000002</v>
      </c>
      <c r="M690" s="17">
        <v>2024</v>
      </c>
      <c r="N690" s="17" t="s">
        <v>173</v>
      </c>
    </row>
    <row r="691" spans="1:14" ht="14.25" customHeight="1">
      <c r="A691" s="17">
        <v>10690</v>
      </c>
      <c r="B691" s="18">
        <v>45649</v>
      </c>
      <c r="C691" s="17" t="s">
        <v>45</v>
      </c>
      <c r="D691" s="17" t="s">
        <v>83</v>
      </c>
      <c r="E691" s="17" t="s">
        <v>165</v>
      </c>
      <c r="F691" s="17" t="s">
        <v>163</v>
      </c>
      <c r="G691" s="17">
        <v>1</v>
      </c>
      <c r="H691" s="17">
        <v>16179</v>
      </c>
      <c r="I691" s="17">
        <v>16179</v>
      </c>
      <c r="J691" s="17">
        <v>3362</v>
      </c>
      <c r="K691" s="17">
        <v>12817</v>
      </c>
      <c r="L691" s="17">
        <v>1416.0043989999999</v>
      </c>
      <c r="M691" s="17">
        <v>2024</v>
      </c>
      <c r="N691" s="17" t="s">
        <v>169</v>
      </c>
    </row>
    <row r="692" spans="1:14" ht="14.25" customHeight="1">
      <c r="A692" s="17">
        <v>10691</v>
      </c>
      <c r="B692" s="18">
        <v>45699</v>
      </c>
      <c r="C692" s="17" t="s">
        <v>50</v>
      </c>
      <c r="D692" s="17" t="s">
        <v>86</v>
      </c>
      <c r="E692" s="17" t="s">
        <v>168</v>
      </c>
      <c r="F692" s="17" t="s">
        <v>163</v>
      </c>
      <c r="G692" s="17">
        <v>3</v>
      </c>
      <c r="H692" s="17">
        <v>66886</v>
      </c>
      <c r="I692" s="17">
        <v>200658</v>
      </c>
      <c r="J692" s="17">
        <v>1636</v>
      </c>
      <c r="K692" s="17">
        <v>199022</v>
      </c>
      <c r="L692" s="17">
        <v>35978.801399999997</v>
      </c>
      <c r="M692" s="17">
        <v>2025</v>
      </c>
      <c r="N692" s="17" t="s">
        <v>175</v>
      </c>
    </row>
    <row r="693" spans="1:14" ht="14.25" customHeight="1">
      <c r="A693" s="17">
        <v>10692</v>
      </c>
      <c r="B693" s="18">
        <v>45959</v>
      </c>
      <c r="C693" s="17" t="s">
        <v>50</v>
      </c>
      <c r="D693" s="17" t="s">
        <v>170</v>
      </c>
      <c r="E693" s="17" t="s">
        <v>165</v>
      </c>
      <c r="F693" s="17" t="s">
        <v>166</v>
      </c>
      <c r="G693" s="17">
        <v>9</v>
      </c>
      <c r="H693" s="17">
        <v>40495</v>
      </c>
      <c r="I693" s="17">
        <v>364455</v>
      </c>
      <c r="J693" s="17">
        <v>2912</v>
      </c>
      <c r="K693" s="17">
        <v>361543</v>
      </c>
      <c r="L693" s="17">
        <v>73833.695189999999</v>
      </c>
      <c r="M693" s="17">
        <v>2025</v>
      </c>
      <c r="N693" s="17" t="s">
        <v>174</v>
      </c>
    </row>
    <row r="694" spans="1:14" ht="14.25" customHeight="1">
      <c r="A694" s="17">
        <v>10693</v>
      </c>
      <c r="B694" s="18">
        <v>45664</v>
      </c>
      <c r="C694" s="17" t="s">
        <v>167</v>
      </c>
      <c r="D694" s="17" t="s">
        <v>83</v>
      </c>
      <c r="E694" s="17" t="s">
        <v>162</v>
      </c>
      <c r="F694" s="17" t="s">
        <v>172</v>
      </c>
      <c r="G694" s="17">
        <v>3</v>
      </c>
      <c r="H694" s="17">
        <v>11487</v>
      </c>
      <c r="I694" s="17">
        <v>34461</v>
      </c>
      <c r="J694" s="17">
        <v>1472</v>
      </c>
      <c r="K694" s="17">
        <v>32989</v>
      </c>
      <c r="L694" s="17">
        <v>7439.9417059999996</v>
      </c>
      <c r="M694" s="17">
        <v>2025</v>
      </c>
      <c r="N694" s="17" t="s">
        <v>171</v>
      </c>
    </row>
    <row r="695" spans="1:14" ht="14.25" customHeight="1">
      <c r="A695" s="17">
        <v>10694</v>
      </c>
      <c r="B695" s="18">
        <v>45299</v>
      </c>
      <c r="C695" s="17" t="s">
        <v>50</v>
      </c>
      <c r="D695" s="17" t="s">
        <v>170</v>
      </c>
      <c r="E695" s="17" t="s">
        <v>165</v>
      </c>
      <c r="F695" s="17" t="s">
        <v>166</v>
      </c>
      <c r="G695" s="17">
        <v>2</v>
      </c>
      <c r="H695" s="17">
        <v>19760</v>
      </c>
      <c r="I695" s="17">
        <v>39520</v>
      </c>
      <c r="J695" s="17">
        <v>1244</v>
      </c>
      <c r="K695" s="17">
        <v>38276</v>
      </c>
      <c r="L695" s="17">
        <v>7177.3068510000003</v>
      </c>
      <c r="M695" s="17">
        <v>2024</v>
      </c>
      <c r="N695" s="17" t="s">
        <v>171</v>
      </c>
    </row>
    <row r="696" spans="1:14" ht="14.25" customHeight="1">
      <c r="A696" s="17">
        <v>10695</v>
      </c>
      <c r="B696" s="18">
        <v>45413</v>
      </c>
      <c r="C696" s="17" t="s">
        <v>167</v>
      </c>
      <c r="D696" s="17" t="s">
        <v>89</v>
      </c>
      <c r="E696" s="17" t="s">
        <v>165</v>
      </c>
      <c r="F696" s="17" t="s">
        <v>164</v>
      </c>
      <c r="G696" s="17">
        <v>4</v>
      </c>
      <c r="H696" s="17">
        <v>76827</v>
      </c>
      <c r="I696" s="17">
        <v>307308</v>
      </c>
      <c r="J696" s="17">
        <v>3737</v>
      </c>
      <c r="K696" s="17">
        <v>303571</v>
      </c>
      <c r="L696" s="17">
        <v>38841.302770000002</v>
      </c>
      <c r="M696" s="17">
        <v>2024</v>
      </c>
      <c r="N696" s="17" t="s">
        <v>117</v>
      </c>
    </row>
    <row r="697" spans="1:14" ht="14.25" customHeight="1">
      <c r="A697" s="17">
        <v>10696</v>
      </c>
      <c r="B697" s="18">
        <v>45639</v>
      </c>
      <c r="C697" s="17" t="s">
        <v>50</v>
      </c>
      <c r="D697" s="17" t="s">
        <v>83</v>
      </c>
      <c r="E697" s="17" t="s">
        <v>162</v>
      </c>
      <c r="F697" s="17" t="s">
        <v>164</v>
      </c>
      <c r="G697" s="17">
        <v>5</v>
      </c>
      <c r="H697" s="17">
        <v>34403</v>
      </c>
      <c r="I697" s="17">
        <v>172015</v>
      </c>
      <c r="J697" s="17">
        <v>2098</v>
      </c>
      <c r="K697" s="17">
        <v>169917</v>
      </c>
      <c r="L697" s="17">
        <v>41575.366110000003</v>
      </c>
      <c r="M697" s="17">
        <v>2024</v>
      </c>
      <c r="N697" s="17" t="s">
        <v>169</v>
      </c>
    </row>
    <row r="698" spans="1:14" ht="14.25" customHeight="1">
      <c r="A698" s="17">
        <v>10697</v>
      </c>
      <c r="B698" s="18">
        <v>45967</v>
      </c>
      <c r="C698" s="17" t="s">
        <v>39</v>
      </c>
      <c r="D698" s="17" t="s">
        <v>86</v>
      </c>
      <c r="E698" s="17" t="s">
        <v>165</v>
      </c>
      <c r="F698" s="17" t="s">
        <v>166</v>
      </c>
      <c r="G698" s="17">
        <v>7</v>
      </c>
      <c r="H698" s="17">
        <v>73037</v>
      </c>
      <c r="I698" s="17">
        <v>511259</v>
      </c>
      <c r="J698" s="17">
        <v>2597</v>
      </c>
      <c r="K698" s="17">
        <v>508662</v>
      </c>
      <c r="L698" s="17">
        <v>58088.043989999998</v>
      </c>
      <c r="M698" s="17">
        <v>2025</v>
      </c>
      <c r="N698" s="17" t="s">
        <v>173</v>
      </c>
    </row>
    <row r="699" spans="1:14" ht="14.25" customHeight="1">
      <c r="A699" s="17">
        <v>10698</v>
      </c>
      <c r="B699" s="18">
        <v>45381</v>
      </c>
      <c r="C699" s="17" t="s">
        <v>39</v>
      </c>
      <c r="D699" s="17" t="s">
        <v>170</v>
      </c>
      <c r="E699" s="17" t="s">
        <v>162</v>
      </c>
      <c r="F699" s="17" t="s">
        <v>172</v>
      </c>
      <c r="G699" s="17">
        <v>7</v>
      </c>
      <c r="H699" s="17">
        <v>6755</v>
      </c>
      <c r="I699" s="17">
        <v>47285</v>
      </c>
      <c r="J699" s="17">
        <v>2512</v>
      </c>
      <c r="K699" s="17">
        <v>44773</v>
      </c>
      <c r="L699" s="17">
        <v>9641.8629430000001</v>
      </c>
      <c r="M699" s="17">
        <v>2024</v>
      </c>
      <c r="N699" s="17" t="s">
        <v>112</v>
      </c>
    </row>
    <row r="700" spans="1:14" ht="14.25" customHeight="1">
      <c r="A700" s="17">
        <v>10699</v>
      </c>
      <c r="B700" s="18">
        <v>45939</v>
      </c>
      <c r="C700" s="17" t="s">
        <v>167</v>
      </c>
      <c r="D700" s="17" t="s">
        <v>111</v>
      </c>
      <c r="E700" s="17" t="s">
        <v>165</v>
      </c>
      <c r="F700" s="17" t="s">
        <v>163</v>
      </c>
      <c r="G700" s="17">
        <v>9</v>
      </c>
      <c r="H700" s="17">
        <v>41158</v>
      </c>
      <c r="I700" s="17">
        <v>370422</v>
      </c>
      <c r="J700" s="17">
        <v>4514</v>
      </c>
      <c r="K700" s="17">
        <v>365908</v>
      </c>
      <c r="L700" s="17">
        <v>41341.706870000002</v>
      </c>
      <c r="M700" s="17">
        <v>2025</v>
      </c>
      <c r="N700" s="17" t="s">
        <v>174</v>
      </c>
    </row>
    <row r="701" spans="1:14" ht="14.25" customHeight="1">
      <c r="A701" s="17">
        <v>10700</v>
      </c>
      <c r="B701" s="18">
        <v>45989</v>
      </c>
      <c r="C701" s="17" t="s">
        <v>50</v>
      </c>
      <c r="D701" s="17" t="s">
        <v>170</v>
      </c>
      <c r="E701" s="17" t="s">
        <v>162</v>
      </c>
      <c r="F701" s="17" t="s">
        <v>164</v>
      </c>
      <c r="G701" s="17">
        <v>8</v>
      </c>
      <c r="H701" s="17">
        <v>76352</v>
      </c>
      <c r="I701" s="17">
        <v>610816</v>
      </c>
      <c r="J701" s="17">
        <v>258</v>
      </c>
      <c r="K701" s="17">
        <v>610558</v>
      </c>
      <c r="L701" s="17">
        <v>74190.652530000007</v>
      </c>
      <c r="M701" s="17">
        <v>2025</v>
      </c>
      <c r="N701" s="17" t="s">
        <v>173</v>
      </c>
    </row>
    <row r="702" spans="1:14" ht="14.25" customHeight="1">
      <c r="A702" s="17">
        <v>10701</v>
      </c>
      <c r="B702" s="18">
        <v>45607</v>
      </c>
      <c r="C702" s="17" t="s">
        <v>50</v>
      </c>
      <c r="D702" s="17" t="s">
        <v>111</v>
      </c>
      <c r="E702" s="17" t="s">
        <v>168</v>
      </c>
      <c r="F702" s="17" t="s">
        <v>164</v>
      </c>
      <c r="G702" s="17">
        <v>2</v>
      </c>
      <c r="H702" s="17">
        <v>37616</v>
      </c>
      <c r="I702" s="17">
        <v>75232</v>
      </c>
      <c r="J702" s="17">
        <v>2358</v>
      </c>
      <c r="K702" s="17">
        <v>72874</v>
      </c>
      <c r="L702" s="17">
        <v>17105.884480000001</v>
      </c>
      <c r="M702" s="17">
        <v>2024</v>
      </c>
      <c r="N702" s="17" t="s">
        <v>173</v>
      </c>
    </row>
    <row r="703" spans="1:14" ht="14.25" customHeight="1">
      <c r="A703" s="17">
        <v>10702</v>
      </c>
      <c r="B703" s="18">
        <v>45469</v>
      </c>
      <c r="C703" s="17" t="s">
        <v>45</v>
      </c>
      <c r="D703" s="17" t="s">
        <v>86</v>
      </c>
      <c r="E703" s="17" t="s">
        <v>165</v>
      </c>
      <c r="F703" s="17" t="s">
        <v>164</v>
      </c>
      <c r="G703" s="17">
        <v>8</v>
      </c>
      <c r="H703" s="17">
        <v>72426</v>
      </c>
      <c r="I703" s="17">
        <v>579408</v>
      </c>
      <c r="J703" s="17">
        <v>3393</v>
      </c>
      <c r="K703" s="17">
        <v>576015</v>
      </c>
      <c r="L703" s="17">
        <v>122668.8449</v>
      </c>
      <c r="M703" s="17">
        <v>2024</v>
      </c>
      <c r="N703" s="17" t="s">
        <v>120</v>
      </c>
    </row>
    <row r="704" spans="1:14" ht="14.25" customHeight="1">
      <c r="A704" s="17">
        <v>10703</v>
      </c>
      <c r="B704" s="18">
        <v>45831</v>
      </c>
      <c r="C704" s="17" t="s">
        <v>58</v>
      </c>
      <c r="D704" s="17" t="s">
        <v>89</v>
      </c>
      <c r="E704" s="17" t="s">
        <v>165</v>
      </c>
      <c r="F704" s="17" t="s">
        <v>172</v>
      </c>
      <c r="G704" s="17">
        <v>8</v>
      </c>
      <c r="H704" s="17">
        <v>29966</v>
      </c>
      <c r="I704" s="17">
        <v>239728</v>
      </c>
      <c r="J704" s="17">
        <v>3778</v>
      </c>
      <c r="K704" s="17">
        <v>235950</v>
      </c>
      <c r="L704" s="17">
        <v>36531.251490000002</v>
      </c>
      <c r="M704" s="17">
        <v>2025</v>
      </c>
      <c r="N704" s="17" t="s">
        <v>120</v>
      </c>
    </row>
    <row r="705" spans="1:14" ht="14.25" customHeight="1">
      <c r="A705" s="17">
        <v>10704</v>
      </c>
      <c r="B705" s="18">
        <v>45332</v>
      </c>
      <c r="C705" s="17" t="s">
        <v>167</v>
      </c>
      <c r="D705" s="17" t="s">
        <v>111</v>
      </c>
      <c r="E705" s="17" t="s">
        <v>165</v>
      </c>
      <c r="F705" s="17" t="s">
        <v>166</v>
      </c>
      <c r="G705" s="17">
        <v>5</v>
      </c>
      <c r="H705" s="17">
        <v>12688</v>
      </c>
      <c r="I705" s="17">
        <v>63440</v>
      </c>
      <c r="J705" s="17">
        <v>3411</v>
      </c>
      <c r="K705" s="17">
        <v>60029</v>
      </c>
      <c r="L705" s="17">
        <v>11754.19766</v>
      </c>
      <c r="M705" s="17">
        <v>2024</v>
      </c>
      <c r="N705" s="17" t="s">
        <v>175</v>
      </c>
    </row>
    <row r="706" spans="1:14" ht="14.25" customHeight="1">
      <c r="A706" s="17">
        <v>10705</v>
      </c>
      <c r="B706" s="18">
        <v>45995</v>
      </c>
      <c r="C706" s="17" t="s">
        <v>58</v>
      </c>
      <c r="D706" s="17" t="s">
        <v>89</v>
      </c>
      <c r="E706" s="17" t="s">
        <v>162</v>
      </c>
      <c r="F706" s="17" t="s">
        <v>166</v>
      </c>
      <c r="G706" s="17">
        <v>3</v>
      </c>
      <c r="H706" s="17">
        <v>44484</v>
      </c>
      <c r="I706" s="17">
        <v>133452</v>
      </c>
      <c r="J706" s="17">
        <v>1268</v>
      </c>
      <c r="K706" s="17">
        <v>132184</v>
      </c>
      <c r="L706" s="17">
        <v>22284.515009999999</v>
      </c>
      <c r="M706" s="17">
        <v>2025</v>
      </c>
      <c r="N706" s="17" t="s">
        <v>169</v>
      </c>
    </row>
    <row r="707" spans="1:14" ht="14.25" customHeight="1">
      <c r="A707" s="17">
        <v>10706</v>
      </c>
      <c r="B707" s="18">
        <v>45793</v>
      </c>
      <c r="C707" s="17" t="s">
        <v>58</v>
      </c>
      <c r="D707" s="17" t="s">
        <v>170</v>
      </c>
      <c r="E707" s="17" t="s">
        <v>165</v>
      </c>
      <c r="F707" s="17" t="s">
        <v>172</v>
      </c>
      <c r="G707" s="17">
        <v>9</v>
      </c>
      <c r="H707" s="17">
        <v>64855</v>
      </c>
      <c r="I707" s="17">
        <v>583695</v>
      </c>
      <c r="J707" s="17">
        <v>939</v>
      </c>
      <c r="K707" s="17">
        <v>582756</v>
      </c>
      <c r="L707" s="17">
        <v>64091.891909999998</v>
      </c>
      <c r="M707" s="17">
        <v>2025</v>
      </c>
      <c r="N707" s="17" t="s">
        <v>117</v>
      </c>
    </row>
    <row r="708" spans="1:14" ht="14.25" customHeight="1">
      <c r="A708" s="17">
        <v>10707</v>
      </c>
      <c r="B708" s="18">
        <v>45436</v>
      </c>
      <c r="C708" s="17" t="s">
        <v>167</v>
      </c>
      <c r="D708" s="17" t="s">
        <v>86</v>
      </c>
      <c r="E708" s="17" t="s">
        <v>162</v>
      </c>
      <c r="F708" s="17" t="s">
        <v>164</v>
      </c>
      <c r="G708" s="17">
        <v>7</v>
      </c>
      <c r="H708" s="17">
        <v>32553</v>
      </c>
      <c r="I708" s="17">
        <v>227871</v>
      </c>
      <c r="J708" s="17">
        <v>2376</v>
      </c>
      <c r="K708" s="17">
        <v>225495</v>
      </c>
      <c r="L708" s="17">
        <v>46941.100780000001</v>
      </c>
      <c r="M708" s="17">
        <v>2024</v>
      </c>
      <c r="N708" s="17" t="s">
        <v>117</v>
      </c>
    </row>
    <row r="709" spans="1:14" ht="14.25" customHeight="1">
      <c r="A709" s="17">
        <v>10708</v>
      </c>
      <c r="B709" s="18">
        <v>45492</v>
      </c>
      <c r="C709" s="17" t="s">
        <v>50</v>
      </c>
      <c r="D709" s="17" t="s">
        <v>111</v>
      </c>
      <c r="E709" s="17" t="s">
        <v>165</v>
      </c>
      <c r="F709" s="17" t="s">
        <v>172</v>
      </c>
      <c r="G709" s="17">
        <v>1</v>
      </c>
      <c r="H709" s="17">
        <v>74282</v>
      </c>
      <c r="I709" s="17">
        <v>74282</v>
      </c>
      <c r="J709" s="17">
        <v>3951</v>
      </c>
      <c r="K709" s="17">
        <v>70331</v>
      </c>
      <c r="L709" s="17">
        <v>15085.18075</v>
      </c>
      <c r="M709" s="17">
        <v>2024</v>
      </c>
      <c r="N709" s="17" t="s">
        <v>123</v>
      </c>
    </row>
    <row r="710" spans="1:14" ht="14.25" customHeight="1">
      <c r="A710" s="17">
        <v>10709</v>
      </c>
      <c r="B710" s="18">
        <v>46015</v>
      </c>
      <c r="C710" s="17" t="s">
        <v>167</v>
      </c>
      <c r="D710" s="17" t="s">
        <v>170</v>
      </c>
      <c r="E710" s="17" t="s">
        <v>168</v>
      </c>
      <c r="F710" s="17" t="s">
        <v>172</v>
      </c>
      <c r="G710" s="17">
        <v>8</v>
      </c>
      <c r="H710" s="17">
        <v>62442</v>
      </c>
      <c r="I710" s="17">
        <v>499536</v>
      </c>
      <c r="J710" s="17">
        <v>195</v>
      </c>
      <c r="K710" s="17">
        <v>499341</v>
      </c>
      <c r="L710" s="17">
        <v>116022.48450000001</v>
      </c>
      <c r="M710" s="17">
        <v>2025</v>
      </c>
      <c r="N710" s="17" t="s">
        <v>169</v>
      </c>
    </row>
    <row r="711" spans="1:14" ht="14.25" customHeight="1">
      <c r="A711" s="17">
        <v>10710</v>
      </c>
      <c r="B711" s="18">
        <v>45752</v>
      </c>
      <c r="C711" s="17" t="s">
        <v>58</v>
      </c>
      <c r="D711" s="17" t="s">
        <v>83</v>
      </c>
      <c r="E711" s="17" t="s">
        <v>165</v>
      </c>
      <c r="F711" s="17" t="s">
        <v>166</v>
      </c>
      <c r="G711" s="17">
        <v>5</v>
      </c>
      <c r="H711" s="17">
        <v>23579</v>
      </c>
      <c r="I711" s="17">
        <v>117895</v>
      </c>
      <c r="J711" s="17">
        <v>4157</v>
      </c>
      <c r="K711" s="17">
        <v>113738</v>
      </c>
      <c r="L711" s="17">
        <v>20597.451580000001</v>
      </c>
      <c r="M711" s="17">
        <v>2025</v>
      </c>
      <c r="N711" s="17" t="s">
        <v>114</v>
      </c>
    </row>
    <row r="712" spans="1:14" ht="14.25" customHeight="1">
      <c r="A712" s="17">
        <v>10711</v>
      </c>
      <c r="B712" s="18">
        <v>45849</v>
      </c>
      <c r="C712" s="17" t="s">
        <v>50</v>
      </c>
      <c r="D712" s="17" t="s">
        <v>170</v>
      </c>
      <c r="E712" s="17" t="s">
        <v>168</v>
      </c>
      <c r="F712" s="17" t="s">
        <v>172</v>
      </c>
      <c r="G712" s="17">
        <v>6</v>
      </c>
      <c r="H712" s="17">
        <v>18014</v>
      </c>
      <c r="I712" s="17">
        <v>108084</v>
      </c>
      <c r="J712" s="17">
        <v>3096</v>
      </c>
      <c r="K712" s="17">
        <v>104988</v>
      </c>
      <c r="L712" s="17">
        <v>21099.51108</v>
      </c>
      <c r="M712" s="17">
        <v>2025</v>
      </c>
      <c r="N712" s="17" t="s">
        <v>123</v>
      </c>
    </row>
    <row r="713" spans="1:14" ht="14.25" customHeight="1">
      <c r="A713" s="17">
        <v>10712</v>
      </c>
      <c r="B713" s="18">
        <v>45838</v>
      </c>
      <c r="C713" s="17" t="s">
        <v>39</v>
      </c>
      <c r="D713" s="17" t="s">
        <v>89</v>
      </c>
      <c r="E713" s="17" t="s">
        <v>162</v>
      </c>
      <c r="F713" s="17" t="s">
        <v>172</v>
      </c>
      <c r="G713" s="17">
        <v>9</v>
      </c>
      <c r="H713" s="17">
        <v>53443</v>
      </c>
      <c r="I713" s="17">
        <v>480987</v>
      </c>
      <c r="J713" s="17">
        <v>3635</v>
      </c>
      <c r="K713" s="17">
        <v>477352</v>
      </c>
      <c r="L713" s="17">
        <v>79100.836500000005</v>
      </c>
      <c r="M713" s="17">
        <v>2025</v>
      </c>
      <c r="N713" s="17" t="s">
        <v>120</v>
      </c>
    </row>
    <row r="714" spans="1:14" ht="14.25" customHeight="1">
      <c r="A714" s="17">
        <v>10713</v>
      </c>
      <c r="B714" s="18">
        <v>45544</v>
      </c>
      <c r="C714" s="17" t="s">
        <v>167</v>
      </c>
      <c r="D714" s="17" t="s">
        <v>86</v>
      </c>
      <c r="E714" s="17" t="s">
        <v>168</v>
      </c>
      <c r="F714" s="17" t="s">
        <v>164</v>
      </c>
      <c r="G714" s="17">
        <v>8</v>
      </c>
      <c r="H714" s="17">
        <v>46961</v>
      </c>
      <c r="I714" s="17">
        <v>375688</v>
      </c>
      <c r="J714" s="17">
        <v>561</v>
      </c>
      <c r="K714" s="17">
        <v>375127</v>
      </c>
      <c r="L714" s="17">
        <v>55457.421049999997</v>
      </c>
      <c r="M714" s="17">
        <v>2024</v>
      </c>
      <c r="N714" s="17" t="s">
        <v>129</v>
      </c>
    </row>
    <row r="715" spans="1:14" ht="14.25" customHeight="1">
      <c r="A715" s="17">
        <v>10714</v>
      </c>
      <c r="B715" s="18">
        <v>45681</v>
      </c>
      <c r="C715" s="17" t="s">
        <v>167</v>
      </c>
      <c r="D715" s="17" t="s">
        <v>86</v>
      </c>
      <c r="E715" s="17" t="s">
        <v>165</v>
      </c>
      <c r="F715" s="17" t="s">
        <v>163</v>
      </c>
      <c r="G715" s="17">
        <v>3</v>
      </c>
      <c r="H715" s="17">
        <v>61501</v>
      </c>
      <c r="I715" s="17">
        <v>184503</v>
      </c>
      <c r="J715" s="17">
        <v>3449</v>
      </c>
      <c r="K715" s="17">
        <v>181054</v>
      </c>
      <c r="L715" s="17">
        <v>29286.389640000001</v>
      </c>
      <c r="M715" s="17">
        <v>2025</v>
      </c>
      <c r="N715" s="17" t="s">
        <v>171</v>
      </c>
    </row>
    <row r="716" spans="1:14" ht="14.25" customHeight="1">
      <c r="A716" s="17">
        <v>10715</v>
      </c>
      <c r="B716" s="18">
        <v>45885</v>
      </c>
      <c r="C716" s="17" t="s">
        <v>50</v>
      </c>
      <c r="D716" s="17" t="s">
        <v>170</v>
      </c>
      <c r="E716" s="17" t="s">
        <v>165</v>
      </c>
      <c r="F716" s="17" t="s">
        <v>164</v>
      </c>
      <c r="G716" s="17">
        <v>5</v>
      </c>
      <c r="H716" s="17">
        <v>63914</v>
      </c>
      <c r="I716" s="17">
        <v>319570</v>
      </c>
      <c r="J716" s="17">
        <v>3366</v>
      </c>
      <c r="K716" s="17">
        <v>316204</v>
      </c>
      <c r="L716" s="17">
        <v>74865.36133</v>
      </c>
      <c r="M716" s="17">
        <v>2025</v>
      </c>
      <c r="N716" s="17" t="s">
        <v>126</v>
      </c>
    </row>
    <row r="717" spans="1:14" ht="14.25" customHeight="1">
      <c r="A717" s="17">
        <v>10716</v>
      </c>
      <c r="B717" s="18">
        <v>45547</v>
      </c>
      <c r="C717" s="17" t="s">
        <v>39</v>
      </c>
      <c r="D717" s="17" t="s">
        <v>83</v>
      </c>
      <c r="E717" s="17" t="s">
        <v>162</v>
      </c>
      <c r="F717" s="17" t="s">
        <v>166</v>
      </c>
      <c r="G717" s="17">
        <v>4</v>
      </c>
      <c r="H717" s="17">
        <v>41397</v>
      </c>
      <c r="I717" s="17">
        <v>165588</v>
      </c>
      <c r="J717" s="17">
        <v>3123</v>
      </c>
      <c r="K717" s="17">
        <v>162465</v>
      </c>
      <c r="L717" s="17">
        <v>20247.313170000001</v>
      </c>
      <c r="M717" s="17">
        <v>2024</v>
      </c>
      <c r="N717" s="17" t="s">
        <v>129</v>
      </c>
    </row>
    <row r="718" spans="1:14" ht="14.25" customHeight="1">
      <c r="A718" s="17">
        <v>10717</v>
      </c>
      <c r="B718" s="18">
        <v>46000</v>
      </c>
      <c r="C718" s="17" t="s">
        <v>39</v>
      </c>
      <c r="D718" s="17" t="s">
        <v>89</v>
      </c>
      <c r="E718" s="17" t="s">
        <v>165</v>
      </c>
      <c r="F718" s="17" t="s">
        <v>163</v>
      </c>
      <c r="G718" s="17">
        <v>1</v>
      </c>
      <c r="H718" s="17">
        <v>78302</v>
      </c>
      <c r="I718" s="17">
        <v>78302</v>
      </c>
      <c r="J718" s="17">
        <v>2891</v>
      </c>
      <c r="K718" s="17">
        <v>75411</v>
      </c>
      <c r="L718" s="17">
        <v>10352.042960000001</v>
      </c>
      <c r="M718" s="17">
        <v>2025</v>
      </c>
      <c r="N718" s="17" t="s">
        <v>169</v>
      </c>
    </row>
    <row r="719" spans="1:14" ht="14.25" customHeight="1">
      <c r="A719" s="17">
        <v>10718</v>
      </c>
      <c r="B719" s="18">
        <v>45741</v>
      </c>
      <c r="C719" s="17" t="s">
        <v>50</v>
      </c>
      <c r="D719" s="17" t="s">
        <v>170</v>
      </c>
      <c r="E719" s="17" t="s">
        <v>165</v>
      </c>
      <c r="F719" s="17" t="s">
        <v>164</v>
      </c>
      <c r="G719" s="17">
        <v>5</v>
      </c>
      <c r="H719" s="17">
        <v>76683</v>
      </c>
      <c r="I719" s="17">
        <v>383415</v>
      </c>
      <c r="J719" s="17">
        <v>39</v>
      </c>
      <c r="K719" s="17">
        <v>383376</v>
      </c>
      <c r="L719" s="17">
        <v>73197.450129999997</v>
      </c>
      <c r="M719" s="17">
        <v>2025</v>
      </c>
      <c r="N719" s="17" t="s">
        <v>112</v>
      </c>
    </row>
    <row r="720" spans="1:14" ht="14.25" customHeight="1">
      <c r="A720" s="17">
        <v>10719</v>
      </c>
      <c r="B720" s="18">
        <v>45301</v>
      </c>
      <c r="C720" s="17" t="s">
        <v>45</v>
      </c>
      <c r="D720" s="17" t="s">
        <v>170</v>
      </c>
      <c r="E720" s="17" t="s">
        <v>162</v>
      </c>
      <c r="F720" s="17" t="s">
        <v>172</v>
      </c>
      <c r="G720" s="17">
        <v>7</v>
      </c>
      <c r="H720" s="17">
        <v>52178</v>
      </c>
      <c r="I720" s="17">
        <v>365246</v>
      </c>
      <c r="J720" s="17">
        <v>1767</v>
      </c>
      <c r="K720" s="17">
        <v>363479</v>
      </c>
      <c r="L720" s="17">
        <v>42687.772770000003</v>
      </c>
      <c r="M720" s="17">
        <v>2024</v>
      </c>
      <c r="N720" s="17" t="s">
        <v>171</v>
      </c>
    </row>
    <row r="721" spans="1:14" ht="14.25" customHeight="1">
      <c r="A721" s="17">
        <v>10720</v>
      </c>
      <c r="B721" s="18">
        <v>45533</v>
      </c>
      <c r="C721" s="17" t="s">
        <v>167</v>
      </c>
      <c r="D721" s="17" t="s">
        <v>86</v>
      </c>
      <c r="E721" s="17" t="s">
        <v>162</v>
      </c>
      <c r="F721" s="17" t="s">
        <v>172</v>
      </c>
      <c r="G721" s="17">
        <v>1</v>
      </c>
      <c r="H721" s="17">
        <v>6063</v>
      </c>
      <c r="I721" s="17">
        <v>6063</v>
      </c>
      <c r="J721" s="17">
        <v>2504</v>
      </c>
      <c r="K721" s="17">
        <v>3559</v>
      </c>
      <c r="L721" s="17">
        <v>832.02186949999998</v>
      </c>
      <c r="M721" s="17">
        <v>2024</v>
      </c>
      <c r="N721" s="17" t="s">
        <v>126</v>
      </c>
    </row>
    <row r="722" spans="1:14" ht="14.25" customHeight="1">
      <c r="A722" s="17">
        <v>10721</v>
      </c>
      <c r="B722" s="18">
        <v>45542</v>
      </c>
      <c r="C722" s="17" t="s">
        <v>167</v>
      </c>
      <c r="D722" s="17" t="s">
        <v>89</v>
      </c>
      <c r="E722" s="17" t="s">
        <v>168</v>
      </c>
      <c r="F722" s="17" t="s">
        <v>163</v>
      </c>
      <c r="G722" s="17">
        <v>4</v>
      </c>
      <c r="H722" s="17">
        <v>79366</v>
      </c>
      <c r="I722" s="17">
        <v>317464</v>
      </c>
      <c r="J722" s="17">
        <v>787</v>
      </c>
      <c r="K722" s="17">
        <v>316677</v>
      </c>
      <c r="L722" s="17">
        <v>33911.50088</v>
      </c>
      <c r="M722" s="17">
        <v>2024</v>
      </c>
      <c r="N722" s="17" t="s">
        <v>129</v>
      </c>
    </row>
    <row r="723" spans="1:14" ht="14.25" customHeight="1">
      <c r="A723" s="17">
        <v>10722</v>
      </c>
      <c r="B723" s="18">
        <v>45296</v>
      </c>
      <c r="C723" s="17" t="s">
        <v>58</v>
      </c>
      <c r="D723" s="17" t="s">
        <v>83</v>
      </c>
      <c r="E723" s="17" t="s">
        <v>162</v>
      </c>
      <c r="F723" s="17" t="s">
        <v>163</v>
      </c>
      <c r="G723" s="17">
        <v>6</v>
      </c>
      <c r="H723" s="17">
        <v>14334</v>
      </c>
      <c r="I723" s="17">
        <v>86004</v>
      </c>
      <c r="J723" s="17">
        <v>1876</v>
      </c>
      <c r="K723" s="17">
        <v>84128</v>
      </c>
      <c r="L723" s="17">
        <v>17944.23689</v>
      </c>
      <c r="M723" s="17">
        <v>2024</v>
      </c>
      <c r="N723" s="17" t="s">
        <v>171</v>
      </c>
    </row>
    <row r="724" spans="1:14" ht="14.25" customHeight="1">
      <c r="A724" s="17">
        <v>10723</v>
      </c>
      <c r="B724" s="18">
        <v>45410</v>
      </c>
      <c r="C724" s="17" t="s">
        <v>50</v>
      </c>
      <c r="D724" s="17" t="s">
        <v>86</v>
      </c>
      <c r="E724" s="17" t="s">
        <v>165</v>
      </c>
      <c r="F724" s="17" t="s">
        <v>172</v>
      </c>
      <c r="G724" s="17">
        <v>9</v>
      </c>
      <c r="H724" s="17">
        <v>30127</v>
      </c>
      <c r="I724" s="17">
        <v>271143</v>
      </c>
      <c r="J724" s="17">
        <v>4097</v>
      </c>
      <c r="K724" s="17">
        <v>267046</v>
      </c>
      <c r="L724" s="17">
        <v>41674.987009999997</v>
      </c>
      <c r="M724" s="17">
        <v>2024</v>
      </c>
      <c r="N724" s="17" t="s">
        <v>114</v>
      </c>
    </row>
    <row r="725" spans="1:14" ht="14.25" customHeight="1">
      <c r="A725" s="17">
        <v>10724</v>
      </c>
      <c r="B725" s="18">
        <v>45665</v>
      </c>
      <c r="C725" s="17" t="s">
        <v>58</v>
      </c>
      <c r="D725" s="17" t="s">
        <v>170</v>
      </c>
      <c r="E725" s="17" t="s">
        <v>162</v>
      </c>
      <c r="F725" s="17" t="s">
        <v>166</v>
      </c>
      <c r="G725" s="17">
        <v>8</v>
      </c>
      <c r="H725" s="17">
        <v>41043</v>
      </c>
      <c r="I725" s="17">
        <v>328344</v>
      </c>
      <c r="J725" s="17">
        <v>1492</v>
      </c>
      <c r="K725" s="17">
        <v>326852</v>
      </c>
      <c r="L725" s="17">
        <v>35193.735509999999</v>
      </c>
      <c r="M725" s="17">
        <v>2025</v>
      </c>
      <c r="N725" s="17" t="s">
        <v>171</v>
      </c>
    </row>
    <row r="726" spans="1:14" ht="14.25" customHeight="1">
      <c r="A726" s="17">
        <v>10725</v>
      </c>
      <c r="B726" s="18">
        <v>45356</v>
      </c>
      <c r="C726" s="17" t="s">
        <v>58</v>
      </c>
      <c r="D726" s="17" t="s">
        <v>86</v>
      </c>
      <c r="E726" s="17" t="s">
        <v>165</v>
      </c>
      <c r="F726" s="17" t="s">
        <v>164</v>
      </c>
      <c r="G726" s="17">
        <v>2</v>
      </c>
      <c r="H726" s="17">
        <v>71512</v>
      </c>
      <c r="I726" s="17">
        <v>143024</v>
      </c>
      <c r="J726" s="17">
        <v>1129</v>
      </c>
      <c r="K726" s="17">
        <v>141895</v>
      </c>
      <c r="L726" s="17">
        <v>32130.588019999999</v>
      </c>
      <c r="M726" s="17">
        <v>2024</v>
      </c>
      <c r="N726" s="17" t="s">
        <v>112</v>
      </c>
    </row>
    <row r="727" spans="1:14" ht="14.25" customHeight="1">
      <c r="A727" s="17">
        <v>10726</v>
      </c>
      <c r="B727" s="18">
        <v>45437</v>
      </c>
      <c r="C727" s="17" t="s">
        <v>39</v>
      </c>
      <c r="D727" s="17" t="s">
        <v>86</v>
      </c>
      <c r="E727" s="17" t="s">
        <v>168</v>
      </c>
      <c r="F727" s="17" t="s">
        <v>172</v>
      </c>
      <c r="G727" s="17">
        <v>3</v>
      </c>
      <c r="H727" s="17">
        <v>9069</v>
      </c>
      <c r="I727" s="17">
        <v>27207</v>
      </c>
      <c r="J727" s="17">
        <v>2263</v>
      </c>
      <c r="K727" s="17">
        <v>24944</v>
      </c>
      <c r="L727" s="17">
        <v>4890.7460140000003</v>
      </c>
      <c r="M727" s="17">
        <v>2024</v>
      </c>
      <c r="N727" s="17" t="s">
        <v>117</v>
      </c>
    </row>
    <row r="728" spans="1:14" ht="14.25" customHeight="1">
      <c r="A728" s="17">
        <v>10727</v>
      </c>
      <c r="B728" s="18">
        <v>45515</v>
      </c>
      <c r="C728" s="17" t="s">
        <v>167</v>
      </c>
      <c r="D728" s="17" t="s">
        <v>111</v>
      </c>
      <c r="E728" s="17" t="s">
        <v>162</v>
      </c>
      <c r="F728" s="17" t="s">
        <v>164</v>
      </c>
      <c r="G728" s="17">
        <v>5</v>
      </c>
      <c r="H728" s="17">
        <v>20604</v>
      </c>
      <c r="I728" s="17">
        <v>103020</v>
      </c>
      <c r="J728" s="17">
        <v>4872</v>
      </c>
      <c r="K728" s="17">
        <v>98148</v>
      </c>
      <c r="L728" s="17">
        <v>9945.2196879999992</v>
      </c>
      <c r="M728" s="17">
        <v>2024</v>
      </c>
      <c r="N728" s="17" t="s">
        <v>126</v>
      </c>
    </row>
    <row r="729" spans="1:14" ht="14.25" customHeight="1">
      <c r="A729" s="17">
        <v>10728</v>
      </c>
      <c r="B729" s="18">
        <v>45530</v>
      </c>
      <c r="C729" s="17" t="s">
        <v>58</v>
      </c>
      <c r="D729" s="17" t="s">
        <v>86</v>
      </c>
      <c r="E729" s="17" t="s">
        <v>165</v>
      </c>
      <c r="F729" s="17" t="s">
        <v>164</v>
      </c>
      <c r="G729" s="17">
        <v>7</v>
      </c>
      <c r="H729" s="17">
        <v>19612</v>
      </c>
      <c r="I729" s="17">
        <v>137284</v>
      </c>
      <c r="J729" s="17">
        <v>4509</v>
      </c>
      <c r="K729" s="17">
        <v>132775</v>
      </c>
      <c r="L729" s="17">
        <v>18605.751090000002</v>
      </c>
      <c r="M729" s="17">
        <v>2024</v>
      </c>
      <c r="N729" s="17" t="s">
        <v>126</v>
      </c>
    </row>
    <row r="730" spans="1:14" ht="14.25" customHeight="1">
      <c r="A730" s="17">
        <v>10729</v>
      </c>
      <c r="B730" s="18">
        <v>45468</v>
      </c>
      <c r="C730" s="17" t="s">
        <v>39</v>
      </c>
      <c r="D730" s="17" t="s">
        <v>86</v>
      </c>
      <c r="E730" s="17" t="s">
        <v>162</v>
      </c>
      <c r="F730" s="17" t="s">
        <v>164</v>
      </c>
      <c r="G730" s="17">
        <v>3</v>
      </c>
      <c r="H730" s="17">
        <v>54102</v>
      </c>
      <c r="I730" s="17">
        <v>162306</v>
      </c>
      <c r="J730" s="17">
        <v>4021</v>
      </c>
      <c r="K730" s="17">
        <v>158285</v>
      </c>
      <c r="L730" s="17">
        <v>24187.030849999999</v>
      </c>
      <c r="M730" s="17">
        <v>2024</v>
      </c>
      <c r="N730" s="17" t="s">
        <v>120</v>
      </c>
    </row>
    <row r="731" spans="1:14" ht="14.25" customHeight="1">
      <c r="A731" s="17">
        <v>10730</v>
      </c>
      <c r="B731" s="18">
        <v>45573</v>
      </c>
      <c r="C731" s="17" t="s">
        <v>50</v>
      </c>
      <c r="D731" s="17" t="s">
        <v>89</v>
      </c>
      <c r="E731" s="17" t="s">
        <v>162</v>
      </c>
      <c r="F731" s="17" t="s">
        <v>164</v>
      </c>
      <c r="G731" s="17">
        <v>7</v>
      </c>
      <c r="H731" s="17">
        <v>44170</v>
      </c>
      <c r="I731" s="17">
        <v>309190</v>
      </c>
      <c r="J731" s="17">
        <v>4305</v>
      </c>
      <c r="K731" s="17">
        <v>304885</v>
      </c>
      <c r="L731" s="17">
        <v>45240.885840000003</v>
      </c>
      <c r="M731" s="17">
        <v>2024</v>
      </c>
      <c r="N731" s="17" t="s">
        <v>174</v>
      </c>
    </row>
    <row r="732" spans="1:14" ht="14.25" customHeight="1">
      <c r="A732" s="17">
        <v>10731</v>
      </c>
      <c r="B732" s="18">
        <v>45354</v>
      </c>
      <c r="C732" s="17" t="s">
        <v>58</v>
      </c>
      <c r="D732" s="17" t="s">
        <v>86</v>
      </c>
      <c r="E732" s="17" t="s">
        <v>162</v>
      </c>
      <c r="F732" s="17" t="s">
        <v>166</v>
      </c>
      <c r="G732" s="17">
        <v>5</v>
      </c>
      <c r="H732" s="17">
        <v>50101</v>
      </c>
      <c r="I732" s="17">
        <v>250505</v>
      </c>
      <c r="J732" s="17">
        <v>2185</v>
      </c>
      <c r="K732" s="17">
        <v>248320</v>
      </c>
      <c r="L732" s="17">
        <v>43394.243900000001</v>
      </c>
      <c r="M732" s="17">
        <v>2024</v>
      </c>
      <c r="N732" s="17" t="s">
        <v>112</v>
      </c>
    </row>
    <row r="733" spans="1:14" ht="14.25" customHeight="1">
      <c r="A733" s="17">
        <v>10732</v>
      </c>
      <c r="B733" s="18">
        <v>45508</v>
      </c>
      <c r="C733" s="17" t="s">
        <v>167</v>
      </c>
      <c r="D733" s="17" t="s">
        <v>83</v>
      </c>
      <c r="E733" s="17" t="s">
        <v>162</v>
      </c>
      <c r="F733" s="17" t="s">
        <v>166</v>
      </c>
      <c r="G733" s="17">
        <v>6</v>
      </c>
      <c r="H733" s="17">
        <v>70881</v>
      </c>
      <c r="I733" s="17">
        <v>425286</v>
      </c>
      <c r="J733" s="17">
        <v>1644</v>
      </c>
      <c r="K733" s="17">
        <v>423642</v>
      </c>
      <c r="L733" s="17">
        <v>75840.578800000003</v>
      </c>
      <c r="M733" s="17">
        <v>2024</v>
      </c>
      <c r="N733" s="17" t="s">
        <v>126</v>
      </c>
    </row>
    <row r="734" spans="1:14" ht="14.25" customHeight="1">
      <c r="A734" s="17">
        <v>10733</v>
      </c>
      <c r="B734" s="18">
        <v>45980</v>
      </c>
      <c r="C734" s="17" t="s">
        <v>58</v>
      </c>
      <c r="D734" s="17" t="s">
        <v>170</v>
      </c>
      <c r="E734" s="17" t="s">
        <v>168</v>
      </c>
      <c r="F734" s="17" t="s">
        <v>166</v>
      </c>
      <c r="G734" s="17">
        <v>6</v>
      </c>
      <c r="H734" s="17">
        <v>42710</v>
      </c>
      <c r="I734" s="17">
        <v>256260</v>
      </c>
      <c r="J734" s="17">
        <v>3560</v>
      </c>
      <c r="K734" s="17">
        <v>252700</v>
      </c>
      <c r="L734" s="17">
        <v>40308.961040000002</v>
      </c>
      <c r="M734" s="17">
        <v>2025</v>
      </c>
      <c r="N734" s="17" t="s">
        <v>173</v>
      </c>
    </row>
    <row r="735" spans="1:14" ht="14.25" customHeight="1">
      <c r="A735" s="17">
        <v>10734</v>
      </c>
      <c r="B735" s="18">
        <v>45752</v>
      </c>
      <c r="C735" s="17" t="s">
        <v>50</v>
      </c>
      <c r="D735" s="17" t="s">
        <v>89</v>
      </c>
      <c r="E735" s="17" t="s">
        <v>165</v>
      </c>
      <c r="F735" s="17" t="s">
        <v>172</v>
      </c>
      <c r="G735" s="17">
        <v>4</v>
      </c>
      <c r="H735" s="17">
        <v>14363</v>
      </c>
      <c r="I735" s="17">
        <v>57452</v>
      </c>
      <c r="J735" s="17">
        <v>2685</v>
      </c>
      <c r="K735" s="17">
        <v>54767</v>
      </c>
      <c r="L735" s="17">
        <v>8202.209922</v>
      </c>
      <c r="M735" s="17">
        <v>2025</v>
      </c>
      <c r="N735" s="17" t="s">
        <v>114</v>
      </c>
    </row>
    <row r="736" spans="1:14" ht="14.25" customHeight="1">
      <c r="A736" s="17">
        <v>10735</v>
      </c>
      <c r="B736" s="18">
        <v>45901</v>
      </c>
      <c r="C736" s="17" t="s">
        <v>58</v>
      </c>
      <c r="D736" s="17" t="s">
        <v>86</v>
      </c>
      <c r="E736" s="17" t="s">
        <v>162</v>
      </c>
      <c r="F736" s="17" t="s">
        <v>172</v>
      </c>
      <c r="G736" s="17">
        <v>8</v>
      </c>
      <c r="H736" s="17">
        <v>8770</v>
      </c>
      <c r="I736" s="17">
        <v>70160</v>
      </c>
      <c r="J736" s="17">
        <v>4821</v>
      </c>
      <c r="K736" s="17">
        <v>65339</v>
      </c>
      <c r="L736" s="17">
        <v>11477.54017</v>
      </c>
      <c r="M736" s="17">
        <v>2025</v>
      </c>
      <c r="N736" s="17" t="s">
        <v>129</v>
      </c>
    </row>
    <row r="737" spans="1:14" ht="14.25" customHeight="1">
      <c r="A737" s="17">
        <v>10736</v>
      </c>
      <c r="B737" s="18">
        <v>45396</v>
      </c>
      <c r="C737" s="17" t="s">
        <v>167</v>
      </c>
      <c r="D737" s="17" t="s">
        <v>83</v>
      </c>
      <c r="E737" s="17" t="s">
        <v>165</v>
      </c>
      <c r="F737" s="17" t="s">
        <v>172</v>
      </c>
      <c r="G737" s="17">
        <v>9</v>
      </c>
      <c r="H737" s="17">
        <v>49121</v>
      </c>
      <c r="I737" s="17">
        <v>442089</v>
      </c>
      <c r="J737" s="17">
        <v>1412</v>
      </c>
      <c r="K737" s="17">
        <v>440677</v>
      </c>
      <c r="L737" s="17">
        <v>46289.730349999998</v>
      </c>
      <c r="M737" s="17">
        <v>2024</v>
      </c>
      <c r="N737" s="17" t="s">
        <v>114</v>
      </c>
    </row>
    <row r="738" spans="1:14" ht="14.25" customHeight="1">
      <c r="A738" s="17">
        <v>10737</v>
      </c>
      <c r="B738" s="18">
        <v>45390</v>
      </c>
      <c r="C738" s="17" t="s">
        <v>39</v>
      </c>
      <c r="D738" s="17" t="s">
        <v>170</v>
      </c>
      <c r="E738" s="17" t="s">
        <v>168</v>
      </c>
      <c r="F738" s="17" t="s">
        <v>166</v>
      </c>
      <c r="G738" s="17">
        <v>2</v>
      </c>
      <c r="H738" s="17">
        <v>78960</v>
      </c>
      <c r="I738" s="17">
        <v>157920</v>
      </c>
      <c r="J738" s="17">
        <v>1221</v>
      </c>
      <c r="K738" s="17">
        <v>156699</v>
      </c>
      <c r="L738" s="17">
        <v>30835.27059</v>
      </c>
      <c r="M738" s="17">
        <v>2024</v>
      </c>
      <c r="N738" s="17" t="s">
        <v>114</v>
      </c>
    </row>
    <row r="739" spans="1:14" ht="14.25" customHeight="1">
      <c r="A739" s="17">
        <v>10738</v>
      </c>
      <c r="B739" s="18">
        <v>45802</v>
      </c>
      <c r="C739" s="17" t="s">
        <v>167</v>
      </c>
      <c r="D739" s="17" t="s">
        <v>89</v>
      </c>
      <c r="E739" s="17" t="s">
        <v>165</v>
      </c>
      <c r="F739" s="17" t="s">
        <v>164</v>
      </c>
      <c r="G739" s="17">
        <v>9</v>
      </c>
      <c r="H739" s="17">
        <v>16990</v>
      </c>
      <c r="I739" s="17">
        <v>152910</v>
      </c>
      <c r="J739" s="17">
        <v>2249</v>
      </c>
      <c r="K739" s="17">
        <v>150661</v>
      </c>
      <c r="L739" s="17">
        <v>28760.789799999999</v>
      </c>
      <c r="M739" s="17">
        <v>2025</v>
      </c>
      <c r="N739" s="17" t="s">
        <v>117</v>
      </c>
    </row>
    <row r="740" spans="1:14" ht="14.25" customHeight="1">
      <c r="A740" s="17">
        <v>10739</v>
      </c>
      <c r="B740" s="18">
        <v>45676</v>
      </c>
      <c r="C740" s="17" t="s">
        <v>39</v>
      </c>
      <c r="D740" s="17" t="s">
        <v>83</v>
      </c>
      <c r="E740" s="17" t="s">
        <v>165</v>
      </c>
      <c r="F740" s="17" t="s">
        <v>166</v>
      </c>
      <c r="G740" s="17">
        <v>4</v>
      </c>
      <c r="H740" s="17">
        <v>78584</v>
      </c>
      <c r="I740" s="17">
        <v>314336</v>
      </c>
      <c r="J740" s="17">
        <v>2239</v>
      </c>
      <c r="K740" s="17">
        <v>312097</v>
      </c>
      <c r="L740" s="17">
        <v>44281.249280000004</v>
      </c>
      <c r="M740" s="17">
        <v>2025</v>
      </c>
      <c r="N740" s="17" t="s">
        <v>171</v>
      </c>
    </row>
    <row r="741" spans="1:14" ht="14.25" customHeight="1">
      <c r="A741" s="17">
        <v>10740</v>
      </c>
      <c r="B741" s="18">
        <v>45696</v>
      </c>
      <c r="C741" s="17" t="s">
        <v>45</v>
      </c>
      <c r="D741" s="17" t="s">
        <v>86</v>
      </c>
      <c r="E741" s="17" t="s">
        <v>168</v>
      </c>
      <c r="F741" s="17" t="s">
        <v>172</v>
      </c>
      <c r="G741" s="17">
        <v>6</v>
      </c>
      <c r="H741" s="17">
        <v>49659</v>
      </c>
      <c r="I741" s="17">
        <v>297954</v>
      </c>
      <c r="J741" s="17">
        <v>4202</v>
      </c>
      <c r="K741" s="17">
        <v>293752</v>
      </c>
      <c r="L741" s="17">
        <v>37285.15324</v>
      </c>
      <c r="M741" s="17">
        <v>2025</v>
      </c>
      <c r="N741" s="17" t="s">
        <v>175</v>
      </c>
    </row>
    <row r="742" spans="1:14" ht="14.25" customHeight="1">
      <c r="A742" s="17">
        <v>10741</v>
      </c>
      <c r="B742" s="18">
        <v>45809</v>
      </c>
      <c r="C742" s="17" t="s">
        <v>167</v>
      </c>
      <c r="D742" s="17" t="s">
        <v>111</v>
      </c>
      <c r="E742" s="17" t="s">
        <v>162</v>
      </c>
      <c r="F742" s="17" t="s">
        <v>163</v>
      </c>
      <c r="G742" s="17">
        <v>7</v>
      </c>
      <c r="H742" s="17">
        <v>37137</v>
      </c>
      <c r="I742" s="17">
        <v>259959</v>
      </c>
      <c r="J742" s="17">
        <v>4422</v>
      </c>
      <c r="K742" s="17">
        <v>255537</v>
      </c>
      <c r="L742" s="17">
        <v>28351.254140000001</v>
      </c>
      <c r="M742" s="17">
        <v>2025</v>
      </c>
      <c r="N742" s="17" t="s">
        <v>120</v>
      </c>
    </row>
    <row r="743" spans="1:14" ht="14.25" customHeight="1">
      <c r="A743" s="17">
        <v>10742</v>
      </c>
      <c r="B743" s="18">
        <v>45767</v>
      </c>
      <c r="C743" s="17" t="s">
        <v>167</v>
      </c>
      <c r="D743" s="17" t="s">
        <v>111</v>
      </c>
      <c r="E743" s="17" t="s">
        <v>165</v>
      </c>
      <c r="F743" s="17" t="s">
        <v>172</v>
      </c>
      <c r="G743" s="17">
        <v>4</v>
      </c>
      <c r="H743" s="17">
        <v>20573</v>
      </c>
      <c r="I743" s="17">
        <v>82292</v>
      </c>
      <c r="J743" s="17">
        <v>643</v>
      </c>
      <c r="K743" s="17">
        <v>81649</v>
      </c>
      <c r="L743" s="17">
        <v>15358.30449</v>
      </c>
      <c r="M743" s="17">
        <v>2025</v>
      </c>
      <c r="N743" s="17" t="s">
        <v>114</v>
      </c>
    </row>
    <row r="744" spans="1:14" ht="14.25" customHeight="1">
      <c r="A744" s="17">
        <v>10743</v>
      </c>
      <c r="B744" s="18">
        <v>46000</v>
      </c>
      <c r="C744" s="17" t="s">
        <v>50</v>
      </c>
      <c r="D744" s="17" t="s">
        <v>89</v>
      </c>
      <c r="E744" s="17" t="s">
        <v>165</v>
      </c>
      <c r="F744" s="17" t="s">
        <v>164</v>
      </c>
      <c r="G744" s="17">
        <v>8</v>
      </c>
      <c r="H744" s="17">
        <v>21834</v>
      </c>
      <c r="I744" s="17">
        <v>174672</v>
      </c>
      <c r="J744" s="17">
        <v>4452</v>
      </c>
      <c r="K744" s="17">
        <v>170220</v>
      </c>
      <c r="L744" s="17">
        <v>31547.730660000001</v>
      </c>
      <c r="M744" s="17">
        <v>2025</v>
      </c>
      <c r="N744" s="17" t="s">
        <v>169</v>
      </c>
    </row>
    <row r="745" spans="1:14" ht="14.25" customHeight="1">
      <c r="A745" s="17">
        <v>10744</v>
      </c>
      <c r="B745" s="18">
        <v>45936</v>
      </c>
      <c r="C745" s="17" t="s">
        <v>58</v>
      </c>
      <c r="D745" s="17" t="s">
        <v>83</v>
      </c>
      <c r="E745" s="17" t="s">
        <v>162</v>
      </c>
      <c r="F745" s="17" t="s">
        <v>166</v>
      </c>
      <c r="G745" s="17">
        <v>8</v>
      </c>
      <c r="H745" s="17">
        <v>14554</v>
      </c>
      <c r="I745" s="17">
        <v>116432</v>
      </c>
      <c r="J745" s="17">
        <v>2548</v>
      </c>
      <c r="K745" s="17">
        <v>113884</v>
      </c>
      <c r="L745" s="17">
        <v>20498.85961</v>
      </c>
      <c r="M745" s="17">
        <v>2025</v>
      </c>
      <c r="N745" s="17" t="s">
        <v>174</v>
      </c>
    </row>
    <row r="746" spans="1:14" ht="14.25" customHeight="1">
      <c r="A746" s="17">
        <v>10745</v>
      </c>
      <c r="B746" s="18">
        <v>45728</v>
      </c>
      <c r="C746" s="17" t="s">
        <v>39</v>
      </c>
      <c r="D746" s="17" t="s">
        <v>170</v>
      </c>
      <c r="E746" s="17" t="s">
        <v>162</v>
      </c>
      <c r="F746" s="17" t="s">
        <v>163</v>
      </c>
      <c r="G746" s="17">
        <v>1</v>
      </c>
      <c r="H746" s="17">
        <v>58797</v>
      </c>
      <c r="I746" s="17">
        <v>58797</v>
      </c>
      <c r="J746" s="17">
        <v>4603</v>
      </c>
      <c r="K746" s="17">
        <v>54194</v>
      </c>
      <c r="L746" s="17">
        <v>13431.589459999999</v>
      </c>
      <c r="M746" s="17">
        <v>2025</v>
      </c>
      <c r="N746" s="17" t="s">
        <v>112</v>
      </c>
    </row>
    <row r="747" spans="1:14" ht="14.25" customHeight="1">
      <c r="A747" s="17">
        <v>10746</v>
      </c>
      <c r="B747" s="18">
        <v>45314</v>
      </c>
      <c r="C747" s="17" t="s">
        <v>39</v>
      </c>
      <c r="D747" s="17" t="s">
        <v>83</v>
      </c>
      <c r="E747" s="17" t="s">
        <v>165</v>
      </c>
      <c r="F747" s="17" t="s">
        <v>163</v>
      </c>
      <c r="G747" s="17">
        <v>8</v>
      </c>
      <c r="H747" s="17">
        <v>18015</v>
      </c>
      <c r="I747" s="17">
        <v>144120</v>
      </c>
      <c r="J747" s="17">
        <v>3805</v>
      </c>
      <c r="K747" s="17">
        <v>140315</v>
      </c>
      <c r="L747" s="17">
        <v>25219.041789999999</v>
      </c>
      <c r="M747" s="17">
        <v>2024</v>
      </c>
      <c r="N747" s="17" t="s">
        <v>171</v>
      </c>
    </row>
    <row r="748" spans="1:14" ht="14.25" customHeight="1">
      <c r="A748" s="17">
        <v>10747</v>
      </c>
      <c r="B748" s="18">
        <v>45856</v>
      </c>
      <c r="C748" s="17" t="s">
        <v>50</v>
      </c>
      <c r="D748" s="17" t="s">
        <v>111</v>
      </c>
      <c r="E748" s="17" t="s">
        <v>168</v>
      </c>
      <c r="F748" s="17" t="s">
        <v>164</v>
      </c>
      <c r="G748" s="17">
        <v>3</v>
      </c>
      <c r="H748" s="17">
        <v>9734</v>
      </c>
      <c r="I748" s="17">
        <v>29202</v>
      </c>
      <c r="J748" s="17">
        <v>4290</v>
      </c>
      <c r="K748" s="17">
        <v>24912</v>
      </c>
      <c r="L748" s="17">
        <v>5188.3876</v>
      </c>
      <c r="M748" s="17">
        <v>2025</v>
      </c>
      <c r="N748" s="17" t="s">
        <v>123</v>
      </c>
    </row>
    <row r="749" spans="1:14" ht="14.25" customHeight="1">
      <c r="A749" s="17">
        <v>10748</v>
      </c>
      <c r="B749" s="18">
        <v>45968</v>
      </c>
      <c r="C749" s="17" t="s">
        <v>50</v>
      </c>
      <c r="D749" s="17" t="s">
        <v>89</v>
      </c>
      <c r="E749" s="17" t="s">
        <v>162</v>
      </c>
      <c r="F749" s="17" t="s">
        <v>166</v>
      </c>
      <c r="G749" s="17">
        <v>5</v>
      </c>
      <c r="H749" s="17">
        <v>64617</v>
      </c>
      <c r="I749" s="17">
        <v>323085</v>
      </c>
      <c r="J749" s="17">
        <v>4142</v>
      </c>
      <c r="K749" s="17">
        <v>318943</v>
      </c>
      <c r="L749" s="17">
        <v>37296.473859999998</v>
      </c>
      <c r="M749" s="17">
        <v>2025</v>
      </c>
      <c r="N749" s="17" t="s">
        <v>173</v>
      </c>
    </row>
    <row r="750" spans="1:14" ht="14.25" customHeight="1">
      <c r="A750" s="17">
        <v>10749</v>
      </c>
      <c r="B750" s="18">
        <v>46005</v>
      </c>
      <c r="C750" s="17" t="s">
        <v>58</v>
      </c>
      <c r="D750" s="17" t="s">
        <v>86</v>
      </c>
      <c r="E750" s="17" t="s">
        <v>162</v>
      </c>
      <c r="F750" s="17" t="s">
        <v>163</v>
      </c>
      <c r="G750" s="17">
        <v>8</v>
      </c>
      <c r="H750" s="17">
        <v>54592</v>
      </c>
      <c r="I750" s="17">
        <v>436736</v>
      </c>
      <c r="J750" s="17">
        <v>1385</v>
      </c>
      <c r="K750" s="17">
        <v>435351</v>
      </c>
      <c r="L750" s="17">
        <v>63058.684809999999</v>
      </c>
      <c r="M750" s="17">
        <v>2025</v>
      </c>
      <c r="N750" s="17" t="s">
        <v>169</v>
      </c>
    </row>
    <row r="751" spans="1:14" ht="14.25" customHeight="1">
      <c r="A751" s="17">
        <v>10750</v>
      </c>
      <c r="B751" s="18">
        <v>45749</v>
      </c>
      <c r="C751" s="17" t="s">
        <v>58</v>
      </c>
      <c r="D751" s="17" t="s">
        <v>83</v>
      </c>
      <c r="E751" s="17" t="s">
        <v>168</v>
      </c>
      <c r="F751" s="17" t="s">
        <v>172</v>
      </c>
      <c r="G751" s="17">
        <v>6</v>
      </c>
      <c r="H751" s="17">
        <v>38581</v>
      </c>
      <c r="I751" s="17">
        <v>231486</v>
      </c>
      <c r="J751" s="17">
        <v>2584</v>
      </c>
      <c r="K751" s="17">
        <v>228902</v>
      </c>
      <c r="L751" s="17">
        <v>32347.742160000002</v>
      </c>
      <c r="M751" s="17">
        <v>2025</v>
      </c>
      <c r="N751" s="17" t="s">
        <v>114</v>
      </c>
    </row>
    <row r="752" spans="1:14" ht="14.25" customHeight="1">
      <c r="A752" s="17">
        <v>10751</v>
      </c>
      <c r="B752" s="18">
        <v>45374</v>
      </c>
      <c r="C752" s="17" t="s">
        <v>167</v>
      </c>
      <c r="D752" s="17" t="s">
        <v>111</v>
      </c>
      <c r="E752" s="17" t="s">
        <v>165</v>
      </c>
      <c r="F752" s="17" t="s">
        <v>164</v>
      </c>
      <c r="G752" s="17">
        <v>4</v>
      </c>
      <c r="H752" s="17">
        <v>33917</v>
      </c>
      <c r="I752" s="17">
        <v>135668</v>
      </c>
      <c r="J752" s="17">
        <v>1601</v>
      </c>
      <c r="K752" s="17">
        <v>134067</v>
      </c>
      <c r="L752" s="17">
        <v>24989.596219999999</v>
      </c>
      <c r="M752" s="17">
        <v>2024</v>
      </c>
      <c r="N752" s="17" t="s">
        <v>112</v>
      </c>
    </row>
    <row r="753" spans="1:14" ht="14.25" customHeight="1">
      <c r="A753" s="17">
        <v>10752</v>
      </c>
      <c r="B753" s="18">
        <v>45436</v>
      </c>
      <c r="C753" s="17" t="s">
        <v>45</v>
      </c>
      <c r="D753" s="17" t="s">
        <v>170</v>
      </c>
      <c r="E753" s="17" t="s">
        <v>162</v>
      </c>
      <c r="F753" s="17" t="s">
        <v>163</v>
      </c>
      <c r="G753" s="17">
        <v>4</v>
      </c>
      <c r="H753" s="17">
        <v>11643</v>
      </c>
      <c r="I753" s="17">
        <v>46572</v>
      </c>
      <c r="J753" s="17">
        <v>4942</v>
      </c>
      <c r="K753" s="17">
        <v>41630</v>
      </c>
      <c r="L753" s="17">
        <v>6228.7632039999999</v>
      </c>
      <c r="M753" s="17">
        <v>2024</v>
      </c>
      <c r="N753" s="17" t="s">
        <v>117</v>
      </c>
    </row>
    <row r="754" spans="1:14" ht="14.25" customHeight="1">
      <c r="A754" s="17">
        <v>10753</v>
      </c>
      <c r="B754" s="18">
        <v>45376</v>
      </c>
      <c r="C754" s="17" t="s">
        <v>58</v>
      </c>
      <c r="D754" s="17" t="s">
        <v>89</v>
      </c>
      <c r="E754" s="17" t="s">
        <v>165</v>
      </c>
      <c r="F754" s="17" t="s">
        <v>164</v>
      </c>
      <c r="G754" s="17">
        <v>4</v>
      </c>
      <c r="H754" s="17">
        <v>18269</v>
      </c>
      <c r="I754" s="17">
        <v>73076</v>
      </c>
      <c r="J754" s="17">
        <v>4804</v>
      </c>
      <c r="K754" s="17">
        <v>68272</v>
      </c>
      <c r="L754" s="17">
        <v>13392.23306</v>
      </c>
      <c r="M754" s="17">
        <v>2024</v>
      </c>
      <c r="N754" s="17" t="s">
        <v>112</v>
      </c>
    </row>
    <row r="755" spans="1:14" ht="14.25" customHeight="1">
      <c r="A755" s="17">
        <v>10754</v>
      </c>
      <c r="B755" s="18">
        <v>45369</v>
      </c>
      <c r="C755" s="17" t="s">
        <v>50</v>
      </c>
      <c r="D755" s="17" t="s">
        <v>86</v>
      </c>
      <c r="E755" s="17" t="s">
        <v>165</v>
      </c>
      <c r="F755" s="17" t="s">
        <v>166</v>
      </c>
      <c r="G755" s="17">
        <v>6</v>
      </c>
      <c r="H755" s="17">
        <v>23358</v>
      </c>
      <c r="I755" s="17">
        <v>140148</v>
      </c>
      <c r="J755" s="17">
        <v>3317</v>
      </c>
      <c r="K755" s="17">
        <v>136831</v>
      </c>
      <c r="L755" s="17">
        <v>27846.950369999999</v>
      </c>
      <c r="M755" s="17">
        <v>2024</v>
      </c>
      <c r="N755" s="17" t="s">
        <v>112</v>
      </c>
    </row>
    <row r="756" spans="1:14" ht="14.25" customHeight="1">
      <c r="A756" s="17">
        <v>10755</v>
      </c>
      <c r="B756" s="18">
        <v>45748</v>
      </c>
      <c r="C756" s="17" t="s">
        <v>58</v>
      </c>
      <c r="D756" s="17" t="s">
        <v>83</v>
      </c>
      <c r="E756" s="17" t="s">
        <v>165</v>
      </c>
      <c r="F756" s="17" t="s">
        <v>166</v>
      </c>
      <c r="G756" s="17">
        <v>7</v>
      </c>
      <c r="H756" s="17">
        <v>5203</v>
      </c>
      <c r="I756" s="17">
        <v>36421</v>
      </c>
      <c r="J756" s="17">
        <v>807</v>
      </c>
      <c r="K756" s="17">
        <v>35614</v>
      </c>
      <c r="L756" s="17">
        <v>3741.3744790000001</v>
      </c>
      <c r="M756" s="17">
        <v>2025</v>
      </c>
      <c r="N756" s="17" t="s">
        <v>114</v>
      </c>
    </row>
    <row r="757" spans="1:14" ht="14.25" customHeight="1">
      <c r="A757" s="17">
        <v>10756</v>
      </c>
      <c r="B757" s="18">
        <v>45292</v>
      </c>
      <c r="C757" s="17" t="s">
        <v>39</v>
      </c>
      <c r="D757" s="17" t="s">
        <v>170</v>
      </c>
      <c r="E757" s="17" t="s">
        <v>168</v>
      </c>
      <c r="F757" s="17" t="s">
        <v>166</v>
      </c>
      <c r="G757" s="17">
        <v>5</v>
      </c>
      <c r="H757" s="17">
        <v>66758</v>
      </c>
      <c r="I757" s="17">
        <v>333790</v>
      </c>
      <c r="J757" s="17">
        <v>2659</v>
      </c>
      <c r="K757" s="17">
        <v>331131</v>
      </c>
      <c r="L757" s="17">
        <v>64889.641660000001</v>
      </c>
      <c r="M757" s="17">
        <v>2024</v>
      </c>
      <c r="N757" s="17" t="s">
        <v>171</v>
      </c>
    </row>
    <row r="758" spans="1:14" ht="14.25" customHeight="1">
      <c r="A758" s="17">
        <v>10757</v>
      </c>
      <c r="B758" s="18">
        <v>45342</v>
      </c>
      <c r="C758" s="17" t="s">
        <v>45</v>
      </c>
      <c r="D758" s="17" t="s">
        <v>86</v>
      </c>
      <c r="E758" s="17" t="s">
        <v>165</v>
      </c>
      <c r="F758" s="17" t="s">
        <v>172</v>
      </c>
      <c r="G758" s="17">
        <v>8</v>
      </c>
      <c r="H758" s="17">
        <v>61235</v>
      </c>
      <c r="I758" s="17">
        <v>489880</v>
      </c>
      <c r="J758" s="17">
        <v>114</v>
      </c>
      <c r="K758" s="17">
        <v>489766</v>
      </c>
      <c r="L758" s="17">
        <v>57556.371890000002</v>
      </c>
      <c r="M758" s="17">
        <v>2024</v>
      </c>
      <c r="N758" s="17" t="s">
        <v>175</v>
      </c>
    </row>
    <row r="759" spans="1:14" ht="14.25" customHeight="1">
      <c r="A759" s="17">
        <v>10758</v>
      </c>
      <c r="B759" s="18">
        <v>45976</v>
      </c>
      <c r="C759" s="17" t="s">
        <v>167</v>
      </c>
      <c r="D759" s="17" t="s">
        <v>111</v>
      </c>
      <c r="E759" s="17" t="s">
        <v>165</v>
      </c>
      <c r="F759" s="17" t="s">
        <v>163</v>
      </c>
      <c r="G759" s="17">
        <v>7</v>
      </c>
      <c r="H759" s="17">
        <v>40304</v>
      </c>
      <c r="I759" s="17">
        <v>282128</v>
      </c>
      <c r="J759" s="17">
        <v>2727</v>
      </c>
      <c r="K759" s="17">
        <v>279401</v>
      </c>
      <c r="L759" s="17">
        <v>47433.990270000002</v>
      </c>
      <c r="M759" s="17">
        <v>2025</v>
      </c>
      <c r="N759" s="17" t="s">
        <v>173</v>
      </c>
    </row>
    <row r="760" spans="1:14" ht="14.25" customHeight="1">
      <c r="A760" s="17">
        <v>10759</v>
      </c>
      <c r="B760" s="18">
        <v>46008</v>
      </c>
      <c r="C760" s="17" t="s">
        <v>39</v>
      </c>
      <c r="D760" s="17" t="s">
        <v>111</v>
      </c>
      <c r="E760" s="17" t="s">
        <v>162</v>
      </c>
      <c r="F760" s="17" t="s">
        <v>166</v>
      </c>
      <c r="G760" s="17">
        <v>8</v>
      </c>
      <c r="H760" s="17">
        <v>27172</v>
      </c>
      <c r="I760" s="17">
        <v>217376</v>
      </c>
      <c r="J760" s="17">
        <v>4726</v>
      </c>
      <c r="K760" s="17">
        <v>212650</v>
      </c>
      <c r="L760" s="17">
        <v>44440.976170000002</v>
      </c>
      <c r="M760" s="17">
        <v>2025</v>
      </c>
      <c r="N760" s="17" t="s">
        <v>169</v>
      </c>
    </row>
    <row r="761" spans="1:14" ht="14.25" customHeight="1">
      <c r="A761" s="17">
        <v>10760</v>
      </c>
      <c r="B761" s="18">
        <v>45737</v>
      </c>
      <c r="C761" s="17" t="s">
        <v>39</v>
      </c>
      <c r="D761" s="17" t="s">
        <v>170</v>
      </c>
      <c r="E761" s="17" t="s">
        <v>162</v>
      </c>
      <c r="F761" s="17" t="s">
        <v>172</v>
      </c>
      <c r="G761" s="17">
        <v>4</v>
      </c>
      <c r="H761" s="17">
        <v>78834</v>
      </c>
      <c r="I761" s="17">
        <v>315336</v>
      </c>
      <c r="J761" s="17">
        <v>2266</v>
      </c>
      <c r="K761" s="17">
        <v>313070</v>
      </c>
      <c r="L761" s="17">
        <v>64336.432679999998</v>
      </c>
      <c r="M761" s="17">
        <v>2025</v>
      </c>
      <c r="N761" s="17" t="s">
        <v>112</v>
      </c>
    </row>
    <row r="762" spans="1:14" ht="14.25" customHeight="1">
      <c r="A762" s="17">
        <v>10761</v>
      </c>
      <c r="B762" s="18">
        <v>45740</v>
      </c>
      <c r="C762" s="17" t="s">
        <v>45</v>
      </c>
      <c r="D762" s="17" t="s">
        <v>111</v>
      </c>
      <c r="E762" s="17" t="s">
        <v>168</v>
      </c>
      <c r="F762" s="17" t="s">
        <v>166</v>
      </c>
      <c r="G762" s="17">
        <v>8</v>
      </c>
      <c r="H762" s="17">
        <v>49857</v>
      </c>
      <c r="I762" s="17">
        <v>398856</v>
      </c>
      <c r="J762" s="17">
        <v>4292</v>
      </c>
      <c r="K762" s="17">
        <v>394564</v>
      </c>
      <c r="L762" s="17">
        <v>57201.277399999999</v>
      </c>
      <c r="M762" s="17">
        <v>2025</v>
      </c>
      <c r="N762" s="17" t="s">
        <v>112</v>
      </c>
    </row>
    <row r="763" spans="1:14" ht="14.25" customHeight="1">
      <c r="A763" s="17">
        <v>10762</v>
      </c>
      <c r="B763" s="18">
        <v>45779</v>
      </c>
      <c r="C763" s="17" t="s">
        <v>167</v>
      </c>
      <c r="D763" s="17" t="s">
        <v>89</v>
      </c>
      <c r="E763" s="17" t="s">
        <v>168</v>
      </c>
      <c r="F763" s="17" t="s">
        <v>166</v>
      </c>
      <c r="G763" s="17">
        <v>6</v>
      </c>
      <c r="H763" s="17">
        <v>15411</v>
      </c>
      <c r="I763" s="17">
        <v>92466</v>
      </c>
      <c r="J763" s="17">
        <v>4496</v>
      </c>
      <c r="K763" s="17">
        <v>87970</v>
      </c>
      <c r="L763" s="17">
        <v>12391.003580000001</v>
      </c>
      <c r="M763" s="17">
        <v>2025</v>
      </c>
      <c r="N763" s="17" t="s">
        <v>117</v>
      </c>
    </row>
    <row r="764" spans="1:14" ht="14.25" customHeight="1">
      <c r="A764" s="17">
        <v>10763</v>
      </c>
      <c r="B764" s="18">
        <v>45325</v>
      </c>
      <c r="C764" s="17" t="s">
        <v>50</v>
      </c>
      <c r="D764" s="17" t="s">
        <v>170</v>
      </c>
      <c r="E764" s="17" t="s">
        <v>162</v>
      </c>
      <c r="F764" s="17" t="s">
        <v>163</v>
      </c>
      <c r="G764" s="17">
        <v>3</v>
      </c>
      <c r="H764" s="17">
        <v>12825</v>
      </c>
      <c r="I764" s="17">
        <v>38475</v>
      </c>
      <c r="J764" s="17">
        <v>3901</v>
      </c>
      <c r="K764" s="17">
        <v>34574</v>
      </c>
      <c r="L764" s="17">
        <v>5740.4586920000002</v>
      </c>
      <c r="M764" s="17">
        <v>2024</v>
      </c>
      <c r="N764" s="17" t="s">
        <v>175</v>
      </c>
    </row>
    <row r="765" spans="1:14" ht="14.25" customHeight="1">
      <c r="A765" s="17">
        <v>10764</v>
      </c>
      <c r="B765" s="18">
        <v>45639</v>
      </c>
      <c r="C765" s="17" t="s">
        <v>167</v>
      </c>
      <c r="D765" s="17" t="s">
        <v>111</v>
      </c>
      <c r="E765" s="17" t="s">
        <v>162</v>
      </c>
      <c r="F765" s="17" t="s">
        <v>172</v>
      </c>
      <c r="G765" s="17">
        <v>8</v>
      </c>
      <c r="H765" s="17">
        <v>43742</v>
      </c>
      <c r="I765" s="17">
        <v>349936</v>
      </c>
      <c r="J765" s="17">
        <v>2728</v>
      </c>
      <c r="K765" s="17">
        <v>347208</v>
      </c>
      <c r="L765" s="17">
        <v>44546.808080000003</v>
      </c>
      <c r="M765" s="17">
        <v>2024</v>
      </c>
      <c r="N765" s="17" t="s">
        <v>169</v>
      </c>
    </row>
    <row r="766" spans="1:14" ht="14.25" customHeight="1">
      <c r="A766" s="17">
        <v>10765</v>
      </c>
      <c r="B766" s="18">
        <v>45386</v>
      </c>
      <c r="C766" s="17" t="s">
        <v>58</v>
      </c>
      <c r="D766" s="17" t="s">
        <v>83</v>
      </c>
      <c r="E766" s="17" t="s">
        <v>168</v>
      </c>
      <c r="F766" s="17" t="s">
        <v>166</v>
      </c>
      <c r="G766" s="17">
        <v>7</v>
      </c>
      <c r="H766" s="17">
        <v>74626</v>
      </c>
      <c r="I766" s="17">
        <v>522382</v>
      </c>
      <c r="J766" s="17">
        <v>4171</v>
      </c>
      <c r="K766" s="17">
        <v>518211</v>
      </c>
      <c r="L766" s="17">
        <v>127586.0625</v>
      </c>
      <c r="M766" s="17">
        <v>2024</v>
      </c>
      <c r="N766" s="17" t="s">
        <v>114</v>
      </c>
    </row>
    <row r="767" spans="1:14" ht="14.25" customHeight="1">
      <c r="A767" s="17">
        <v>10766</v>
      </c>
      <c r="B767" s="18">
        <v>45363</v>
      </c>
      <c r="C767" s="17" t="s">
        <v>39</v>
      </c>
      <c r="D767" s="17" t="s">
        <v>111</v>
      </c>
      <c r="E767" s="17" t="s">
        <v>165</v>
      </c>
      <c r="F767" s="17" t="s">
        <v>172</v>
      </c>
      <c r="G767" s="17">
        <v>5</v>
      </c>
      <c r="H767" s="17">
        <v>63301</v>
      </c>
      <c r="I767" s="17">
        <v>316505</v>
      </c>
      <c r="J767" s="17">
        <v>1449</v>
      </c>
      <c r="K767" s="17">
        <v>315056</v>
      </c>
      <c r="L767" s="17">
        <v>47805.82892</v>
      </c>
      <c r="M767" s="17">
        <v>2024</v>
      </c>
      <c r="N767" s="17" t="s">
        <v>112</v>
      </c>
    </row>
    <row r="768" spans="1:14" ht="14.25" customHeight="1">
      <c r="A768" s="17">
        <v>10767</v>
      </c>
      <c r="B768" s="18">
        <v>45842</v>
      </c>
      <c r="C768" s="17" t="s">
        <v>58</v>
      </c>
      <c r="D768" s="17" t="s">
        <v>89</v>
      </c>
      <c r="E768" s="17" t="s">
        <v>168</v>
      </c>
      <c r="F768" s="17" t="s">
        <v>172</v>
      </c>
      <c r="G768" s="17">
        <v>4</v>
      </c>
      <c r="H768" s="17">
        <v>28340</v>
      </c>
      <c r="I768" s="17">
        <v>113360</v>
      </c>
      <c r="J768" s="17">
        <v>4382</v>
      </c>
      <c r="K768" s="17">
        <v>108978</v>
      </c>
      <c r="L768" s="17">
        <v>25985.694149999999</v>
      </c>
      <c r="M768" s="17">
        <v>2025</v>
      </c>
      <c r="N768" s="17" t="s">
        <v>123</v>
      </c>
    </row>
    <row r="769" spans="1:14" ht="14.25" customHeight="1">
      <c r="A769" s="17">
        <v>10768</v>
      </c>
      <c r="B769" s="18">
        <v>45445</v>
      </c>
      <c r="C769" s="17" t="s">
        <v>50</v>
      </c>
      <c r="D769" s="17" t="s">
        <v>86</v>
      </c>
      <c r="E769" s="17" t="s">
        <v>165</v>
      </c>
      <c r="F769" s="17" t="s">
        <v>166</v>
      </c>
      <c r="G769" s="17">
        <v>1</v>
      </c>
      <c r="H769" s="17">
        <v>32151</v>
      </c>
      <c r="I769" s="17">
        <v>32151</v>
      </c>
      <c r="J769" s="17">
        <v>1568</v>
      </c>
      <c r="K769" s="17">
        <v>30583</v>
      </c>
      <c r="L769" s="17">
        <v>7224.9201039999998</v>
      </c>
      <c r="M769" s="17">
        <v>2024</v>
      </c>
      <c r="N769" s="17" t="s">
        <v>120</v>
      </c>
    </row>
    <row r="770" spans="1:14" ht="14.25" customHeight="1">
      <c r="A770" s="17">
        <v>10769</v>
      </c>
      <c r="B770" s="18">
        <v>45541</v>
      </c>
      <c r="C770" s="17" t="s">
        <v>58</v>
      </c>
      <c r="D770" s="17" t="s">
        <v>86</v>
      </c>
      <c r="E770" s="17" t="s">
        <v>162</v>
      </c>
      <c r="F770" s="17" t="s">
        <v>166</v>
      </c>
      <c r="G770" s="17">
        <v>3</v>
      </c>
      <c r="H770" s="17">
        <v>48327</v>
      </c>
      <c r="I770" s="17">
        <v>144981</v>
      </c>
      <c r="J770" s="17">
        <v>1322</v>
      </c>
      <c r="K770" s="17">
        <v>143659</v>
      </c>
      <c r="L770" s="17">
        <v>22227.97611</v>
      </c>
      <c r="M770" s="17">
        <v>2024</v>
      </c>
      <c r="N770" s="17" t="s">
        <v>129</v>
      </c>
    </row>
    <row r="771" spans="1:14" ht="14.25" customHeight="1">
      <c r="A771" s="17">
        <v>10770</v>
      </c>
      <c r="B771" s="18">
        <v>45965</v>
      </c>
      <c r="C771" s="17" t="s">
        <v>167</v>
      </c>
      <c r="D771" s="17" t="s">
        <v>111</v>
      </c>
      <c r="E771" s="17" t="s">
        <v>162</v>
      </c>
      <c r="F771" s="17" t="s">
        <v>164</v>
      </c>
      <c r="G771" s="17">
        <v>2</v>
      </c>
      <c r="H771" s="17">
        <v>14252</v>
      </c>
      <c r="I771" s="17">
        <v>28504</v>
      </c>
      <c r="J771" s="17">
        <v>860</v>
      </c>
      <c r="K771" s="17">
        <v>27644</v>
      </c>
      <c r="L771" s="17">
        <v>3817.9873360000001</v>
      </c>
      <c r="M771" s="17">
        <v>2025</v>
      </c>
      <c r="N771" s="17" t="s">
        <v>173</v>
      </c>
    </row>
    <row r="772" spans="1:14" ht="14.25" customHeight="1">
      <c r="A772" s="17">
        <v>10771</v>
      </c>
      <c r="B772" s="18">
        <v>45729</v>
      </c>
      <c r="C772" s="17" t="s">
        <v>58</v>
      </c>
      <c r="D772" s="17" t="s">
        <v>86</v>
      </c>
      <c r="E772" s="17" t="s">
        <v>162</v>
      </c>
      <c r="F772" s="17" t="s">
        <v>163</v>
      </c>
      <c r="G772" s="17">
        <v>8</v>
      </c>
      <c r="H772" s="17">
        <v>40314</v>
      </c>
      <c r="I772" s="17">
        <v>322512</v>
      </c>
      <c r="J772" s="17">
        <v>741</v>
      </c>
      <c r="K772" s="17">
        <v>321771</v>
      </c>
      <c r="L772" s="17">
        <v>69381.982940000002</v>
      </c>
      <c r="M772" s="17">
        <v>2025</v>
      </c>
      <c r="N772" s="17" t="s">
        <v>112</v>
      </c>
    </row>
    <row r="773" spans="1:14" ht="14.25" customHeight="1">
      <c r="A773" s="17">
        <v>10772</v>
      </c>
      <c r="B773" s="18">
        <v>45409</v>
      </c>
      <c r="C773" s="17" t="s">
        <v>50</v>
      </c>
      <c r="D773" s="17" t="s">
        <v>111</v>
      </c>
      <c r="E773" s="17" t="s">
        <v>165</v>
      </c>
      <c r="F773" s="17" t="s">
        <v>166</v>
      </c>
      <c r="G773" s="17">
        <v>8</v>
      </c>
      <c r="H773" s="17">
        <v>74272</v>
      </c>
      <c r="I773" s="17">
        <v>594176</v>
      </c>
      <c r="J773" s="17">
        <v>1730</v>
      </c>
      <c r="K773" s="17">
        <v>592446</v>
      </c>
      <c r="L773" s="17">
        <v>79628.698239999998</v>
      </c>
      <c r="M773" s="17">
        <v>2024</v>
      </c>
      <c r="N773" s="17" t="s">
        <v>114</v>
      </c>
    </row>
    <row r="774" spans="1:14" ht="14.25" customHeight="1">
      <c r="A774" s="17">
        <v>10773</v>
      </c>
      <c r="B774" s="18">
        <v>45597</v>
      </c>
      <c r="C774" s="17" t="s">
        <v>50</v>
      </c>
      <c r="D774" s="17" t="s">
        <v>89</v>
      </c>
      <c r="E774" s="17" t="s">
        <v>168</v>
      </c>
      <c r="F774" s="17" t="s">
        <v>164</v>
      </c>
      <c r="G774" s="17">
        <v>5</v>
      </c>
      <c r="H774" s="17">
        <v>52368</v>
      </c>
      <c r="I774" s="17">
        <v>261840</v>
      </c>
      <c r="J774" s="17">
        <v>4904</v>
      </c>
      <c r="K774" s="17">
        <v>256936</v>
      </c>
      <c r="L774" s="17">
        <v>45782.644370000002</v>
      </c>
      <c r="M774" s="17">
        <v>2024</v>
      </c>
      <c r="N774" s="17" t="s">
        <v>173</v>
      </c>
    </row>
    <row r="775" spans="1:14" ht="14.25" customHeight="1">
      <c r="A775" s="17">
        <v>10774</v>
      </c>
      <c r="B775" s="18">
        <v>45559</v>
      </c>
      <c r="C775" s="17" t="s">
        <v>50</v>
      </c>
      <c r="D775" s="17" t="s">
        <v>86</v>
      </c>
      <c r="E775" s="17" t="s">
        <v>165</v>
      </c>
      <c r="F775" s="17" t="s">
        <v>163</v>
      </c>
      <c r="G775" s="17">
        <v>5</v>
      </c>
      <c r="H775" s="17">
        <v>66110</v>
      </c>
      <c r="I775" s="17">
        <v>330550</v>
      </c>
      <c r="J775" s="17">
        <v>2933</v>
      </c>
      <c r="K775" s="17">
        <v>327617</v>
      </c>
      <c r="L775" s="17">
        <v>38201.258119999999</v>
      </c>
      <c r="M775" s="17">
        <v>2024</v>
      </c>
      <c r="N775" s="17" t="s">
        <v>129</v>
      </c>
    </row>
    <row r="776" spans="1:14" ht="14.25" customHeight="1">
      <c r="A776" s="17">
        <v>10775</v>
      </c>
      <c r="B776" s="18">
        <v>45345</v>
      </c>
      <c r="C776" s="17" t="s">
        <v>167</v>
      </c>
      <c r="D776" s="17" t="s">
        <v>83</v>
      </c>
      <c r="E776" s="17" t="s">
        <v>168</v>
      </c>
      <c r="F776" s="17" t="s">
        <v>166</v>
      </c>
      <c r="G776" s="17">
        <v>4</v>
      </c>
      <c r="H776" s="17">
        <v>6672</v>
      </c>
      <c r="I776" s="17">
        <v>26688</v>
      </c>
      <c r="J776" s="17">
        <v>3518</v>
      </c>
      <c r="K776" s="17">
        <v>23170</v>
      </c>
      <c r="L776" s="17">
        <v>3658.3072029999998</v>
      </c>
      <c r="M776" s="17">
        <v>2024</v>
      </c>
      <c r="N776" s="17" t="s">
        <v>175</v>
      </c>
    </row>
    <row r="777" spans="1:14" ht="14.25" customHeight="1">
      <c r="A777" s="17">
        <v>10776</v>
      </c>
      <c r="B777" s="18">
        <v>45527</v>
      </c>
      <c r="C777" s="17" t="s">
        <v>50</v>
      </c>
      <c r="D777" s="17" t="s">
        <v>111</v>
      </c>
      <c r="E777" s="17" t="s">
        <v>168</v>
      </c>
      <c r="F777" s="17" t="s">
        <v>172</v>
      </c>
      <c r="G777" s="17">
        <v>1</v>
      </c>
      <c r="H777" s="17">
        <v>70937</v>
      </c>
      <c r="I777" s="17">
        <v>70937</v>
      </c>
      <c r="J777" s="17">
        <v>4509</v>
      </c>
      <c r="K777" s="17">
        <v>66428</v>
      </c>
      <c r="L777" s="17">
        <v>7421.5512900000003</v>
      </c>
      <c r="M777" s="17">
        <v>2024</v>
      </c>
      <c r="N777" s="17" t="s">
        <v>126</v>
      </c>
    </row>
    <row r="778" spans="1:14" ht="14.25" customHeight="1">
      <c r="A778" s="17">
        <v>10777</v>
      </c>
      <c r="B778" s="18">
        <v>45680</v>
      </c>
      <c r="C778" s="17" t="s">
        <v>39</v>
      </c>
      <c r="D778" s="17" t="s">
        <v>86</v>
      </c>
      <c r="E778" s="17" t="s">
        <v>168</v>
      </c>
      <c r="F778" s="17" t="s">
        <v>163</v>
      </c>
      <c r="G778" s="17">
        <v>1</v>
      </c>
      <c r="H778" s="17">
        <v>20322</v>
      </c>
      <c r="I778" s="17">
        <v>20322</v>
      </c>
      <c r="J778" s="17">
        <v>4526</v>
      </c>
      <c r="K778" s="17">
        <v>15796</v>
      </c>
      <c r="L778" s="17">
        <v>2251.181771</v>
      </c>
      <c r="M778" s="17">
        <v>2025</v>
      </c>
      <c r="N778" s="17" t="s">
        <v>171</v>
      </c>
    </row>
    <row r="779" spans="1:14" ht="14.25" customHeight="1">
      <c r="A779" s="17">
        <v>10778</v>
      </c>
      <c r="B779" s="18">
        <v>45692</v>
      </c>
      <c r="C779" s="17" t="s">
        <v>50</v>
      </c>
      <c r="D779" s="17" t="s">
        <v>89</v>
      </c>
      <c r="E779" s="17" t="s">
        <v>162</v>
      </c>
      <c r="F779" s="17" t="s">
        <v>172</v>
      </c>
      <c r="G779" s="17">
        <v>6</v>
      </c>
      <c r="H779" s="17">
        <v>16191</v>
      </c>
      <c r="I779" s="17">
        <v>97146</v>
      </c>
      <c r="J779" s="17">
        <v>3167</v>
      </c>
      <c r="K779" s="17">
        <v>93979</v>
      </c>
      <c r="L779" s="17">
        <v>18776.446029999999</v>
      </c>
      <c r="M779" s="17">
        <v>2025</v>
      </c>
      <c r="N779" s="17" t="s">
        <v>175</v>
      </c>
    </row>
    <row r="780" spans="1:14" ht="14.25" customHeight="1">
      <c r="A780" s="17">
        <v>10779</v>
      </c>
      <c r="B780" s="18">
        <v>45915</v>
      </c>
      <c r="C780" s="17" t="s">
        <v>58</v>
      </c>
      <c r="D780" s="17" t="s">
        <v>89</v>
      </c>
      <c r="E780" s="17" t="s">
        <v>168</v>
      </c>
      <c r="F780" s="17" t="s">
        <v>164</v>
      </c>
      <c r="G780" s="17">
        <v>4</v>
      </c>
      <c r="H780" s="17">
        <v>42081</v>
      </c>
      <c r="I780" s="17">
        <v>168324</v>
      </c>
      <c r="J780" s="17">
        <v>1918</v>
      </c>
      <c r="K780" s="17">
        <v>166406</v>
      </c>
      <c r="L780" s="17">
        <v>41384.518799999998</v>
      </c>
      <c r="M780" s="17">
        <v>2025</v>
      </c>
      <c r="N780" s="17" t="s">
        <v>129</v>
      </c>
    </row>
    <row r="781" spans="1:14" ht="14.25" customHeight="1">
      <c r="A781" s="17">
        <v>10780</v>
      </c>
      <c r="B781" s="18">
        <v>45594</v>
      </c>
      <c r="C781" s="17" t="s">
        <v>58</v>
      </c>
      <c r="D781" s="17" t="s">
        <v>83</v>
      </c>
      <c r="E781" s="17" t="s">
        <v>162</v>
      </c>
      <c r="F781" s="17" t="s">
        <v>166</v>
      </c>
      <c r="G781" s="17">
        <v>4</v>
      </c>
      <c r="H781" s="17">
        <v>19665</v>
      </c>
      <c r="I781" s="17">
        <v>78660</v>
      </c>
      <c r="J781" s="17">
        <v>2218</v>
      </c>
      <c r="K781" s="17">
        <v>76442</v>
      </c>
      <c r="L781" s="17">
        <v>10565.90034</v>
      </c>
      <c r="M781" s="17">
        <v>2024</v>
      </c>
      <c r="N781" s="17" t="s">
        <v>174</v>
      </c>
    </row>
    <row r="782" spans="1:14" ht="14.25" customHeight="1">
      <c r="A782" s="17">
        <v>10781</v>
      </c>
      <c r="B782" s="18">
        <v>45498</v>
      </c>
      <c r="C782" s="17" t="s">
        <v>58</v>
      </c>
      <c r="D782" s="17" t="s">
        <v>89</v>
      </c>
      <c r="E782" s="17" t="s">
        <v>168</v>
      </c>
      <c r="F782" s="17" t="s">
        <v>164</v>
      </c>
      <c r="G782" s="17">
        <v>3</v>
      </c>
      <c r="H782" s="17">
        <v>66625</v>
      </c>
      <c r="I782" s="17">
        <v>199875</v>
      </c>
      <c r="J782" s="17">
        <v>1340</v>
      </c>
      <c r="K782" s="17">
        <v>198535</v>
      </c>
      <c r="L782" s="17">
        <v>33949.126360000002</v>
      </c>
      <c r="M782" s="17">
        <v>2024</v>
      </c>
      <c r="N782" s="17" t="s">
        <v>123</v>
      </c>
    </row>
    <row r="783" spans="1:14" ht="14.25" customHeight="1">
      <c r="A783" s="17">
        <v>10782</v>
      </c>
      <c r="B783" s="18">
        <v>45520</v>
      </c>
      <c r="C783" s="17" t="s">
        <v>167</v>
      </c>
      <c r="D783" s="17" t="s">
        <v>89</v>
      </c>
      <c r="E783" s="17" t="s">
        <v>168</v>
      </c>
      <c r="F783" s="17" t="s">
        <v>166</v>
      </c>
      <c r="G783" s="17">
        <v>9</v>
      </c>
      <c r="H783" s="17">
        <v>60504</v>
      </c>
      <c r="I783" s="17">
        <v>544536</v>
      </c>
      <c r="J783" s="17">
        <v>4639</v>
      </c>
      <c r="K783" s="17">
        <v>539897</v>
      </c>
      <c r="L783" s="17">
        <v>90274.51298</v>
      </c>
      <c r="M783" s="17">
        <v>2024</v>
      </c>
      <c r="N783" s="17" t="s">
        <v>126</v>
      </c>
    </row>
    <row r="784" spans="1:14" ht="14.25" customHeight="1">
      <c r="A784" s="17">
        <v>10783</v>
      </c>
      <c r="B784" s="18">
        <v>45869</v>
      </c>
      <c r="C784" s="17" t="s">
        <v>58</v>
      </c>
      <c r="D784" s="17" t="s">
        <v>86</v>
      </c>
      <c r="E784" s="17" t="s">
        <v>162</v>
      </c>
      <c r="F784" s="17" t="s">
        <v>166</v>
      </c>
      <c r="G784" s="17">
        <v>3</v>
      </c>
      <c r="H784" s="17">
        <v>49594</v>
      </c>
      <c r="I784" s="17">
        <v>148782</v>
      </c>
      <c r="J784" s="17">
        <v>1514</v>
      </c>
      <c r="K784" s="17">
        <v>147268</v>
      </c>
      <c r="L784" s="17">
        <v>18794.79061</v>
      </c>
      <c r="M784" s="17">
        <v>2025</v>
      </c>
      <c r="N784" s="17" t="s">
        <v>123</v>
      </c>
    </row>
    <row r="785" spans="1:14" ht="14.25" customHeight="1">
      <c r="A785" s="17">
        <v>10784</v>
      </c>
      <c r="B785" s="18">
        <v>45366</v>
      </c>
      <c r="C785" s="17" t="s">
        <v>167</v>
      </c>
      <c r="D785" s="17" t="s">
        <v>111</v>
      </c>
      <c r="E785" s="17" t="s">
        <v>162</v>
      </c>
      <c r="F785" s="17" t="s">
        <v>172</v>
      </c>
      <c r="G785" s="17">
        <v>8</v>
      </c>
      <c r="H785" s="17">
        <v>62631</v>
      </c>
      <c r="I785" s="17">
        <v>501048</v>
      </c>
      <c r="J785" s="17">
        <v>1411</v>
      </c>
      <c r="K785" s="17">
        <v>499637</v>
      </c>
      <c r="L785" s="17">
        <v>95685.659459999995</v>
      </c>
      <c r="M785" s="17">
        <v>2024</v>
      </c>
      <c r="N785" s="17" t="s">
        <v>112</v>
      </c>
    </row>
    <row r="786" spans="1:14" ht="14.25" customHeight="1">
      <c r="A786" s="17">
        <v>10785</v>
      </c>
      <c r="B786" s="18">
        <v>45726</v>
      </c>
      <c r="C786" s="17" t="s">
        <v>167</v>
      </c>
      <c r="D786" s="17" t="s">
        <v>170</v>
      </c>
      <c r="E786" s="17" t="s">
        <v>165</v>
      </c>
      <c r="F786" s="17" t="s">
        <v>164</v>
      </c>
      <c r="G786" s="17">
        <v>2</v>
      </c>
      <c r="H786" s="17">
        <v>54239</v>
      </c>
      <c r="I786" s="17">
        <v>108478</v>
      </c>
      <c r="J786" s="17">
        <v>3036</v>
      </c>
      <c r="K786" s="17">
        <v>105442</v>
      </c>
      <c r="L786" s="17">
        <v>22006.350849999999</v>
      </c>
      <c r="M786" s="17">
        <v>2025</v>
      </c>
      <c r="N786" s="17" t="s">
        <v>112</v>
      </c>
    </row>
    <row r="787" spans="1:14" ht="14.25" customHeight="1">
      <c r="A787" s="17">
        <v>10786</v>
      </c>
      <c r="B787" s="18">
        <v>45394</v>
      </c>
      <c r="C787" s="17" t="s">
        <v>50</v>
      </c>
      <c r="D787" s="17" t="s">
        <v>89</v>
      </c>
      <c r="E787" s="17" t="s">
        <v>168</v>
      </c>
      <c r="F787" s="17" t="s">
        <v>172</v>
      </c>
      <c r="G787" s="17">
        <v>4</v>
      </c>
      <c r="H787" s="17">
        <v>61298</v>
      </c>
      <c r="I787" s="17">
        <v>245192</v>
      </c>
      <c r="J787" s="17">
        <v>4167</v>
      </c>
      <c r="K787" s="17">
        <v>241025</v>
      </c>
      <c r="L787" s="17">
        <v>29425.036400000001</v>
      </c>
      <c r="M787" s="17">
        <v>2024</v>
      </c>
      <c r="N787" s="17" t="s">
        <v>114</v>
      </c>
    </row>
    <row r="788" spans="1:14" ht="14.25" customHeight="1">
      <c r="A788" s="17">
        <v>10787</v>
      </c>
      <c r="B788" s="18">
        <v>45713</v>
      </c>
      <c r="C788" s="17" t="s">
        <v>39</v>
      </c>
      <c r="D788" s="17" t="s">
        <v>89</v>
      </c>
      <c r="E788" s="17" t="s">
        <v>162</v>
      </c>
      <c r="F788" s="17" t="s">
        <v>172</v>
      </c>
      <c r="G788" s="17">
        <v>1</v>
      </c>
      <c r="H788" s="17">
        <v>7967</v>
      </c>
      <c r="I788" s="17">
        <v>7967</v>
      </c>
      <c r="J788" s="17">
        <v>1022</v>
      </c>
      <c r="K788" s="17">
        <v>6945</v>
      </c>
      <c r="L788" s="17">
        <v>1483.2345230000001</v>
      </c>
      <c r="M788" s="17">
        <v>2025</v>
      </c>
      <c r="N788" s="17" t="s">
        <v>175</v>
      </c>
    </row>
    <row r="789" spans="1:14" ht="14.25" customHeight="1">
      <c r="A789" s="17">
        <v>10788</v>
      </c>
      <c r="B789" s="18">
        <v>45995</v>
      </c>
      <c r="C789" s="17" t="s">
        <v>50</v>
      </c>
      <c r="D789" s="17" t="s">
        <v>170</v>
      </c>
      <c r="E789" s="17" t="s">
        <v>165</v>
      </c>
      <c r="F789" s="17" t="s">
        <v>172</v>
      </c>
      <c r="G789" s="17">
        <v>5</v>
      </c>
      <c r="H789" s="17">
        <v>42018</v>
      </c>
      <c r="I789" s="17">
        <v>210090</v>
      </c>
      <c r="J789" s="17">
        <v>4627</v>
      </c>
      <c r="K789" s="17">
        <v>205463</v>
      </c>
      <c r="L789" s="17">
        <v>42124.896529999998</v>
      </c>
      <c r="M789" s="17">
        <v>2025</v>
      </c>
      <c r="N789" s="17" t="s">
        <v>169</v>
      </c>
    </row>
    <row r="790" spans="1:14" ht="14.25" customHeight="1">
      <c r="A790" s="17">
        <v>10789</v>
      </c>
      <c r="B790" s="18">
        <v>45597</v>
      </c>
      <c r="C790" s="17" t="s">
        <v>50</v>
      </c>
      <c r="D790" s="17" t="s">
        <v>89</v>
      </c>
      <c r="E790" s="17" t="s">
        <v>165</v>
      </c>
      <c r="F790" s="17" t="s">
        <v>164</v>
      </c>
      <c r="G790" s="17">
        <v>2</v>
      </c>
      <c r="H790" s="17">
        <v>57686</v>
      </c>
      <c r="I790" s="17">
        <v>115372</v>
      </c>
      <c r="J790" s="17">
        <v>2286</v>
      </c>
      <c r="K790" s="17">
        <v>113086</v>
      </c>
      <c r="L790" s="17">
        <v>14656.107550000001</v>
      </c>
      <c r="M790" s="17">
        <v>2024</v>
      </c>
      <c r="N790" s="17" t="s">
        <v>173</v>
      </c>
    </row>
    <row r="791" spans="1:14" ht="14.25" customHeight="1">
      <c r="A791" s="17">
        <v>10790</v>
      </c>
      <c r="B791" s="18">
        <v>45389</v>
      </c>
      <c r="C791" s="17" t="s">
        <v>167</v>
      </c>
      <c r="D791" s="17" t="s">
        <v>86</v>
      </c>
      <c r="E791" s="17" t="s">
        <v>162</v>
      </c>
      <c r="F791" s="17" t="s">
        <v>166</v>
      </c>
      <c r="G791" s="17">
        <v>1</v>
      </c>
      <c r="H791" s="17">
        <v>29795</v>
      </c>
      <c r="I791" s="17">
        <v>29795</v>
      </c>
      <c r="J791" s="17">
        <v>2758</v>
      </c>
      <c r="K791" s="17">
        <v>27037</v>
      </c>
      <c r="L791" s="17">
        <v>5335.5395410000001</v>
      </c>
      <c r="M791" s="17">
        <v>2024</v>
      </c>
      <c r="N791" s="17" t="s">
        <v>114</v>
      </c>
    </row>
    <row r="792" spans="1:14" ht="14.25" customHeight="1">
      <c r="A792" s="17">
        <v>10791</v>
      </c>
      <c r="B792" s="18">
        <v>45626</v>
      </c>
      <c r="C792" s="17" t="s">
        <v>167</v>
      </c>
      <c r="D792" s="17" t="s">
        <v>86</v>
      </c>
      <c r="E792" s="17" t="s">
        <v>168</v>
      </c>
      <c r="F792" s="17" t="s">
        <v>166</v>
      </c>
      <c r="G792" s="17">
        <v>1</v>
      </c>
      <c r="H792" s="17">
        <v>63826</v>
      </c>
      <c r="I792" s="17">
        <v>63826</v>
      </c>
      <c r="J792" s="17">
        <v>4672</v>
      </c>
      <c r="K792" s="17">
        <v>59154</v>
      </c>
      <c r="L792" s="17">
        <v>9408.4881779999996</v>
      </c>
      <c r="M792" s="17">
        <v>2024</v>
      </c>
      <c r="N792" s="17" t="s">
        <v>173</v>
      </c>
    </row>
    <row r="793" spans="1:14" ht="14.25" customHeight="1">
      <c r="A793" s="17">
        <v>10792</v>
      </c>
      <c r="B793" s="18">
        <v>45726</v>
      </c>
      <c r="C793" s="17" t="s">
        <v>58</v>
      </c>
      <c r="D793" s="17" t="s">
        <v>170</v>
      </c>
      <c r="E793" s="17" t="s">
        <v>165</v>
      </c>
      <c r="F793" s="17" t="s">
        <v>164</v>
      </c>
      <c r="G793" s="17">
        <v>2</v>
      </c>
      <c r="H793" s="17">
        <v>73774</v>
      </c>
      <c r="I793" s="17">
        <v>147548</v>
      </c>
      <c r="J793" s="17">
        <v>3771</v>
      </c>
      <c r="K793" s="17">
        <v>143777</v>
      </c>
      <c r="L793" s="17">
        <v>29067.491399999999</v>
      </c>
      <c r="M793" s="17">
        <v>2025</v>
      </c>
      <c r="N793" s="17" t="s">
        <v>112</v>
      </c>
    </row>
    <row r="794" spans="1:14" ht="14.25" customHeight="1">
      <c r="A794" s="17">
        <v>10793</v>
      </c>
      <c r="B794" s="18">
        <v>45738</v>
      </c>
      <c r="C794" s="17" t="s">
        <v>58</v>
      </c>
      <c r="D794" s="17" t="s">
        <v>89</v>
      </c>
      <c r="E794" s="17" t="s">
        <v>168</v>
      </c>
      <c r="F794" s="17" t="s">
        <v>166</v>
      </c>
      <c r="G794" s="17">
        <v>5</v>
      </c>
      <c r="H794" s="17">
        <v>13513</v>
      </c>
      <c r="I794" s="17">
        <v>67565</v>
      </c>
      <c r="J794" s="17">
        <v>1112</v>
      </c>
      <c r="K794" s="17">
        <v>66453</v>
      </c>
      <c r="L794" s="17">
        <v>11590.368619999999</v>
      </c>
      <c r="M794" s="17">
        <v>2025</v>
      </c>
      <c r="N794" s="17" t="s">
        <v>112</v>
      </c>
    </row>
    <row r="795" spans="1:14" ht="14.25" customHeight="1">
      <c r="A795" s="17">
        <v>10794</v>
      </c>
      <c r="B795" s="18">
        <v>45599</v>
      </c>
      <c r="C795" s="17" t="s">
        <v>50</v>
      </c>
      <c r="D795" s="17" t="s">
        <v>89</v>
      </c>
      <c r="E795" s="17" t="s">
        <v>168</v>
      </c>
      <c r="F795" s="17" t="s">
        <v>164</v>
      </c>
      <c r="G795" s="17">
        <v>9</v>
      </c>
      <c r="H795" s="17">
        <v>73274</v>
      </c>
      <c r="I795" s="17">
        <v>659466</v>
      </c>
      <c r="J795" s="17">
        <v>1945</v>
      </c>
      <c r="K795" s="17">
        <v>657521</v>
      </c>
      <c r="L795" s="17">
        <v>70499.829849999995</v>
      </c>
      <c r="M795" s="17">
        <v>2024</v>
      </c>
      <c r="N795" s="17" t="s">
        <v>173</v>
      </c>
    </row>
    <row r="796" spans="1:14" ht="14.25" customHeight="1">
      <c r="A796" s="17">
        <v>10795</v>
      </c>
      <c r="B796" s="18">
        <v>45540</v>
      </c>
      <c r="C796" s="17" t="s">
        <v>45</v>
      </c>
      <c r="D796" s="17" t="s">
        <v>111</v>
      </c>
      <c r="E796" s="17" t="s">
        <v>165</v>
      </c>
      <c r="F796" s="17" t="s">
        <v>164</v>
      </c>
      <c r="G796" s="17">
        <v>6</v>
      </c>
      <c r="H796" s="17">
        <v>75472</v>
      </c>
      <c r="I796" s="17">
        <v>452832</v>
      </c>
      <c r="J796" s="17">
        <v>4808</v>
      </c>
      <c r="K796" s="17">
        <v>448024</v>
      </c>
      <c r="L796" s="17">
        <v>97689.414680000002</v>
      </c>
      <c r="M796" s="17">
        <v>2024</v>
      </c>
      <c r="N796" s="17" t="s">
        <v>129</v>
      </c>
    </row>
    <row r="797" spans="1:14" ht="14.25" customHeight="1">
      <c r="A797" s="17">
        <v>10796</v>
      </c>
      <c r="B797" s="18">
        <v>45457</v>
      </c>
      <c r="C797" s="17" t="s">
        <v>45</v>
      </c>
      <c r="D797" s="17" t="s">
        <v>89</v>
      </c>
      <c r="E797" s="17" t="s">
        <v>162</v>
      </c>
      <c r="F797" s="17" t="s">
        <v>166</v>
      </c>
      <c r="G797" s="17">
        <v>4</v>
      </c>
      <c r="H797" s="17">
        <v>39604</v>
      </c>
      <c r="I797" s="17">
        <v>158416</v>
      </c>
      <c r="J797" s="17">
        <v>1558</v>
      </c>
      <c r="K797" s="17">
        <v>156858</v>
      </c>
      <c r="L797" s="17">
        <v>28758.343949999999</v>
      </c>
      <c r="M797" s="17">
        <v>2024</v>
      </c>
      <c r="N797" s="17" t="s">
        <v>120</v>
      </c>
    </row>
    <row r="798" spans="1:14" ht="14.25" customHeight="1">
      <c r="A798" s="17">
        <v>10797</v>
      </c>
      <c r="B798" s="18">
        <v>45772</v>
      </c>
      <c r="C798" s="17" t="s">
        <v>58</v>
      </c>
      <c r="D798" s="17" t="s">
        <v>86</v>
      </c>
      <c r="E798" s="17" t="s">
        <v>168</v>
      </c>
      <c r="F798" s="17" t="s">
        <v>163</v>
      </c>
      <c r="G798" s="17">
        <v>3</v>
      </c>
      <c r="H798" s="17">
        <v>72104</v>
      </c>
      <c r="I798" s="17">
        <v>216312</v>
      </c>
      <c r="J798" s="17">
        <v>3879</v>
      </c>
      <c r="K798" s="17">
        <v>212433</v>
      </c>
      <c r="L798" s="17">
        <v>44338.844420000001</v>
      </c>
      <c r="M798" s="17">
        <v>2025</v>
      </c>
      <c r="N798" s="17" t="s">
        <v>114</v>
      </c>
    </row>
    <row r="799" spans="1:14" ht="14.25" customHeight="1">
      <c r="A799" s="17">
        <v>10798</v>
      </c>
      <c r="B799" s="18">
        <v>45626</v>
      </c>
      <c r="C799" s="17" t="s">
        <v>45</v>
      </c>
      <c r="D799" s="17" t="s">
        <v>83</v>
      </c>
      <c r="E799" s="17" t="s">
        <v>162</v>
      </c>
      <c r="F799" s="17" t="s">
        <v>172</v>
      </c>
      <c r="G799" s="17">
        <v>8</v>
      </c>
      <c r="H799" s="17">
        <v>70229</v>
      </c>
      <c r="I799" s="17">
        <v>561832</v>
      </c>
      <c r="J799" s="17">
        <v>641</v>
      </c>
      <c r="K799" s="17">
        <v>561191</v>
      </c>
      <c r="L799" s="17">
        <v>66731.651809999996</v>
      </c>
      <c r="M799" s="17">
        <v>2024</v>
      </c>
      <c r="N799" s="17" t="s">
        <v>173</v>
      </c>
    </row>
    <row r="800" spans="1:14" ht="14.25" customHeight="1">
      <c r="A800" s="17">
        <v>10799</v>
      </c>
      <c r="B800" s="18">
        <v>45833</v>
      </c>
      <c r="C800" s="17" t="s">
        <v>58</v>
      </c>
      <c r="D800" s="17" t="s">
        <v>83</v>
      </c>
      <c r="E800" s="17" t="s">
        <v>165</v>
      </c>
      <c r="F800" s="17" t="s">
        <v>164</v>
      </c>
      <c r="G800" s="17">
        <v>3</v>
      </c>
      <c r="H800" s="17">
        <v>51815</v>
      </c>
      <c r="I800" s="17">
        <v>155445</v>
      </c>
      <c r="J800" s="17">
        <v>2237</v>
      </c>
      <c r="K800" s="17">
        <v>153208</v>
      </c>
      <c r="L800" s="17">
        <v>31896.506949999999</v>
      </c>
      <c r="M800" s="17">
        <v>2025</v>
      </c>
      <c r="N800" s="17" t="s">
        <v>120</v>
      </c>
    </row>
    <row r="801" spans="1:14" ht="14.25" customHeight="1">
      <c r="A801" s="17">
        <v>10800</v>
      </c>
      <c r="B801" s="18">
        <v>45397</v>
      </c>
      <c r="C801" s="17" t="s">
        <v>167</v>
      </c>
      <c r="D801" s="17" t="s">
        <v>83</v>
      </c>
      <c r="E801" s="17" t="s">
        <v>168</v>
      </c>
      <c r="F801" s="17" t="s">
        <v>164</v>
      </c>
      <c r="G801" s="17">
        <v>1</v>
      </c>
      <c r="H801" s="17">
        <v>9720</v>
      </c>
      <c r="I801" s="17">
        <v>9720</v>
      </c>
      <c r="J801" s="17">
        <v>4907</v>
      </c>
      <c r="K801" s="17">
        <v>4813</v>
      </c>
      <c r="L801" s="17">
        <v>779.94630480000001</v>
      </c>
      <c r="M801" s="17">
        <v>2024</v>
      </c>
      <c r="N801" s="17" t="s">
        <v>114</v>
      </c>
    </row>
    <row r="802" spans="1:14" ht="14.25" customHeight="1">
      <c r="A802" s="17">
        <v>10801</v>
      </c>
      <c r="B802" s="18">
        <v>45854</v>
      </c>
      <c r="C802" s="17" t="s">
        <v>50</v>
      </c>
      <c r="D802" s="17" t="s">
        <v>83</v>
      </c>
      <c r="E802" s="17" t="s">
        <v>162</v>
      </c>
      <c r="F802" s="17" t="s">
        <v>163</v>
      </c>
      <c r="G802" s="17">
        <v>4</v>
      </c>
      <c r="H802" s="17">
        <v>45725</v>
      </c>
      <c r="I802" s="17">
        <v>182900</v>
      </c>
      <c r="J802" s="17">
        <v>3486</v>
      </c>
      <c r="K802" s="17">
        <v>179414</v>
      </c>
      <c r="L802" s="17">
        <v>39451.354619999998</v>
      </c>
      <c r="M802" s="17">
        <v>2025</v>
      </c>
      <c r="N802" s="17" t="s">
        <v>123</v>
      </c>
    </row>
    <row r="803" spans="1:14" ht="14.25" customHeight="1">
      <c r="A803" s="17">
        <v>10802</v>
      </c>
      <c r="B803" s="18">
        <v>45372</v>
      </c>
      <c r="C803" s="17" t="s">
        <v>39</v>
      </c>
      <c r="D803" s="17" t="s">
        <v>89</v>
      </c>
      <c r="E803" s="17" t="s">
        <v>162</v>
      </c>
      <c r="F803" s="17" t="s">
        <v>164</v>
      </c>
      <c r="G803" s="17">
        <v>5</v>
      </c>
      <c r="H803" s="17">
        <v>48923</v>
      </c>
      <c r="I803" s="17">
        <v>244615</v>
      </c>
      <c r="J803" s="17">
        <v>3225</v>
      </c>
      <c r="K803" s="17">
        <v>241390</v>
      </c>
      <c r="L803" s="17">
        <v>45833.897599999997</v>
      </c>
      <c r="M803" s="17">
        <v>2024</v>
      </c>
      <c r="N803" s="17" t="s">
        <v>112</v>
      </c>
    </row>
    <row r="804" spans="1:14" ht="14.25" customHeight="1">
      <c r="A804" s="17">
        <v>10803</v>
      </c>
      <c r="B804" s="18">
        <v>45424</v>
      </c>
      <c r="C804" s="17" t="s">
        <v>50</v>
      </c>
      <c r="D804" s="17" t="s">
        <v>89</v>
      </c>
      <c r="E804" s="17" t="s">
        <v>168</v>
      </c>
      <c r="F804" s="17" t="s">
        <v>164</v>
      </c>
      <c r="G804" s="17">
        <v>5</v>
      </c>
      <c r="H804" s="17">
        <v>79080</v>
      </c>
      <c r="I804" s="17">
        <v>395400</v>
      </c>
      <c r="J804" s="17">
        <v>1014</v>
      </c>
      <c r="K804" s="17">
        <v>394386</v>
      </c>
      <c r="L804" s="17">
        <v>60433.864439999998</v>
      </c>
      <c r="M804" s="17">
        <v>2024</v>
      </c>
      <c r="N804" s="17" t="s">
        <v>117</v>
      </c>
    </row>
    <row r="805" spans="1:14" ht="14.25" customHeight="1">
      <c r="A805" s="17">
        <v>10804</v>
      </c>
      <c r="B805" s="18">
        <v>45429</v>
      </c>
      <c r="C805" s="17" t="s">
        <v>58</v>
      </c>
      <c r="D805" s="17" t="s">
        <v>111</v>
      </c>
      <c r="E805" s="17" t="s">
        <v>162</v>
      </c>
      <c r="F805" s="17" t="s">
        <v>166</v>
      </c>
      <c r="G805" s="17">
        <v>5</v>
      </c>
      <c r="H805" s="17">
        <v>44293</v>
      </c>
      <c r="I805" s="17">
        <v>221465</v>
      </c>
      <c r="J805" s="17">
        <v>2021</v>
      </c>
      <c r="K805" s="17">
        <v>219444</v>
      </c>
      <c r="L805" s="17">
        <v>28590.81955</v>
      </c>
      <c r="M805" s="17">
        <v>2024</v>
      </c>
      <c r="N805" s="17" t="s">
        <v>117</v>
      </c>
    </row>
    <row r="806" spans="1:14" ht="14.25" customHeight="1">
      <c r="A806" s="17">
        <v>10805</v>
      </c>
      <c r="B806" s="18">
        <v>45475</v>
      </c>
      <c r="C806" s="17" t="s">
        <v>58</v>
      </c>
      <c r="D806" s="17" t="s">
        <v>89</v>
      </c>
      <c r="E806" s="17" t="s">
        <v>162</v>
      </c>
      <c r="F806" s="17" t="s">
        <v>166</v>
      </c>
      <c r="G806" s="17">
        <v>8</v>
      </c>
      <c r="H806" s="17">
        <v>78471</v>
      </c>
      <c r="I806" s="17">
        <v>627768</v>
      </c>
      <c r="J806" s="17">
        <v>2676</v>
      </c>
      <c r="K806" s="17">
        <v>625092</v>
      </c>
      <c r="L806" s="17">
        <v>139013.35060000001</v>
      </c>
      <c r="M806" s="17">
        <v>2024</v>
      </c>
      <c r="N806" s="17" t="s">
        <v>123</v>
      </c>
    </row>
    <row r="807" spans="1:14" ht="14.25" customHeight="1">
      <c r="A807" s="17">
        <v>10806</v>
      </c>
      <c r="B807" s="18">
        <v>45692</v>
      </c>
      <c r="C807" s="17" t="s">
        <v>50</v>
      </c>
      <c r="D807" s="17" t="s">
        <v>83</v>
      </c>
      <c r="E807" s="17" t="s">
        <v>165</v>
      </c>
      <c r="F807" s="17" t="s">
        <v>163</v>
      </c>
      <c r="G807" s="17">
        <v>8</v>
      </c>
      <c r="H807" s="17">
        <v>35029</v>
      </c>
      <c r="I807" s="17">
        <v>280232</v>
      </c>
      <c r="J807" s="17">
        <v>1540</v>
      </c>
      <c r="K807" s="17">
        <v>278692</v>
      </c>
      <c r="L807" s="17">
        <v>51287.38207</v>
      </c>
      <c r="M807" s="17">
        <v>2025</v>
      </c>
      <c r="N807" s="17" t="s">
        <v>175</v>
      </c>
    </row>
    <row r="808" spans="1:14" ht="14.25" customHeight="1">
      <c r="A808" s="17">
        <v>10807</v>
      </c>
      <c r="B808" s="18">
        <v>45621</v>
      </c>
      <c r="C808" s="17" t="s">
        <v>58</v>
      </c>
      <c r="D808" s="17" t="s">
        <v>170</v>
      </c>
      <c r="E808" s="17" t="s">
        <v>165</v>
      </c>
      <c r="F808" s="17" t="s">
        <v>164</v>
      </c>
      <c r="G808" s="17">
        <v>4</v>
      </c>
      <c r="H808" s="17">
        <v>66914</v>
      </c>
      <c r="I808" s="17">
        <v>267656</v>
      </c>
      <c r="J808" s="17">
        <v>2936</v>
      </c>
      <c r="K808" s="17">
        <v>264720</v>
      </c>
      <c r="L808" s="17">
        <v>65682.382230000003</v>
      </c>
      <c r="M808" s="17">
        <v>2024</v>
      </c>
      <c r="N808" s="17" t="s">
        <v>173</v>
      </c>
    </row>
    <row r="809" spans="1:14" ht="14.25" customHeight="1">
      <c r="A809" s="17">
        <v>10808</v>
      </c>
      <c r="B809" s="18">
        <v>45799</v>
      </c>
      <c r="C809" s="17" t="s">
        <v>45</v>
      </c>
      <c r="D809" s="17" t="s">
        <v>170</v>
      </c>
      <c r="E809" s="17" t="s">
        <v>162</v>
      </c>
      <c r="F809" s="17" t="s">
        <v>172</v>
      </c>
      <c r="G809" s="17">
        <v>9</v>
      </c>
      <c r="H809" s="17">
        <v>31585</v>
      </c>
      <c r="I809" s="17">
        <v>284265</v>
      </c>
      <c r="J809" s="17">
        <v>3106</v>
      </c>
      <c r="K809" s="17">
        <v>281159</v>
      </c>
      <c r="L809" s="17">
        <v>43867.355159999999</v>
      </c>
      <c r="M809" s="17">
        <v>2025</v>
      </c>
      <c r="N809" s="17" t="s">
        <v>117</v>
      </c>
    </row>
    <row r="810" spans="1:14" ht="14.25" customHeight="1">
      <c r="A810" s="17">
        <v>10809</v>
      </c>
      <c r="B810" s="18">
        <v>45360</v>
      </c>
      <c r="C810" s="17" t="s">
        <v>45</v>
      </c>
      <c r="D810" s="17" t="s">
        <v>86</v>
      </c>
      <c r="E810" s="17" t="s">
        <v>162</v>
      </c>
      <c r="F810" s="17" t="s">
        <v>166</v>
      </c>
      <c r="G810" s="17">
        <v>1</v>
      </c>
      <c r="H810" s="17">
        <v>63271</v>
      </c>
      <c r="I810" s="17">
        <v>63271</v>
      </c>
      <c r="J810" s="17">
        <v>783</v>
      </c>
      <c r="K810" s="17">
        <v>62488</v>
      </c>
      <c r="L810" s="17">
        <v>12676.18341</v>
      </c>
      <c r="M810" s="17">
        <v>2024</v>
      </c>
      <c r="N810" s="17" t="s">
        <v>112</v>
      </c>
    </row>
    <row r="811" spans="1:14" ht="14.25" customHeight="1">
      <c r="A811" s="17">
        <v>10810</v>
      </c>
      <c r="B811" s="18">
        <v>45837</v>
      </c>
      <c r="C811" s="17" t="s">
        <v>58</v>
      </c>
      <c r="D811" s="17" t="s">
        <v>86</v>
      </c>
      <c r="E811" s="17" t="s">
        <v>168</v>
      </c>
      <c r="F811" s="17" t="s">
        <v>172</v>
      </c>
      <c r="G811" s="17">
        <v>5</v>
      </c>
      <c r="H811" s="17">
        <v>62373</v>
      </c>
      <c r="I811" s="17">
        <v>311865</v>
      </c>
      <c r="J811" s="17">
        <v>670</v>
      </c>
      <c r="K811" s="17">
        <v>311195</v>
      </c>
      <c r="L811" s="17">
        <v>60192.311179999997</v>
      </c>
      <c r="M811" s="17">
        <v>2025</v>
      </c>
      <c r="N811" s="17" t="s">
        <v>120</v>
      </c>
    </row>
    <row r="812" spans="1:14" ht="14.25" customHeight="1">
      <c r="A812" s="17">
        <v>10811</v>
      </c>
      <c r="B812" s="18">
        <v>45344</v>
      </c>
      <c r="C812" s="17" t="s">
        <v>58</v>
      </c>
      <c r="D812" s="17" t="s">
        <v>89</v>
      </c>
      <c r="E812" s="17" t="s">
        <v>165</v>
      </c>
      <c r="F812" s="17" t="s">
        <v>172</v>
      </c>
      <c r="G812" s="17">
        <v>5</v>
      </c>
      <c r="H812" s="17">
        <v>28898</v>
      </c>
      <c r="I812" s="17">
        <v>144490</v>
      </c>
      <c r="J812" s="17">
        <v>2769</v>
      </c>
      <c r="K812" s="17">
        <v>141721</v>
      </c>
      <c r="L812" s="17">
        <v>27725.907609999998</v>
      </c>
      <c r="M812" s="17">
        <v>2024</v>
      </c>
      <c r="N812" s="17" t="s">
        <v>175</v>
      </c>
    </row>
    <row r="813" spans="1:14" ht="14.25" customHeight="1">
      <c r="A813" s="17">
        <v>10812</v>
      </c>
      <c r="B813" s="18">
        <v>45741</v>
      </c>
      <c r="C813" s="17" t="s">
        <v>45</v>
      </c>
      <c r="D813" s="17" t="s">
        <v>170</v>
      </c>
      <c r="E813" s="17" t="s">
        <v>168</v>
      </c>
      <c r="F813" s="17" t="s">
        <v>163</v>
      </c>
      <c r="G813" s="17">
        <v>5</v>
      </c>
      <c r="H813" s="17">
        <v>28449</v>
      </c>
      <c r="I813" s="17">
        <v>142245</v>
      </c>
      <c r="J813" s="17">
        <v>2573</v>
      </c>
      <c r="K813" s="17">
        <v>139672</v>
      </c>
      <c r="L813" s="17">
        <v>29407.519840000001</v>
      </c>
      <c r="M813" s="17">
        <v>2025</v>
      </c>
      <c r="N813" s="17" t="s">
        <v>112</v>
      </c>
    </row>
    <row r="814" spans="1:14" ht="14.25" customHeight="1">
      <c r="A814" s="17">
        <v>10813</v>
      </c>
      <c r="B814" s="18">
        <v>45496</v>
      </c>
      <c r="C814" s="17" t="s">
        <v>58</v>
      </c>
      <c r="D814" s="17" t="s">
        <v>83</v>
      </c>
      <c r="E814" s="17" t="s">
        <v>162</v>
      </c>
      <c r="F814" s="17" t="s">
        <v>163</v>
      </c>
      <c r="G814" s="17">
        <v>8</v>
      </c>
      <c r="H814" s="17">
        <v>11737</v>
      </c>
      <c r="I814" s="17">
        <v>93896</v>
      </c>
      <c r="J814" s="17">
        <v>2584</v>
      </c>
      <c r="K814" s="17">
        <v>91312</v>
      </c>
      <c r="L814" s="17">
        <v>11036.53829</v>
      </c>
      <c r="M814" s="17">
        <v>2024</v>
      </c>
      <c r="N814" s="17" t="s">
        <v>123</v>
      </c>
    </row>
    <row r="815" spans="1:14" ht="14.25" customHeight="1">
      <c r="A815" s="17">
        <v>10814</v>
      </c>
      <c r="B815" s="18">
        <v>45417</v>
      </c>
      <c r="C815" s="17" t="s">
        <v>58</v>
      </c>
      <c r="D815" s="17" t="s">
        <v>83</v>
      </c>
      <c r="E815" s="17" t="s">
        <v>168</v>
      </c>
      <c r="F815" s="17" t="s">
        <v>164</v>
      </c>
      <c r="G815" s="17">
        <v>9</v>
      </c>
      <c r="H815" s="17">
        <v>40308</v>
      </c>
      <c r="I815" s="17">
        <v>362772</v>
      </c>
      <c r="J815" s="17">
        <v>4942</v>
      </c>
      <c r="K815" s="17">
        <v>357830</v>
      </c>
      <c r="L815" s="17">
        <v>65284.86924</v>
      </c>
      <c r="M815" s="17">
        <v>2024</v>
      </c>
      <c r="N815" s="17" t="s">
        <v>117</v>
      </c>
    </row>
    <row r="816" spans="1:14" ht="14.25" customHeight="1">
      <c r="A816" s="17">
        <v>10815</v>
      </c>
      <c r="B816" s="18">
        <v>45334</v>
      </c>
      <c r="C816" s="17" t="s">
        <v>50</v>
      </c>
      <c r="D816" s="17" t="s">
        <v>83</v>
      </c>
      <c r="E816" s="17" t="s">
        <v>162</v>
      </c>
      <c r="F816" s="17" t="s">
        <v>163</v>
      </c>
      <c r="G816" s="17">
        <v>3</v>
      </c>
      <c r="H816" s="17">
        <v>70494</v>
      </c>
      <c r="I816" s="17">
        <v>211482</v>
      </c>
      <c r="J816" s="17">
        <v>1277</v>
      </c>
      <c r="K816" s="17">
        <v>210205</v>
      </c>
      <c r="L816" s="17">
        <v>37073.74035</v>
      </c>
      <c r="M816" s="17">
        <v>2024</v>
      </c>
      <c r="N816" s="17" t="s">
        <v>175</v>
      </c>
    </row>
    <row r="817" spans="1:14" ht="14.25" customHeight="1">
      <c r="A817" s="17">
        <v>10816</v>
      </c>
      <c r="B817" s="18">
        <v>45402</v>
      </c>
      <c r="C817" s="17" t="s">
        <v>39</v>
      </c>
      <c r="D817" s="17" t="s">
        <v>89</v>
      </c>
      <c r="E817" s="17" t="s">
        <v>165</v>
      </c>
      <c r="F817" s="17" t="s">
        <v>166</v>
      </c>
      <c r="G817" s="17">
        <v>9</v>
      </c>
      <c r="H817" s="17">
        <v>62175</v>
      </c>
      <c r="I817" s="17">
        <v>559575</v>
      </c>
      <c r="J817" s="17">
        <v>3043</v>
      </c>
      <c r="K817" s="17">
        <v>556532</v>
      </c>
      <c r="L817" s="17">
        <v>84247.518290000007</v>
      </c>
      <c r="M817" s="17">
        <v>2024</v>
      </c>
      <c r="N817" s="17" t="s">
        <v>114</v>
      </c>
    </row>
    <row r="818" spans="1:14" ht="14.25" customHeight="1">
      <c r="A818" s="17">
        <v>10817</v>
      </c>
      <c r="B818" s="18">
        <v>45954</v>
      </c>
      <c r="C818" s="17" t="s">
        <v>45</v>
      </c>
      <c r="D818" s="17" t="s">
        <v>89</v>
      </c>
      <c r="E818" s="17" t="s">
        <v>165</v>
      </c>
      <c r="F818" s="17" t="s">
        <v>164</v>
      </c>
      <c r="G818" s="17">
        <v>8</v>
      </c>
      <c r="H818" s="17">
        <v>34059</v>
      </c>
      <c r="I818" s="17">
        <v>272472</v>
      </c>
      <c r="J818" s="17">
        <v>3172</v>
      </c>
      <c r="K818" s="17">
        <v>269300</v>
      </c>
      <c r="L818" s="17">
        <v>44548.29002</v>
      </c>
      <c r="M818" s="17">
        <v>2025</v>
      </c>
      <c r="N818" s="17" t="s">
        <v>174</v>
      </c>
    </row>
    <row r="819" spans="1:14" ht="14.25" customHeight="1">
      <c r="A819" s="17">
        <v>10818</v>
      </c>
      <c r="B819" s="18">
        <v>45474</v>
      </c>
      <c r="C819" s="17" t="s">
        <v>50</v>
      </c>
      <c r="D819" s="17" t="s">
        <v>111</v>
      </c>
      <c r="E819" s="17" t="s">
        <v>162</v>
      </c>
      <c r="F819" s="17" t="s">
        <v>164</v>
      </c>
      <c r="G819" s="17">
        <v>3</v>
      </c>
      <c r="H819" s="17">
        <v>30448</v>
      </c>
      <c r="I819" s="17">
        <v>91344</v>
      </c>
      <c r="J819" s="17">
        <v>3782</v>
      </c>
      <c r="K819" s="17">
        <v>87562</v>
      </c>
      <c r="L819" s="17">
        <v>15570.43346</v>
      </c>
      <c r="M819" s="17">
        <v>2024</v>
      </c>
      <c r="N819" s="17" t="s">
        <v>123</v>
      </c>
    </row>
    <row r="820" spans="1:14" ht="14.25" customHeight="1">
      <c r="A820" s="17">
        <v>10819</v>
      </c>
      <c r="B820" s="18">
        <v>45386</v>
      </c>
      <c r="C820" s="17" t="s">
        <v>39</v>
      </c>
      <c r="D820" s="17" t="s">
        <v>83</v>
      </c>
      <c r="E820" s="17" t="s">
        <v>165</v>
      </c>
      <c r="F820" s="17" t="s">
        <v>172</v>
      </c>
      <c r="G820" s="17">
        <v>2</v>
      </c>
      <c r="H820" s="17">
        <v>24708</v>
      </c>
      <c r="I820" s="17">
        <v>49416</v>
      </c>
      <c r="J820" s="17">
        <v>177</v>
      </c>
      <c r="K820" s="17">
        <v>49239</v>
      </c>
      <c r="L820" s="17">
        <v>7294.18408</v>
      </c>
      <c r="M820" s="17">
        <v>2024</v>
      </c>
      <c r="N820" s="17" t="s">
        <v>114</v>
      </c>
    </row>
    <row r="821" spans="1:14" ht="14.25" customHeight="1">
      <c r="A821" s="17">
        <v>10820</v>
      </c>
      <c r="B821" s="18">
        <v>45665</v>
      </c>
      <c r="C821" s="17" t="s">
        <v>58</v>
      </c>
      <c r="D821" s="17" t="s">
        <v>83</v>
      </c>
      <c r="E821" s="17" t="s">
        <v>162</v>
      </c>
      <c r="F821" s="17" t="s">
        <v>172</v>
      </c>
      <c r="G821" s="17">
        <v>4</v>
      </c>
      <c r="H821" s="17">
        <v>7986</v>
      </c>
      <c r="I821" s="17">
        <v>31944</v>
      </c>
      <c r="J821" s="17">
        <v>275</v>
      </c>
      <c r="K821" s="17">
        <v>31669</v>
      </c>
      <c r="L821" s="17">
        <v>4559.5070580000001</v>
      </c>
      <c r="M821" s="17">
        <v>2025</v>
      </c>
      <c r="N821" s="17" t="s">
        <v>171</v>
      </c>
    </row>
    <row r="822" spans="1:14" ht="14.25" customHeight="1">
      <c r="A822" s="17">
        <v>10821</v>
      </c>
      <c r="B822" s="18">
        <v>45811</v>
      </c>
      <c r="C822" s="17" t="s">
        <v>58</v>
      </c>
      <c r="D822" s="17" t="s">
        <v>89</v>
      </c>
      <c r="E822" s="17" t="s">
        <v>168</v>
      </c>
      <c r="F822" s="17" t="s">
        <v>172</v>
      </c>
      <c r="G822" s="17">
        <v>2</v>
      </c>
      <c r="H822" s="17">
        <v>57934</v>
      </c>
      <c r="I822" s="17">
        <v>115868</v>
      </c>
      <c r="J822" s="17">
        <v>2359</v>
      </c>
      <c r="K822" s="17">
        <v>113509</v>
      </c>
      <c r="L822" s="17">
        <v>23920.987249999998</v>
      </c>
      <c r="M822" s="17">
        <v>2025</v>
      </c>
      <c r="N822" s="17" t="s">
        <v>120</v>
      </c>
    </row>
    <row r="823" spans="1:14" ht="14.25" customHeight="1">
      <c r="A823" s="17">
        <v>10822</v>
      </c>
      <c r="B823" s="18">
        <v>45651</v>
      </c>
      <c r="C823" s="17" t="s">
        <v>50</v>
      </c>
      <c r="D823" s="17" t="s">
        <v>89</v>
      </c>
      <c r="E823" s="17" t="s">
        <v>162</v>
      </c>
      <c r="F823" s="17" t="s">
        <v>164</v>
      </c>
      <c r="G823" s="17">
        <v>4</v>
      </c>
      <c r="H823" s="17">
        <v>11485</v>
      </c>
      <c r="I823" s="17">
        <v>45940</v>
      </c>
      <c r="J823" s="17">
        <v>3481</v>
      </c>
      <c r="K823" s="17">
        <v>42459</v>
      </c>
      <c r="L823" s="17">
        <v>4672.0916129999996</v>
      </c>
      <c r="M823" s="17">
        <v>2024</v>
      </c>
      <c r="N823" s="17" t="s">
        <v>169</v>
      </c>
    </row>
    <row r="824" spans="1:14" ht="14.25" customHeight="1">
      <c r="A824" s="17">
        <v>10823</v>
      </c>
      <c r="B824" s="18">
        <v>45987</v>
      </c>
      <c r="C824" s="17" t="s">
        <v>58</v>
      </c>
      <c r="D824" s="17" t="s">
        <v>111</v>
      </c>
      <c r="E824" s="17" t="s">
        <v>168</v>
      </c>
      <c r="F824" s="17" t="s">
        <v>163</v>
      </c>
      <c r="G824" s="17">
        <v>5</v>
      </c>
      <c r="H824" s="17">
        <v>16772</v>
      </c>
      <c r="I824" s="17">
        <v>83860</v>
      </c>
      <c r="J824" s="17">
        <v>4886</v>
      </c>
      <c r="K824" s="17">
        <v>78974</v>
      </c>
      <c r="L824" s="17">
        <v>11604.79192</v>
      </c>
      <c r="M824" s="17">
        <v>2025</v>
      </c>
      <c r="N824" s="17" t="s">
        <v>173</v>
      </c>
    </row>
    <row r="825" spans="1:14" ht="14.25" customHeight="1">
      <c r="A825" s="17">
        <v>10824</v>
      </c>
      <c r="B825" s="18">
        <v>45572</v>
      </c>
      <c r="C825" s="17" t="s">
        <v>167</v>
      </c>
      <c r="D825" s="17" t="s">
        <v>111</v>
      </c>
      <c r="E825" s="17" t="s">
        <v>162</v>
      </c>
      <c r="F825" s="17" t="s">
        <v>163</v>
      </c>
      <c r="G825" s="17">
        <v>2</v>
      </c>
      <c r="H825" s="17">
        <v>17531</v>
      </c>
      <c r="I825" s="17">
        <v>35062</v>
      </c>
      <c r="J825" s="17">
        <v>3359</v>
      </c>
      <c r="K825" s="17">
        <v>31703</v>
      </c>
      <c r="L825" s="17">
        <v>6278.9906700000001</v>
      </c>
      <c r="M825" s="17">
        <v>2024</v>
      </c>
      <c r="N825" s="17" t="s">
        <v>174</v>
      </c>
    </row>
    <row r="826" spans="1:14" ht="14.25" customHeight="1">
      <c r="A826" s="17">
        <v>10825</v>
      </c>
      <c r="B826" s="18">
        <v>45486</v>
      </c>
      <c r="C826" s="17" t="s">
        <v>50</v>
      </c>
      <c r="D826" s="17" t="s">
        <v>86</v>
      </c>
      <c r="E826" s="17" t="s">
        <v>165</v>
      </c>
      <c r="F826" s="17" t="s">
        <v>163</v>
      </c>
      <c r="G826" s="17">
        <v>8</v>
      </c>
      <c r="H826" s="17">
        <v>62564</v>
      </c>
      <c r="I826" s="17">
        <v>500512</v>
      </c>
      <c r="J826" s="17">
        <v>1424</v>
      </c>
      <c r="K826" s="17">
        <v>499088</v>
      </c>
      <c r="L826" s="17">
        <v>65538.212480000002</v>
      </c>
      <c r="M826" s="17">
        <v>2024</v>
      </c>
      <c r="N826" s="17" t="s">
        <v>123</v>
      </c>
    </row>
    <row r="827" spans="1:14" ht="14.25" customHeight="1">
      <c r="A827" s="17">
        <v>10826</v>
      </c>
      <c r="B827" s="18">
        <v>45486</v>
      </c>
      <c r="C827" s="17" t="s">
        <v>39</v>
      </c>
      <c r="D827" s="17" t="s">
        <v>170</v>
      </c>
      <c r="E827" s="17" t="s">
        <v>162</v>
      </c>
      <c r="F827" s="17" t="s">
        <v>164</v>
      </c>
      <c r="G827" s="17">
        <v>1</v>
      </c>
      <c r="H827" s="17">
        <v>43635</v>
      </c>
      <c r="I827" s="17">
        <v>43635</v>
      </c>
      <c r="J827" s="17">
        <v>4122</v>
      </c>
      <c r="K827" s="17">
        <v>39513</v>
      </c>
      <c r="L827" s="17">
        <v>7343.1312959999996</v>
      </c>
      <c r="M827" s="17">
        <v>2024</v>
      </c>
      <c r="N827" s="17" t="s">
        <v>123</v>
      </c>
    </row>
    <row r="828" spans="1:14" ht="14.25" customHeight="1">
      <c r="A828" s="17">
        <v>10827</v>
      </c>
      <c r="B828" s="18">
        <v>45958</v>
      </c>
      <c r="C828" s="17" t="s">
        <v>50</v>
      </c>
      <c r="D828" s="17" t="s">
        <v>83</v>
      </c>
      <c r="E828" s="17" t="s">
        <v>162</v>
      </c>
      <c r="F828" s="17" t="s">
        <v>164</v>
      </c>
      <c r="G828" s="17">
        <v>3</v>
      </c>
      <c r="H828" s="17">
        <v>30919</v>
      </c>
      <c r="I828" s="17">
        <v>92757</v>
      </c>
      <c r="J828" s="17">
        <v>2960</v>
      </c>
      <c r="K828" s="17">
        <v>89797</v>
      </c>
      <c r="L828" s="17">
        <v>13049.71501</v>
      </c>
      <c r="M828" s="17">
        <v>2025</v>
      </c>
      <c r="N828" s="17" t="s">
        <v>174</v>
      </c>
    </row>
    <row r="829" spans="1:14" ht="14.25" customHeight="1">
      <c r="A829" s="17">
        <v>10828</v>
      </c>
      <c r="B829" s="18">
        <v>45384</v>
      </c>
      <c r="C829" s="17" t="s">
        <v>45</v>
      </c>
      <c r="D829" s="17" t="s">
        <v>83</v>
      </c>
      <c r="E829" s="17" t="s">
        <v>162</v>
      </c>
      <c r="F829" s="17" t="s">
        <v>164</v>
      </c>
      <c r="G829" s="17">
        <v>7</v>
      </c>
      <c r="H829" s="17">
        <v>27900</v>
      </c>
      <c r="I829" s="17">
        <v>195300</v>
      </c>
      <c r="J829" s="17">
        <v>2469</v>
      </c>
      <c r="K829" s="17">
        <v>192831</v>
      </c>
      <c r="L829" s="17">
        <v>43675.294179999997</v>
      </c>
      <c r="M829" s="17">
        <v>2024</v>
      </c>
      <c r="N829" s="17" t="s">
        <v>114</v>
      </c>
    </row>
    <row r="830" spans="1:14" ht="14.25" customHeight="1">
      <c r="A830" s="17">
        <v>10829</v>
      </c>
      <c r="B830" s="18">
        <v>45963</v>
      </c>
      <c r="C830" s="17" t="s">
        <v>50</v>
      </c>
      <c r="D830" s="17" t="s">
        <v>111</v>
      </c>
      <c r="E830" s="17" t="s">
        <v>165</v>
      </c>
      <c r="F830" s="17" t="s">
        <v>164</v>
      </c>
      <c r="G830" s="17">
        <v>1</v>
      </c>
      <c r="H830" s="17">
        <v>42394</v>
      </c>
      <c r="I830" s="17">
        <v>42394</v>
      </c>
      <c r="J830" s="17">
        <v>3085</v>
      </c>
      <c r="K830" s="17">
        <v>39309</v>
      </c>
      <c r="L830" s="17">
        <v>5994.5595979999998</v>
      </c>
      <c r="M830" s="17">
        <v>2025</v>
      </c>
      <c r="N830" s="17" t="s">
        <v>173</v>
      </c>
    </row>
    <row r="831" spans="1:14" ht="14.25" customHeight="1">
      <c r="A831" s="17">
        <v>10830</v>
      </c>
      <c r="B831" s="18">
        <v>45352</v>
      </c>
      <c r="C831" s="17" t="s">
        <v>58</v>
      </c>
      <c r="D831" s="17" t="s">
        <v>111</v>
      </c>
      <c r="E831" s="17" t="s">
        <v>162</v>
      </c>
      <c r="F831" s="17" t="s">
        <v>164</v>
      </c>
      <c r="G831" s="17">
        <v>2</v>
      </c>
      <c r="H831" s="17">
        <v>40030</v>
      </c>
      <c r="I831" s="17">
        <v>80060</v>
      </c>
      <c r="J831" s="17">
        <v>2372</v>
      </c>
      <c r="K831" s="17">
        <v>77688</v>
      </c>
      <c r="L831" s="17">
        <v>10443.402400000001</v>
      </c>
      <c r="M831" s="17">
        <v>2024</v>
      </c>
      <c r="N831" s="17" t="s">
        <v>112</v>
      </c>
    </row>
    <row r="832" spans="1:14" ht="14.25" customHeight="1">
      <c r="A832" s="17">
        <v>10831</v>
      </c>
      <c r="B832" s="18">
        <v>45925</v>
      </c>
      <c r="C832" s="17" t="s">
        <v>58</v>
      </c>
      <c r="D832" s="17" t="s">
        <v>86</v>
      </c>
      <c r="E832" s="17" t="s">
        <v>165</v>
      </c>
      <c r="F832" s="17" t="s">
        <v>163</v>
      </c>
      <c r="G832" s="17">
        <v>3</v>
      </c>
      <c r="H832" s="17">
        <v>72950</v>
      </c>
      <c r="I832" s="17">
        <v>218850</v>
      </c>
      <c r="J832" s="17">
        <v>4068</v>
      </c>
      <c r="K832" s="17">
        <v>214782</v>
      </c>
      <c r="L832" s="17">
        <v>38556.712420000003</v>
      </c>
      <c r="M832" s="17">
        <v>2025</v>
      </c>
      <c r="N832" s="17" t="s">
        <v>129</v>
      </c>
    </row>
    <row r="833" spans="1:14" ht="14.25" customHeight="1">
      <c r="A833" s="17">
        <v>10832</v>
      </c>
      <c r="B833" s="18">
        <v>45342</v>
      </c>
      <c r="C833" s="17" t="s">
        <v>167</v>
      </c>
      <c r="D833" s="17" t="s">
        <v>170</v>
      </c>
      <c r="E833" s="17" t="s">
        <v>162</v>
      </c>
      <c r="F833" s="17" t="s">
        <v>164</v>
      </c>
      <c r="G833" s="17">
        <v>2</v>
      </c>
      <c r="H833" s="17">
        <v>20559</v>
      </c>
      <c r="I833" s="17">
        <v>41118</v>
      </c>
      <c r="J833" s="17">
        <v>1590</v>
      </c>
      <c r="K833" s="17">
        <v>39528</v>
      </c>
      <c r="L833" s="17">
        <v>4757.1583140000002</v>
      </c>
      <c r="M833" s="17">
        <v>2024</v>
      </c>
      <c r="N833" s="17" t="s">
        <v>175</v>
      </c>
    </row>
    <row r="834" spans="1:14" ht="14.25" customHeight="1">
      <c r="A834" s="17">
        <v>10833</v>
      </c>
      <c r="B834" s="18">
        <v>45694</v>
      </c>
      <c r="C834" s="17" t="s">
        <v>167</v>
      </c>
      <c r="D834" s="17" t="s">
        <v>86</v>
      </c>
      <c r="E834" s="17" t="s">
        <v>168</v>
      </c>
      <c r="F834" s="17" t="s">
        <v>163</v>
      </c>
      <c r="G834" s="17">
        <v>2</v>
      </c>
      <c r="H834" s="17">
        <v>32557</v>
      </c>
      <c r="I834" s="17">
        <v>65114</v>
      </c>
      <c r="J834" s="17">
        <v>4380</v>
      </c>
      <c r="K834" s="17">
        <v>60734</v>
      </c>
      <c r="L834" s="17">
        <v>13338.55869</v>
      </c>
      <c r="M834" s="17">
        <v>2025</v>
      </c>
      <c r="N834" s="17" t="s">
        <v>175</v>
      </c>
    </row>
    <row r="835" spans="1:14" ht="14.25" customHeight="1">
      <c r="A835" s="17">
        <v>10834</v>
      </c>
      <c r="B835" s="18">
        <v>45296</v>
      </c>
      <c r="C835" s="17" t="s">
        <v>167</v>
      </c>
      <c r="D835" s="17" t="s">
        <v>170</v>
      </c>
      <c r="E835" s="17" t="s">
        <v>162</v>
      </c>
      <c r="F835" s="17" t="s">
        <v>164</v>
      </c>
      <c r="G835" s="17">
        <v>6</v>
      </c>
      <c r="H835" s="17">
        <v>43008</v>
      </c>
      <c r="I835" s="17">
        <v>258048</v>
      </c>
      <c r="J835" s="17">
        <v>1112</v>
      </c>
      <c r="K835" s="17">
        <v>256936</v>
      </c>
      <c r="L835" s="17">
        <v>51902.160819999997</v>
      </c>
      <c r="M835" s="17">
        <v>2024</v>
      </c>
      <c r="N835" s="17" t="s">
        <v>171</v>
      </c>
    </row>
    <row r="836" spans="1:14" ht="14.25" customHeight="1">
      <c r="A836" s="17">
        <v>10835</v>
      </c>
      <c r="B836" s="18">
        <v>45757</v>
      </c>
      <c r="C836" s="17" t="s">
        <v>39</v>
      </c>
      <c r="D836" s="17" t="s">
        <v>83</v>
      </c>
      <c r="E836" s="17" t="s">
        <v>168</v>
      </c>
      <c r="F836" s="17" t="s">
        <v>163</v>
      </c>
      <c r="G836" s="17">
        <v>7</v>
      </c>
      <c r="H836" s="17">
        <v>19053</v>
      </c>
      <c r="I836" s="17">
        <v>133371</v>
      </c>
      <c r="J836" s="17">
        <v>1068</v>
      </c>
      <c r="K836" s="17">
        <v>132303</v>
      </c>
      <c r="L836" s="17">
        <v>28521.395939999999</v>
      </c>
      <c r="M836" s="17">
        <v>2025</v>
      </c>
      <c r="N836" s="17" t="s">
        <v>114</v>
      </c>
    </row>
    <row r="837" spans="1:14" ht="14.25" customHeight="1">
      <c r="A837" s="17">
        <v>10836</v>
      </c>
      <c r="B837" s="18">
        <v>45895</v>
      </c>
      <c r="C837" s="17" t="s">
        <v>167</v>
      </c>
      <c r="D837" s="17" t="s">
        <v>86</v>
      </c>
      <c r="E837" s="17" t="s">
        <v>165</v>
      </c>
      <c r="F837" s="17" t="s">
        <v>166</v>
      </c>
      <c r="G837" s="17">
        <v>6</v>
      </c>
      <c r="H837" s="17">
        <v>46817</v>
      </c>
      <c r="I837" s="17">
        <v>280902</v>
      </c>
      <c r="J837" s="17">
        <v>2545</v>
      </c>
      <c r="K837" s="17">
        <v>278357</v>
      </c>
      <c r="L837" s="17">
        <v>44490.280859999999</v>
      </c>
      <c r="M837" s="17">
        <v>2025</v>
      </c>
      <c r="N837" s="17" t="s">
        <v>126</v>
      </c>
    </row>
    <row r="838" spans="1:14" ht="14.25" customHeight="1">
      <c r="A838" s="17">
        <v>10837</v>
      </c>
      <c r="B838" s="18">
        <v>45973</v>
      </c>
      <c r="C838" s="17" t="s">
        <v>39</v>
      </c>
      <c r="D838" s="17" t="s">
        <v>111</v>
      </c>
      <c r="E838" s="17" t="s">
        <v>165</v>
      </c>
      <c r="F838" s="17" t="s">
        <v>166</v>
      </c>
      <c r="G838" s="17">
        <v>6</v>
      </c>
      <c r="H838" s="17">
        <v>9993</v>
      </c>
      <c r="I838" s="17">
        <v>59958</v>
      </c>
      <c r="J838" s="17">
        <v>3649</v>
      </c>
      <c r="K838" s="17">
        <v>56309</v>
      </c>
      <c r="L838" s="17">
        <v>12683.631079999999</v>
      </c>
      <c r="M838" s="17">
        <v>2025</v>
      </c>
      <c r="N838" s="17" t="s">
        <v>173</v>
      </c>
    </row>
    <row r="839" spans="1:14" ht="14.25" customHeight="1">
      <c r="A839" s="17">
        <v>10838</v>
      </c>
      <c r="B839" s="18">
        <v>45825</v>
      </c>
      <c r="C839" s="17" t="s">
        <v>167</v>
      </c>
      <c r="D839" s="17" t="s">
        <v>86</v>
      </c>
      <c r="E839" s="17" t="s">
        <v>162</v>
      </c>
      <c r="F839" s="17" t="s">
        <v>163</v>
      </c>
      <c r="G839" s="17">
        <v>9</v>
      </c>
      <c r="H839" s="17">
        <v>53381</v>
      </c>
      <c r="I839" s="17">
        <v>480429</v>
      </c>
      <c r="J839" s="17">
        <v>1814</v>
      </c>
      <c r="K839" s="17">
        <v>478615</v>
      </c>
      <c r="L839" s="17">
        <v>83294.430789999999</v>
      </c>
      <c r="M839" s="17">
        <v>2025</v>
      </c>
      <c r="N839" s="17" t="s">
        <v>120</v>
      </c>
    </row>
    <row r="840" spans="1:14" ht="14.25" customHeight="1">
      <c r="A840" s="17">
        <v>10839</v>
      </c>
      <c r="B840" s="18">
        <v>45696</v>
      </c>
      <c r="C840" s="17" t="s">
        <v>39</v>
      </c>
      <c r="D840" s="17" t="s">
        <v>86</v>
      </c>
      <c r="E840" s="17" t="s">
        <v>165</v>
      </c>
      <c r="F840" s="17" t="s">
        <v>166</v>
      </c>
      <c r="G840" s="17">
        <v>8</v>
      </c>
      <c r="H840" s="17">
        <v>78747</v>
      </c>
      <c r="I840" s="17">
        <v>629976</v>
      </c>
      <c r="J840" s="17">
        <v>3907</v>
      </c>
      <c r="K840" s="17">
        <v>626069</v>
      </c>
      <c r="L840" s="17">
        <v>71500.119510000004</v>
      </c>
      <c r="M840" s="17">
        <v>2025</v>
      </c>
      <c r="N840" s="17" t="s">
        <v>175</v>
      </c>
    </row>
    <row r="841" spans="1:14" ht="14.25" customHeight="1">
      <c r="A841" s="17">
        <v>10840</v>
      </c>
      <c r="B841" s="18">
        <v>45804</v>
      </c>
      <c r="C841" s="17" t="s">
        <v>50</v>
      </c>
      <c r="D841" s="17" t="s">
        <v>83</v>
      </c>
      <c r="E841" s="17" t="s">
        <v>162</v>
      </c>
      <c r="F841" s="17" t="s">
        <v>166</v>
      </c>
      <c r="G841" s="17">
        <v>8</v>
      </c>
      <c r="H841" s="17">
        <v>18515</v>
      </c>
      <c r="I841" s="17">
        <v>148120</v>
      </c>
      <c r="J841" s="17">
        <v>3731</v>
      </c>
      <c r="K841" s="17">
        <v>144389</v>
      </c>
      <c r="L841" s="17">
        <v>19291.00388</v>
      </c>
      <c r="M841" s="17">
        <v>2025</v>
      </c>
      <c r="N841" s="17" t="s">
        <v>117</v>
      </c>
    </row>
    <row r="842" spans="1:14" ht="14.25" customHeight="1">
      <c r="A842" s="17">
        <v>10841</v>
      </c>
      <c r="B842" s="18">
        <v>45936</v>
      </c>
      <c r="C842" s="17" t="s">
        <v>50</v>
      </c>
      <c r="D842" s="17" t="s">
        <v>111</v>
      </c>
      <c r="E842" s="17" t="s">
        <v>165</v>
      </c>
      <c r="F842" s="17" t="s">
        <v>163</v>
      </c>
      <c r="G842" s="17">
        <v>6</v>
      </c>
      <c r="H842" s="17">
        <v>21335</v>
      </c>
      <c r="I842" s="17">
        <v>128010</v>
      </c>
      <c r="J842" s="17">
        <v>2192</v>
      </c>
      <c r="K842" s="17">
        <v>125818</v>
      </c>
      <c r="L842" s="17">
        <v>26001.286209999998</v>
      </c>
      <c r="M842" s="17">
        <v>2025</v>
      </c>
      <c r="N842" s="17" t="s">
        <v>174</v>
      </c>
    </row>
    <row r="843" spans="1:14" ht="14.25" customHeight="1">
      <c r="A843" s="17">
        <v>10842</v>
      </c>
      <c r="B843" s="18">
        <v>45524</v>
      </c>
      <c r="C843" s="17" t="s">
        <v>58</v>
      </c>
      <c r="D843" s="17" t="s">
        <v>111</v>
      </c>
      <c r="E843" s="17" t="s">
        <v>168</v>
      </c>
      <c r="F843" s="17" t="s">
        <v>164</v>
      </c>
      <c r="G843" s="17">
        <v>5</v>
      </c>
      <c r="H843" s="17">
        <v>63724</v>
      </c>
      <c r="I843" s="17">
        <v>318620</v>
      </c>
      <c r="J843" s="17">
        <v>81</v>
      </c>
      <c r="K843" s="17">
        <v>318539</v>
      </c>
      <c r="L843" s="17">
        <v>74685.719400000002</v>
      </c>
      <c r="M843" s="17">
        <v>2024</v>
      </c>
      <c r="N843" s="17" t="s">
        <v>126</v>
      </c>
    </row>
    <row r="844" spans="1:14" ht="14.25" customHeight="1">
      <c r="A844" s="17">
        <v>10843</v>
      </c>
      <c r="B844" s="18">
        <v>45815</v>
      </c>
      <c r="C844" s="17" t="s">
        <v>39</v>
      </c>
      <c r="D844" s="17" t="s">
        <v>89</v>
      </c>
      <c r="E844" s="17" t="s">
        <v>165</v>
      </c>
      <c r="F844" s="17" t="s">
        <v>164</v>
      </c>
      <c r="G844" s="17">
        <v>9</v>
      </c>
      <c r="H844" s="17">
        <v>7175</v>
      </c>
      <c r="I844" s="17">
        <v>64575</v>
      </c>
      <c r="J844" s="17">
        <v>3706</v>
      </c>
      <c r="K844" s="17">
        <v>60869</v>
      </c>
      <c r="L844" s="17">
        <v>6955.977774</v>
      </c>
      <c r="M844" s="17">
        <v>2025</v>
      </c>
      <c r="N844" s="17" t="s">
        <v>120</v>
      </c>
    </row>
    <row r="845" spans="1:14" ht="14.25" customHeight="1">
      <c r="A845" s="17">
        <v>10844</v>
      </c>
      <c r="B845" s="18">
        <v>45637</v>
      </c>
      <c r="C845" s="17" t="s">
        <v>45</v>
      </c>
      <c r="D845" s="17" t="s">
        <v>89</v>
      </c>
      <c r="E845" s="17" t="s">
        <v>168</v>
      </c>
      <c r="F845" s="17" t="s">
        <v>163</v>
      </c>
      <c r="G845" s="17">
        <v>2</v>
      </c>
      <c r="H845" s="17">
        <v>7405</v>
      </c>
      <c r="I845" s="17">
        <v>14810</v>
      </c>
      <c r="J845" s="17">
        <v>3176</v>
      </c>
      <c r="K845" s="17">
        <v>11634</v>
      </c>
      <c r="L845" s="17">
        <v>2671.541232</v>
      </c>
      <c r="M845" s="17">
        <v>2024</v>
      </c>
      <c r="N845" s="17" t="s">
        <v>169</v>
      </c>
    </row>
    <row r="846" spans="1:14" ht="14.25" customHeight="1">
      <c r="A846" s="17">
        <v>10845</v>
      </c>
      <c r="B846" s="18">
        <v>45337</v>
      </c>
      <c r="C846" s="17" t="s">
        <v>58</v>
      </c>
      <c r="D846" s="17" t="s">
        <v>89</v>
      </c>
      <c r="E846" s="17" t="s">
        <v>162</v>
      </c>
      <c r="F846" s="17" t="s">
        <v>172</v>
      </c>
      <c r="G846" s="17">
        <v>7</v>
      </c>
      <c r="H846" s="17">
        <v>57515</v>
      </c>
      <c r="I846" s="17">
        <v>402605</v>
      </c>
      <c r="J846" s="17">
        <v>1825</v>
      </c>
      <c r="K846" s="17">
        <v>400780</v>
      </c>
      <c r="L846" s="17">
        <v>88115.680919999999</v>
      </c>
      <c r="M846" s="17">
        <v>2024</v>
      </c>
      <c r="N846" s="17" t="s">
        <v>175</v>
      </c>
    </row>
    <row r="847" spans="1:14" ht="14.25" customHeight="1">
      <c r="A847" s="17">
        <v>10846</v>
      </c>
      <c r="B847" s="18">
        <v>45837</v>
      </c>
      <c r="C847" s="17" t="s">
        <v>50</v>
      </c>
      <c r="D847" s="17" t="s">
        <v>83</v>
      </c>
      <c r="E847" s="17" t="s">
        <v>162</v>
      </c>
      <c r="F847" s="17" t="s">
        <v>172</v>
      </c>
      <c r="G847" s="17">
        <v>6</v>
      </c>
      <c r="H847" s="17">
        <v>12341</v>
      </c>
      <c r="I847" s="17">
        <v>74046</v>
      </c>
      <c r="J847" s="17">
        <v>81</v>
      </c>
      <c r="K847" s="17">
        <v>73965</v>
      </c>
      <c r="L847" s="17">
        <v>11352.455819999999</v>
      </c>
      <c r="M847" s="17">
        <v>2025</v>
      </c>
      <c r="N847" s="17" t="s">
        <v>120</v>
      </c>
    </row>
    <row r="848" spans="1:14" ht="14.25" customHeight="1">
      <c r="A848" s="17">
        <v>10847</v>
      </c>
      <c r="B848" s="18">
        <v>45369</v>
      </c>
      <c r="C848" s="17" t="s">
        <v>39</v>
      </c>
      <c r="D848" s="17" t="s">
        <v>86</v>
      </c>
      <c r="E848" s="17" t="s">
        <v>162</v>
      </c>
      <c r="F848" s="17" t="s">
        <v>166</v>
      </c>
      <c r="G848" s="17">
        <v>7</v>
      </c>
      <c r="H848" s="17">
        <v>29284</v>
      </c>
      <c r="I848" s="17">
        <v>204988</v>
      </c>
      <c r="J848" s="17">
        <v>93</v>
      </c>
      <c r="K848" s="17">
        <v>204895</v>
      </c>
      <c r="L848" s="17">
        <v>41673.905630000001</v>
      </c>
      <c r="M848" s="17">
        <v>2024</v>
      </c>
      <c r="N848" s="17" t="s">
        <v>112</v>
      </c>
    </row>
    <row r="849" spans="1:14" ht="14.25" customHeight="1">
      <c r="A849" s="17">
        <v>10848</v>
      </c>
      <c r="B849" s="18">
        <v>46021</v>
      </c>
      <c r="C849" s="17" t="s">
        <v>167</v>
      </c>
      <c r="D849" s="17" t="s">
        <v>111</v>
      </c>
      <c r="E849" s="17" t="s">
        <v>168</v>
      </c>
      <c r="F849" s="17" t="s">
        <v>172</v>
      </c>
      <c r="G849" s="17">
        <v>4</v>
      </c>
      <c r="H849" s="17">
        <v>33002</v>
      </c>
      <c r="I849" s="17">
        <v>132008</v>
      </c>
      <c r="J849" s="17">
        <v>342</v>
      </c>
      <c r="K849" s="17">
        <v>131666</v>
      </c>
      <c r="L849" s="17">
        <v>16858.870340000001</v>
      </c>
      <c r="M849" s="17">
        <v>2025</v>
      </c>
      <c r="N849" s="17" t="s">
        <v>169</v>
      </c>
    </row>
    <row r="850" spans="1:14" ht="14.25" customHeight="1">
      <c r="A850" s="17">
        <v>10849</v>
      </c>
      <c r="B850" s="18">
        <v>45364</v>
      </c>
      <c r="C850" s="17" t="s">
        <v>45</v>
      </c>
      <c r="D850" s="17" t="s">
        <v>111</v>
      </c>
      <c r="E850" s="17" t="s">
        <v>162</v>
      </c>
      <c r="F850" s="17" t="s">
        <v>166</v>
      </c>
      <c r="G850" s="17">
        <v>9</v>
      </c>
      <c r="H850" s="17">
        <v>65452</v>
      </c>
      <c r="I850" s="17">
        <v>589068</v>
      </c>
      <c r="J850" s="17">
        <v>2408</v>
      </c>
      <c r="K850" s="17">
        <v>586660</v>
      </c>
      <c r="L850" s="17">
        <v>130243.79700000001</v>
      </c>
      <c r="M850" s="17">
        <v>2024</v>
      </c>
      <c r="N850" s="17" t="s">
        <v>112</v>
      </c>
    </row>
    <row r="851" spans="1:14" ht="14.25" customHeight="1">
      <c r="A851" s="17">
        <v>10850</v>
      </c>
      <c r="B851" s="18">
        <v>45540</v>
      </c>
      <c r="C851" s="17" t="s">
        <v>50</v>
      </c>
      <c r="D851" s="17" t="s">
        <v>86</v>
      </c>
      <c r="E851" s="17" t="s">
        <v>162</v>
      </c>
      <c r="F851" s="17" t="s">
        <v>164</v>
      </c>
      <c r="G851" s="17">
        <v>7</v>
      </c>
      <c r="H851" s="17">
        <v>63677</v>
      </c>
      <c r="I851" s="17">
        <v>445739</v>
      </c>
      <c r="J851" s="17">
        <v>1854</v>
      </c>
      <c r="K851" s="17">
        <v>443885</v>
      </c>
      <c r="L851" s="17">
        <v>88155.939759999994</v>
      </c>
      <c r="M851" s="17">
        <v>2024</v>
      </c>
      <c r="N851" s="17" t="s">
        <v>129</v>
      </c>
    </row>
    <row r="852" spans="1:14" ht="14.25" customHeight="1">
      <c r="A852" s="17">
        <v>10851</v>
      </c>
      <c r="B852" s="18">
        <v>45338</v>
      </c>
      <c r="C852" s="17" t="s">
        <v>58</v>
      </c>
      <c r="D852" s="17" t="s">
        <v>111</v>
      </c>
      <c r="E852" s="17" t="s">
        <v>168</v>
      </c>
      <c r="F852" s="17" t="s">
        <v>163</v>
      </c>
      <c r="G852" s="17">
        <v>2</v>
      </c>
      <c r="H852" s="17">
        <v>67547</v>
      </c>
      <c r="I852" s="17">
        <v>135094</v>
      </c>
      <c r="J852" s="17">
        <v>3999</v>
      </c>
      <c r="K852" s="17">
        <v>131095</v>
      </c>
      <c r="L852" s="17">
        <v>21738.750629999999</v>
      </c>
      <c r="M852" s="17">
        <v>2024</v>
      </c>
      <c r="N852" s="17" t="s">
        <v>175</v>
      </c>
    </row>
    <row r="853" spans="1:14" ht="14.25" customHeight="1">
      <c r="A853" s="17">
        <v>10852</v>
      </c>
      <c r="B853" s="18">
        <v>45412</v>
      </c>
      <c r="C853" s="17" t="s">
        <v>39</v>
      </c>
      <c r="D853" s="17" t="s">
        <v>86</v>
      </c>
      <c r="E853" s="17" t="s">
        <v>165</v>
      </c>
      <c r="F853" s="17" t="s">
        <v>164</v>
      </c>
      <c r="G853" s="17">
        <v>4</v>
      </c>
      <c r="H853" s="17">
        <v>23941</v>
      </c>
      <c r="I853" s="17">
        <v>95764</v>
      </c>
      <c r="J853" s="17">
        <v>1089</v>
      </c>
      <c r="K853" s="17">
        <v>94675</v>
      </c>
      <c r="L853" s="17">
        <v>21744.72653</v>
      </c>
      <c r="M853" s="17">
        <v>2024</v>
      </c>
      <c r="N853" s="17" t="s">
        <v>114</v>
      </c>
    </row>
    <row r="854" spans="1:14" ht="14.25" customHeight="1">
      <c r="A854" s="17">
        <v>10853</v>
      </c>
      <c r="B854" s="18">
        <v>45505</v>
      </c>
      <c r="C854" s="17" t="s">
        <v>45</v>
      </c>
      <c r="D854" s="17" t="s">
        <v>83</v>
      </c>
      <c r="E854" s="17" t="s">
        <v>162</v>
      </c>
      <c r="F854" s="17" t="s">
        <v>163</v>
      </c>
      <c r="G854" s="17">
        <v>5</v>
      </c>
      <c r="H854" s="17">
        <v>30019</v>
      </c>
      <c r="I854" s="17">
        <v>150095</v>
      </c>
      <c r="J854" s="17">
        <v>623</v>
      </c>
      <c r="K854" s="17">
        <v>149472</v>
      </c>
      <c r="L854" s="17">
        <v>18068.948909999999</v>
      </c>
      <c r="M854" s="17">
        <v>2024</v>
      </c>
      <c r="N854" s="17" t="s">
        <v>126</v>
      </c>
    </row>
    <row r="855" spans="1:14" ht="14.25" customHeight="1">
      <c r="A855" s="17">
        <v>10854</v>
      </c>
      <c r="B855" s="18">
        <v>45530</v>
      </c>
      <c r="C855" s="17" t="s">
        <v>39</v>
      </c>
      <c r="D855" s="17" t="s">
        <v>83</v>
      </c>
      <c r="E855" s="17" t="s">
        <v>165</v>
      </c>
      <c r="F855" s="17" t="s">
        <v>172</v>
      </c>
      <c r="G855" s="17">
        <v>2</v>
      </c>
      <c r="H855" s="17">
        <v>20779</v>
      </c>
      <c r="I855" s="17">
        <v>41558</v>
      </c>
      <c r="J855" s="17">
        <v>867</v>
      </c>
      <c r="K855" s="17">
        <v>40691</v>
      </c>
      <c r="L855" s="17">
        <v>9231.4794750000001</v>
      </c>
      <c r="M855" s="17">
        <v>2024</v>
      </c>
      <c r="N855" s="17" t="s">
        <v>126</v>
      </c>
    </row>
    <row r="856" spans="1:14" ht="14.25" customHeight="1">
      <c r="A856" s="17">
        <v>10855</v>
      </c>
      <c r="B856" s="18">
        <v>45347</v>
      </c>
      <c r="C856" s="17" t="s">
        <v>167</v>
      </c>
      <c r="D856" s="17" t="s">
        <v>83</v>
      </c>
      <c r="E856" s="17" t="s">
        <v>165</v>
      </c>
      <c r="F856" s="17" t="s">
        <v>164</v>
      </c>
      <c r="G856" s="17">
        <v>8</v>
      </c>
      <c r="H856" s="17">
        <v>23426</v>
      </c>
      <c r="I856" s="17">
        <v>187408</v>
      </c>
      <c r="J856" s="17">
        <v>2476</v>
      </c>
      <c r="K856" s="17">
        <v>184932</v>
      </c>
      <c r="L856" s="17">
        <v>19155.80414</v>
      </c>
      <c r="M856" s="17">
        <v>2024</v>
      </c>
      <c r="N856" s="17" t="s">
        <v>175</v>
      </c>
    </row>
    <row r="857" spans="1:14" ht="14.25" customHeight="1">
      <c r="A857" s="17">
        <v>10856</v>
      </c>
      <c r="B857" s="18">
        <v>45641</v>
      </c>
      <c r="C857" s="17" t="s">
        <v>58</v>
      </c>
      <c r="D857" s="17" t="s">
        <v>86</v>
      </c>
      <c r="E857" s="17" t="s">
        <v>162</v>
      </c>
      <c r="F857" s="17" t="s">
        <v>164</v>
      </c>
      <c r="G857" s="17">
        <v>1</v>
      </c>
      <c r="H857" s="17">
        <v>67668</v>
      </c>
      <c r="I857" s="17">
        <v>67668</v>
      </c>
      <c r="J857" s="17">
        <v>3472</v>
      </c>
      <c r="K857" s="17">
        <v>64196</v>
      </c>
      <c r="L857" s="17">
        <v>13672.46797</v>
      </c>
      <c r="M857" s="17">
        <v>2024</v>
      </c>
      <c r="N857" s="17" t="s">
        <v>169</v>
      </c>
    </row>
    <row r="858" spans="1:14" ht="14.25" customHeight="1">
      <c r="A858" s="17">
        <v>10857</v>
      </c>
      <c r="B858" s="18">
        <v>45398</v>
      </c>
      <c r="C858" s="17" t="s">
        <v>39</v>
      </c>
      <c r="D858" s="17" t="s">
        <v>86</v>
      </c>
      <c r="E858" s="17" t="s">
        <v>162</v>
      </c>
      <c r="F858" s="17" t="s">
        <v>166</v>
      </c>
      <c r="G858" s="17">
        <v>3</v>
      </c>
      <c r="H858" s="17">
        <v>35183</v>
      </c>
      <c r="I858" s="17">
        <v>105549</v>
      </c>
      <c r="J858" s="17">
        <v>170</v>
      </c>
      <c r="K858" s="17">
        <v>105379</v>
      </c>
      <c r="L858" s="17">
        <v>19600.979960000001</v>
      </c>
      <c r="M858" s="17">
        <v>2024</v>
      </c>
      <c r="N858" s="17" t="s">
        <v>114</v>
      </c>
    </row>
    <row r="859" spans="1:14" ht="14.25" customHeight="1">
      <c r="A859" s="17">
        <v>10858</v>
      </c>
      <c r="B859" s="18">
        <v>45339</v>
      </c>
      <c r="C859" s="17" t="s">
        <v>50</v>
      </c>
      <c r="D859" s="17" t="s">
        <v>170</v>
      </c>
      <c r="E859" s="17" t="s">
        <v>168</v>
      </c>
      <c r="F859" s="17" t="s">
        <v>163</v>
      </c>
      <c r="G859" s="17">
        <v>1</v>
      </c>
      <c r="H859" s="17">
        <v>71314</v>
      </c>
      <c r="I859" s="17">
        <v>71314</v>
      </c>
      <c r="J859" s="17">
        <v>1782</v>
      </c>
      <c r="K859" s="17">
        <v>69532</v>
      </c>
      <c r="L859" s="17">
        <v>14219.884400000001</v>
      </c>
      <c r="M859" s="17">
        <v>2024</v>
      </c>
      <c r="N859" s="17" t="s">
        <v>175</v>
      </c>
    </row>
    <row r="860" spans="1:14" ht="14.25" customHeight="1">
      <c r="A860" s="17">
        <v>10859</v>
      </c>
      <c r="B860" s="18">
        <v>45864</v>
      </c>
      <c r="C860" s="17" t="s">
        <v>58</v>
      </c>
      <c r="D860" s="17" t="s">
        <v>111</v>
      </c>
      <c r="E860" s="17" t="s">
        <v>168</v>
      </c>
      <c r="F860" s="17" t="s">
        <v>172</v>
      </c>
      <c r="G860" s="17">
        <v>5</v>
      </c>
      <c r="H860" s="17">
        <v>40927</v>
      </c>
      <c r="I860" s="17">
        <v>204635</v>
      </c>
      <c r="J860" s="17">
        <v>577</v>
      </c>
      <c r="K860" s="17">
        <v>204058</v>
      </c>
      <c r="L860" s="17">
        <v>33027.12988</v>
      </c>
      <c r="M860" s="17">
        <v>2025</v>
      </c>
      <c r="N860" s="17" t="s">
        <v>123</v>
      </c>
    </row>
    <row r="861" spans="1:14" ht="14.25" customHeight="1">
      <c r="A861" s="17">
        <v>10860</v>
      </c>
      <c r="B861" s="18">
        <v>45628</v>
      </c>
      <c r="C861" s="17" t="s">
        <v>50</v>
      </c>
      <c r="D861" s="17" t="s">
        <v>111</v>
      </c>
      <c r="E861" s="17" t="s">
        <v>162</v>
      </c>
      <c r="F861" s="17" t="s">
        <v>164</v>
      </c>
      <c r="G861" s="17">
        <v>8</v>
      </c>
      <c r="H861" s="17">
        <v>11395</v>
      </c>
      <c r="I861" s="17">
        <v>91160</v>
      </c>
      <c r="J861" s="17">
        <v>67</v>
      </c>
      <c r="K861" s="17">
        <v>91093</v>
      </c>
      <c r="L861" s="17">
        <v>20920.980319999999</v>
      </c>
      <c r="M861" s="17">
        <v>2024</v>
      </c>
      <c r="N861" s="17" t="s">
        <v>169</v>
      </c>
    </row>
    <row r="862" spans="1:14" ht="14.25" customHeight="1">
      <c r="A862" s="17">
        <v>10861</v>
      </c>
      <c r="B862" s="18">
        <v>45317</v>
      </c>
      <c r="C862" s="17" t="s">
        <v>39</v>
      </c>
      <c r="D862" s="17" t="s">
        <v>170</v>
      </c>
      <c r="E862" s="17" t="s">
        <v>165</v>
      </c>
      <c r="F862" s="17" t="s">
        <v>163</v>
      </c>
      <c r="G862" s="17">
        <v>7</v>
      </c>
      <c r="H862" s="17">
        <v>10974</v>
      </c>
      <c r="I862" s="17">
        <v>76818</v>
      </c>
      <c r="J862" s="17">
        <v>1515</v>
      </c>
      <c r="K862" s="17">
        <v>75303</v>
      </c>
      <c r="L862" s="17">
        <v>11067.459140000001</v>
      </c>
      <c r="M862" s="17">
        <v>2024</v>
      </c>
      <c r="N862" s="17" t="s">
        <v>171</v>
      </c>
    </row>
    <row r="863" spans="1:14" ht="14.25" customHeight="1">
      <c r="A863" s="17">
        <v>10862</v>
      </c>
      <c r="B863" s="18">
        <v>45548</v>
      </c>
      <c r="C863" s="17" t="s">
        <v>58</v>
      </c>
      <c r="D863" s="17" t="s">
        <v>170</v>
      </c>
      <c r="E863" s="17" t="s">
        <v>168</v>
      </c>
      <c r="F863" s="17" t="s">
        <v>172</v>
      </c>
      <c r="G863" s="17">
        <v>9</v>
      </c>
      <c r="H863" s="17">
        <v>10150</v>
      </c>
      <c r="I863" s="17">
        <v>91350</v>
      </c>
      <c r="J863" s="17">
        <v>0</v>
      </c>
      <c r="K863" s="17">
        <v>91350</v>
      </c>
      <c r="L863" s="17">
        <v>12902.5748</v>
      </c>
      <c r="M863" s="17">
        <v>2024</v>
      </c>
      <c r="N863" s="17" t="s">
        <v>129</v>
      </c>
    </row>
    <row r="864" spans="1:14" ht="14.25" customHeight="1">
      <c r="A864" s="17">
        <v>10863</v>
      </c>
      <c r="B864" s="18">
        <v>45299</v>
      </c>
      <c r="C864" s="17" t="s">
        <v>50</v>
      </c>
      <c r="D864" s="17" t="s">
        <v>83</v>
      </c>
      <c r="E864" s="17" t="s">
        <v>168</v>
      </c>
      <c r="F864" s="17" t="s">
        <v>164</v>
      </c>
      <c r="G864" s="17">
        <v>2</v>
      </c>
      <c r="H864" s="17">
        <v>54572</v>
      </c>
      <c r="I864" s="17">
        <v>109144</v>
      </c>
      <c r="J864" s="17">
        <v>2198</v>
      </c>
      <c r="K864" s="17">
        <v>106946</v>
      </c>
      <c r="L864" s="17">
        <v>15535.25368</v>
      </c>
      <c r="M864" s="17">
        <v>2024</v>
      </c>
      <c r="N864" s="17" t="s">
        <v>171</v>
      </c>
    </row>
    <row r="865" spans="1:14" ht="14.25" customHeight="1">
      <c r="A865" s="17">
        <v>10864</v>
      </c>
      <c r="B865" s="18">
        <v>45916</v>
      </c>
      <c r="C865" s="17" t="s">
        <v>167</v>
      </c>
      <c r="D865" s="17" t="s">
        <v>170</v>
      </c>
      <c r="E865" s="17" t="s">
        <v>162</v>
      </c>
      <c r="F865" s="17" t="s">
        <v>163</v>
      </c>
      <c r="G865" s="17">
        <v>8</v>
      </c>
      <c r="H865" s="17">
        <v>47811</v>
      </c>
      <c r="I865" s="17">
        <v>382488</v>
      </c>
      <c r="J865" s="17">
        <v>901</v>
      </c>
      <c r="K865" s="17">
        <v>381587</v>
      </c>
      <c r="L865" s="17">
        <v>82481.77635</v>
      </c>
      <c r="M865" s="17">
        <v>2025</v>
      </c>
      <c r="N865" s="17" t="s">
        <v>129</v>
      </c>
    </row>
    <row r="866" spans="1:14" ht="14.25" customHeight="1">
      <c r="A866" s="17">
        <v>10865</v>
      </c>
      <c r="B866" s="18">
        <v>45544</v>
      </c>
      <c r="C866" s="17" t="s">
        <v>167</v>
      </c>
      <c r="D866" s="17" t="s">
        <v>86</v>
      </c>
      <c r="E866" s="17" t="s">
        <v>162</v>
      </c>
      <c r="F866" s="17" t="s">
        <v>166</v>
      </c>
      <c r="G866" s="17">
        <v>8</v>
      </c>
      <c r="H866" s="17">
        <v>59497</v>
      </c>
      <c r="I866" s="17">
        <v>475976</v>
      </c>
      <c r="J866" s="17">
        <v>4845</v>
      </c>
      <c r="K866" s="17">
        <v>471131</v>
      </c>
      <c r="L866" s="17">
        <v>82115.193299999999</v>
      </c>
      <c r="M866" s="17">
        <v>2024</v>
      </c>
      <c r="N866" s="17" t="s">
        <v>129</v>
      </c>
    </row>
    <row r="867" spans="1:14" ht="14.25" customHeight="1">
      <c r="A867" s="17">
        <v>10866</v>
      </c>
      <c r="B867" s="18">
        <v>45983</v>
      </c>
      <c r="C867" s="17" t="s">
        <v>39</v>
      </c>
      <c r="D867" s="17" t="s">
        <v>89</v>
      </c>
      <c r="E867" s="17" t="s">
        <v>162</v>
      </c>
      <c r="F867" s="17" t="s">
        <v>164</v>
      </c>
      <c r="G867" s="17">
        <v>6</v>
      </c>
      <c r="H867" s="17">
        <v>27466</v>
      </c>
      <c r="I867" s="17">
        <v>164796</v>
      </c>
      <c r="J867" s="17">
        <v>794</v>
      </c>
      <c r="K867" s="17">
        <v>164002</v>
      </c>
      <c r="L867" s="17">
        <v>29612.66014</v>
      </c>
      <c r="M867" s="17">
        <v>2025</v>
      </c>
      <c r="N867" s="17" t="s">
        <v>173</v>
      </c>
    </row>
    <row r="868" spans="1:14" ht="14.25" customHeight="1">
      <c r="A868" s="17">
        <v>10867</v>
      </c>
      <c r="B868" s="18">
        <v>46010</v>
      </c>
      <c r="C868" s="17" t="s">
        <v>58</v>
      </c>
      <c r="D868" s="17" t="s">
        <v>86</v>
      </c>
      <c r="E868" s="17" t="s">
        <v>162</v>
      </c>
      <c r="F868" s="17" t="s">
        <v>163</v>
      </c>
      <c r="G868" s="17">
        <v>3</v>
      </c>
      <c r="H868" s="17">
        <v>14550</v>
      </c>
      <c r="I868" s="17">
        <v>43650</v>
      </c>
      <c r="J868" s="17">
        <v>2066</v>
      </c>
      <c r="K868" s="17">
        <v>41584</v>
      </c>
      <c r="L868" s="17">
        <v>9345.9338380000008</v>
      </c>
      <c r="M868" s="17">
        <v>2025</v>
      </c>
      <c r="N868" s="17" t="s">
        <v>169</v>
      </c>
    </row>
    <row r="869" spans="1:14" ht="14.25" customHeight="1">
      <c r="A869" s="17">
        <v>10868</v>
      </c>
      <c r="B869" s="18">
        <v>45594</v>
      </c>
      <c r="C869" s="17" t="s">
        <v>45</v>
      </c>
      <c r="D869" s="17" t="s">
        <v>170</v>
      </c>
      <c r="E869" s="17" t="s">
        <v>168</v>
      </c>
      <c r="F869" s="17" t="s">
        <v>172</v>
      </c>
      <c r="G869" s="17">
        <v>2</v>
      </c>
      <c r="H869" s="17">
        <v>58062</v>
      </c>
      <c r="I869" s="17">
        <v>116124</v>
      </c>
      <c r="J869" s="17">
        <v>1819</v>
      </c>
      <c r="K869" s="17">
        <v>114305</v>
      </c>
      <c r="L869" s="17">
        <v>25719.17742</v>
      </c>
      <c r="M869" s="17">
        <v>2024</v>
      </c>
      <c r="N869" s="17" t="s">
        <v>174</v>
      </c>
    </row>
    <row r="870" spans="1:14" ht="14.25" customHeight="1">
      <c r="A870" s="17">
        <v>10869</v>
      </c>
      <c r="B870" s="18">
        <v>45930</v>
      </c>
      <c r="C870" s="17" t="s">
        <v>58</v>
      </c>
      <c r="D870" s="17" t="s">
        <v>111</v>
      </c>
      <c r="E870" s="17" t="s">
        <v>168</v>
      </c>
      <c r="F870" s="17" t="s">
        <v>172</v>
      </c>
      <c r="G870" s="17">
        <v>8</v>
      </c>
      <c r="H870" s="17">
        <v>40394</v>
      </c>
      <c r="I870" s="17">
        <v>323152</v>
      </c>
      <c r="J870" s="17">
        <v>370</v>
      </c>
      <c r="K870" s="17">
        <v>322782</v>
      </c>
      <c r="L870" s="17">
        <v>40109.122329999998</v>
      </c>
      <c r="M870" s="17">
        <v>2025</v>
      </c>
      <c r="N870" s="17" t="s">
        <v>129</v>
      </c>
    </row>
    <row r="871" spans="1:14" ht="14.25" customHeight="1">
      <c r="A871" s="17">
        <v>10870</v>
      </c>
      <c r="B871" s="18">
        <v>45347</v>
      </c>
      <c r="C871" s="17" t="s">
        <v>167</v>
      </c>
      <c r="D871" s="17" t="s">
        <v>86</v>
      </c>
      <c r="E871" s="17" t="s">
        <v>168</v>
      </c>
      <c r="F871" s="17" t="s">
        <v>166</v>
      </c>
      <c r="G871" s="17">
        <v>6</v>
      </c>
      <c r="H871" s="17">
        <v>65031</v>
      </c>
      <c r="I871" s="17">
        <v>390186</v>
      </c>
      <c r="J871" s="17">
        <v>2538</v>
      </c>
      <c r="K871" s="17">
        <v>387648</v>
      </c>
      <c r="L871" s="17">
        <v>70732.250830000004</v>
      </c>
      <c r="M871" s="17">
        <v>2024</v>
      </c>
      <c r="N871" s="17" t="s">
        <v>175</v>
      </c>
    </row>
    <row r="872" spans="1:14" ht="14.25" customHeight="1">
      <c r="A872" s="17">
        <v>10871</v>
      </c>
      <c r="B872" s="18">
        <v>46017</v>
      </c>
      <c r="C872" s="17" t="s">
        <v>50</v>
      </c>
      <c r="D872" s="17" t="s">
        <v>111</v>
      </c>
      <c r="E872" s="17" t="s">
        <v>165</v>
      </c>
      <c r="F872" s="17" t="s">
        <v>164</v>
      </c>
      <c r="G872" s="17">
        <v>4</v>
      </c>
      <c r="H872" s="17">
        <v>66550</v>
      </c>
      <c r="I872" s="17">
        <v>266200</v>
      </c>
      <c r="J872" s="17">
        <v>3907</v>
      </c>
      <c r="K872" s="17">
        <v>262293</v>
      </c>
      <c r="L872" s="17">
        <v>31187.354009999999</v>
      </c>
      <c r="M872" s="17">
        <v>2025</v>
      </c>
      <c r="N872" s="17" t="s">
        <v>169</v>
      </c>
    </row>
    <row r="873" spans="1:14" ht="14.25" customHeight="1">
      <c r="A873" s="17">
        <v>10872</v>
      </c>
      <c r="B873" s="18">
        <v>45817</v>
      </c>
      <c r="C873" s="17" t="s">
        <v>45</v>
      </c>
      <c r="D873" s="17" t="s">
        <v>86</v>
      </c>
      <c r="E873" s="17" t="s">
        <v>168</v>
      </c>
      <c r="F873" s="17" t="s">
        <v>166</v>
      </c>
      <c r="G873" s="17">
        <v>5</v>
      </c>
      <c r="H873" s="17">
        <v>14487</v>
      </c>
      <c r="I873" s="17">
        <v>72435</v>
      </c>
      <c r="J873" s="17">
        <v>2054</v>
      </c>
      <c r="K873" s="17">
        <v>70381</v>
      </c>
      <c r="L873" s="17">
        <v>16207.28535</v>
      </c>
      <c r="M873" s="17">
        <v>2025</v>
      </c>
      <c r="N873" s="17" t="s">
        <v>120</v>
      </c>
    </row>
    <row r="874" spans="1:14" ht="14.25" customHeight="1">
      <c r="A874" s="17">
        <v>10873</v>
      </c>
      <c r="B874" s="18">
        <v>45765</v>
      </c>
      <c r="C874" s="17" t="s">
        <v>39</v>
      </c>
      <c r="D874" s="17" t="s">
        <v>111</v>
      </c>
      <c r="E874" s="17" t="s">
        <v>168</v>
      </c>
      <c r="F874" s="17" t="s">
        <v>163</v>
      </c>
      <c r="G874" s="17">
        <v>5</v>
      </c>
      <c r="H874" s="17">
        <v>60084</v>
      </c>
      <c r="I874" s="17">
        <v>300420</v>
      </c>
      <c r="J874" s="17">
        <v>2596</v>
      </c>
      <c r="K874" s="17">
        <v>297824</v>
      </c>
      <c r="L874" s="17">
        <v>67174.457930000004</v>
      </c>
      <c r="M874" s="17">
        <v>2025</v>
      </c>
      <c r="N874" s="17" t="s">
        <v>114</v>
      </c>
    </row>
    <row r="875" spans="1:14" ht="14.25" customHeight="1">
      <c r="A875" s="17">
        <v>10874</v>
      </c>
      <c r="B875" s="18">
        <v>45319</v>
      </c>
      <c r="C875" s="17" t="s">
        <v>45</v>
      </c>
      <c r="D875" s="17" t="s">
        <v>86</v>
      </c>
      <c r="E875" s="17" t="s">
        <v>162</v>
      </c>
      <c r="F875" s="17" t="s">
        <v>172</v>
      </c>
      <c r="G875" s="17">
        <v>9</v>
      </c>
      <c r="H875" s="17">
        <v>35931</v>
      </c>
      <c r="I875" s="17">
        <v>323379</v>
      </c>
      <c r="J875" s="17">
        <v>4466</v>
      </c>
      <c r="K875" s="17">
        <v>318913</v>
      </c>
      <c r="L875" s="17">
        <v>72521.558860000005</v>
      </c>
      <c r="M875" s="17">
        <v>2024</v>
      </c>
      <c r="N875" s="17" t="s">
        <v>171</v>
      </c>
    </row>
    <row r="876" spans="1:14" ht="14.25" customHeight="1">
      <c r="A876" s="17">
        <v>10875</v>
      </c>
      <c r="B876" s="18">
        <v>45369</v>
      </c>
      <c r="C876" s="17" t="s">
        <v>39</v>
      </c>
      <c r="D876" s="17" t="s">
        <v>111</v>
      </c>
      <c r="E876" s="17" t="s">
        <v>168</v>
      </c>
      <c r="F876" s="17" t="s">
        <v>166</v>
      </c>
      <c r="G876" s="17">
        <v>9</v>
      </c>
      <c r="H876" s="17">
        <v>16366</v>
      </c>
      <c r="I876" s="17">
        <v>147294</v>
      </c>
      <c r="J876" s="17">
        <v>1688</v>
      </c>
      <c r="K876" s="17">
        <v>145606</v>
      </c>
      <c r="L876" s="17">
        <v>29955.34402</v>
      </c>
      <c r="M876" s="17">
        <v>2024</v>
      </c>
      <c r="N876" s="17" t="s">
        <v>112</v>
      </c>
    </row>
    <row r="877" spans="1:14" ht="14.25" customHeight="1">
      <c r="A877" s="17">
        <v>10876</v>
      </c>
      <c r="B877" s="18">
        <v>45507</v>
      </c>
      <c r="C877" s="17" t="s">
        <v>45</v>
      </c>
      <c r="D877" s="17" t="s">
        <v>89</v>
      </c>
      <c r="E877" s="17" t="s">
        <v>168</v>
      </c>
      <c r="F877" s="17" t="s">
        <v>164</v>
      </c>
      <c r="G877" s="17">
        <v>8</v>
      </c>
      <c r="H877" s="17">
        <v>36863</v>
      </c>
      <c r="I877" s="17">
        <v>294904</v>
      </c>
      <c r="J877" s="17">
        <v>4852</v>
      </c>
      <c r="K877" s="17">
        <v>290052</v>
      </c>
      <c r="L877" s="17">
        <v>49318.004459999996</v>
      </c>
      <c r="M877" s="17">
        <v>2024</v>
      </c>
      <c r="N877" s="17" t="s">
        <v>126</v>
      </c>
    </row>
    <row r="878" spans="1:14" ht="14.25" customHeight="1">
      <c r="A878" s="17">
        <v>10877</v>
      </c>
      <c r="B878" s="18">
        <v>45677</v>
      </c>
      <c r="C878" s="17" t="s">
        <v>39</v>
      </c>
      <c r="D878" s="17" t="s">
        <v>83</v>
      </c>
      <c r="E878" s="17" t="s">
        <v>168</v>
      </c>
      <c r="F878" s="17" t="s">
        <v>163</v>
      </c>
      <c r="G878" s="17">
        <v>8</v>
      </c>
      <c r="H878" s="17">
        <v>33329</v>
      </c>
      <c r="I878" s="17">
        <v>266632</v>
      </c>
      <c r="J878" s="17">
        <v>3321</v>
      </c>
      <c r="K878" s="17">
        <v>263311</v>
      </c>
      <c r="L878" s="17">
        <v>42316.232620000002</v>
      </c>
      <c r="M878" s="17">
        <v>2025</v>
      </c>
      <c r="N878" s="17" t="s">
        <v>171</v>
      </c>
    </row>
    <row r="879" spans="1:14" ht="14.25" customHeight="1">
      <c r="A879" s="17">
        <v>10878</v>
      </c>
      <c r="B879" s="18">
        <v>45656</v>
      </c>
      <c r="C879" s="17" t="s">
        <v>39</v>
      </c>
      <c r="D879" s="17" t="s">
        <v>86</v>
      </c>
      <c r="E879" s="17" t="s">
        <v>162</v>
      </c>
      <c r="F879" s="17" t="s">
        <v>164</v>
      </c>
      <c r="G879" s="17">
        <v>2</v>
      </c>
      <c r="H879" s="17">
        <v>68818</v>
      </c>
      <c r="I879" s="17">
        <v>137636</v>
      </c>
      <c r="J879" s="17">
        <v>1138</v>
      </c>
      <c r="K879" s="17">
        <v>136498</v>
      </c>
      <c r="L879" s="17">
        <v>21741.90438</v>
      </c>
      <c r="M879" s="17">
        <v>2024</v>
      </c>
      <c r="N879" s="17" t="s">
        <v>169</v>
      </c>
    </row>
    <row r="880" spans="1:14" ht="14.25" customHeight="1">
      <c r="A880" s="17">
        <v>10879</v>
      </c>
      <c r="B880" s="18">
        <v>45957</v>
      </c>
      <c r="C880" s="17" t="s">
        <v>45</v>
      </c>
      <c r="D880" s="17" t="s">
        <v>89</v>
      </c>
      <c r="E880" s="17" t="s">
        <v>168</v>
      </c>
      <c r="F880" s="17" t="s">
        <v>166</v>
      </c>
      <c r="G880" s="17">
        <v>3</v>
      </c>
      <c r="H880" s="17">
        <v>60123</v>
      </c>
      <c r="I880" s="17">
        <v>180369</v>
      </c>
      <c r="J880" s="17">
        <v>2621</v>
      </c>
      <c r="K880" s="17">
        <v>177748</v>
      </c>
      <c r="L880" s="17">
        <v>19540.178609999999</v>
      </c>
      <c r="M880" s="17">
        <v>2025</v>
      </c>
      <c r="N880" s="17" t="s">
        <v>174</v>
      </c>
    </row>
    <row r="881" spans="1:14" ht="14.25" customHeight="1">
      <c r="A881" s="17">
        <v>10880</v>
      </c>
      <c r="B881" s="18">
        <v>45817</v>
      </c>
      <c r="C881" s="17" t="s">
        <v>45</v>
      </c>
      <c r="D881" s="17" t="s">
        <v>83</v>
      </c>
      <c r="E881" s="17" t="s">
        <v>168</v>
      </c>
      <c r="F881" s="17" t="s">
        <v>172</v>
      </c>
      <c r="G881" s="17">
        <v>8</v>
      </c>
      <c r="H881" s="17">
        <v>46371</v>
      </c>
      <c r="I881" s="17">
        <v>370968</v>
      </c>
      <c r="J881" s="17">
        <v>2728</v>
      </c>
      <c r="K881" s="17">
        <v>368240</v>
      </c>
      <c r="L881" s="17">
        <v>89235.799140000003</v>
      </c>
      <c r="M881" s="17">
        <v>2025</v>
      </c>
      <c r="N881" s="17" t="s">
        <v>120</v>
      </c>
    </row>
    <row r="882" spans="1:14" ht="14.25" customHeight="1">
      <c r="A882" s="17">
        <v>10881</v>
      </c>
      <c r="B882" s="18">
        <v>45990</v>
      </c>
      <c r="C882" s="17" t="s">
        <v>39</v>
      </c>
      <c r="D882" s="17" t="s">
        <v>86</v>
      </c>
      <c r="E882" s="17" t="s">
        <v>165</v>
      </c>
      <c r="F882" s="17" t="s">
        <v>172</v>
      </c>
      <c r="G882" s="17">
        <v>5</v>
      </c>
      <c r="H882" s="17">
        <v>63766</v>
      </c>
      <c r="I882" s="17">
        <v>318830</v>
      </c>
      <c r="J882" s="17">
        <v>1165</v>
      </c>
      <c r="K882" s="17">
        <v>317665</v>
      </c>
      <c r="L882" s="17">
        <v>53222.022470000004</v>
      </c>
      <c r="M882" s="17">
        <v>2025</v>
      </c>
      <c r="N882" s="17" t="s">
        <v>173</v>
      </c>
    </row>
    <row r="883" spans="1:14" ht="14.25" customHeight="1">
      <c r="A883" s="17">
        <v>10882</v>
      </c>
      <c r="B883" s="18">
        <v>45603</v>
      </c>
      <c r="C883" s="17" t="s">
        <v>167</v>
      </c>
      <c r="D883" s="17" t="s">
        <v>89</v>
      </c>
      <c r="E883" s="17" t="s">
        <v>165</v>
      </c>
      <c r="F883" s="17" t="s">
        <v>166</v>
      </c>
      <c r="G883" s="17">
        <v>7</v>
      </c>
      <c r="H883" s="17">
        <v>65325</v>
      </c>
      <c r="I883" s="17">
        <v>457275</v>
      </c>
      <c r="J883" s="17">
        <v>1508</v>
      </c>
      <c r="K883" s="17">
        <v>455767</v>
      </c>
      <c r="L883" s="17">
        <v>109164.05160000001</v>
      </c>
      <c r="M883" s="17">
        <v>2024</v>
      </c>
      <c r="N883" s="17" t="s">
        <v>173</v>
      </c>
    </row>
    <row r="884" spans="1:14" ht="14.25" customHeight="1">
      <c r="A884" s="17">
        <v>10883</v>
      </c>
      <c r="B884" s="18">
        <v>45298</v>
      </c>
      <c r="C884" s="17" t="s">
        <v>45</v>
      </c>
      <c r="D884" s="17" t="s">
        <v>89</v>
      </c>
      <c r="E884" s="17" t="s">
        <v>165</v>
      </c>
      <c r="F884" s="17" t="s">
        <v>164</v>
      </c>
      <c r="G884" s="17">
        <v>8</v>
      </c>
      <c r="H884" s="17">
        <v>45241</v>
      </c>
      <c r="I884" s="17">
        <v>361928</v>
      </c>
      <c r="J884" s="17">
        <v>3841</v>
      </c>
      <c r="K884" s="17">
        <v>358087</v>
      </c>
      <c r="L884" s="17">
        <v>83036.30416</v>
      </c>
      <c r="M884" s="17">
        <v>2024</v>
      </c>
      <c r="N884" s="17" t="s">
        <v>171</v>
      </c>
    </row>
    <row r="885" spans="1:14" ht="14.25" customHeight="1">
      <c r="A885" s="17">
        <v>10884</v>
      </c>
      <c r="B885" s="18">
        <v>45294</v>
      </c>
      <c r="C885" s="17" t="s">
        <v>58</v>
      </c>
      <c r="D885" s="17" t="s">
        <v>89</v>
      </c>
      <c r="E885" s="17" t="s">
        <v>165</v>
      </c>
      <c r="F885" s="17" t="s">
        <v>164</v>
      </c>
      <c r="G885" s="17">
        <v>6</v>
      </c>
      <c r="H885" s="17">
        <v>6676</v>
      </c>
      <c r="I885" s="17">
        <v>40056</v>
      </c>
      <c r="J885" s="17">
        <v>4558</v>
      </c>
      <c r="K885" s="17">
        <v>35498</v>
      </c>
      <c r="L885" s="17">
        <v>7961.9017320000003</v>
      </c>
      <c r="M885" s="17">
        <v>2024</v>
      </c>
      <c r="N885" s="17" t="s">
        <v>171</v>
      </c>
    </row>
    <row r="886" spans="1:14" ht="14.25" customHeight="1">
      <c r="A886" s="17">
        <v>10885</v>
      </c>
      <c r="B886" s="18">
        <v>45914</v>
      </c>
      <c r="C886" s="17" t="s">
        <v>50</v>
      </c>
      <c r="D886" s="17" t="s">
        <v>170</v>
      </c>
      <c r="E886" s="17" t="s">
        <v>162</v>
      </c>
      <c r="F886" s="17" t="s">
        <v>164</v>
      </c>
      <c r="G886" s="17">
        <v>5</v>
      </c>
      <c r="H886" s="17">
        <v>10282</v>
      </c>
      <c r="I886" s="17">
        <v>51410</v>
      </c>
      <c r="J886" s="17">
        <v>4576</v>
      </c>
      <c r="K886" s="17">
        <v>46834</v>
      </c>
      <c r="L886" s="17">
        <v>8816.3287469999996</v>
      </c>
      <c r="M886" s="17">
        <v>2025</v>
      </c>
      <c r="N886" s="17" t="s">
        <v>129</v>
      </c>
    </row>
    <row r="887" spans="1:14" ht="14.25" customHeight="1">
      <c r="A887" s="17">
        <v>10886</v>
      </c>
      <c r="B887" s="18">
        <v>45654</v>
      </c>
      <c r="C887" s="17" t="s">
        <v>39</v>
      </c>
      <c r="D887" s="17" t="s">
        <v>111</v>
      </c>
      <c r="E887" s="17" t="s">
        <v>165</v>
      </c>
      <c r="F887" s="17" t="s">
        <v>164</v>
      </c>
      <c r="G887" s="17">
        <v>8</v>
      </c>
      <c r="H887" s="17">
        <v>31222</v>
      </c>
      <c r="I887" s="17">
        <v>249776</v>
      </c>
      <c r="J887" s="17">
        <v>4918</v>
      </c>
      <c r="K887" s="17">
        <v>244858</v>
      </c>
      <c r="L887" s="17">
        <v>28215.81567</v>
      </c>
      <c r="M887" s="17">
        <v>2024</v>
      </c>
      <c r="N887" s="17" t="s">
        <v>169</v>
      </c>
    </row>
    <row r="888" spans="1:14" ht="14.25" customHeight="1">
      <c r="A888" s="17">
        <v>10887</v>
      </c>
      <c r="B888" s="18">
        <v>45799</v>
      </c>
      <c r="C888" s="17" t="s">
        <v>39</v>
      </c>
      <c r="D888" s="17" t="s">
        <v>83</v>
      </c>
      <c r="E888" s="17" t="s">
        <v>168</v>
      </c>
      <c r="F888" s="17" t="s">
        <v>172</v>
      </c>
      <c r="G888" s="17">
        <v>1</v>
      </c>
      <c r="H888" s="17">
        <v>66303</v>
      </c>
      <c r="I888" s="17">
        <v>66303</v>
      </c>
      <c r="J888" s="17">
        <v>523</v>
      </c>
      <c r="K888" s="17">
        <v>65780</v>
      </c>
      <c r="L888" s="17">
        <v>9774.0342729999993</v>
      </c>
      <c r="M888" s="17">
        <v>2025</v>
      </c>
      <c r="N888" s="17" t="s">
        <v>117</v>
      </c>
    </row>
    <row r="889" spans="1:14" ht="14.25" customHeight="1">
      <c r="A889" s="17">
        <v>10888</v>
      </c>
      <c r="B889" s="18">
        <v>45565</v>
      </c>
      <c r="C889" s="17" t="s">
        <v>50</v>
      </c>
      <c r="D889" s="17" t="s">
        <v>111</v>
      </c>
      <c r="E889" s="17" t="s">
        <v>165</v>
      </c>
      <c r="F889" s="17" t="s">
        <v>164</v>
      </c>
      <c r="G889" s="17">
        <v>1</v>
      </c>
      <c r="H889" s="17">
        <v>18376</v>
      </c>
      <c r="I889" s="17">
        <v>18376</v>
      </c>
      <c r="J889" s="17">
        <v>2258</v>
      </c>
      <c r="K889" s="17">
        <v>16118</v>
      </c>
      <c r="L889" s="17">
        <v>3071.0903779999999</v>
      </c>
      <c r="M889" s="17">
        <v>2024</v>
      </c>
      <c r="N889" s="17" t="s">
        <v>129</v>
      </c>
    </row>
    <row r="890" spans="1:14" ht="14.25" customHeight="1">
      <c r="A890" s="17">
        <v>10889</v>
      </c>
      <c r="B890" s="18">
        <v>45797</v>
      </c>
      <c r="C890" s="17" t="s">
        <v>167</v>
      </c>
      <c r="D890" s="17" t="s">
        <v>111</v>
      </c>
      <c r="E890" s="17" t="s">
        <v>162</v>
      </c>
      <c r="F890" s="17" t="s">
        <v>166</v>
      </c>
      <c r="G890" s="17">
        <v>1</v>
      </c>
      <c r="H890" s="17">
        <v>70129</v>
      </c>
      <c r="I890" s="17">
        <v>70129</v>
      </c>
      <c r="J890" s="17">
        <v>4339</v>
      </c>
      <c r="K890" s="17">
        <v>65790</v>
      </c>
      <c r="L890" s="17">
        <v>6711.7886449999996</v>
      </c>
      <c r="M890" s="17">
        <v>2025</v>
      </c>
      <c r="N890" s="17" t="s">
        <v>117</v>
      </c>
    </row>
    <row r="891" spans="1:14" ht="14.25" customHeight="1">
      <c r="A891" s="17">
        <v>10890</v>
      </c>
      <c r="B891" s="18">
        <v>45306</v>
      </c>
      <c r="C891" s="17" t="s">
        <v>50</v>
      </c>
      <c r="D891" s="17" t="s">
        <v>111</v>
      </c>
      <c r="E891" s="17" t="s">
        <v>165</v>
      </c>
      <c r="F891" s="17" t="s">
        <v>166</v>
      </c>
      <c r="G891" s="17">
        <v>3</v>
      </c>
      <c r="H891" s="17">
        <v>14431</v>
      </c>
      <c r="I891" s="17">
        <v>43293</v>
      </c>
      <c r="J891" s="17">
        <v>238</v>
      </c>
      <c r="K891" s="17">
        <v>43055</v>
      </c>
      <c r="L891" s="17">
        <v>4580.8210980000003</v>
      </c>
      <c r="M891" s="17">
        <v>2024</v>
      </c>
      <c r="N891" s="17" t="s">
        <v>171</v>
      </c>
    </row>
    <row r="892" spans="1:14" ht="14.25" customHeight="1">
      <c r="A892" s="17">
        <v>10891</v>
      </c>
      <c r="B892" s="18">
        <v>45483</v>
      </c>
      <c r="C892" s="17" t="s">
        <v>45</v>
      </c>
      <c r="D892" s="17" t="s">
        <v>89</v>
      </c>
      <c r="E892" s="17" t="s">
        <v>165</v>
      </c>
      <c r="F892" s="17" t="s">
        <v>166</v>
      </c>
      <c r="G892" s="17">
        <v>6</v>
      </c>
      <c r="H892" s="17">
        <v>38370</v>
      </c>
      <c r="I892" s="17">
        <v>230220</v>
      </c>
      <c r="J892" s="17">
        <v>1220</v>
      </c>
      <c r="K892" s="17">
        <v>229000</v>
      </c>
      <c r="L892" s="17">
        <v>46177.737179999996</v>
      </c>
      <c r="M892" s="17">
        <v>2024</v>
      </c>
      <c r="N892" s="17" t="s">
        <v>123</v>
      </c>
    </row>
    <row r="893" spans="1:14" ht="14.25" customHeight="1">
      <c r="A893" s="17">
        <v>10892</v>
      </c>
      <c r="B893" s="18">
        <v>45922</v>
      </c>
      <c r="C893" s="17" t="s">
        <v>50</v>
      </c>
      <c r="D893" s="17" t="s">
        <v>111</v>
      </c>
      <c r="E893" s="17" t="s">
        <v>162</v>
      </c>
      <c r="F893" s="17" t="s">
        <v>166</v>
      </c>
      <c r="G893" s="17">
        <v>6</v>
      </c>
      <c r="H893" s="17">
        <v>6937</v>
      </c>
      <c r="I893" s="17">
        <v>41622</v>
      </c>
      <c r="J893" s="17">
        <v>768</v>
      </c>
      <c r="K893" s="17">
        <v>40854</v>
      </c>
      <c r="L893" s="17">
        <v>9528.3958939999993</v>
      </c>
      <c r="M893" s="17">
        <v>2025</v>
      </c>
      <c r="N893" s="17" t="s">
        <v>129</v>
      </c>
    </row>
    <row r="894" spans="1:14" ht="14.25" customHeight="1">
      <c r="A894" s="17">
        <v>10893</v>
      </c>
      <c r="B894" s="18">
        <v>45776</v>
      </c>
      <c r="C894" s="17" t="s">
        <v>39</v>
      </c>
      <c r="D894" s="17" t="s">
        <v>170</v>
      </c>
      <c r="E894" s="17" t="s">
        <v>162</v>
      </c>
      <c r="F894" s="17" t="s">
        <v>164</v>
      </c>
      <c r="G894" s="17">
        <v>5</v>
      </c>
      <c r="H894" s="17">
        <v>29601</v>
      </c>
      <c r="I894" s="17">
        <v>148005</v>
      </c>
      <c r="J894" s="17">
        <v>234</v>
      </c>
      <c r="K894" s="17">
        <v>147771</v>
      </c>
      <c r="L894" s="17">
        <v>33732.346619999997</v>
      </c>
      <c r="M894" s="17">
        <v>2025</v>
      </c>
      <c r="N894" s="17" t="s">
        <v>114</v>
      </c>
    </row>
    <row r="895" spans="1:14" ht="14.25" customHeight="1">
      <c r="A895" s="17">
        <v>10894</v>
      </c>
      <c r="B895" s="18">
        <v>45319</v>
      </c>
      <c r="C895" s="17" t="s">
        <v>50</v>
      </c>
      <c r="D895" s="17" t="s">
        <v>86</v>
      </c>
      <c r="E895" s="17" t="s">
        <v>162</v>
      </c>
      <c r="F895" s="17" t="s">
        <v>172</v>
      </c>
      <c r="G895" s="17">
        <v>7</v>
      </c>
      <c r="H895" s="17">
        <v>6067</v>
      </c>
      <c r="I895" s="17">
        <v>42469</v>
      </c>
      <c r="J895" s="17">
        <v>2760</v>
      </c>
      <c r="K895" s="17">
        <v>39709</v>
      </c>
      <c r="L895" s="17">
        <v>4972.4321179999997</v>
      </c>
      <c r="M895" s="17">
        <v>2024</v>
      </c>
      <c r="N895" s="17" t="s">
        <v>171</v>
      </c>
    </row>
    <row r="896" spans="1:14" ht="14.25" customHeight="1">
      <c r="A896" s="17">
        <v>10895</v>
      </c>
      <c r="B896" s="18">
        <v>46005</v>
      </c>
      <c r="C896" s="17" t="s">
        <v>58</v>
      </c>
      <c r="D896" s="17" t="s">
        <v>89</v>
      </c>
      <c r="E896" s="17" t="s">
        <v>162</v>
      </c>
      <c r="F896" s="17" t="s">
        <v>163</v>
      </c>
      <c r="G896" s="17">
        <v>5</v>
      </c>
      <c r="H896" s="17">
        <v>18472</v>
      </c>
      <c r="I896" s="17">
        <v>92360</v>
      </c>
      <c r="J896" s="17">
        <v>4592</v>
      </c>
      <c r="K896" s="17">
        <v>87768</v>
      </c>
      <c r="L896" s="17">
        <v>20773.370650000001</v>
      </c>
      <c r="M896" s="17">
        <v>2025</v>
      </c>
      <c r="N896" s="17" t="s">
        <v>169</v>
      </c>
    </row>
    <row r="897" spans="1:14" ht="14.25" customHeight="1">
      <c r="A897" s="17">
        <v>10896</v>
      </c>
      <c r="B897" s="18">
        <v>45330</v>
      </c>
      <c r="C897" s="17" t="s">
        <v>45</v>
      </c>
      <c r="D897" s="17" t="s">
        <v>83</v>
      </c>
      <c r="E897" s="17" t="s">
        <v>162</v>
      </c>
      <c r="F897" s="17" t="s">
        <v>164</v>
      </c>
      <c r="G897" s="17">
        <v>2</v>
      </c>
      <c r="H897" s="17">
        <v>60015</v>
      </c>
      <c r="I897" s="17">
        <v>120030</v>
      </c>
      <c r="J897" s="17">
        <v>1519</v>
      </c>
      <c r="K897" s="17">
        <v>118511</v>
      </c>
      <c r="L897" s="17">
        <v>24229.020519999998</v>
      </c>
      <c r="M897" s="17">
        <v>2024</v>
      </c>
      <c r="N897" s="17" t="s">
        <v>175</v>
      </c>
    </row>
    <row r="898" spans="1:14" ht="14.25" customHeight="1">
      <c r="A898" s="17">
        <v>10897</v>
      </c>
      <c r="B898" s="18">
        <v>45564</v>
      </c>
      <c r="C898" s="17" t="s">
        <v>50</v>
      </c>
      <c r="D898" s="17" t="s">
        <v>86</v>
      </c>
      <c r="E898" s="17" t="s">
        <v>162</v>
      </c>
      <c r="F898" s="17" t="s">
        <v>163</v>
      </c>
      <c r="G898" s="17">
        <v>4</v>
      </c>
      <c r="H898" s="17">
        <v>38147</v>
      </c>
      <c r="I898" s="17">
        <v>152588</v>
      </c>
      <c r="J898" s="17">
        <v>1903</v>
      </c>
      <c r="K898" s="17">
        <v>150685</v>
      </c>
      <c r="L898" s="17">
        <v>31259.436460000001</v>
      </c>
      <c r="M898" s="17">
        <v>2024</v>
      </c>
      <c r="N898" s="17" t="s">
        <v>129</v>
      </c>
    </row>
    <row r="899" spans="1:14" ht="14.25" customHeight="1">
      <c r="A899" s="17">
        <v>10898</v>
      </c>
      <c r="B899" s="18">
        <v>45522</v>
      </c>
      <c r="C899" s="17" t="s">
        <v>39</v>
      </c>
      <c r="D899" s="17" t="s">
        <v>86</v>
      </c>
      <c r="E899" s="17" t="s">
        <v>168</v>
      </c>
      <c r="F899" s="17" t="s">
        <v>172</v>
      </c>
      <c r="G899" s="17">
        <v>1</v>
      </c>
      <c r="H899" s="17">
        <v>59654</v>
      </c>
      <c r="I899" s="17">
        <v>59654</v>
      </c>
      <c r="J899" s="17">
        <v>2234</v>
      </c>
      <c r="K899" s="17">
        <v>57420</v>
      </c>
      <c r="L899" s="17">
        <v>8360.7068619999991</v>
      </c>
      <c r="M899" s="17">
        <v>2024</v>
      </c>
      <c r="N899" s="17" t="s">
        <v>126</v>
      </c>
    </row>
    <row r="900" spans="1:14" ht="14.25" customHeight="1">
      <c r="A900" s="17">
        <v>10899</v>
      </c>
      <c r="B900" s="18">
        <v>45377</v>
      </c>
      <c r="C900" s="17" t="s">
        <v>45</v>
      </c>
      <c r="D900" s="17" t="s">
        <v>86</v>
      </c>
      <c r="E900" s="17" t="s">
        <v>165</v>
      </c>
      <c r="F900" s="17" t="s">
        <v>164</v>
      </c>
      <c r="G900" s="17">
        <v>7</v>
      </c>
      <c r="H900" s="17">
        <v>66808</v>
      </c>
      <c r="I900" s="17">
        <v>467656</v>
      </c>
      <c r="J900" s="17">
        <v>935</v>
      </c>
      <c r="K900" s="17">
        <v>466721</v>
      </c>
      <c r="L900" s="17">
        <v>96797.709669999997</v>
      </c>
      <c r="M900" s="17">
        <v>2024</v>
      </c>
      <c r="N900" s="17" t="s">
        <v>112</v>
      </c>
    </row>
    <row r="901" spans="1:14" ht="14.25" customHeight="1">
      <c r="A901" s="17">
        <v>10900</v>
      </c>
      <c r="B901" s="18">
        <v>45765</v>
      </c>
      <c r="C901" s="17" t="s">
        <v>39</v>
      </c>
      <c r="D901" s="17" t="s">
        <v>111</v>
      </c>
      <c r="E901" s="17" t="s">
        <v>165</v>
      </c>
      <c r="F901" s="17" t="s">
        <v>163</v>
      </c>
      <c r="G901" s="17">
        <v>4</v>
      </c>
      <c r="H901" s="17">
        <v>57334</v>
      </c>
      <c r="I901" s="17">
        <v>229336</v>
      </c>
      <c r="J901" s="17">
        <v>1268</v>
      </c>
      <c r="K901" s="17">
        <v>228068</v>
      </c>
      <c r="L901" s="17">
        <v>47088.25157</v>
      </c>
      <c r="M901" s="17">
        <v>2025</v>
      </c>
      <c r="N901" s="17" t="s">
        <v>114</v>
      </c>
    </row>
    <row r="902" spans="1:14" ht="14.25" customHeight="1">
      <c r="A902" s="17">
        <v>10901</v>
      </c>
      <c r="B902" s="18">
        <v>45417</v>
      </c>
      <c r="C902" s="17" t="s">
        <v>167</v>
      </c>
      <c r="D902" s="17" t="s">
        <v>111</v>
      </c>
      <c r="E902" s="17" t="s">
        <v>162</v>
      </c>
      <c r="F902" s="17" t="s">
        <v>172</v>
      </c>
      <c r="G902" s="17">
        <v>4</v>
      </c>
      <c r="H902" s="17">
        <v>10196</v>
      </c>
      <c r="I902" s="17">
        <v>40784</v>
      </c>
      <c r="J902" s="17">
        <v>818</v>
      </c>
      <c r="K902" s="17">
        <v>39966</v>
      </c>
      <c r="L902" s="17">
        <v>7561.5603590000001</v>
      </c>
      <c r="M902" s="17">
        <v>2024</v>
      </c>
      <c r="N902" s="17" t="s">
        <v>117</v>
      </c>
    </row>
    <row r="903" spans="1:14" ht="14.25" customHeight="1">
      <c r="A903" s="17">
        <v>10902</v>
      </c>
      <c r="B903" s="18">
        <v>45828</v>
      </c>
      <c r="C903" s="17" t="s">
        <v>58</v>
      </c>
      <c r="D903" s="17" t="s">
        <v>89</v>
      </c>
      <c r="E903" s="17" t="s">
        <v>162</v>
      </c>
      <c r="F903" s="17" t="s">
        <v>163</v>
      </c>
      <c r="G903" s="17">
        <v>4</v>
      </c>
      <c r="H903" s="17">
        <v>64600</v>
      </c>
      <c r="I903" s="17">
        <v>258400</v>
      </c>
      <c r="J903" s="17">
        <v>3567</v>
      </c>
      <c r="K903" s="17">
        <v>254833</v>
      </c>
      <c r="L903" s="17">
        <v>39140.631350000003</v>
      </c>
      <c r="M903" s="17">
        <v>2025</v>
      </c>
      <c r="N903" s="17" t="s">
        <v>120</v>
      </c>
    </row>
    <row r="904" spans="1:14" ht="14.25" customHeight="1">
      <c r="A904" s="17">
        <v>10903</v>
      </c>
      <c r="B904" s="18">
        <v>45436</v>
      </c>
      <c r="C904" s="17" t="s">
        <v>167</v>
      </c>
      <c r="D904" s="17" t="s">
        <v>111</v>
      </c>
      <c r="E904" s="17" t="s">
        <v>168</v>
      </c>
      <c r="F904" s="17" t="s">
        <v>166</v>
      </c>
      <c r="G904" s="17">
        <v>3</v>
      </c>
      <c r="H904" s="17">
        <v>35593</v>
      </c>
      <c r="I904" s="17">
        <v>106779</v>
      </c>
      <c r="J904" s="17">
        <v>4117</v>
      </c>
      <c r="K904" s="17">
        <v>102662</v>
      </c>
      <c r="L904" s="17">
        <v>22755.254629999999</v>
      </c>
      <c r="M904" s="17">
        <v>2024</v>
      </c>
      <c r="N904" s="17" t="s">
        <v>117</v>
      </c>
    </row>
    <row r="905" spans="1:14" ht="14.25" customHeight="1">
      <c r="A905" s="17">
        <v>10904</v>
      </c>
      <c r="B905" s="18">
        <v>45816</v>
      </c>
      <c r="C905" s="17" t="s">
        <v>58</v>
      </c>
      <c r="D905" s="17" t="s">
        <v>111</v>
      </c>
      <c r="E905" s="17" t="s">
        <v>168</v>
      </c>
      <c r="F905" s="17" t="s">
        <v>166</v>
      </c>
      <c r="G905" s="17">
        <v>8</v>
      </c>
      <c r="H905" s="17">
        <v>70059</v>
      </c>
      <c r="I905" s="17">
        <v>560472</v>
      </c>
      <c r="J905" s="17">
        <v>2115</v>
      </c>
      <c r="K905" s="17">
        <v>558357</v>
      </c>
      <c r="L905" s="17">
        <v>134356.15549999999</v>
      </c>
      <c r="M905" s="17">
        <v>2025</v>
      </c>
      <c r="N905" s="17" t="s">
        <v>120</v>
      </c>
    </row>
    <row r="906" spans="1:14" ht="14.25" customHeight="1">
      <c r="A906" s="17">
        <v>10905</v>
      </c>
      <c r="B906" s="18">
        <v>45503</v>
      </c>
      <c r="C906" s="17" t="s">
        <v>50</v>
      </c>
      <c r="D906" s="17" t="s">
        <v>111</v>
      </c>
      <c r="E906" s="17" t="s">
        <v>162</v>
      </c>
      <c r="F906" s="17" t="s">
        <v>172</v>
      </c>
      <c r="G906" s="17">
        <v>4</v>
      </c>
      <c r="H906" s="17">
        <v>75795</v>
      </c>
      <c r="I906" s="17">
        <v>303180</v>
      </c>
      <c r="J906" s="17">
        <v>2439</v>
      </c>
      <c r="K906" s="17">
        <v>300741</v>
      </c>
      <c r="L906" s="17">
        <v>69315.767219999994</v>
      </c>
      <c r="M906" s="17">
        <v>2024</v>
      </c>
      <c r="N906" s="17" t="s">
        <v>123</v>
      </c>
    </row>
    <row r="907" spans="1:14" ht="14.25" customHeight="1">
      <c r="A907" s="17">
        <v>10906</v>
      </c>
      <c r="B907" s="18">
        <v>45316</v>
      </c>
      <c r="C907" s="17" t="s">
        <v>45</v>
      </c>
      <c r="D907" s="17" t="s">
        <v>89</v>
      </c>
      <c r="E907" s="17" t="s">
        <v>168</v>
      </c>
      <c r="F907" s="17" t="s">
        <v>172</v>
      </c>
      <c r="G907" s="17">
        <v>8</v>
      </c>
      <c r="H907" s="17">
        <v>49401</v>
      </c>
      <c r="I907" s="17">
        <v>395208</v>
      </c>
      <c r="J907" s="17">
        <v>3387</v>
      </c>
      <c r="K907" s="17">
        <v>391821</v>
      </c>
      <c r="L907" s="17">
        <v>53462.752630000003</v>
      </c>
      <c r="M907" s="17">
        <v>2024</v>
      </c>
      <c r="N907" s="17" t="s">
        <v>171</v>
      </c>
    </row>
    <row r="908" spans="1:14" ht="14.25" customHeight="1">
      <c r="A908" s="17">
        <v>10907</v>
      </c>
      <c r="B908" s="18">
        <v>45871</v>
      </c>
      <c r="C908" s="17" t="s">
        <v>50</v>
      </c>
      <c r="D908" s="17" t="s">
        <v>89</v>
      </c>
      <c r="E908" s="17" t="s">
        <v>168</v>
      </c>
      <c r="F908" s="17" t="s">
        <v>163</v>
      </c>
      <c r="G908" s="17">
        <v>9</v>
      </c>
      <c r="H908" s="17">
        <v>36593</v>
      </c>
      <c r="I908" s="17">
        <v>329337</v>
      </c>
      <c r="J908" s="17">
        <v>1088</v>
      </c>
      <c r="K908" s="17">
        <v>328249</v>
      </c>
      <c r="L908" s="17">
        <v>54768.69831</v>
      </c>
      <c r="M908" s="17">
        <v>2025</v>
      </c>
      <c r="N908" s="17" t="s">
        <v>126</v>
      </c>
    </row>
    <row r="909" spans="1:14" ht="14.25" customHeight="1">
      <c r="A909" s="17">
        <v>10908</v>
      </c>
      <c r="B909" s="18">
        <v>45685</v>
      </c>
      <c r="C909" s="17" t="s">
        <v>58</v>
      </c>
      <c r="D909" s="17" t="s">
        <v>170</v>
      </c>
      <c r="E909" s="17" t="s">
        <v>162</v>
      </c>
      <c r="F909" s="17" t="s">
        <v>172</v>
      </c>
      <c r="G909" s="17">
        <v>1</v>
      </c>
      <c r="H909" s="17">
        <v>15461</v>
      </c>
      <c r="I909" s="17">
        <v>15461</v>
      </c>
      <c r="J909" s="17">
        <v>1827</v>
      </c>
      <c r="K909" s="17">
        <v>13634</v>
      </c>
      <c r="L909" s="17">
        <v>2063.6715920000001</v>
      </c>
      <c r="M909" s="17">
        <v>2025</v>
      </c>
      <c r="N909" s="17" t="s">
        <v>171</v>
      </c>
    </row>
    <row r="910" spans="1:14" ht="14.25" customHeight="1">
      <c r="A910" s="17">
        <v>10909</v>
      </c>
      <c r="B910" s="18">
        <v>45358</v>
      </c>
      <c r="C910" s="17" t="s">
        <v>58</v>
      </c>
      <c r="D910" s="17" t="s">
        <v>170</v>
      </c>
      <c r="E910" s="17" t="s">
        <v>162</v>
      </c>
      <c r="F910" s="17" t="s">
        <v>166</v>
      </c>
      <c r="G910" s="17">
        <v>4</v>
      </c>
      <c r="H910" s="17">
        <v>40690</v>
      </c>
      <c r="I910" s="17">
        <v>162760</v>
      </c>
      <c r="J910" s="17">
        <v>4824</v>
      </c>
      <c r="K910" s="17">
        <v>157936</v>
      </c>
      <c r="L910" s="17">
        <v>32554.073540000001</v>
      </c>
      <c r="M910" s="17">
        <v>2024</v>
      </c>
      <c r="N910" s="17" t="s">
        <v>112</v>
      </c>
    </row>
    <row r="911" spans="1:14" ht="14.25" customHeight="1">
      <c r="A911" s="17">
        <v>10910</v>
      </c>
      <c r="B911" s="18">
        <v>45524</v>
      </c>
      <c r="C911" s="17" t="s">
        <v>58</v>
      </c>
      <c r="D911" s="17" t="s">
        <v>170</v>
      </c>
      <c r="E911" s="17" t="s">
        <v>162</v>
      </c>
      <c r="F911" s="17" t="s">
        <v>166</v>
      </c>
      <c r="G911" s="17">
        <v>6</v>
      </c>
      <c r="H911" s="17">
        <v>73923</v>
      </c>
      <c r="I911" s="17">
        <v>443538</v>
      </c>
      <c r="J911" s="17">
        <v>2588</v>
      </c>
      <c r="K911" s="17">
        <v>440950</v>
      </c>
      <c r="L911" s="17">
        <v>99091.849660000007</v>
      </c>
      <c r="M911" s="17">
        <v>2024</v>
      </c>
      <c r="N911" s="17" t="s">
        <v>126</v>
      </c>
    </row>
    <row r="912" spans="1:14" ht="14.25" customHeight="1">
      <c r="A912" s="17">
        <v>10911</v>
      </c>
      <c r="B912" s="18">
        <v>45400</v>
      </c>
      <c r="C912" s="17" t="s">
        <v>39</v>
      </c>
      <c r="D912" s="17" t="s">
        <v>170</v>
      </c>
      <c r="E912" s="17" t="s">
        <v>162</v>
      </c>
      <c r="F912" s="17" t="s">
        <v>164</v>
      </c>
      <c r="G912" s="17">
        <v>8</v>
      </c>
      <c r="H912" s="17">
        <v>26826</v>
      </c>
      <c r="I912" s="17">
        <v>214608</v>
      </c>
      <c r="J912" s="17">
        <v>2615</v>
      </c>
      <c r="K912" s="17">
        <v>211993</v>
      </c>
      <c r="L912" s="17">
        <v>28061.390429999999</v>
      </c>
      <c r="M912" s="17">
        <v>2024</v>
      </c>
      <c r="N912" s="17" t="s">
        <v>114</v>
      </c>
    </row>
    <row r="913" spans="1:14" ht="14.25" customHeight="1">
      <c r="A913" s="17">
        <v>10912</v>
      </c>
      <c r="B913" s="18">
        <v>45437</v>
      </c>
      <c r="C913" s="17" t="s">
        <v>45</v>
      </c>
      <c r="D913" s="17" t="s">
        <v>86</v>
      </c>
      <c r="E913" s="17" t="s">
        <v>165</v>
      </c>
      <c r="F913" s="17" t="s">
        <v>163</v>
      </c>
      <c r="G913" s="17">
        <v>6</v>
      </c>
      <c r="H913" s="17">
        <v>19553</v>
      </c>
      <c r="I913" s="17">
        <v>117318</v>
      </c>
      <c r="J913" s="17">
        <v>1873</v>
      </c>
      <c r="K913" s="17">
        <v>115445</v>
      </c>
      <c r="L913" s="17">
        <v>27948.233629999999</v>
      </c>
      <c r="M913" s="17">
        <v>2024</v>
      </c>
      <c r="N913" s="17" t="s">
        <v>117</v>
      </c>
    </row>
    <row r="914" spans="1:14" ht="14.25" customHeight="1">
      <c r="A914" s="17">
        <v>10913</v>
      </c>
      <c r="B914" s="18">
        <v>45402</v>
      </c>
      <c r="C914" s="17" t="s">
        <v>50</v>
      </c>
      <c r="D914" s="17" t="s">
        <v>86</v>
      </c>
      <c r="E914" s="17" t="s">
        <v>165</v>
      </c>
      <c r="F914" s="17" t="s">
        <v>172</v>
      </c>
      <c r="G914" s="17">
        <v>6</v>
      </c>
      <c r="H914" s="17">
        <v>58165</v>
      </c>
      <c r="I914" s="17">
        <v>348990</v>
      </c>
      <c r="J914" s="17">
        <v>4307</v>
      </c>
      <c r="K914" s="17">
        <v>344683</v>
      </c>
      <c r="L914" s="17">
        <v>69487.875650000002</v>
      </c>
      <c r="M914" s="17">
        <v>2024</v>
      </c>
      <c r="N914" s="17" t="s">
        <v>114</v>
      </c>
    </row>
    <row r="915" spans="1:14" ht="14.25" customHeight="1">
      <c r="A915" s="17">
        <v>10914</v>
      </c>
      <c r="B915" s="18">
        <v>45519</v>
      </c>
      <c r="C915" s="17" t="s">
        <v>50</v>
      </c>
      <c r="D915" s="17" t="s">
        <v>170</v>
      </c>
      <c r="E915" s="17" t="s">
        <v>162</v>
      </c>
      <c r="F915" s="17" t="s">
        <v>172</v>
      </c>
      <c r="G915" s="17">
        <v>4</v>
      </c>
      <c r="H915" s="17">
        <v>62454</v>
      </c>
      <c r="I915" s="17">
        <v>249816</v>
      </c>
      <c r="J915" s="17">
        <v>1773</v>
      </c>
      <c r="K915" s="17">
        <v>248043</v>
      </c>
      <c r="L915" s="17">
        <v>32931.969810000002</v>
      </c>
      <c r="M915" s="17">
        <v>2024</v>
      </c>
      <c r="N915" s="17" t="s">
        <v>126</v>
      </c>
    </row>
    <row r="916" spans="1:14" ht="14.25" customHeight="1">
      <c r="A916" s="17">
        <v>10915</v>
      </c>
      <c r="B916" s="18">
        <v>45402</v>
      </c>
      <c r="C916" s="17" t="s">
        <v>167</v>
      </c>
      <c r="D916" s="17" t="s">
        <v>170</v>
      </c>
      <c r="E916" s="17" t="s">
        <v>168</v>
      </c>
      <c r="F916" s="17" t="s">
        <v>172</v>
      </c>
      <c r="G916" s="17">
        <v>9</v>
      </c>
      <c r="H916" s="17">
        <v>11959</v>
      </c>
      <c r="I916" s="17">
        <v>107631</v>
      </c>
      <c r="J916" s="17">
        <v>199</v>
      </c>
      <c r="K916" s="17">
        <v>107432</v>
      </c>
      <c r="L916" s="17">
        <v>16723.315439999998</v>
      </c>
      <c r="M916" s="17">
        <v>2024</v>
      </c>
      <c r="N916" s="17" t="s">
        <v>114</v>
      </c>
    </row>
    <row r="917" spans="1:14" ht="14.25" customHeight="1">
      <c r="A917" s="17">
        <v>10916</v>
      </c>
      <c r="B917" s="18">
        <v>45761</v>
      </c>
      <c r="C917" s="17" t="s">
        <v>58</v>
      </c>
      <c r="D917" s="17" t="s">
        <v>83</v>
      </c>
      <c r="E917" s="17" t="s">
        <v>162</v>
      </c>
      <c r="F917" s="17" t="s">
        <v>163</v>
      </c>
      <c r="G917" s="17">
        <v>7</v>
      </c>
      <c r="H917" s="17">
        <v>47715</v>
      </c>
      <c r="I917" s="17">
        <v>334005</v>
      </c>
      <c r="J917" s="17">
        <v>177</v>
      </c>
      <c r="K917" s="17">
        <v>333828</v>
      </c>
      <c r="L917" s="17">
        <v>38620.904730000002</v>
      </c>
      <c r="M917" s="17">
        <v>2025</v>
      </c>
      <c r="N917" s="17" t="s">
        <v>114</v>
      </c>
    </row>
    <row r="918" spans="1:14" ht="14.25" customHeight="1">
      <c r="A918" s="17">
        <v>10917</v>
      </c>
      <c r="B918" s="18">
        <v>45325</v>
      </c>
      <c r="C918" s="17" t="s">
        <v>58</v>
      </c>
      <c r="D918" s="17" t="s">
        <v>86</v>
      </c>
      <c r="E918" s="17" t="s">
        <v>165</v>
      </c>
      <c r="F918" s="17" t="s">
        <v>166</v>
      </c>
      <c r="G918" s="17">
        <v>6</v>
      </c>
      <c r="H918" s="17">
        <v>34379</v>
      </c>
      <c r="I918" s="17">
        <v>206274</v>
      </c>
      <c r="J918" s="17">
        <v>930</v>
      </c>
      <c r="K918" s="17">
        <v>205344</v>
      </c>
      <c r="L918" s="17">
        <v>38925.080049999997</v>
      </c>
      <c r="M918" s="17">
        <v>2024</v>
      </c>
      <c r="N918" s="17" t="s">
        <v>175</v>
      </c>
    </row>
    <row r="919" spans="1:14" ht="14.25" customHeight="1">
      <c r="A919" s="17">
        <v>10918</v>
      </c>
      <c r="B919" s="18">
        <v>45914</v>
      </c>
      <c r="C919" s="17" t="s">
        <v>58</v>
      </c>
      <c r="D919" s="17" t="s">
        <v>83</v>
      </c>
      <c r="E919" s="17" t="s">
        <v>168</v>
      </c>
      <c r="F919" s="17" t="s">
        <v>172</v>
      </c>
      <c r="G919" s="17">
        <v>1</v>
      </c>
      <c r="H919" s="17">
        <v>27674</v>
      </c>
      <c r="I919" s="17">
        <v>27674</v>
      </c>
      <c r="J919" s="17">
        <v>3736</v>
      </c>
      <c r="K919" s="17">
        <v>23938</v>
      </c>
      <c r="L919" s="17">
        <v>3001.3160010000001</v>
      </c>
      <c r="M919" s="17">
        <v>2025</v>
      </c>
      <c r="N919" s="17" t="s">
        <v>129</v>
      </c>
    </row>
    <row r="920" spans="1:14" ht="14.25" customHeight="1">
      <c r="A920" s="17">
        <v>10919</v>
      </c>
      <c r="B920" s="18">
        <v>45660</v>
      </c>
      <c r="C920" s="17" t="s">
        <v>50</v>
      </c>
      <c r="D920" s="17" t="s">
        <v>83</v>
      </c>
      <c r="E920" s="17" t="s">
        <v>165</v>
      </c>
      <c r="F920" s="17" t="s">
        <v>172</v>
      </c>
      <c r="G920" s="17">
        <v>2</v>
      </c>
      <c r="H920" s="17">
        <v>14559</v>
      </c>
      <c r="I920" s="17">
        <v>29118</v>
      </c>
      <c r="J920" s="17">
        <v>2036</v>
      </c>
      <c r="K920" s="17">
        <v>27082</v>
      </c>
      <c r="L920" s="17">
        <v>5523.7392559999998</v>
      </c>
      <c r="M920" s="17">
        <v>2025</v>
      </c>
      <c r="N920" s="17" t="s">
        <v>171</v>
      </c>
    </row>
    <row r="921" spans="1:14" ht="14.25" customHeight="1">
      <c r="A921" s="17">
        <v>10920</v>
      </c>
      <c r="B921" s="18">
        <v>45886</v>
      </c>
      <c r="C921" s="17" t="s">
        <v>167</v>
      </c>
      <c r="D921" s="17" t="s">
        <v>111</v>
      </c>
      <c r="E921" s="17" t="s">
        <v>162</v>
      </c>
      <c r="F921" s="17" t="s">
        <v>166</v>
      </c>
      <c r="G921" s="17">
        <v>6</v>
      </c>
      <c r="H921" s="17">
        <v>37252</v>
      </c>
      <c r="I921" s="17">
        <v>223512</v>
      </c>
      <c r="J921" s="17">
        <v>1485</v>
      </c>
      <c r="K921" s="17">
        <v>222027</v>
      </c>
      <c r="L921" s="17">
        <v>46756.002399999998</v>
      </c>
      <c r="M921" s="17">
        <v>2025</v>
      </c>
      <c r="N921" s="17" t="s">
        <v>126</v>
      </c>
    </row>
    <row r="922" spans="1:14" ht="14.25" customHeight="1">
      <c r="A922" s="17">
        <v>10921</v>
      </c>
      <c r="B922" s="18">
        <v>45845</v>
      </c>
      <c r="C922" s="17" t="s">
        <v>39</v>
      </c>
      <c r="D922" s="17" t="s">
        <v>89</v>
      </c>
      <c r="E922" s="17" t="s">
        <v>165</v>
      </c>
      <c r="F922" s="17" t="s">
        <v>172</v>
      </c>
      <c r="G922" s="17">
        <v>1</v>
      </c>
      <c r="H922" s="17">
        <v>31104</v>
      </c>
      <c r="I922" s="17">
        <v>31104</v>
      </c>
      <c r="J922" s="17">
        <v>2091</v>
      </c>
      <c r="K922" s="17">
        <v>29013</v>
      </c>
      <c r="L922" s="17">
        <v>4987.3411630000001</v>
      </c>
      <c r="M922" s="17">
        <v>2025</v>
      </c>
      <c r="N922" s="17" t="s">
        <v>123</v>
      </c>
    </row>
    <row r="923" spans="1:14" ht="14.25" customHeight="1">
      <c r="A923" s="17">
        <v>10922</v>
      </c>
      <c r="B923" s="18">
        <v>45716</v>
      </c>
      <c r="C923" s="17" t="s">
        <v>45</v>
      </c>
      <c r="D923" s="17" t="s">
        <v>86</v>
      </c>
      <c r="E923" s="17" t="s">
        <v>165</v>
      </c>
      <c r="F923" s="17" t="s">
        <v>164</v>
      </c>
      <c r="G923" s="17">
        <v>5</v>
      </c>
      <c r="H923" s="17">
        <v>5551</v>
      </c>
      <c r="I923" s="17">
        <v>27755</v>
      </c>
      <c r="J923" s="17">
        <v>4263</v>
      </c>
      <c r="K923" s="17">
        <v>23492</v>
      </c>
      <c r="L923" s="17">
        <v>2679.7915379999999</v>
      </c>
      <c r="M923" s="17">
        <v>2025</v>
      </c>
      <c r="N923" s="17" t="s">
        <v>175</v>
      </c>
    </row>
    <row r="924" spans="1:14" ht="14.25" customHeight="1">
      <c r="A924" s="17">
        <v>10923</v>
      </c>
      <c r="B924" s="18">
        <v>45904</v>
      </c>
      <c r="C924" s="17" t="s">
        <v>39</v>
      </c>
      <c r="D924" s="17" t="s">
        <v>170</v>
      </c>
      <c r="E924" s="17" t="s">
        <v>165</v>
      </c>
      <c r="F924" s="17" t="s">
        <v>166</v>
      </c>
      <c r="G924" s="17">
        <v>1</v>
      </c>
      <c r="H924" s="17">
        <v>70669</v>
      </c>
      <c r="I924" s="17">
        <v>70669</v>
      </c>
      <c r="J924" s="17">
        <v>2384</v>
      </c>
      <c r="K924" s="17">
        <v>68285</v>
      </c>
      <c r="L924" s="17">
        <v>13085.52137</v>
      </c>
      <c r="M924" s="17">
        <v>2025</v>
      </c>
      <c r="N924" s="17" t="s">
        <v>129</v>
      </c>
    </row>
    <row r="925" spans="1:14" ht="14.25" customHeight="1">
      <c r="A925" s="17">
        <v>10924</v>
      </c>
      <c r="B925" s="18">
        <v>45809</v>
      </c>
      <c r="C925" s="17" t="s">
        <v>50</v>
      </c>
      <c r="D925" s="17" t="s">
        <v>170</v>
      </c>
      <c r="E925" s="17" t="s">
        <v>168</v>
      </c>
      <c r="F925" s="17" t="s">
        <v>166</v>
      </c>
      <c r="G925" s="17">
        <v>3</v>
      </c>
      <c r="H925" s="17">
        <v>11607</v>
      </c>
      <c r="I925" s="17">
        <v>34821</v>
      </c>
      <c r="J925" s="17">
        <v>4088</v>
      </c>
      <c r="K925" s="17">
        <v>30733</v>
      </c>
      <c r="L925" s="17">
        <v>4789.147602</v>
      </c>
      <c r="M925" s="17">
        <v>2025</v>
      </c>
      <c r="N925" s="17" t="s">
        <v>120</v>
      </c>
    </row>
    <row r="926" spans="1:14" ht="14.25" customHeight="1">
      <c r="A926" s="17">
        <v>10925</v>
      </c>
      <c r="B926" s="18">
        <v>45983</v>
      </c>
      <c r="C926" s="17" t="s">
        <v>58</v>
      </c>
      <c r="D926" s="17" t="s">
        <v>89</v>
      </c>
      <c r="E926" s="17" t="s">
        <v>165</v>
      </c>
      <c r="F926" s="17" t="s">
        <v>166</v>
      </c>
      <c r="G926" s="17">
        <v>7</v>
      </c>
      <c r="H926" s="17">
        <v>47973</v>
      </c>
      <c r="I926" s="17">
        <v>335811</v>
      </c>
      <c r="J926" s="17">
        <v>4681</v>
      </c>
      <c r="K926" s="17">
        <v>331130</v>
      </c>
      <c r="L926" s="17">
        <v>80281.515069999994</v>
      </c>
      <c r="M926" s="17">
        <v>2025</v>
      </c>
      <c r="N926" s="17" t="s">
        <v>173</v>
      </c>
    </row>
    <row r="927" spans="1:14" ht="14.25" customHeight="1">
      <c r="A927" s="17">
        <v>10926</v>
      </c>
      <c r="B927" s="18">
        <v>45573</v>
      </c>
      <c r="C927" s="17" t="s">
        <v>45</v>
      </c>
      <c r="D927" s="17" t="s">
        <v>86</v>
      </c>
      <c r="E927" s="17" t="s">
        <v>168</v>
      </c>
      <c r="F927" s="17" t="s">
        <v>164</v>
      </c>
      <c r="G927" s="17">
        <v>5</v>
      </c>
      <c r="H927" s="17">
        <v>34858</v>
      </c>
      <c r="I927" s="17">
        <v>174290</v>
      </c>
      <c r="J927" s="17">
        <v>1915</v>
      </c>
      <c r="K927" s="17">
        <v>172375</v>
      </c>
      <c r="L927" s="17">
        <v>30507.075049999999</v>
      </c>
      <c r="M927" s="17">
        <v>2024</v>
      </c>
      <c r="N927" s="17" t="s">
        <v>174</v>
      </c>
    </row>
    <row r="928" spans="1:14" ht="14.25" customHeight="1">
      <c r="A928" s="17">
        <v>10927</v>
      </c>
      <c r="B928" s="18">
        <v>45611</v>
      </c>
      <c r="C928" s="17" t="s">
        <v>50</v>
      </c>
      <c r="D928" s="17" t="s">
        <v>170</v>
      </c>
      <c r="E928" s="17" t="s">
        <v>162</v>
      </c>
      <c r="F928" s="17" t="s">
        <v>166</v>
      </c>
      <c r="G928" s="17">
        <v>1</v>
      </c>
      <c r="H928" s="17">
        <v>44367</v>
      </c>
      <c r="I928" s="17">
        <v>44367</v>
      </c>
      <c r="J928" s="17">
        <v>15</v>
      </c>
      <c r="K928" s="17">
        <v>44352</v>
      </c>
      <c r="L928" s="17">
        <v>4915.9717030000002</v>
      </c>
      <c r="M928" s="17">
        <v>2024</v>
      </c>
      <c r="N928" s="17" t="s">
        <v>173</v>
      </c>
    </row>
    <row r="929" spans="1:14" ht="14.25" customHeight="1">
      <c r="A929" s="17">
        <v>10928</v>
      </c>
      <c r="B929" s="18">
        <v>45734</v>
      </c>
      <c r="C929" s="17" t="s">
        <v>50</v>
      </c>
      <c r="D929" s="17" t="s">
        <v>170</v>
      </c>
      <c r="E929" s="17" t="s">
        <v>162</v>
      </c>
      <c r="F929" s="17" t="s">
        <v>163</v>
      </c>
      <c r="G929" s="17">
        <v>1</v>
      </c>
      <c r="H929" s="17">
        <v>64851</v>
      </c>
      <c r="I929" s="17">
        <v>64851</v>
      </c>
      <c r="J929" s="17">
        <v>2934</v>
      </c>
      <c r="K929" s="17">
        <v>61917</v>
      </c>
      <c r="L929" s="17">
        <v>12099.03766</v>
      </c>
      <c r="M929" s="17">
        <v>2025</v>
      </c>
      <c r="N929" s="17" t="s">
        <v>112</v>
      </c>
    </row>
    <row r="930" spans="1:14" ht="14.25" customHeight="1">
      <c r="A930" s="17">
        <v>10929</v>
      </c>
      <c r="B930" s="18">
        <v>45606</v>
      </c>
      <c r="C930" s="17" t="s">
        <v>50</v>
      </c>
      <c r="D930" s="17" t="s">
        <v>111</v>
      </c>
      <c r="E930" s="17" t="s">
        <v>165</v>
      </c>
      <c r="F930" s="17" t="s">
        <v>163</v>
      </c>
      <c r="G930" s="17">
        <v>8</v>
      </c>
      <c r="H930" s="17">
        <v>61536</v>
      </c>
      <c r="I930" s="17">
        <v>492288</v>
      </c>
      <c r="J930" s="17">
        <v>836</v>
      </c>
      <c r="K930" s="17">
        <v>491452</v>
      </c>
      <c r="L930" s="17">
        <v>106597.44040000001</v>
      </c>
      <c r="M930" s="17">
        <v>2024</v>
      </c>
      <c r="N930" s="17" t="s">
        <v>173</v>
      </c>
    </row>
    <row r="931" spans="1:14" ht="14.25" customHeight="1">
      <c r="A931" s="17">
        <v>10930</v>
      </c>
      <c r="B931" s="18">
        <v>45668</v>
      </c>
      <c r="C931" s="17" t="s">
        <v>45</v>
      </c>
      <c r="D931" s="17" t="s">
        <v>83</v>
      </c>
      <c r="E931" s="17" t="s">
        <v>168</v>
      </c>
      <c r="F931" s="17" t="s">
        <v>163</v>
      </c>
      <c r="G931" s="17">
        <v>9</v>
      </c>
      <c r="H931" s="17">
        <v>23570</v>
      </c>
      <c r="I931" s="17">
        <v>212130</v>
      </c>
      <c r="J931" s="17">
        <v>2157</v>
      </c>
      <c r="K931" s="17">
        <v>209973</v>
      </c>
      <c r="L931" s="17">
        <v>26052.48846</v>
      </c>
      <c r="M931" s="17">
        <v>2025</v>
      </c>
      <c r="N931" s="17" t="s">
        <v>171</v>
      </c>
    </row>
    <row r="932" spans="1:14" ht="14.25" customHeight="1">
      <c r="A932" s="17">
        <v>10931</v>
      </c>
      <c r="B932" s="18">
        <v>45580</v>
      </c>
      <c r="C932" s="17" t="s">
        <v>45</v>
      </c>
      <c r="D932" s="17" t="s">
        <v>170</v>
      </c>
      <c r="E932" s="17" t="s">
        <v>162</v>
      </c>
      <c r="F932" s="17" t="s">
        <v>166</v>
      </c>
      <c r="G932" s="17">
        <v>7</v>
      </c>
      <c r="H932" s="17">
        <v>40938</v>
      </c>
      <c r="I932" s="17">
        <v>286566</v>
      </c>
      <c r="J932" s="17">
        <v>1576</v>
      </c>
      <c r="K932" s="17">
        <v>284990</v>
      </c>
      <c r="L932" s="17">
        <v>47695.528740000002</v>
      </c>
      <c r="M932" s="17">
        <v>2024</v>
      </c>
      <c r="N932" s="17" t="s">
        <v>174</v>
      </c>
    </row>
    <row r="933" spans="1:14" ht="14.25" customHeight="1">
      <c r="A933" s="17">
        <v>10932</v>
      </c>
      <c r="B933" s="18">
        <v>45728</v>
      </c>
      <c r="C933" s="17" t="s">
        <v>167</v>
      </c>
      <c r="D933" s="17" t="s">
        <v>86</v>
      </c>
      <c r="E933" s="17" t="s">
        <v>168</v>
      </c>
      <c r="F933" s="17" t="s">
        <v>166</v>
      </c>
      <c r="G933" s="17">
        <v>3</v>
      </c>
      <c r="H933" s="17">
        <v>56798</v>
      </c>
      <c r="I933" s="17">
        <v>170394</v>
      </c>
      <c r="J933" s="17">
        <v>305</v>
      </c>
      <c r="K933" s="17">
        <v>170089</v>
      </c>
      <c r="L933" s="17">
        <v>35970.343990000001</v>
      </c>
      <c r="M933" s="17">
        <v>2025</v>
      </c>
      <c r="N933" s="17" t="s">
        <v>112</v>
      </c>
    </row>
    <row r="934" spans="1:14" ht="14.25" customHeight="1">
      <c r="A934" s="17">
        <v>10933</v>
      </c>
      <c r="B934" s="18">
        <v>45953</v>
      </c>
      <c r="C934" s="17" t="s">
        <v>167</v>
      </c>
      <c r="D934" s="17" t="s">
        <v>89</v>
      </c>
      <c r="E934" s="17" t="s">
        <v>168</v>
      </c>
      <c r="F934" s="17" t="s">
        <v>166</v>
      </c>
      <c r="G934" s="17">
        <v>6</v>
      </c>
      <c r="H934" s="17">
        <v>64718</v>
      </c>
      <c r="I934" s="17">
        <v>388308</v>
      </c>
      <c r="J934" s="17">
        <v>2053</v>
      </c>
      <c r="K934" s="17">
        <v>386255</v>
      </c>
      <c r="L934" s="17">
        <v>39812.86421</v>
      </c>
      <c r="M934" s="17">
        <v>2025</v>
      </c>
      <c r="N934" s="17" t="s">
        <v>174</v>
      </c>
    </row>
    <row r="935" spans="1:14" ht="14.25" customHeight="1">
      <c r="A935" s="17">
        <v>10934</v>
      </c>
      <c r="B935" s="18">
        <v>45568</v>
      </c>
      <c r="C935" s="17" t="s">
        <v>39</v>
      </c>
      <c r="D935" s="17" t="s">
        <v>111</v>
      </c>
      <c r="E935" s="17" t="s">
        <v>165</v>
      </c>
      <c r="F935" s="17" t="s">
        <v>164</v>
      </c>
      <c r="G935" s="17">
        <v>3</v>
      </c>
      <c r="H935" s="17">
        <v>59969</v>
      </c>
      <c r="I935" s="17">
        <v>179907</v>
      </c>
      <c r="J935" s="17">
        <v>2890</v>
      </c>
      <c r="K935" s="17">
        <v>177017</v>
      </c>
      <c r="L935" s="17">
        <v>18470.92196</v>
      </c>
      <c r="M935" s="17">
        <v>2024</v>
      </c>
      <c r="N935" s="17" t="s">
        <v>174</v>
      </c>
    </row>
    <row r="936" spans="1:14" ht="14.25" customHeight="1">
      <c r="A936" s="17">
        <v>10935</v>
      </c>
      <c r="B936" s="18">
        <v>46001</v>
      </c>
      <c r="C936" s="17" t="s">
        <v>45</v>
      </c>
      <c r="D936" s="17" t="s">
        <v>86</v>
      </c>
      <c r="E936" s="17" t="s">
        <v>165</v>
      </c>
      <c r="F936" s="17" t="s">
        <v>163</v>
      </c>
      <c r="G936" s="17">
        <v>4</v>
      </c>
      <c r="H936" s="17">
        <v>50820</v>
      </c>
      <c r="I936" s="17">
        <v>203280</v>
      </c>
      <c r="J936" s="17">
        <v>3344</v>
      </c>
      <c r="K936" s="17">
        <v>199936</v>
      </c>
      <c r="L936" s="17">
        <v>40294.463649999998</v>
      </c>
      <c r="M936" s="17">
        <v>2025</v>
      </c>
      <c r="N936" s="17" t="s">
        <v>169</v>
      </c>
    </row>
    <row r="937" spans="1:14" ht="14.25" customHeight="1">
      <c r="A937" s="17">
        <v>10936</v>
      </c>
      <c r="B937" s="18">
        <v>45873</v>
      </c>
      <c r="C937" s="17" t="s">
        <v>45</v>
      </c>
      <c r="D937" s="17" t="s">
        <v>111</v>
      </c>
      <c r="E937" s="17" t="s">
        <v>168</v>
      </c>
      <c r="F937" s="17" t="s">
        <v>172</v>
      </c>
      <c r="G937" s="17">
        <v>4</v>
      </c>
      <c r="H937" s="17">
        <v>38218</v>
      </c>
      <c r="I937" s="17">
        <v>152872</v>
      </c>
      <c r="J937" s="17">
        <v>4456</v>
      </c>
      <c r="K937" s="17">
        <v>148416</v>
      </c>
      <c r="L937" s="17">
        <v>30984.656159999999</v>
      </c>
      <c r="M937" s="17">
        <v>2025</v>
      </c>
      <c r="N937" s="17" t="s">
        <v>126</v>
      </c>
    </row>
    <row r="938" spans="1:14" ht="14.25" customHeight="1">
      <c r="A938" s="17">
        <v>10937</v>
      </c>
      <c r="B938" s="18">
        <v>45794</v>
      </c>
      <c r="C938" s="17" t="s">
        <v>45</v>
      </c>
      <c r="D938" s="17" t="s">
        <v>83</v>
      </c>
      <c r="E938" s="17" t="s">
        <v>168</v>
      </c>
      <c r="F938" s="17" t="s">
        <v>172</v>
      </c>
      <c r="G938" s="17">
        <v>3</v>
      </c>
      <c r="H938" s="17">
        <v>14990</v>
      </c>
      <c r="I938" s="17">
        <v>44970</v>
      </c>
      <c r="J938" s="17">
        <v>1208</v>
      </c>
      <c r="K938" s="17">
        <v>43762</v>
      </c>
      <c r="L938" s="17">
        <v>9928.7407469999998</v>
      </c>
      <c r="M938" s="17">
        <v>2025</v>
      </c>
      <c r="N938" s="17" t="s">
        <v>117</v>
      </c>
    </row>
    <row r="939" spans="1:14" ht="14.25" customHeight="1">
      <c r="A939" s="17">
        <v>10938</v>
      </c>
      <c r="B939" s="18">
        <v>45915</v>
      </c>
      <c r="C939" s="17" t="s">
        <v>167</v>
      </c>
      <c r="D939" s="17" t="s">
        <v>170</v>
      </c>
      <c r="E939" s="17" t="s">
        <v>165</v>
      </c>
      <c r="F939" s="17" t="s">
        <v>166</v>
      </c>
      <c r="G939" s="17">
        <v>6</v>
      </c>
      <c r="H939" s="17">
        <v>17778</v>
      </c>
      <c r="I939" s="17">
        <v>106668</v>
      </c>
      <c r="J939" s="17">
        <v>1858</v>
      </c>
      <c r="K939" s="17">
        <v>104810</v>
      </c>
      <c r="L939" s="17">
        <v>16763.308499999999</v>
      </c>
      <c r="M939" s="17">
        <v>2025</v>
      </c>
      <c r="N939" s="17" t="s">
        <v>129</v>
      </c>
    </row>
    <row r="940" spans="1:14" ht="14.25" customHeight="1">
      <c r="A940" s="17">
        <v>10939</v>
      </c>
      <c r="B940" s="18">
        <v>45807</v>
      </c>
      <c r="C940" s="17" t="s">
        <v>50</v>
      </c>
      <c r="D940" s="17" t="s">
        <v>86</v>
      </c>
      <c r="E940" s="17" t="s">
        <v>168</v>
      </c>
      <c r="F940" s="17" t="s">
        <v>164</v>
      </c>
      <c r="G940" s="17">
        <v>5</v>
      </c>
      <c r="H940" s="17">
        <v>45140</v>
      </c>
      <c r="I940" s="17">
        <v>225700</v>
      </c>
      <c r="J940" s="17">
        <v>2703</v>
      </c>
      <c r="K940" s="17">
        <v>222997</v>
      </c>
      <c r="L940" s="17">
        <v>35337.554049999999</v>
      </c>
      <c r="M940" s="17">
        <v>2025</v>
      </c>
      <c r="N940" s="17" t="s">
        <v>117</v>
      </c>
    </row>
    <row r="941" spans="1:14" ht="14.25" customHeight="1">
      <c r="A941" s="17">
        <v>10940</v>
      </c>
      <c r="B941" s="18">
        <v>45641</v>
      </c>
      <c r="C941" s="17" t="s">
        <v>58</v>
      </c>
      <c r="D941" s="17" t="s">
        <v>89</v>
      </c>
      <c r="E941" s="17" t="s">
        <v>165</v>
      </c>
      <c r="F941" s="17" t="s">
        <v>166</v>
      </c>
      <c r="G941" s="17">
        <v>9</v>
      </c>
      <c r="H941" s="17">
        <v>56606</v>
      </c>
      <c r="I941" s="17">
        <v>509454</v>
      </c>
      <c r="J941" s="17">
        <v>1971</v>
      </c>
      <c r="K941" s="17">
        <v>507483</v>
      </c>
      <c r="L941" s="17">
        <v>92795.903390000007</v>
      </c>
      <c r="M941" s="17">
        <v>2024</v>
      </c>
      <c r="N941" s="17" t="s">
        <v>169</v>
      </c>
    </row>
    <row r="942" spans="1:14" ht="14.25" customHeight="1">
      <c r="A942" s="17">
        <v>10941</v>
      </c>
      <c r="B942" s="18">
        <v>45737</v>
      </c>
      <c r="C942" s="17" t="s">
        <v>167</v>
      </c>
      <c r="D942" s="17" t="s">
        <v>83</v>
      </c>
      <c r="E942" s="17" t="s">
        <v>168</v>
      </c>
      <c r="F942" s="17" t="s">
        <v>172</v>
      </c>
      <c r="G942" s="17">
        <v>9</v>
      </c>
      <c r="H942" s="17">
        <v>74344</v>
      </c>
      <c r="I942" s="17">
        <v>669096</v>
      </c>
      <c r="J942" s="17">
        <v>1113</v>
      </c>
      <c r="K942" s="17">
        <v>667983</v>
      </c>
      <c r="L942" s="17">
        <v>142680.52970000001</v>
      </c>
      <c r="M942" s="17">
        <v>2025</v>
      </c>
      <c r="N942" s="17" t="s">
        <v>112</v>
      </c>
    </row>
    <row r="943" spans="1:14" ht="14.25" customHeight="1">
      <c r="A943" s="17">
        <v>10942</v>
      </c>
      <c r="B943" s="18">
        <v>45641</v>
      </c>
      <c r="C943" s="17" t="s">
        <v>45</v>
      </c>
      <c r="D943" s="17" t="s">
        <v>83</v>
      </c>
      <c r="E943" s="17" t="s">
        <v>165</v>
      </c>
      <c r="F943" s="17" t="s">
        <v>163</v>
      </c>
      <c r="G943" s="17">
        <v>3</v>
      </c>
      <c r="H943" s="17">
        <v>64871</v>
      </c>
      <c r="I943" s="17">
        <v>194613</v>
      </c>
      <c r="J943" s="17">
        <v>983</v>
      </c>
      <c r="K943" s="17">
        <v>193630</v>
      </c>
      <c r="L943" s="17">
        <v>37980.297859999999</v>
      </c>
      <c r="M943" s="17">
        <v>2024</v>
      </c>
      <c r="N943" s="17" t="s">
        <v>169</v>
      </c>
    </row>
    <row r="944" spans="1:14" ht="14.25" customHeight="1">
      <c r="A944" s="17">
        <v>10943</v>
      </c>
      <c r="B944" s="18">
        <v>45898</v>
      </c>
      <c r="C944" s="17" t="s">
        <v>167</v>
      </c>
      <c r="D944" s="17" t="s">
        <v>111</v>
      </c>
      <c r="E944" s="17" t="s">
        <v>168</v>
      </c>
      <c r="F944" s="17" t="s">
        <v>172</v>
      </c>
      <c r="G944" s="17">
        <v>9</v>
      </c>
      <c r="H944" s="17">
        <v>33940</v>
      </c>
      <c r="I944" s="17">
        <v>305460</v>
      </c>
      <c r="J944" s="17">
        <v>3310</v>
      </c>
      <c r="K944" s="17">
        <v>302150</v>
      </c>
      <c r="L944" s="17">
        <v>45050.110439999997</v>
      </c>
      <c r="M944" s="17">
        <v>2025</v>
      </c>
      <c r="N944" s="17" t="s">
        <v>126</v>
      </c>
    </row>
    <row r="945" spans="1:14" ht="14.25" customHeight="1">
      <c r="A945" s="17">
        <v>10944</v>
      </c>
      <c r="B945" s="18">
        <v>45955</v>
      </c>
      <c r="C945" s="17" t="s">
        <v>39</v>
      </c>
      <c r="D945" s="17" t="s">
        <v>83</v>
      </c>
      <c r="E945" s="17" t="s">
        <v>165</v>
      </c>
      <c r="F945" s="17" t="s">
        <v>163</v>
      </c>
      <c r="G945" s="17">
        <v>3</v>
      </c>
      <c r="H945" s="17">
        <v>34590</v>
      </c>
      <c r="I945" s="17">
        <v>103770</v>
      </c>
      <c r="J945" s="17">
        <v>4001</v>
      </c>
      <c r="K945" s="17">
        <v>99769</v>
      </c>
      <c r="L945" s="17">
        <v>15163.100979999999</v>
      </c>
      <c r="M945" s="17">
        <v>2025</v>
      </c>
      <c r="N945" s="17" t="s">
        <v>174</v>
      </c>
    </row>
    <row r="946" spans="1:14" ht="14.25" customHeight="1">
      <c r="A946" s="17">
        <v>10945</v>
      </c>
      <c r="B946" s="18">
        <v>45428</v>
      </c>
      <c r="C946" s="17" t="s">
        <v>45</v>
      </c>
      <c r="D946" s="17" t="s">
        <v>86</v>
      </c>
      <c r="E946" s="17" t="s">
        <v>168</v>
      </c>
      <c r="F946" s="17" t="s">
        <v>163</v>
      </c>
      <c r="G946" s="17">
        <v>4</v>
      </c>
      <c r="H946" s="17">
        <v>56517</v>
      </c>
      <c r="I946" s="17">
        <v>226068</v>
      </c>
      <c r="J946" s="17">
        <v>2771</v>
      </c>
      <c r="K946" s="17">
        <v>223297</v>
      </c>
      <c r="L946" s="17">
        <v>47886.206960000003</v>
      </c>
      <c r="M946" s="17">
        <v>2024</v>
      </c>
      <c r="N946" s="17" t="s">
        <v>117</v>
      </c>
    </row>
    <row r="947" spans="1:14" ht="14.25" customHeight="1">
      <c r="A947" s="17">
        <v>10946</v>
      </c>
      <c r="B947" s="18">
        <v>45534</v>
      </c>
      <c r="C947" s="17" t="s">
        <v>39</v>
      </c>
      <c r="D947" s="17" t="s">
        <v>111</v>
      </c>
      <c r="E947" s="17" t="s">
        <v>162</v>
      </c>
      <c r="F947" s="17" t="s">
        <v>164</v>
      </c>
      <c r="G947" s="17">
        <v>1</v>
      </c>
      <c r="H947" s="17">
        <v>72145</v>
      </c>
      <c r="I947" s="17">
        <v>72145</v>
      </c>
      <c r="J947" s="17">
        <v>3152</v>
      </c>
      <c r="K947" s="17">
        <v>68993</v>
      </c>
      <c r="L947" s="17">
        <v>12432.33157</v>
      </c>
      <c r="M947" s="17">
        <v>2024</v>
      </c>
      <c r="N947" s="17" t="s">
        <v>126</v>
      </c>
    </row>
    <row r="948" spans="1:14" ht="14.25" customHeight="1">
      <c r="A948" s="17">
        <v>10947</v>
      </c>
      <c r="B948" s="18">
        <v>45834</v>
      </c>
      <c r="C948" s="17" t="s">
        <v>45</v>
      </c>
      <c r="D948" s="17" t="s">
        <v>83</v>
      </c>
      <c r="E948" s="17" t="s">
        <v>162</v>
      </c>
      <c r="F948" s="17" t="s">
        <v>172</v>
      </c>
      <c r="G948" s="17">
        <v>5</v>
      </c>
      <c r="H948" s="17">
        <v>34297</v>
      </c>
      <c r="I948" s="17">
        <v>171485</v>
      </c>
      <c r="J948" s="17">
        <v>2162</v>
      </c>
      <c r="K948" s="17">
        <v>169323</v>
      </c>
      <c r="L948" s="17">
        <v>19420.742999999999</v>
      </c>
      <c r="M948" s="17">
        <v>2025</v>
      </c>
      <c r="N948" s="17" t="s">
        <v>120</v>
      </c>
    </row>
    <row r="949" spans="1:14" ht="14.25" customHeight="1">
      <c r="A949" s="17">
        <v>10948</v>
      </c>
      <c r="B949" s="18">
        <v>45331</v>
      </c>
      <c r="C949" s="17" t="s">
        <v>167</v>
      </c>
      <c r="D949" s="17" t="s">
        <v>89</v>
      </c>
      <c r="E949" s="17" t="s">
        <v>168</v>
      </c>
      <c r="F949" s="17" t="s">
        <v>166</v>
      </c>
      <c r="G949" s="17">
        <v>9</v>
      </c>
      <c r="H949" s="17">
        <v>32866</v>
      </c>
      <c r="I949" s="17">
        <v>295794</v>
      </c>
      <c r="J949" s="17">
        <v>2127</v>
      </c>
      <c r="K949" s="17">
        <v>293667</v>
      </c>
      <c r="L949" s="17">
        <v>36106.13538</v>
      </c>
      <c r="M949" s="17">
        <v>2024</v>
      </c>
      <c r="N949" s="17" t="s">
        <v>175</v>
      </c>
    </row>
    <row r="950" spans="1:14" ht="14.25" customHeight="1">
      <c r="A950" s="17">
        <v>10949</v>
      </c>
      <c r="B950" s="18">
        <v>45520</v>
      </c>
      <c r="C950" s="17" t="s">
        <v>50</v>
      </c>
      <c r="D950" s="17" t="s">
        <v>86</v>
      </c>
      <c r="E950" s="17" t="s">
        <v>162</v>
      </c>
      <c r="F950" s="17" t="s">
        <v>164</v>
      </c>
      <c r="G950" s="17">
        <v>2</v>
      </c>
      <c r="H950" s="17">
        <v>38991</v>
      </c>
      <c r="I950" s="17">
        <v>77982</v>
      </c>
      <c r="J950" s="17">
        <v>3639</v>
      </c>
      <c r="K950" s="17">
        <v>74343</v>
      </c>
      <c r="L950" s="17">
        <v>16926.306919999999</v>
      </c>
      <c r="M950" s="17">
        <v>2024</v>
      </c>
      <c r="N950" s="17" t="s">
        <v>126</v>
      </c>
    </row>
    <row r="951" spans="1:14" ht="14.25" customHeight="1">
      <c r="A951" s="17">
        <v>10950</v>
      </c>
      <c r="B951" s="18">
        <v>45839</v>
      </c>
      <c r="C951" s="17" t="s">
        <v>58</v>
      </c>
      <c r="D951" s="17" t="s">
        <v>89</v>
      </c>
      <c r="E951" s="17" t="s">
        <v>168</v>
      </c>
      <c r="F951" s="17" t="s">
        <v>163</v>
      </c>
      <c r="G951" s="17">
        <v>4</v>
      </c>
      <c r="H951" s="17">
        <v>6907</v>
      </c>
      <c r="I951" s="17">
        <v>27628</v>
      </c>
      <c r="J951" s="17">
        <v>4274</v>
      </c>
      <c r="K951" s="17">
        <v>23354</v>
      </c>
      <c r="L951" s="17">
        <v>5834.3083020000004</v>
      </c>
      <c r="M951" s="17">
        <v>2025</v>
      </c>
      <c r="N951" s="17" t="s">
        <v>123</v>
      </c>
    </row>
    <row r="952" spans="1:14" ht="14.25" customHeight="1">
      <c r="A952" s="17">
        <v>10951</v>
      </c>
      <c r="B952" s="18">
        <v>45514</v>
      </c>
      <c r="C952" s="17" t="s">
        <v>39</v>
      </c>
      <c r="D952" s="17" t="s">
        <v>89</v>
      </c>
      <c r="E952" s="17" t="s">
        <v>168</v>
      </c>
      <c r="F952" s="17" t="s">
        <v>172</v>
      </c>
      <c r="G952" s="17">
        <v>2</v>
      </c>
      <c r="H952" s="17">
        <v>30938</v>
      </c>
      <c r="I952" s="17">
        <v>61876</v>
      </c>
      <c r="J952" s="17">
        <v>560</v>
      </c>
      <c r="K952" s="17">
        <v>61316</v>
      </c>
      <c r="L952" s="17">
        <v>9219.0099570000002</v>
      </c>
      <c r="M952" s="17">
        <v>2024</v>
      </c>
      <c r="N952" s="17" t="s">
        <v>126</v>
      </c>
    </row>
    <row r="953" spans="1:14" ht="14.25" customHeight="1">
      <c r="A953" s="17">
        <v>10952</v>
      </c>
      <c r="B953" s="18">
        <v>45297</v>
      </c>
      <c r="C953" s="17" t="s">
        <v>167</v>
      </c>
      <c r="D953" s="17" t="s">
        <v>111</v>
      </c>
      <c r="E953" s="17" t="s">
        <v>162</v>
      </c>
      <c r="F953" s="17" t="s">
        <v>166</v>
      </c>
      <c r="G953" s="17">
        <v>8</v>
      </c>
      <c r="H953" s="17">
        <v>10810</v>
      </c>
      <c r="I953" s="17">
        <v>86480</v>
      </c>
      <c r="J953" s="17">
        <v>1809</v>
      </c>
      <c r="K953" s="17">
        <v>84671</v>
      </c>
      <c r="L953" s="17">
        <v>13378.462460000001</v>
      </c>
      <c r="M953" s="17">
        <v>2024</v>
      </c>
      <c r="N953" s="17" t="s">
        <v>171</v>
      </c>
    </row>
    <row r="954" spans="1:14" ht="14.25" customHeight="1">
      <c r="A954" s="17">
        <v>10953</v>
      </c>
      <c r="B954" s="18">
        <v>45613</v>
      </c>
      <c r="C954" s="17" t="s">
        <v>50</v>
      </c>
      <c r="D954" s="17" t="s">
        <v>170</v>
      </c>
      <c r="E954" s="17" t="s">
        <v>168</v>
      </c>
      <c r="F954" s="17" t="s">
        <v>164</v>
      </c>
      <c r="G954" s="17">
        <v>9</v>
      </c>
      <c r="H954" s="17">
        <v>60600</v>
      </c>
      <c r="I954" s="17">
        <v>545400</v>
      </c>
      <c r="J954" s="17">
        <v>4387</v>
      </c>
      <c r="K954" s="17">
        <v>541013</v>
      </c>
      <c r="L954" s="17">
        <v>66638.304459999999</v>
      </c>
      <c r="M954" s="17">
        <v>2024</v>
      </c>
      <c r="N954" s="17" t="s">
        <v>173</v>
      </c>
    </row>
    <row r="955" spans="1:14" ht="14.25" customHeight="1">
      <c r="A955" s="17">
        <v>10954</v>
      </c>
      <c r="B955" s="18">
        <v>45759</v>
      </c>
      <c r="C955" s="17" t="s">
        <v>167</v>
      </c>
      <c r="D955" s="17" t="s">
        <v>111</v>
      </c>
      <c r="E955" s="17" t="s">
        <v>165</v>
      </c>
      <c r="F955" s="17" t="s">
        <v>166</v>
      </c>
      <c r="G955" s="17">
        <v>3</v>
      </c>
      <c r="H955" s="17">
        <v>63612</v>
      </c>
      <c r="I955" s="17">
        <v>190836</v>
      </c>
      <c r="J955" s="17">
        <v>2932</v>
      </c>
      <c r="K955" s="17">
        <v>187904</v>
      </c>
      <c r="L955" s="17">
        <v>25434.114699999998</v>
      </c>
      <c r="M955" s="17">
        <v>2025</v>
      </c>
      <c r="N955" s="17" t="s">
        <v>114</v>
      </c>
    </row>
    <row r="956" spans="1:14" ht="14.25" customHeight="1">
      <c r="A956" s="17">
        <v>10955</v>
      </c>
      <c r="B956" s="18">
        <v>45366</v>
      </c>
      <c r="C956" s="17" t="s">
        <v>39</v>
      </c>
      <c r="D956" s="17" t="s">
        <v>86</v>
      </c>
      <c r="E956" s="17" t="s">
        <v>168</v>
      </c>
      <c r="F956" s="17" t="s">
        <v>172</v>
      </c>
      <c r="G956" s="17">
        <v>9</v>
      </c>
      <c r="H956" s="17">
        <v>42705</v>
      </c>
      <c r="I956" s="17">
        <v>384345</v>
      </c>
      <c r="J956" s="17">
        <v>290</v>
      </c>
      <c r="K956" s="17">
        <v>384055</v>
      </c>
      <c r="L956" s="17">
        <v>62867.682309999997</v>
      </c>
      <c r="M956" s="17">
        <v>2024</v>
      </c>
      <c r="N956" s="17" t="s">
        <v>112</v>
      </c>
    </row>
    <row r="957" spans="1:14" ht="14.25" customHeight="1">
      <c r="A957" s="17">
        <v>10956</v>
      </c>
      <c r="B957" s="18">
        <v>45295</v>
      </c>
      <c r="C957" s="17" t="s">
        <v>58</v>
      </c>
      <c r="D957" s="17" t="s">
        <v>86</v>
      </c>
      <c r="E957" s="17" t="s">
        <v>168</v>
      </c>
      <c r="F957" s="17" t="s">
        <v>166</v>
      </c>
      <c r="G957" s="17">
        <v>6</v>
      </c>
      <c r="H957" s="17">
        <v>22615</v>
      </c>
      <c r="I957" s="17">
        <v>135690</v>
      </c>
      <c r="J957" s="17">
        <v>4637</v>
      </c>
      <c r="K957" s="17">
        <v>131053</v>
      </c>
      <c r="L957" s="17">
        <v>18695.81741</v>
      </c>
      <c r="M957" s="17">
        <v>2024</v>
      </c>
      <c r="N957" s="17" t="s">
        <v>171</v>
      </c>
    </row>
    <row r="958" spans="1:14" ht="14.25" customHeight="1">
      <c r="A958" s="17">
        <v>10957</v>
      </c>
      <c r="B958" s="18">
        <v>45937</v>
      </c>
      <c r="C958" s="17" t="s">
        <v>167</v>
      </c>
      <c r="D958" s="17" t="s">
        <v>111</v>
      </c>
      <c r="E958" s="17" t="s">
        <v>162</v>
      </c>
      <c r="F958" s="17" t="s">
        <v>164</v>
      </c>
      <c r="G958" s="17">
        <v>6</v>
      </c>
      <c r="H958" s="17">
        <v>71273</v>
      </c>
      <c r="I958" s="17">
        <v>427638</v>
      </c>
      <c r="J958" s="17">
        <v>1909</v>
      </c>
      <c r="K958" s="17">
        <v>425729</v>
      </c>
      <c r="L958" s="17">
        <v>87365.435289999994</v>
      </c>
      <c r="M958" s="17">
        <v>2025</v>
      </c>
      <c r="N958" s="17" t="s">
        <v>174</v>
      </c>
    </row>
    <row r="959" spans="1:14" ht="14.25" customHeight="1">
      <c r="A959" s="17">
        <v>10958</v>
      </c>
      <c r="B959" s="18">
        <v>45409</v>
      </c>
      <c r="C959" s="17" t="s">
        <v>45</v>
      </c>
      <c r="D959" s="17" t="s">
        <v>170</v>
      </c>
      <c r="E959" s="17" t="s">
        <v>165</v>
      </c>
      <c r="F959" s="17" t="s">
        <v>166</v>
      </c>
      <c r="G959" s="17">
        <v>7</v>
      </c>
      <c r="H959" s="17">
        <v>53703</v>
      </c>
      <c r="I959" s="17">
        <v>375921</v>
      </c>
      <c r="J959" s="17">
        <v>4689</v>
      </c>
      <c r="K959" s="17">
        <v>371232</v>
      </c>
      <c r="L959" s="17">
        <v>67073.238580000005</v>
      </c>
      <c r="M959" s="17">
        <v>2024</v>
      </c>
      <c r="N959" s="17" t="s">
        <v>114</v>
      </c>
    </row>
    <row r="960" spans="1:14" ht="14.25" customHeight="1">
      <c r="A960" s="17">
        <v>10959</v>
      </c>
      <c r="B960" s="18">
        <v>45897</v>
      </c>
      <c r="C960" s="17" t="s">
        <v>50</v>
      </c>
      <c r="D960" s="17" t="s">
        <v>111</v>
      </c>
      <c r="E960" s="17" t="s">
        <v>168</v>
      </c>
      <c r="F960" s="17" t="s">
        <v>172</v>
      </c>
      <c r="G960" s="17">
        <v>5</v>
      </c>
      <c r="H960" s="17">
        <v>64125</v>
      </c>
      <c r="I960" s="17">
        <v>320625</v>
      </c>
      <c r="J960" s="17">
        <v>1428</v>
      </c>
      <c r="K960" s="17">
        <v>319197</v>
      </c>
      <c r="L960" s="17">
        <v>71290.916469999996</v>
      </c>
      <c r="M960" s="17">
        <v>2025</v>
      </c>
      <c r="N960" s="17" t="s">
        <v>126</v>
      </c>
    </row>
    <row r="961" spans="1:14" ht="14.25" customHeight="1">
      <c r="A961" s="17">
        <v>10960</v>
      </c>
      <c r="B961" s="18">
        <v>45795</v>
      </c>
      <c r="C961" s="17" t="s">
        <v>167</v>
      </c>
      <c r="D961" s="17" t="s">
        <v>86</v>
      </c>
      <c r="E961" s="17" t="s">
        <v>168</v>
      </c>
      <c r="F961" s="17" t="s">
        <v>164</v>
      </c>
      <c r="G961" s="17">
        <v>6</v>
      </c>
      <c r="H961" s="17">
        <v>54681</v>
      </c>
      <c r="I961" s="17">
        <v>328086</v>
      </c>
      <c r="J961" s="17">
        <v>947</v>
      </c>
      <c r="K961" s="17">
        <v>327139</v>
      </c>
      <c r="L961" s="17">
        <v>68266.953559999994</v>
      </c>
      <c r="M961" s="17">
        <v>2025</v>
      </c>
      <c r="N961" s="17" t="s">
        <v>117</v>
      </c>
    </row>
    <row r="962" spans="1:14" ht="14.25" customHeight="1">
      <c r="A962" s="17">
        <v>10961</v>
      </c>
      <c r="B962" s="18">
        <v>45865</v>
      </c>
      <c r="C962" s="17" t="s">
        <v>50</v>
      </c>
      <c r="D962" s="17" t="s">
        <v>170</v>
      </c>
      <c r="E962" s="17" t="s">
        <v>168</v>
      </c>
      <c r="F962" s="17" t="s">
        <v>163</v>
      </c>
      <c r="G962" s="17">
        <v>1</v>
      </c>
      <c r="H962" s="17">
        <v>37567</v>
      </c>
      <c r="I962" s="17">
        <v>37567</v>
      </c>
      <c r="J962" s="17">
        <v>2527</v>
      </c>
      <c r="K962" s="17">
        <v>35040</v>
      </c>
      <c r="L962" s="17">
        <v>4177.296816</v>
      </c>
      <c r="M962" s="17">
        <v>2025</v>
      </c>
      <c r="N962" s="17" t="s">
        <v>123</v>
      </c>
    </row>
    <row r="963" spans="1:14" ht="14.25" customHeight="1">
      <c r="A963" s="17">
        <v>10962</v>
      </c>
      <c r="B963" s="18">
        <v>45732</v>
      </c>
      <c r="C963" s="17" t="s">
        <v>45</v>
      </c>
      <c r="D963" s="17" t="s">
        <v>86</v>
      </c>
      <c r="E963" s="17" t="s">
        <v>168</v>
      </c>
      <c r="F963" s="17" t="s">
        <v>164</v>
      </c>
      <c r="G963" s="17">
        <v>3</v>
      </c>
      <c r="H963" s="17">
        <v>9418</v>
      </c>
      <c r="I963" s="17">
        <v>28254</v>
      </c>
      <c r="J963" s="17">
        <v>1348</v>
      </c>
      <c r="K963" s="17">
        <v>26906</v>
      </c>
      <c r="L963" s="17">
        <v>3188.5855259999998</v>
      </c>
      <c r="M963" s="17">
        <v>2025</v>
      </c>
      <c r="N963" s="17" t="s">
        <v>112</v>
      </c>
    </row>
    <row r="964" spans="1:14" ht="14.25" customHeight="1">
      <c r="A964" s="17">
        <v>10963</v>
      </c>
      <c r="B964" s="18">
        <v>45485</v>
      </c>
      <c r="C964" s="17" t="s">
        <v>58</v>
      </c>
      <c r="D964" s="17" t="s">
        <v>170</v>
      </c>
      <c r="E964" s="17" t="s">
        <v>168</v>
      </c>
      <c r="F964" s="17" t="s">
        <v>172</v>
      </c>
      <c r="G964" s="17">
        <v>9</v>
      </c>
      <c r="H964" s="17">
        <v>47164</v>
      </c>
      <c r="I964" s="17">
        <v>424476</v>
      </c>
      <c r="J964" s="17">
        <v>380</v>
      </c>
      <c r="K964" s="17">
        <v>424096</v>
      </c>
      <c r="L964" s="17">
        <v>99385.750750000007</v>
      </c>
      <c r="M964" s="17">
        <v>2024</v>
      </c>
      <c r="N964" s="17" t="s">
        <v>123</v>
      </c>
    </row>
    <row r="965" spans="1:14" ht="14.25" customHeight="1">
      <c r="A965" s="17">
        <v>10964</v>
      </c>
      <c r="B965" s="18">
        <v>46006</v>
      </c>
      <c r="C965" s="17" t="s">
        <v>58</v>
      </c>
      <c r="D965" s="17" t="s">
        <v>170</v>
      </c>
      <c r="E965" s="17" t="s">
        <v>168</v>
      </c>
      <c r="F965" s="17" t="s">
        <v>166</v>
      </c>
      <c r="G965" s="17">
        <v>5</v>
      </c>
      <c r="H965" s="17">
        <v>6986</v>
      </c>
      <c r="I965" s="17">
        <v>34930</v>
      </c>
      <c r="J965" s="17">
        <v>1704</v>
      </c>
      <c r="K965" s="17">
        <v>33226</v>
      </c>
      <c r="L965" s="17">
        <v>7406.962066</v>
      </c>
      <c r="M965" s="17">
        <v>2025</v>
      </c>
      <c r="N965" s="17" t="s">
        <v>169</v>
      </c>
    </row>
    <row r="966" spans="1:14" ht="14.25" customHeight="1">
      <c r="A966" s="17">
        <v>10965</v>
      </c>
      <c r="B966" s="18">
        <v>45683</v>
      </c>
      <c r="C966" s="17" t="s">
        <v>45</v>
      </c>
      <c r="D966" s="17" t="s">
        <v>111</v>
      </c>
      <c r="E966" s="17" t="s">
        <v>165</v>
      </c>
      <c r="F966" s="17" t="s">
        <v>163</v>
      </c>
      <c r="G966" s="17">
        <v>5</v>
      </c>
      <c r="H966" s="17">
        <v>43593</v>
      </c>
      <c r="I966" s="17">
        <v>217965</v>
      </c>
      <c r="J966" s="17">
        <v>309</v>
      </c>
      <c r="K966" s="17">
        <v>217656</v>
      </c>
      <c r="L966" s="17">
        <v>37042.351929999997</v>
      </c>
      <c r="M966" s="17">
        <v>2025</v>
      </c>
      <c r="N966" s="17" t="s">
        <v>171</v>
      </c>
    </row>
    <row r="967" spans="1:14" ht="14.25" customHeight="1">
      <c r="A967" s="17">
        <v>10966</v>
      </c>
      <c r="B967" s="18">
        <v>45317</v>
      </c>
      <c r="C967" s="17" t="s">
        <v>50</v>
      </c>
      <c r="D967" s="17" t="s">
        <v>111</v>
      </c>
      <c r="E967" s="17" t="s">
        <v>165</v>
      </c>
      <c r="F967" s="17" t="s">
        <v>163</v>
      </c>
      <c r="G967" s="17">
        <v>8</v>
      </c>
      <c r="H967" s="17">
        <v>38983</v>
      </c>
      <c r="I967" s="17">
        <v>311864</v>
      </c>
      <c r="J967" s="17">
        <v>3414</v>
      </c>
      <c r="K967" s="17">
        <v>308450</v>
      </c>
      <c r="L967" s="17">
        <v>36876.622609999999</v>
      </c>
      <c r="M967" s="17">
        <v>2024</v>
      </c>
      <c r="N967" s="17" t="s">
        <v>171</v>
      </c>
    </row>
    <row r="968" spans="1:14" ht="14.25" customHeight="1">
      <c r="A968" s="17">
        <v>10967</v>
      </c>
      <c r="B968" s="18">
        <v>45726</v>
      </c>
      <c r="C968" s="17" t="s">
        <v>167</v>
      </c>
      <c r="D968" s="17" t="s">
        <v>111</v>
      </c>
      <c r="E968" s="17" t="s">
        <v>168</v>
      </c>
      <c r="F968" s="17" t="s">
        <v>166</v>
      </c>
      <c r="G968" s="17">
        <v>2</v>
      </c>
      <c r="H968" s="17">
        <v>36989</v>
      </c>
      <c r="I968" s="17">
        <v>73978</v>
      </c>
      <c r="J968" s="17">
        <v>1498</v>
      </c>
      <c r="K968" s="17">
        <v>72480</v>
      </c>
      <c r="L968" s="17">
        <v>17017.32143</v>
      </c>
      <c r="M968" s="17">
        <v>2025</v>
      </c>
      <c r="N968" s="17" t="s">
        <v>112</v>
      </c>
    </row>
    <row r="969" spans="1:14" ht="14.25" customHeight="1">
      <c r="A969" s="17">
        <v>10968</v>
      </c>
      <c r="B969" s="18">
        <v>45464</v>
      </c>
      <c r="C969" s="17" t="s">
        <v>45</v>
      </c>
      <c r="D969" s="17" t="s">
        <v>170</v>
      </c>
      <c r="E969" s="17" t="s">
        <v>168</v>
      </c>
      <c r="F969" s="17" t="s">
        <v>172</v>
      </c>
      <c r="G969" s="17">
        <v>7</v>
      </c>
      <c r="H969" s="17">
        <v>51887</v>
      </c>
      <c r="I969" s="17">
        <v>363209</v>
      </c>
      <c r="J969" s="17">
        <v>2894</v>
      </c>
      <c r="K969" s="17">
        <v>360315</v>
      </c>
      <c r="L969" s="17">
        <v>48500.2307</v>
      </c>
      <c r="M969" s="17">
        <v>2024</v>
      </c>
      <c r="N969" s="17" t="s">
        <v>120</v>
      </c>
    </row>
    <row r="970" spans="1:14" ht="14.25" customHeight="1">
      <c r="A970" s="17">
        <v>10969</v>
      </c>
      <c r="B970" s="18">
        <v>45591</v>
      </c>
      <c r="C970" s="17" t="s">
        <v>39</v>
      </c>
      <c r="D970" s="17" t="s">
        <v>170</v>
      </c>
      <c r="E970" s="17" t="s">
        <v>162</v>
      </c>
      <c r="F970" s="17" t="s">
        <v>164</v>
      </c>
      <c r="G970" s="17">
        <v>9</v>
      </c>
      <c r="H970" s="17">
        <v>28442</v>
      </c>
      <c r="I970" s="17">
        <v>255978</v>
      </c>
      <c r="J970" s="17">
        <v>660</v>
      </c>
      <c r="K970" s="17">
        <v>255318</v>
      </c>
      <c r="L970" s="17">
        <v>26892.700140000001</v>
      </c>
      <c r="M970" s="17">
        <v>2024</v>
      </c>
      <c r="N970" s="17" t="s">
        <v>174</v>
      </c>
    </row>
    <row r="971" spans="1:14" ht="14.25" customHeight="1">
      <c r="A971" s="17">
        <v>10970</v>
      </c>
      <c r="B971" s="18">
        <v>45936</v>
      </c>
      <c r="C971" s="17" t="s">
        <v>50</v>
      </c>
      <c r="D971" s="17" t="s">
        <v>86</v>
      </c>
      <c r="E971" s="17" t="s">
        <v>165</v>
      </c>
      <c r="F971" s="17" t="s">
        <v>172</v>
      </c>
      <c r="G971" s="17">
        <v>7</v>
      </c>
      <c r="H971" s="17">
        <v>16243</v>
      </c>
      <c r="I971" s="17">
        <v>113701</v>
      </c>
      <c r="J971" s="17">
        <v>3447</v>
      </c>
      <c r="K971" s="17">
        <v>110254</v>
      </c>
      <c r="L971" s="17">
        <v>26310.565689999999</v>
      </c>
      <c r="M971" s="17">
        <v>2025</v>
      </c>
      <c r="N971" s="17" t="s">
        <v>174</v>
      </c>
    </row>
    <row r="972" spans="1:14" ht="14.25" customHeight="1">
      <c r="A972" s="17">
        <v>10971</v>
      </c>
      <c r="B972" s="18">
        <v>45617</v>
      </c>
      <c r="C972" s="17" t="s">
        <v>58</v>
      </c>
      <c r="D972" s="17" t="s">
        <v>89</v>
      </c>
      <c r="E972" s="17" t="s">
        <v>165</v>
      </c>
      <c r="F972" s="17" t="s">
        <v>163</v>
      </c>
      <c r="G972" s="17">
        <v>5</v>
      </c>
      <c r="H972" s="17">
        <v>5132</v>
      </c>
      <c r="I972" s="17">
        <v>25660</v>
      </c>
      <c r="J972" s="17">
        <v>2273</v>
      </c>
      <c r="K972" s="17">
        <v>23387</v>
      </c>
      <c r="L972" s="17">
        <v>5176.4866039999997</v>
      </c>
      <c r="M972" s="17">
        <v>2024</v>
      </c>
      <c r="N972" s="17" t="s">
        <v>173</v>
      </c>
    </row>
    <row r="973" spans="1:14" ht="14.25" customHeight="1">
      <c r="A973" s="17">
        <v>10972</v>
      </c>
      <c r="B973" s="18">
        <v>45701</v>
      </c>
      <c r="C973" s="17" t="s">
        <v>45</v>
      </c>
      <c r="D973" s="17" t="s">
        <v>111</v>
      </c>
      <c r="E973" s="17" t="s">
        <v>168</v>
      </c>
      <c r="F973" s="17" t="s">
        <v>164</v>
      </c>
      <c r="G973" s="17">
        <v>6</v>
      </c>
      <c r="H973" s="17">
        <v>20556</v>
      </c>
      <c r="I973" s="17">
        <v>123336</v>
      </c>
      <c r="J973" s="17">
        <v>1497</v>
      </c>
      <c r="K973" s="17">
        <v>121839</v>
      </c>
      <c r="L973" s="17">
        <v>24857.867389999999</v>
      </c>
      <c r="M973" s="17">
        <v>2025</v>
      </c>
      <c r="N973" s="17" t="s">
        <v>175</v>
      </c>
    </row>
    <row r="974" spans="1:14" ht="14.25" customHeight="1">
      <c r="A974" s="17">
        <v>10973</v>
      </c>
      <c r="B974" s="18">
        <v>45409</v>
      </c>
      <c r="C974" s="17" t="s">
        <v>58</v>
      </c>
      <c r="D974" s="17" t="s">
        <v>86</v>
      </c>
      <c r="E974" s="17" t="s">
        <v>165</v>
      </c>
      <c r="F974" s="17" t="s">
        <v>164</v>
      </c>
      <c r="G974" s="17">
        <v>4</v>
      </c>
      <c r="H974" s="17">
        <v>69397</v>
      </c>
      <c r="I974" s="17">
        <v>277588</v>
      </c>
      <c r="J974" s="17">
        <v>2072</v>
      </c>
      <c r="K974" s="17">
        <v>275516</v>
      </c>
      <c r="L974" s="17">
        <v>28957.98619</v>
      </c>
      <c r="M974" s="17">
        <v>2024</v>
      </c>
      <c r="N974" s="17" t="s">
        <v>114</v>
      </c>
    </row>
    <row r="975" spans="1:14" ht="14.25" customHeight="1">
      <c r="A975" s="17">
        <v>10974</v>
      </c>
      <c r="B975" s="18">
        <v>46015</v>
      </c>
      <c r="C975" s="17" t="s">
        <v>50</v>
      </c>
      <c r="D975" s="17" t="s">
        <v>86</v>
      </c>
      <c r="E975" s="17" t="s">
        <v>165</v>
      </c>
      <c r="F975" s="17" t="s">
        <v>166</v>
      </c>
      <c r="G975" s="17">
        <v>7</v>
      </c>
      <c r="H975" s="17">
        <v>64440</v>
      </c>
      <c r="I975" s="17">
        <v>451080</v>
      </c>
      <c r="J975" s="17">
        <v>3436</v>
      </c>
      <c r="K975" s="17">
        <v>447644</v>
      </c>
      <c r="L975" s="17">
        <v>80246.756959999999</v>
      </c>
      <c r="M975" s="17">
        <v>2025</v>
      </c>
      <c r="N975" s="17" t="s">
        <v>169</v>
      </c>
    </row>
    <row r="976" spans="1:14" ht="14.25" customHeight="1">
      <c r="A976" s="17">
        <v>10975</v>
      </c>
      <c r="B976" s="18">
        <v>45516</v>
      </c>
      <c r="C976" s="17" t="s">
        <v>58</v>
      </c>
      <c r="D976" s="17" t="s">
        <v>83</v>
      </c>
      <c r="E976" s="17" t="s">
        <v>162</v>
      </c>
      <c r="F976" s="17" t="s">
        <v>172</v>
      </c>
      <c r="G976" s="17">
        <v>1</v>
      </c>
      <c r="H976" s="17">
        <v>38855</v>
      </c>
      <c r="I976" s="17">
        <v>38855</v>
      </c>
      <c r="J976" s="17">
        <v>2142</v>
      </c>
      <c r="K976" s="17">
        <v>36713</v>
      </c>
      <c r="L976" s="17">
        <v>7270.8416239999997</v>
      </c>
      <c r="M976" s="17">
        <v>2024</v>
      </c>
      <c r="N976" s="17" t="s">
        <v>126</v>
      </c>
    </row>
    <row r="977" spans="1:14" ht="14.25" customHeight="1">
      <c r="A977" s="17">
        <v>10976</v>
      </c>
      <c r="B977" s="18">
        <v>45823</v>
      </c>
      <c r="C977" s="17" t="s">
        <v>45</v>
      </c>
      <c r="D977" s="17" t="s">
        <v>111</v>
      </c>
      <c r="E977" s="17" t="s">
        <v>162</v>
      </c>
      <c r="F977" s="17" t="s">
        <v>164</v>
      </c>
      <c r="G977" s="17">
        <v>4</v>
      </c>
      <c r="H977" s="17">
        <v>14839</v>
      </c>
      <c r="I977" s="17">
        <v>59356</v>
      </c>
      <c r="J977" s="17">
        <v>4660</v>
      </c>
      <c r="K977" s="17">
        <v>54696</v>
      </c>
      <c r="L977" s="17">
        <v>11699.5885</v>
      </c>
      <c r="M977" s="17">
        <v>2025</v>
      </c>
      <c r="N977" s="17" t="s">
        <v>120</v>
      </c>
    </row>
    <row r="978" spans="1:14" ht="14.25" customHeight="1">
      <c r="A978" s="17">
        <v>10977</v>
      </c>
      <c r="B978" s="18">
        <v>45404</v>
      </c>
      <c r="C978" s="17" t="s">
        <v>50</v>
      </c>
      <c r="D978" s="17" t="s">
        <v>86</v>
      </c>
      <c r="E978" s="17" t="s">
        <v>165</v>
      </c>
      <c r="F978" s="17" t="s">
        <v>166</v>
      </c>
      <c r="G978" s="17">
        <v>3</v>
      </c>
      <c r="H978" s="17">
        <v>64064</v>
      </c>
      <c r="I978" s="17">
        <v>192192</v>
      </c>
      <c r="J978" s="17">
        <v>1605</v>
      </c>
      <c r="K978" s="17">
        <v>190587</v>
      </c>
      <c r="L978" s="17">
        <v>32525.783769999998</v>
      </c>
      <c r="M978" s="17">
        <v>2024</v>
      </c>
      <c r="N978" s="17" t="s">
        <v>114</v>
      </c>
    </row>
    <row r="979" spans="1:14" ht="14.25" customHeight="1">
      <c r="A979" s="17">
        <v>10978</v>
      </c>
      <c r="B979" s="18">
        <v>45431</v>
      </c>
      <c r="C979" s="17" t="s">
        <v>39</v>
      </c>
      <c r="D979" s="17" t="s">
        <v>83</v>
      </c>
      <c r="E979" s="17" t="s">
        <v>165</v>
      </c>
      <c r="F979" s="17" t="s">
        <v>172</v>
      </c>
      <c r="G979" s="17">
        <v>4</v>
      </c>
      <c r="H979" s="17">
        <v>48220</v>
      </c>
      <c r="I979" s="17">
        <v>192880</v>
      </c>
      <c r="J979" s="17">
        <v>4739</v>
      </c>
      <c r="K979" s="17">
        <v>188141</v>
      </c>
      <c r="L979" s="17">
        <v>45718.713600000003</v>
      </c>
      <c r="M979" s="17">
        <v>2024</v>
      </c>
      <c r="N979" s="17" t="s">
        <v>117</v>
      </c>
    </row>
    <row r="980" spans="1:14" ht="14.25" customHeight="1">
      <c r="A980" s="17">
        <v>10979</v>
      </c>
      <c r="B980" s="18">
        <v>45850</v>
      </c>
      <c r="C980" s="17" t="s">
        <v>45</v>
      </c>
      <c r="D980" s="17" t="s">
        <v>111</v>
      </c>
      <c r="E980" s="17" t="s">
        <v>165</v>
      </c>
      <c r="F980" s="17" t="s">
        <v>163</v>
      </c>
      <c r="G980" s="17">
        <v>1</v>
      </c>
      <c r="H980" s="17">
        <v>46078</v>
      </c>
      <c r="I980" s="17">
        <v>46078</v>
      </c>
      <c r="J980" s="17">
        <v>1431</v>
      </c>
      <c r="K980" s="17">
        <v>44647</v>
      </c>
      <c r="L980" s="17">
        <v>6104.011004</v>
      </c>
      <c r="M980" s="17">
        <v>2025</v>
      </c>
      <c r="N980" s="17" t="s">
        <v>123</v>
      </c>
    </row>
    <row r="981" spans="1:14" ht="14.25" customHeight="1">
      <c r="A981" s="17">
        <v>10980</v>
      </c>
      <c r="B981" s="18">
        <v>45292</v>
      </c>
      <c r="C981" s="17" t="s">
        <v>167</v>
      </c>
      <c r="D981" s="17" t="s">
        <v>170</v>
      </c>
      <c r="E981" s="17" t="s">
        <v>168</v>
      </c>
      <c r="F981" s="17" t="s">
        <v>163</v>
      </c>
      <c r="G981" s="17">
        <v>2</v>
      </c>
      <c r="H981" s="17">
        <v>71430</v>
      </c>
      <c r="I981" s="17">
        <v>142860</v>
      </c>
      <c r="J981" s="17">
        <v>1950</v>
      </c>
      <c r="K981" s="17">
        <v>140910</v>
      </c>
      <c r="L981" s="17">
        <v>15564.952079999999</v>
      </c>
      <c r="M981" s="17">
        <v>2024</v>
      </c>
      <c r="N981" s="17" t="s">
        <v>171</v>
      </c>
    </row>
    <row r="982" spans="1:14" ht="14.25" customHeight="1">
      <c r="A982" s="17">
        <v>10981</v>
      </c>
      <c r="B982" s="18">
        <v>45381</v>
      </c>
      <c r="C982" s="17" t="s">
        <v>45</v>
      </c>
      <c r="D982" s="17" t="s">
        <v>83</v>
      </c>
      <c r="E982" s="17" t="s">
        <v>162</v>
      </c>
      <c r="F982" s="17" t="s">
        <v>172</v>
      </c>
      <c r="G982" s="17">
        <v>9</v>
      </c>
      <c r="H982" s="17">
        <v>6265</v>
      </c>
      <c r="I982" s="17">
        <v>56385</v>
      </c>
      <c r="J982" s="17">
        <v>3922</v>
      </c>
      <c r="K982" s="17">
        <v>52463</v>
      </c>
      <c r="L982" s="17">
        <v>7864.9873269999998</v>
      </c>
      <c r="M982" s="17">
        <v>2024</v>
      </c>
      <c r="N982" s="17" t="s">
        <v>112</v>
      </c>
    </row>
    <row r="983" spans="1:14" ht="14.25" customHeight="1">
      <c r="A983" s="17">
        <v>10982</v>
      </c>
      <c r="B983" s="18">
        <v>45945</v>
      </c>
      <c r="C983" s="17" t="s">
        <v>50</v>
      </c>
      <c r="D983" s="17" t="s">
        <v>170</v>
      </c>
      <c r="E983" s="17" t="s">
        <v>168</v>
      </c>
      <c r="F983" s="17" t="s">
        <v>164</v>
      </c>
      <c r="G983" s="17">
        <v>7</v>
      </c>
      <c r="H983" s="17">
        <v>27807</v>
      </c>
      <c r="I983" s="17">
        <v>194649</v>
      </c>
      <c r="J983" s="17">
        <v>458</v>
      </c>
      <c r="K983" s="17">
        <v>194191</v>
      </c>
      <c r="L983" s="17">
        <v>38696.582439999998</v>
      </c>
      <c r="M983" s="17">
        <v>2025</v>
      </c>
      <c r="N983" s="17" t="s">
        <v>174</v>
      </c>
    </row>
    <row r="984" spans="1:14" ht="14.25" customHeight="1">
      <c r="A984" s="17">
        <v>10983</v>
      </c>
      <c r="B984" s="18">
        <v>45611</v>
      </c>
      <c r="C984" s="17" t="s">
        <v>45</v>
      </c>
      <c r="D984" s="17" t="s">
        <v>89</v>
      </c>
      <c r="E984" s="17" t="s">
        <v>162</v>
      </c>
      <c r="F984" s="17" t="s">
        <v>164</v>
      </c>
      <c r="G984" s="17">
        <v>6</v>
      </c>
      <c r="H984" s="17">
        <v>54514</v>
      </c>
      <c r="I984" s="17">
        <v>327084</v>
      </c>
      <c r="J984" s="17">
        <v>2948</v>
      </c>
      <c r="K984" s="17">
        <v>324136</v>
      </c>
      <c r="L984" s="17">
        <v>68254.478130000003</v>
      </c>
      <c r="M984" s="17">
        <v>2024</v>
      </c>
      <c r="N984" s="17" t="s">
        <v>173</v>
      </c>
    </row>
    <row r="985" spans="1:14" ht="14.25" customHeight="1">
      <c r="A985" s="17">
        <v>10984</v>
      </c>
      <c r="B985" s="18">
        <v>45841</v>
      </c>
      <c r="C985" s="17" t="s">
        <v>39</v>
      </c>
      <c r="D985" s="17" t="s">
        <v>89</v>
      </c>
      <c r="E985" s="17" t="s">
        <v>162</v>
      </c>
      <c r="F985" s="17" t="s">
        <v>163</v>
      </c>
      <c r="G985" s="17">
        <v>2</v>
      </c>
      <c r="H985" s="17">
        <v>61316</v>
      </c>
      <c r="I985" s="17">
        <v>122632</v>
      </c>
      <c r="J985" s="17">
        <v>337</v>
      </c>
      <c r="K985" s="17">
        <v>122295</v>
      </c>
      <c r="L985" s="17">
        <v>25776.671699999999</v>
      </c>
      <c r="M985" s="17">
        <v>2025</v>
      </c>
      <c r="N985" s="17" t="s">
        <v>123</v>
      </c>
    </row>
    <row r="986" spans="1:14" ht="14.25" customHeight="1">
      <c r="A986" s="17">
        <v>10985</v>
      </c>
      <c r="B986" s="18">
        <v>45430</v>
      </c>
      <c r="C986" s="17" t="s">
        <v>39</v>
      </c>
      <c r="D986" s="17" t="s">
        <v>89</v>
      </c>
      <c r="E986" s="17" t="s">
        <v>162</v>
      </c>
      <c r="F986" s="17" t="s">
        <v>163</v>
      </c>
      <c r="G986" s="17">
        <v>1</v>
      </c>
      <c r="H986" s="17">
        <v>69817</v>
      </c>
      <c r="I986" s="17">
        <v>69817</v>
      </c>
      <c r="J986" s="17">
        <v>3943</v>
      </c>
      <c r="K986" s="17">
        <v>65874</v>
      </c>
      <c r="L986" s="17">
        <v>7680.9791580000001</v>
      </c>
      <c r="M986" s="17">
        <v>2024</v>
      </c>
      <c r="N986" s="17" t="s">
        <v>117</v>
      </c>
    </row>
    <row r="987" spans="1:14" ht="14.25" customHeight="1">
      <c r="A987" s="17">
        <v>10986</v>
      </c>
      <c r="B987" s="18">
        <v>45802</v>
      </c>
      <c r="C987" s="17" t="s">
        <v>167</v>
      </c>
      <c r="D987" s="17" t="s">
        <v>89</v>
      </c>
      <c r="E987" s="17" t="s">
        <v>165</v>
      </c>
      <c r="F987" s="17" t="s">
        <v>164</v>
      </c>
      <c r="G987" s="17">
        <v>2</v>
      </c>
      <c r="H987" s="17">
        <v>37229</v>
      </c>
      <c r="I987" s="17">
        <v>74458</v>
      </c>
      <c r="J987" s="17">
        <v>2013</v>
      </c>
      <c r="K987" s="17">
        <v>72445</v>
      </c>
      <c r="L987" s="17">
        <v>16862.545829999999</v>
      </c>
      <c r="M987" s="17">
        <v>2025</v>
      </c>
      <c r="N987" s="17" t="s">
        <v>117</v>
      </c>
    </row>
    <row r="988" spans="1:14" ht="14.25" customHeight="1">
      <c r="A988" s="17">
        <v>10987</v>
      </c>
      <c r="B988" s="18">
        <v>45550</v>
      </c>
      <c r="C988" s="17" t="s">
        <v>58</v>
      </c>
      <c r="D988" s="17" t="s">
        <v>86</v>
      </c>
      <c r="E988" s="17" t="s">
        <v>162</v>
      </c>
      <c r="F988" s="17" t="s">
        <v>172</v>
      </c>
      <c r="G988" s="17">
        <v>7</v>
      </c>
      <c r="H988" s="17">
        <v>37748</v>
      </c>
      <c r="I988" s="17">
        <v>264236</v>
      </c>
      <c r="J988" s="17">
        <v>4020</v>
      </c>
      <c r="K988" s="17">
        <v>260216</v>
      </c>
      <c r="L988" s="17">
        <v>36983.213430000003</v>
      </c>
      <c r="M988" s="17">
        <v>2024</v>
      </c>
      <c r="N988" s="17" t="s">
        <v>129</v>
      </c>
    </row>
    <row r="989" spans="1:14" ht="14.25" customHeight="1">
      <c r="A989" s="17">
        <v>10988</v>
      </c>
      <c r="B989" s="18">
        <v>45964</v>
      </c>
      <c r="C989" s="17" t="s">
        <v>50</v>
      </c>
      <c r="D989" s="17" t="s">
        <v>89</v>
      </c>
      <c r="E989" s="17" t="s">
        <v>168</v>
      </c>
      <c r="F989" s="17" t="s">
        <v>163</v>
      </c>
      <c r="G989" s="17">
        <v>2</v>
      </c>
      <c r="H989" s="17">
        <v>46273</v>
      </c>
      <c r="I989" s="17">
        <v>92546</v>
      </c>
      <c r="J989" s="17">
        <v>344</v>
      </c>
      <c r="K989" s="17">
        <v>92202</v>
      </c>
      <c r="L989" s="17">
        <v>12123.33359</v>
      </c>
      <c r="M989" s="17">
        <v>2025</v>
      </c>
      <c r="N989" s="17" t="s">
        <v>173</v>
      </c>
    </row>
    <row r="990" spans="1:14" ht="14.25" customHeight="1">
      <c r="A990" s="17">
        <v>10989</v>
      </c>
      <c r="B990" s="18">
        <v>45981</v>
      </c>
      <c r="C990" s="17" t="s">
        <v>50</v>
      </c>
      <c r="D990" s="17" t="s">
        <v>86</v>
      </c>
      <c r="E990" s="17" t="s">
        <v>162</v>
      </c>
      <c r="F990" s="17" t="s">
        <v>164</v>
      </c>
      <c r="G990" s="17">
        <v>3</v>
      </c>
      <c r="H990" s="17">
        <v>59784</v>
      </c>
      <c r="I990" s="17">
        <v>179352</v>
      </c>
      <c r="J990" s="17">
        <v>4671</v>
      </c>
      <c r="K990" s="17">
        <v>174681</v>
      </c>
      <c r="L990" s="17">
        <v>33568.206980000003</v>
      </c>
      <c r="M990" s="17">
        <v>2025</v>
      </c>
      <c r="N990" s="17" t="s">
        <v>173</v>
      </c>
    </row>
    <row r="991" spans="1:14" ht="14.25" customHeight="1">
      <c r="A991" s="17">
        <v>10990</v>
      </c>
      <c r="B991" s="18">
        <v>45301</v>
      </c>
      <c r="C991" s="17" t="s">
        <v>58</v>
      </c>
      <c r="D991" s="17" t="s">
        <v>86</v>
      </c>
      <c r="E991" s="17" t="s">
        <v>168</v>
      </c>
      <c r="F991" s="17" t="s">
        <v>172</v>
      </c>
      <c r="G991" s="17">
        <v>8</v>
      </c>
      <c r="H991" s="17">
        <v>23090</v>
      </c>
      <c r="I991" s="17">
        <v>184720</v>
      </c>
      <c r="J991" s="17">
        <v>942</v>
      </c>
      <c r="K991" s="17">
        <v>183778</v>
      </c>
      <c r="L991" s="17">
        <v>24217.779879999998</v>
      </c>
      <c r="M991" s="17">
        <v>2024</v>
      </c>
      <c r="N991" s="17" t="s">
        <v>171</v>
      </c>
    </row>
    <row r="992" spans="1:14" ht="14.25" customHeight="1">
      <c r="A992" s="17">
        <v>10991</v>
      </c>
      <c r="B992" s="18">
        <v>45552</v>
      </c>
      <c r="C992" s="17" t="s">
        <v>39</v>
      </c>
      <c r="D992" s="17" t="s">
        <v>111</v>
      </c>
      <c r="E992" s="17" t="s">
        <v>162</v>
      </c>
      <c r="F992" s="17" t="s">
        <v>166</v>
      </c>
      <c r="G992" s="17">
        <v>7</v>
      </c>
      <c r="H992" s="17">
        <v>18374</v>
      </c>
      <c r="I992" s="17">
        <v>128618</v>
      </c>
      <c r="J992" s="17">
        <v>345</v>
      </c>
      <c r="K992" s="17">
        <v>128273</v>
      </c>
      <c r="L992" s="17">
        <v>22602.443240000001</v>
      </c>
      <c r="M992" s="17">
        <v>2024</v>
      </c>
      <c r="N992" s="17" t="s">
        <v>129</v>
      </c>
    </row>
    <row r="993" spans="1:14" ht="14.25" customHeight="1">
      <c r="A993" s="17">
        <v>10992</v>
      </c>
      <c r="B993" s="18">
        <v>45941</v>
      </c>
      <c r="C993" s="17" t="s">
        <v>39</v>
      </c>
      <c r="D993" s="17" t="s">
        <v>86</v>
      </c>
      <c r="E993" s="17" t="s">
        <v>162</v>
      </c>
      <c r="F993" s="17" t="s">
        <v>172</v>
      </c>
      <c r="G993" s="17">
        <v>9</v>
      </c>
      <c r="H993" s="17">
        <v>51116</v>
      </c>
      <c r="I993" s="17">
        <v>460044</v>
      </c>
      <c r="J993" s="17">
        <v>3894</v>
      </c>
      <c r="K993" s="17">
        <v>456150</v>
      </c>
      <c r="L993" s="17">
        <v>73464.989409999995</v>
      </c>
      <c r="M993" s="17">
        <v>2025</v>
      </c>
      <c r="N993" s="17" t="s">
        <v>174</v>
      </c>
    </row>
    <row r="994" spans="1:14" ht="14.25" customHeight="1">
      <c r="A994" s="17">
        <v>10993</v>
      </c>
      <c r="B994" s="18">
        <v>45463</v>
      </c>
      <c r="C994" s="17" t="s">
        <v>45</v>
      </c>
      <c r="D994" s="17" t="s">
        <v>86</v>
      </c>
      <c r="E994" s="17" t="s">
        <v>165</v>
      </c>
      <c r="F994" s="17" t="s">
        <v>164</v>
      </c>
      <c r="G994" s="17">
        <v>4</v>
      </c>
      <c r="H994" s="17">
        <v>64133</v>
      </c>
      <c r="I994" s="17">
        <v>256532</v>
      </c>
      <c r="J994" s="17">
        <v>3319</v>
      </c>
      <c r="K994" s="17">
        <v>253213</v>
      </c>
      <c r="L994" s="17">
        <v>34134.413760000003</v>
      </c>
      <c r="M994" s="17">
        <v>2024</v>
      </c>
      <c r="N994" s="17" t="s">
        <v>120</v>
      </c>
    </row>
    <row r="995" spans="1:14" ht="14.25" customHeight="1">
      <c r="A995" s="17">
        <v>10994</v>
      </c>
      <c r="B995" s="18">
        <v>45304</v>
      </c>
      <c r="C995" s="17" t="s">
        <v>167</v>
      </c>
      <c r="D995" s="17" t="s">
        <v>89</v>
      </c>
      <c r="E995" s="17" t="s">
        <v>168</v>
      </c>
      <c r="F995" s="17" t="s">
        <v>172</v>
      </c>
      <c r="G995" s="17">
        <v>7</v>
      </c>
      <c r="H995" s="17">
        <v>72929</v>
      </c>
      <c r="I995" s="17">
        <v>510503</v>
      </c>
      <c r="J995" s="17">
        <v>3695</v>
      </c>
      <c r="K995" s="17">
        <v>506808</v>
      </c>
      <c r="L995" s="17">
        <v>72883.523730000001</v>
      </c>
      <c r="M995" s="17">
        <v>2024</v>
      </c>
      <c r="N995" s="17" t="s">
        <v>171</v>
      </c>
    </row>
    <row r="996" spans="1:14" ht="14.25" customHeight="1">
      <c r="A996" s="17">
        <v>10995</v>
      </c>
      <c r="B996" s="18">
        <v>45459</v>
      </c>
      <c r="C996" s="17" t="s">
        <v>167</v>
      </c>
      <c r="D996" s="17" t="s">
        <v>86</v>
      </c>
      <c r="E996" s="17" t="s">
        <v>162</v>
      </c>
      <c r="F996" s="17" t="s">
        <v>164</v>
      </c>
      <c r="G996" s="17">
        <v>1</v>
      </c>
      <c r="H996" s="17">
        <v>62278</v>
      </c>
      <c r="I996" s="17">
        <v>62278</v>
      </c>
      <c r="J996" s="17">
        <v>324</v>
      </c>
      <c r="K996" s="17">
        <v>61954</v>
      </c>
      <c r="L996" s="17">
        <v>10167.33814</v>
      </c>
      <c r="M996" s="17">
        <v>2024</v>
      </c>
      <c r="N996" s="17" t="s">
        <v>120</v>
      </c>
    </row>
    <row r="997" spans="1:14" ht="14.25" customHeight="1">
      <c r="A997" s="17">
        <v>10996</v>
      </c>
      <c r="B997" s="18">
        <v>45933</v>
      </c>
      <c r="C997" s="17" t="s">
        <v>167</v>
      </c>
      <c r="D997" s="17" t="s">
        <v>170</v>
      </c>
      <c r="E997" s="17" t="s">
        <v>162</v>
      </c>
      <c r="F997" s="17" t="s">
        <v>163</v>
      </c>
      <c r="G997" s="17">
        <v>2</v>
      </c>
      <c r="H997" s="17">
        <v>41462</v>
      </c>
      <c r="I997" s="17">
        <v>82924</v>
      </c>
      <c r="J997" s="17">
        <v>2138</v>
      </c>
      <c r="K997" s="17">
        <v>80786</v>
      </c>
      <c r="L997" s="17">
        <v>12273.33646</v>
      </c>
      <c r="M997" s="17">
        <v>2025</v>
      </c>
      <c r="N997" s="17" t="s">
        <v>174</v>
      </c>
    </row>
    <row r="998" spans="1:14" ht="14.25" customHeight="1">
      <c r="A998" s="17">
        <v>10997</v>
      </c>
      <c r="B998" s="18">
        <v>45887</v>
      </c>
      <c r="C998" s="17" t="s">
        <v>45</v>
      </c>
      <c r="D998" s="17" t="s">
        <v>89</v>
      </c>
      <c r="E998" s="17" t="s">
        <v>168</v>
      </c>
      <c r="F998" s="17" t="s">
        <v>166</v>
      </c>
      <c r="G998" s="17">
        <v>7</v>
      </c>
      <c r="H998" s="17">
        <v>64624</v>
      </c>
      <c r="I998" s="17">
        <v>452368</v>
      </c>
      <c r="J998" s="17">
        <v>4389</v>
      </c>
      <c r="K998" s="17">
        <v>447979</v>
      </c>
      <c r="L998" s="17">
        <v>70438.590750000003</v>
      </c>
      <c r="M998" s="17">
        <v>2025</v>
      </c>
      <c r="N998" s="17" t="s">
        <v>126</v>
      </c>
    </row>
    <row r="999" spans="1:14" ht="14.25" customHeight="1">
      <c r="A999" s="17">
        <v>10998</v>
      </c>
      <c r="B999" s="18">
        <v>45612</v>
      </c>
      <c r="C999" s="17" t="s">
        <v>167</v>
      </c>
      <c r="D999" s="17" t="s">
        <v>83</v>
      </c>
      <c r="E999" s="17" t="s">
        <v>162</v>
      </c>
      <c r="F999" s="17" t="s">
        <v>163</v>
      </c>
      <c r="G999" s="17">
        <v>2</v>
      </c>
      <c r="H999" s="17">
        <v>55141</v>
      </c>
      <c r="I999" s="17">
        <v>110282</v>
      </c>
      <c r="J999" s="17">
        <v>3612</v>
      </c>
      <c r="K999" s="17">
        <v>106670</v>
      </c>
      <c r="L999" s="17">
        <v>22434.321660000001</v>
      </c>
      <c r="M999" s="17">
        <v>2024</v>
      </c>
      <c r="N999" s="17" t="s">
        <v>173</v>
      </c>
    </row>
    <row r="1000" spans="1:14" ht="14.25" customHeight="1">
      <c r="A1000" s="17">
        <v>10999</v>
      </c>
      <c r="B1000" s="18">
        <v>45610</v>
      </c>
      <c r="C1000" s="17" t="s">
        <v>58</v>
      </c>
      <c r="D1000" s="17" t="s">
        <v>89</v>
      </c>
      <c r="E1000" s="17" t="s">
        <v>165</v>
      </c>
      <c r="F1000" s="17" t="s">
        <v>163</v>
      </c>
      <c r="G1000" s="17">
        <v>6</v>
      </c>
      <c r="H1000" s="17">
        <v>15655</v>
      </c>
      <c r="I1000" s="17">
        <v>93930</v>
      </c>
      <c r="J1000" s="17">
        <v>523</v>
      </c>
      <c r="K1000" s="17">
        <v>93407</v>
      </c>
      <c r="L1000" s="17">
        <v>11699.87938</v>
      </c>
      <c r="M1000" s="17">
        <v>2024</v>
      </c>
      <c r="N1000" s="17" t="s">
        <v>173</v>
      </c>
    </row>
    <row r="1001" spans="1:14" ht="14.25" customHeight="1">
      <c r="A1001" s="17">
        <v>11000</v>
      </c>
      <c r="B1001" s="18">
        <v>45904</v>
      </c>
      <c r="C1001" s="17" t="s">
        <v>45</v>
      </c>
      <c r="D1001" s="17" t="s">
        <v>86</v>
      </c>
      <c r="E1001" s="17" t="s">
        <v>168</v>
      </c>
      <c r="F1001" s="17" t="s">
        <v>164</v>
      </c>
      <c r="G1001" s="17">
        <v>9</v>
      </c>
      <c r="H1001" s="17">
        <v>46864</v>
      </c>
      <c r="I1001" s="17">
        <v>421776</v>
      </c>
      <c r="J1001" s="17">
        <v>2897</v>
      </c>
      <c r="K1001" s="17">
        <v>418879</v>
      </c>
      <c r="L1001" s="17">
        <v>81322.336939999994</v>
      </c>
      <c r="M1001" s="17">
        <v>2025</v>
      </c>
      <c r="N1001" s="17" t="s">
        <v>129</v>
      </c>
    </row>
    <row r="1002" spans="1:14" ht="14.25" customHeight="1">
      <c r="A1002" s="17">
        <v>11001</v>
      </c>
      <c r="B1002" s="18">
        <v>45620</v>
      </c>
      <c r="C1002" s="17" t="s">
        <v>58</v>
      </c>
      <c r="D1002" s="17" t="s">
        <v>170</v>
      </c>
      <c r="E1002" s="17" t="s">
        <v>165</v>
      </c>
      <c r="F1002" s="17" t="s">
        <v>164</v>
      </c>
      <c r="G1002" s="17">
        <v>5</v>
      </c>
      <c r="H1002" s="17">
        <v>11410</v>
      </c>
      <c r="I1002" s="17">
        <v>57050</v>
      </c>
      <c r="J1002" s="17">
        <v>3740</v>
      </c>
      <c r="K1002" s="17">
        <v>53310</v>
      </c>
      <c r="L1002" s="17">
        <v>10753.888650000001</v>
      </c>
      <c r="M1002" s="17">
        <v>2024</v>
      </c>
      <c r="N1002" s="17" t="s">
        <v>173</v>
      </c>
    </row>
    <row r="1003" spans="1:14" ht="14.25" customHeight="1">
      <c r="A1003" s="17">
        <v>11002</v>
      </c>
      <c r="B1003" s="18">
        <v>45841</v>
      </c>
      <c r="C1003" s="17" t="s">
        <v>45</v>
      </c>
      <c r="D1003" s="17" t="s">
        <v>89</v>
      </c>
      <c r="E1003" s="17" t="s">
        <v>168</v>
      </c>
      <c r="F1003" s="17" t="s">
        <v>164</v>
      </c>
      <c r="G1003" s="17">
        <v>7</v>
      </c>
      <c r="H1003" s="17">
        <v>65388</v>
      </c>
      <c r="I1003" s="17">
        <v>457716</v>
      </c>
      <c r="J1003" s="17">
        <v>258</v>
      </c>
      <c r="K1003" s="17">
        <v>457458</v>
      </c>
      <c r="L1003" s="17">
        <v>100783.97040000001</v>
      </c>
      <c r="M1003" s="17">
        <v>2025</v>
      </c>
      <c r="N1003" s="17" t="s">
        <v>123</v>
      </c>
    </row>
    <row r="1004" spans="1:14" ht="14.25" customHeight="1">
      <c r="A1004" s="17">
        <v>11003</v>
      </c>
      <c r="B1004" s="18">
        <v>45710</v>
      </c>
      <c r="C1004" s="17" t="s">
        <v>167</v>
      </c>
      <c r="D1004" s="17" t="s">
        <v>170</v>
      </c>
      <c r="E1004" s="17" t="s">
        <v>168</v>
      </c>
      <c r="F1004" s="17" t="s">
        <v>164</v>
      </c>
      <c r="G1004" s="17">
        <v>1</v>
      </c>
      <c r="H1004" s="17">
        <v>38678</v>
      </c>
      <c r="I1004" s="17">
        <v>38678</v>
      </c>
      <c r="J1004" s="17">
        <v>1110</v>
      </c>
      <c r="K1004" s="17">
        <v>37568</v>
      </c>
      <c r="L1004" s="17">
        <v>8531.6580979999999</v>
      </c>
      <c r="M1004" s="17">
        <v>2025</v>
      </c>
      <c r="N1004" s="17" t="s">
        <v>175</v>
      </c>
    </row>
    <row r="1005" spans="1:14" ht="14.25" customHeight="1">
      <c r="A1005" s="17">
        <v>11004</v>
      </c>
      <c r="B1005" s="18">
        <v>45897</v>
      </c>
      <c r="C1005" s="17" t="s">
        <v>58</v>
      </c>
      <c r="D1005" s="17" t="s">
        <v>83</v>
      </c>
      <c r="E1005" s="17" t="s">
        <v>168</v>
      </c>
      <c r="F1005" s="17" t="s">
        <v>163</v>
      </c>
      <c r="G1005" s="17">
        <v>8</v>
      </c>
      <c r="H1005" s="17">
        <v>27970</v>
      </c>
      <c r="I1005" s="17">
        <v>223760</v>
      </c>
      <c r="J1005" s="17">
        <v>820</v>
      </c>
      <c r="K1005" s="17">
        <v>222940</v>
      </c>
      <c r="L1005" s="17">
        <v>27599.934440000001</v>
      </c>
      <c r="M1005" s="17">
        <v>2025</v>
      </c>
      <c r="N1005" s="17" t="s">
        <v>126</v>
      </c>
    </row>
    <row r="1006" spans="1:14" ht="14.25" customHeight="1">
      <c r="A1006" s="17">
        <v>11005</v>
      </c>
      <c r="B1006" s="18">
        <v>45386</v>
      </c>
      <c r="C1006" s="17" t="s">
        <v>58</v>
      </c>
      <c r="D1006" s="17" t="s">
        <v>83</v>
      </c>
      <c r="E1006" s="17" t="s">
        <v>162</v>
      </c>
      <c r="F1006" s="17" t="s">
        <v>164</v>
      </c>
      <c r="G1006" s="17">
        <v>9</v>
      </c>
      <c r="H1006" s="17">
        <v>64951</v>
      </c>
      <c r="I1006" s="17">
        <v>584559</v>
      </c>
      <c r="J1006" s="17">
        <v>2788</v>
      </c>
      <c r="K1006" s="17">
        <v>581771</v>
      </c>
      <c r="L1006" s="17">
        <v>70242.515190000006</v>
      </c>
      <c r="M1006" s="17">
        <v>2024</v>
      </c>
      <c r="N1006" s="17" t="s">
        <v>114</v>
      </c>
    </row>
    <row r="1007" spans="1:14" ht="14.25" customHeight="1">
      <c r="A1007" s="17">
        <v>11006</v>
      </c>
      <c r="B1007" s="18">
        <v>45872</v>
      </c>
      <c r="C1007" s="17" t="s">
        <v>58</v>
      </c>
      <c r="D1007" s="17" t="s">
        <v>111</v>
      </c>
      <c r="E1007" s="17" t="s">
        <v>168</v>
      </c>
      <c r="F1007" s="17" t="s">
        <v>164</v>
      </c>
      <c r="G1007" s="17">
        <v>5</v>
      </c>
      <c r="H1007" s="17">
        <v>23507</v>
      </c>
      <c r="I1007" s="17">
        <v>117535</v>
      </c>
      <c r="J1007" s="17">
        <v>4664</v>
      </c>
      <c r="K1007" s="17">
        <v>112871</v>
      </c>
      <c r="L1007" s="17">
        <v>21695.57285</v>
      </c>
      <c r="M1007" s="17">
        <v>2025</v>
      </c>
      <c r="N1007" s="17" t="s">
        <v>126</v>
      </c>
    </row>
    <row r="1008" spans="1:14" ht="14.25" customHeight="1">
      <c r="A1008" s="17">
        <v>11007</v>
      </c>
      <c r="B1008" s="18">
        <v>45609</v>
      </c>
      <c r="C1008" s="17" t="s">
        <v>45</v>
      </c>
      <c r="D1008" s="17" t="s">
        <v>111</v>
      </c>
      <c r="E1008" s="17" t="s">
        <v>168</v>
      </c>
      <c r="F1008" s="17" t="s">
        <v>163</v>
      </c>
      <c r="G1008" s="17">
        <v>6</v>
      </c>
      <c r="H1008" s="17">
        <v>66686</v>
      </c>
      <c r="I1008" s="17">
        <v>400116</v>
      </c>
      <c r="J1008" s="17">
        <v>4604</v>
      </c>
      <c r="K1008" s="17">
        <v>395512</v>
      </c>
      <c r="L1008" s="17">
        <v>84456.636809999996</v>
      </c>
      <c r="M1008" s="17">
        <v>2024</v>
      </c>
      <c r="N1008" s="17" t="s">
        <v>173</v>
      </c>
    </row>
    <row r="1009" spans="1:14" ht="14.25" customHeight="1">
      <c r="A1009" s="17">
        <v>11008</v>
      </c>
      <c r="B1009" s="18">
        <v>45527</v>
      </c>
      <c r="C1009" s="17" t="s">
        <v>50</v>
      </c>
      <c r="D1009" s="17" t="s">
        <v>89</v>
      </c>
      <c r="E1009" s="17" t="s">
        <v>168</v>
      </c>
      <c r="F1009" s="17" t="s">
        <v>166</v>
      </c>
      <c r="G1009" s="17">
        <v>8</v>
      </c>
      <c r="H1009" s="17">
        <v>23235</v>
      </c>
      <c r="I1009" s="17">
        <v>185880</v>
      </c>
      <c r="J1009" s="17">
        <v>1563</v>
      </c>
      <c r="K1009" s="17">
        <v>184317</v>
      </c>
      <c r="L1009" s="17">
        <v>25960.8586</v>
      </c>
      <c r="M1009" s="17">
        <v>2024</v>
      </c>
      <c r="N1009" s="17" t="s">
        <v>126</v>
      </c>
    </row>
    <row r="1010" spans="1:14" ht="14.25" customHeight="1">
      <c r="A1010" s="17">
        <v>11009</v>
      </c>
      <c r="B1010" s="18">
        <v>45625</v>
      </c>
      <c r="C1010" s="17" t="s">
        <v>167</v>
      </c>
      <c r="D1010" s="17" t="s">
        <v>111</v>
      </c>
      <c r="E1010" s="17" t="s">
        <v>165</v>
      </c>
      <c r="F1010" s="17" t="s">
        <v>166</v>
      </c>
      <c r="G1010" s="17">
        <v>4</v>
      </c>
      <c r="H1010" s="17">
        <v>52683</v>
      </c>
      <c r="I1010" s="17">
        <v>210732</v>
      </c>
      <c r="J1010" s="17">
        <v>4620</v>
      </c>
      <c r="K1010" s="17">
        <v>206112</v>
      </c>
      <c r="L1010" s="17">
        <v>36868.712890000003</v>
      </c>
      <c r="M1010" s="17">
        <v>2024</v>
      </c>
      <c r="N1010" s="17" t="s">
        <v>173</v>
      </c>
    </row>
    <row r="1011" spans="1:14" ht="14.25" customHeight="1">
      <c r="A1011" s="17">
        <v>11010</v>
      </c>
      <c r="B1011" s="18">
        <v>45667</v>
      </c>
      <c r="C1011" s="17" t="s">
        <v>58</v>
      </c>
      <c r="D1011" s="17" t="s">
        <v>170</v>
      </c>
      <c r="E1011" s="17" t="s">
        <v>168</v>
      </c>
      <c r="F1011" s="17" t="s">
        <v>172</v>
      </c>
      <c r="G1011" s="17">
        <v>2</v>
      </c>
      <c r="H1011" s="17">
        <v>72151</v>
      </c>
      <c r="I1011" s="17">
        <v>144302</v>
      </c>
      <c r="J1011" s="17">
        <v>1207</v>
      </c>
      <c r="K1011" s="17">
        <v>143095</v>
      </c>
      <c r="L1011" s="17">
        <v>30885.040199999999</v>
      </c>
      <c r="M1011" s="17">
        <v>2025</v>
      </c>
      <c r="N1011" s="17" t="s">
        <v>171</v>
      </c>
    </row>
    <row r="1012" spans="1:14" ht="14.25" customHeight="1">
      <c r="A1012" s="17">
        <v>11011</v>
      </c>
      <c r="B1012" s="18">
        <v>45750</v>
      </c>
      <c r="C1012" s="17" t="s">
        <v>50</v>
      </c>
      <c r="D1012" s="17" t="s">
        <v>111</v>
      </c>
      <c r="E1012" s="17" t="s">
        <v>162</v>
      </c>
      <c r="F1012" s="17" t="s">
        <v>163</v>
      </c>
      <c r="G1012" s="17">
        <v>8</v>
      </c>
      <c r="H1012" s="17">
        <v>14397</v>
      </c>
      <c r="I1012" s="17">
        <v>115176</v>
      </c>
      <c r="J1012" s="17">
        <v>308</v>
      </c>
      <c r="K1012" s="17">
        <v>114868</v>
      </c>
      <c r="L1012" s="17">
        <v>24711.032060000001</v>
      </c>
      <c r="M1012" s="17">
        <v>2025</v>
      </c>
      <c r="N1012" s="17" t="s">
        <v>114</v>
      </c>
    </row>
    <row r="1013" spans="1:14" ht="14.25" customHeight="1">
      <c r="A1013" s="17">
        <v>11012</v>
      </c>
      <c r="B1013" s="18">
        <v>45428</v>
      </c>
      <c r="C1013" s="17" t="s">
        <v>167</v>
      </c>
      <c r="D1013" s="17" t="s">
        <v>170</v>
      </c>
      <c r="E1013" s="17" t="s">
        <v>168</v>
      </c>
      <c r="F1013" s="17" t="s">
        <v>164</v>
      </c>
      <c r="G1013" s="17">
        <v>2</v>
      </c>
      <c r="H1013" s="17">
        <v>34655</v>
      </c>
      <c r="I1013" s="17">
        <v>69310</v>
      </c>
      <c r="J1013" s="17">
        <v>1839</v>
      </c>
      <c r="K1013" s="17">
        <v>67471</v>
      </c>
      <c r="L1013" s="17">
        <v>13364.18506</v>
      </c>
      <c r="M1013" s="17">
        <v>2024</v>
      </c>
      <c r="N1013" s="17" t="s">
        <v>117</v>
      </c>
    </row>
    <row r="1014" spans="1:14" ht="14.25" customHeight="1">
      <c r="A1014" s="17">
        <v>11013</v>
      </c>
      <c r="B1014" s="18">
        <v>45879</v>
      </c>
      <c r="C1014" s="17" t="s">
        <v>167</v>
      </c>
      <c r="D1014" s="17" t="s">
        <v>111</v>
      </c>
      <c r="E1014" s="17" t="s">
        <v>168</v>
      </c>
      <c r="F1014" s="17" t="s">
        <v>172</v>
      </c>
      <c r="G1014" s="17">
        <v>5</v>
      </c>
      <c r="H1014" s="17">
        <v>70446</v>
      </c>
      <c r="I1014" s="17">
        <v>352230</v>
      </c>
      <c r="J1014" s="17">
        <v>3352</v>
      </c>
      <c r="K1014" s="17">
        <v>348878</v>
      </c>
      <c r="L1014" s="17">
        <v>39010.894070000002</v>
      </c>
      <c r="M1014" s="17">
        <v>2025</v>
      </c>
      <c r="N1014" s="17" t="s">
        <v>126</v>
      </c>
    </row>
    <row r="1015" spans="1:14" ht="14.25" customHeight="1">
      <c r="A1015" s="17">
        <v>11014</v>
      </c>
      <c r="B1015" s="18">
        <v>45838</v>
      </c>
      <c r="C1015" s="17" t="s">
        <v>58</v>
      </c>
      <c r="D1015" s="17" t="s">
        <v>111</v>
      </c>
      <c r="E1015" s="17" t="s">
        <v>165</v>
      </c>
      <c r="F1015" s="17" t="s">
        <v>166</v>
      </c>
      <c r="G1015" s="17">
        <v>6</v>
      </c>
      <c r="H1015" s="17">
        <v>48639</v>
      </c>
      <c r="I1015" s="17">
        <v>291834</v>
      </c>
      <c r="J1015" s="17">
        <v>1383</v>
      </c>
      <c r="K1015" s="17">
        <v>290451</v>
      </c>
      <c r="L1015" s="17">
        <v>31251.53398</v>
      </c>
      <c r="M1015" s="17">
        <v>2025</v>
      </c>
      <c r="N1015" s="17" t="s">
        <v>120</v>
      </c>
    </row>
    <row r="1016" spans="1:14" ht="14.25" customHeight="1">
      <c r="A1016" s="17">
        <v>11015</v>
      </c>
      <c r="B1016" s="18">
        <v>45804</v>
      </c>
      <c r="C1016" s="17" t="s">
        <v>58</v>
      </c>
      <c r="D1016" s="17" t="s">
        <v>111</v>
      </c>
      <c r="E1016" s="17" t="s">
        <v>162</v>
      </c>
      <c r="F1016" s="17" t="s">
        <v>166</v>
      </c>
      <c r="G1016" s="17">
        <v>5</v>
      </c>
      <c r="H1016" s="17">
        <v>23830</v>
      </c>
      <c r="I1016" s="17">
        <v>119150</v>
      </c>
      <c r="J1016" s="17">
        <v>2306</v>
      </c>
      <c r="K1016" s="17">
        <v>116844</v>
      </c>
      <c r="L1016" s="17">
        <v>18492.525570000002</v>
      </c>
      <c r="M1016" s="17">
        <v>2025</v>
      </c>
      <c r="N1016" s="17" t="s">
        <v>117</v>
      </c>
    </row>
    <row r="1017" spans="1:14" ht="14.25" customHeight="1">
      <c r="A1017" s="17">
        <v>11016</v>
      </c>
      <c r="B1017" s="18">
        <v>45587</v>
      </c>
      <c r="C1017" s="17" t="s">
        <v>45</v>
      </c>
      <c r="D1017" s="17" t="s">
        <v>86</v>
      </c>
      <c r="E1017" s="17" t="s">
        <v>162</v>
      </c>
      <c r="F1017" s="17" t="s">
        <v>163</v>
      </c>
      <c r="G1017" s="17">
        <v>6</v>
      </c>
      <c r="H1017" s="17">
        <v>13014</v>
      </c>
      <c r="I1017" s="17">
        <v>78084</v>
      </c>
      <c r="J1017" s="17">
        <v>1180</v>
      </c>
      <c r="K1017" s="17">
        <v>76904</v>
      </c>
      <c r="L1017" s="17">
        <v>7998.2554769999997</v>
      </c>
      <c r="M1017" s="17">
        <v>2024</v>
      </c>
      <c r="N1017" s="17" t="s">
        <v>174</v>
      </c>
    </row>
    <row r="1018" spans="1:14" ht="14.25" customHeight="1">
      <c r="A1018" s="17">
        <v>11017</v>
      </c>
      <c r="B1018" s="18">
        <v>45611</v>
      </c>
      <c r="C1018" s="17" t="s">
        <v>50</v>
      </c>
      <c r="D1018" s="17" t="s">
        <v>86</v>
      </c>
      <c r="E1018" s="17" t="s">
        <v>162</v>
      </c>
      <c r="F1018" s="17" t="s">
        <v>164</v>
      </c>
      <c r="G1018" s="17">
        <v>6</v>
      </c>
      <c r="H1018" s="17">
        <v>66731</v>
      </c>
      <c r="I1018" s="17">
        <v>400386</v>
      </c>
      <c r="J1018" s="17">
        <v>2472</v>
      </c>
      <c r="K1018" s="17">
        <v>397914</v>
      </c>
      <c r="L1018" s="17">
        <v>93757.153149999998</v>
      </c>
      <c r="M1018" s="17">
        <v>2024</v>
      </c>
      <c r="N1018" s="17" t="s">
        <v>173</v>
      </c>
    </row>
    <row r="1019" spans="1:14" ht="14.25" customHeight="1">
      <c r="A1019" s="17">
        <v>11018</v>
      </c>
      <c r="B1019" s="18">
        <v>45863</v>
      </c>
      <c r="C1019" s="17" t="s">
        <v>50</v>
      </c>
      <c r="D1019" s="17" t="s">
        <v>111</v>
      </c>
      <c r="E1019" s="17" t="s">
        <v>168</v>
      </c>
      <c r="F1019" s="17" t="s">
        <v>164</v>
      </c>
      <c r="G1019" s="17">
        <v>3</v>
      </c>
      <c r="H1019" s="17">
        <v>48061</v>
      </c>
      <c r="I1019" s="17">
        <v>144183</v>
      </c>
      <c r="J1019" s="17">
        <v>2686</v>
      </c>
      <c r="K1019" s="17">
        <v>141497</v>
      </c>
      <c r="L1019" s="17">
        <v>14577.26144</v>
      </c>
      <c r="M1019" s="17">
        <v>2025</v>
      </c>
      <c r="N1019" s="17" t="s">
        <v>123</v>
      </c>
    </row>
    <row r="1020" spans="1:14" ht="14.25" customHeight="1">
      <c r="A1020" s="17">
        <v>11019</v>
      </c>
      <c r="B1020" s="18">
        <v>45640</v>
      </c>
      <c r="C1020" s="17" t="s">
        <v>58</v>
      </c>
      <c r="D1020" s="17" t="s">
        <v>170</v>
      </c>
      <c r="E1020" s="17" t="s">
        <v>168</v>
      </c>
      <c r="F1020" s="17" t="s">
        <v>172</v>
      </c>
      <c r="G1020" s="17">
        <v>3</v>
      </c>
      <c r="H1020" s="17">
        <v>73752</v>
      </c>
      <c r="I1020" s="17">
        <v>221256</v>
      </c>
      <c r="J1020" s="17">
        <v>2967</v>
      </c>
      <c r="K1020" s="17">
        <v>218289</v>
      </c>
      <c r="L1020" s="17">
        <v>22798.524310000001</v>
      </c>
      <c r="M1020" s="17">
        <v>2024</v>
      </c>
      <c r="N1020" s="17" t="s">
        <v>169</v>
      </c>
    </row>
    <row r="1021" spans="1:14" ht="14.25" customHeight="1">
      <c r="A1021" s="17">
        <v>11020</v>
      </c>
      <c r="B1021" s="18">
        <v>45520</v>
      </c>
      <c r="C1021" s="17" t="s">
        <v>167</v>
      </c>
      <c r="D1021" s="17" t="s">
        <v>89</v>
      </c>
      <c r="E1021" s="17" t="s">
        <v>162</v>
      </c>
      <c r="F1021" s="17" t="s">
        <v>166</v>
      </c>
      <c r="G1021" s="17">
        <v>9</v>
      </c>
      <c r="H1021" s="17">
        <v>26859</v>
      </c>
      <c r="I1021" s="17">
        <v>241731</v>
      </c>
      <c r="J1021" s="17">
        <v>4445</v>
      </c>
      <c r="K1021" s="17">
        <v>237286</v>
      </c>
      <c r="L1021" s="17">
        <v>29613.080849999998</v>
      </c>
      <c r="M1021" s="17">
        <v>2024</v>
      </c>
      <c r="N1021" s="17" t="s">
        <v>126</v>
      </c>
    </row>
    <row r="1022" spans="1:14" ht="14.25" customHeight="1">
      <c r="A1022" s="17">
        <v>11021</v>
      </c>
      <c r="B1022" s="18">
        <v>45561</v>
      </c>
      <c r="C1022" s="17" t="s">
        <v>58</v>
      </c>
      <c r="D1022" s="17" t="s">
        <v>83</v>
      </c>
      <c r="E1022" s="17" t="s">
        <v>162</v>
      </c>
      <c r="F1022" s="17" t="s">
        <v>172</v>
      </c>
      <c r="G1022" s="17">
        <v>3</v>
      </c>
      <c r="H1022" s="17">
        <v>23908</v>
      </c>
      <c r="I1022" s="17">
        <v>71724</v>
      </c>
      <c r="J1022" s="17">
        <v>960</v>
      </c>
      <c r="K1022" s="17">
        <v>70764</v>
      </c>
      <c r="L1022" s="17">
        <v>13731.91482</v>
      </c>
      <c r="M1022" s="17">
        <v>2024</v>
      </c>
      <c r="N1022" s="17" t="s">
        <v>129</v>
      </c>
    </row>
    <row r="1023" spans="1:14" ht="14.25" customHeight="1">
      <c r="A1023" s="17">
        <v>11022</v>
      </c>
      <c r="B1023" s="18">
        <v>45582</v>
      </c>
      <c r="C1023" s="17" t="s">
        <v>167</v>
      </c>
      <c r="D1023" s="17" t="s">
        <v>86</v>
      </c>
      <c r="E1023" s="17" t="s">
        <v>165</v>
      </c>
      <c r="F1023" s="17" t="s">
        <v>172</v>
      </c>
      <c r="G1023" s="17">
        <v>3</v>
      </c>
      <c r="H1023" s="17">
        <v>33693</v>
      </c>
      <c r="I1023" s="17">
        <v>101079</v>
      </c>
      <c r="J1023" s="17">
        <v>3456</v>
      </c>
      <c r="K1023" s="17">
        <v>97623</v>
      </c>
      <c r="L1023" s="17">
        <v>17692.520980000001</v>
      </c>
      <c r="M1023" s="17">
        <v>2024</v>
      </c>
      <c r="N1023" s="17" t="s">
        <v>174</v>
      </c>
    </row>
    <row r="1024" spans="1:14" ht="14.25" customHeight="1">
      <c r="A1024" s="17">
        <v>11023</v>
      </c>
      <c r="B1024" s="18">
        <v>46016</v>
      </c>
      <c r="C1024" s="17" t="s">
        <v>167</v>
      </c>
      <c r="D1024" s="17" t="s">
        <v>111</v>
      </c>
      <c r="E1024" s="17" t="s">
        <v>162</v>
      </c>
      <c r="F1024" s="17" t="s">
        <v>172</v>
      </c>
      <c r="G1024" s="17">
        <v>2</v>
      </c>
      <c r="H1024" s="17">
        <v>18603</v>
      </c>
      <c r="I1024" s="17">
        <v>37206</v>
      </c>
      <c r="J1024" s="17">
        <v>437</v>
      </c>
      <c r="K1024" s="17">
        <v>36769</v>
      </c>
      <c r="L1024" s="17">
        <v>7314.2023790000003</v>
      </c>
      <c r="M1024" s="17">
        <v>2025</v>
      </c>
      <c r="N1024" s="17" t="s">
        <v>169</v>
      </c>
    </row>
    <row r="1025" spans="1:14" ht="14.25" customHeight="1">
      <c r="A1025" s="17">
        <v>11024</v>
      </c>
      <c r="B1025" s="18">
        <v>45456</v>
      </c>
      <c r="C1025" s="17" t="s">
        <v>58</v>
      </c>
      <c r="D1025" s="17" t="s">
        <v>83</v>
      </c>
      <c r="E1025" s="17" t="s">
        <v>168</v>
      </c>
      <c r="F1025" s="17" t="s">
        <v>164</v>
      </c>
      <c r="G1025" s="17">
        <v>7</v>
      </c>
      <c r="H1025" s="17">
        <v>48702</v>
      </c>
      <c r="I1025" s="17">
        <v>340914</v>
      </c>
      <c r="J1025" s="17">
        <v>455</v>
      </c>
      <c r="K1025" s="17">
        <v>340459</v>
      </c>
      <c r="L1025" s="17">
        <v>79678.733470000006</v>
      </c>
      <c r="M1025" s="17">
        <v>2024</v>
      </c>
      <c r="N1025" s="17" t="s">
        <v>120</v>
      </c>
    </row>
    <row r="1026" spans="1:14" ht="14.25" customHeight="1">
      <c r="A1026" s="17">
        <v>11025</v>
      </c>
      <c r="B1026" s="18">
        <v>45296</v>
      </c>
      <c r="C1026" s="17" t="s">
        <v>39</v>
      </c>
      <c r="D1026" s="17" t="s">
        <v>86</v>
      </c>
      <c r="E1026" s="17" t="s">
        <v>168</v>
      </c>
      <c r="F1026" s="17" t="s">
        <v>166</v>
      </c>
      <c r="G1026" s="17">
        <v>4</v>
      </c>
      <c r="H1026" s="17">
        <v>23345</v>
      </c>
      <c r="I1026" s="17">
        <v>93380</v>
      </c>
      <c r="J1026" s="17">
        <v>3817</v>
      </c>
      <c r="K1026" s="17">
        <v>89563</v>
      </c>
      <c r="L1026" s="17">
        <v>15068.2446</v>
      </c>
      <c r="M1026" s="17">
        <v>2024</v>
      </c>
      <c r="N1026" s="17" t="s">
        <v>171</v>
      </c>
    </row>
    <row r="1027" spans="1:14" ht="14.25" customHeight="1">
      <c r="A1027" s="17">
        <v>11026</v>
      </c>
      <c r="B1027" s="18">
        <v>45670</v>
      </c>
      <c r="C1027" s="17" t="s">
        <v>50</v>
      </c>
      <c r="D1027" s="17" t="s">
        <v>89</v>
      </c>
      <c r="E1027" s="17" t="s">
        <v>168</v>
      </c>
      <c r="F1027" s="17" t="s">
        <v>172</v>
      </c>
      <c r="G1027" s="17">
        <v>1</v>
      </c>
      <c r="H1027" s="17">
        <v>27687</v>
      </c>
      <c r="I1027" s="17">
        <v>27687</v>
      </c>
      <c r="J1027" s="17">
        <v>1569</v>
      </c>
      <c r="K1027" s="17">
        <v>26118</v>
      </c>
      <c r="L1027" s="17">
        <v>2783.6929110000001</v>
      </c>
      <c r="M1027" s="17">
        <v>2025</v>
      </c>
      <c r="N1027" s="17" t="s">
        <v>171</v>
      </c>
    </row>
    <row r="1028" spans="1:14" ht="14.25" customHeight="1">
      <c r="A1028" s="17">
        <v>11027</v>
      </c>
      <c r="B1028" s="18">
        <v>45369</v>
      </c>
      <c r="C1028" s="17" t="s">
        <v>167</v>
      </c>
      <c r="D1028" s="17" t="s">
        <v>170</v>
      </c>
      <c r="E1028" s="17" t="s">
        <v>165</v>
      </c>
      <c r="F1028" s="17" t="s">
        <v>166</v>
      </c>
      <c r="G1028" s="17">
        <v>6</v>
      </c>
      <c r="H1028" s="17">
        <v>34581</v>
      </c>
      <c r="I1028" s="17">
        <v>207486</v>
      </c>
      <c r="J1028" s="17">
        <v>1103</v>
      </c>
      <c r="K1028" s="17">
        <v>206383</v>
      </c>
      <c r="L1028" s="17">
        <v>44274.208599999998</v>
      </c>
      <c r="M1028" s="17">
        <v>2024</v>
      </c>
      <c r="N1028" s="17" t="s">
        <v>112</v>
      </c>
    </row>
    <row r="1029" spans="1:14" ht="14.25" customHeight="1">
      <c r="A1029" s="17">
        <v>11028</v>
      </c>
      <c r="B1029" s="18">
        <v>45701</v>
      </c>
      <c r="C1029" s="17" t="s">
        <v>167</v>
      </c>
      <c r="D1029" s="17" t="s">
        <v>111</v>
      </c>
      <c r="E1029" s="17" t="s">
        <v>162</v>
      </c>
      <c r="F1029" s="17" t="s">
        <v>166</v>
      </c>
      <c r="G1029" s="17">
        <v>5</v>
      </c>
      <c r="H1029" s="17">
        <v>42393</v>
      </c>
      <c r="I1029" s="17">
        <v>211965</v>
      </c>
      <c r="J1029" s="17">
        <v>1618</v>
      </c>
      <c r="K1029" s="17">
        <v>210347</v>
      </c>
      <c r="L1029" s="17">
        <v>46653.843330000003</v>
      </c>
      <c r="M1029" s="17">
        <v>2025</v>
      </c>
      <c r="N1029" s="17" t="s">
        <v>175</v>
      </c>
    </row>
    <row r="1030" spans="1:14" ht="14.25" customHeight="1">
      <c r="A1030" s="17">
        <v>11029</v>
      </c>
      <c r="B1030" s="18">
        <v>45865</v>
      </c>
      <c r="C1030" s="17" t="s">
        <v>39</v>
      </c>
      <c r="D1030" s="17" t="s">
        <v>89</v>
      </c>
      <c r="E1030" s="17" t="s">
        <v>168</v>
      </c>
      <c r="F1030" s="17" t="s">
        <v>172</v>
      </c>
      <c r="G1030" s="17">
        <v>2</v>
      </c>
      <c r="H1030" s="17">
        <v>13292</v>
      </c>
      <c r="I1030" s="17">
        <v>26584</v>
      </c>
      <c r="J1030" s="17">
        <v>3612</v>
      </c>
      <c r="K1030" s="17">
        <v>22972</v>
      </c>
      <c r="L1030" s="17">
        <v>2469.1053099999999</v>
      </c>
      <c r="M1030" s="17">
        <v>2025</v>
      </c>
      <c r="N1030" s="17" t="s">
        <v>123</v>
      </c>
    </row>
    <row r="1031" spans="1:14" ht="14.25" customHeight="1">
      <c r="A1031" s="17">
        <v>11030</v>
      </c>
      <c r="B1031" s="18">
        <v>45423</v>
      </c>
      <c r="C1031" s="17" t="s">
        <v>45</v>
      </c>
      <c r="D1031" s="17" t="s">
        <v>86</v>
      </c>
      <c r="E1031" s="17" t="s">
        <v>165</v>
      </c>
      <c r="F1031" s="17" t="s">
        <v>172</v>
      </c>
      <c r="G1031" s="17">
        <v>6</v>
      </c>
      <c r="H1031" s="17">
        <v>8448</v>
      </c>
      <c r="I1031" s="17">
        <v>50688</v>
      </c>
      <c r="J1031" s="17">
        <v>1512</v>
      </c>
      <c r="K1031" s="17">
        <v>49176</v>
      </c>
      <c r="L1031" s="17">
        <v>6708.9535299999998</v>
      </c>
      <c r="M1031" s="17">
        <v>2024</v>
      </c>
      <c r="N1031" s="17" t="s">
        <v>117</v>
      </c>
    </row>
    <row r="1032" spans="1:14" ht="14.25" customHeight="1">
      <c r="A1032" s="17">
        <v>11031</v>
      </c>
      <c r="B1032" s="18">
        <v>45892</v>
      </c>
      <c r="C1032" s="17" t="s">
        <v>39</v>
      </c>
      <c r="D1032" s="17" t="s">
        <v>111</v>
      </c>
      <c r="E1032" s="17" t="s">
        <v>165</v>
      </c>
      <c r="F1032" s="17" t="s">
        <v>163</v>
      </c>
      <c r="G1032" s="17">
        <v>1</v>
      </c>
      <c r="H1032" s="17">
        <v>24628</v>
      </c>
      <c r="I1032" s="17">
        <v>24628</v>
      </c>
      <c r="J1032" s="17">
        <v>4738</v>
      </c>
      <c r="K1032" s="17">
        <v>19890</v>
      </c>
      <c r="L1032" s="17">
        <v>4288.0755509999999</v>
      </c>
      <c r="M1032" s="17">
        <v>2025</v>
      </c>
      <c r="N1032" s="17" t="s">
        <v>126</v>
      </c>
    </row>
    <row r="1033" spans="1:14" ht="14.25" customHeight="1">
      <c r="A1033" s="17">
        <v>11032</v>
      </c>
      <c r="B1033" s="18">
        <v>45333</v>
      </c>
      <c r="C1033" s="17" t="s">
        <v>39</v>
      </c>
      <c r="D1033" s="17" t="s">
        <v>83</v>
      </c>
      <c r="E1033" s="17" t="s">
        <v>168</v>
      </c>
      <c r="F1033" s="17" t="s">
        <v>164</v>
      </c>
      <c r="G1033" s="17">
        <v>3</v>
      </c>
      <c r="H1033" s="17">
        <v>19678</v>
      </c>
      <c r="I1033" s="17">
        <v>59034</v>
      </c>
      <c r="J1033" s="17">
        <v>391</v>
      </c>
      <c r="K1033" s="17">
        <v>58643</v>
      </c>
      <c r="L1033" s="17">
        <v>9173.1307479999996</v>
      </c>
      <c r="M1033" s="17">
        <v>2024</v>
      </c>
      <c r="N1033" s="17" t="s">
        <v>175</v>
      </c>
    </row>
    <row r="1034" spans="1:14" ht="14.25" customHeight="1">
      <c r="A1034" s="17">
        <v>11033</v>
      </c>
      <c r="B1034" s="18">
        <v>45380</v>
      </c>
      <c r="C1034" s="17" t="s">
        <v>167</v>
      </c>
      <c r="D1034" s="17" t="s">
        <v>170</v>
      </c>
      <c r="E1034" s="17" t="s">
        <v>165</v>
      </c>
      <c r="F1034" s="17" t="s">
        <v>166</v>
      </c>
      <c r="G1034" s="17">
        <v>4</v>
      </c>
      <c r="H1034" s="17">
        <v>43815</v>
      </c>
      <c r="I1034" s="17">
        <v>175260</v>
      </c>
      <c r="J1034" s="17">
        <v>2621</v>
      </c>
      <c r="K1034" s="17">
        <v>172639</v>
      </c>
      <c r="L1034" s="17">
        <v>29503.60972</v>
      </c>
      <c r="M1034" s="17">
        <v>2024</v>
      </c>
      <c r="N1034" s="17" t="s">
        <v>112</v>
      </c>
    </row>
    <row r="1035" spans="1:14" ht="14.25" customHeight="1">
      <c r="A1035" s="17">
        <v>11034</v>
      </c>
      <c r="B1035" s="18">
        <v>45693</v>
      </c>
      <c r="C1035" s="17" t="s">
        <v>50</v>
      </c>
      <c r="D1035" s="17" t="s">
        <v>86</v>
      </c>
      <c r="E1035" s="17" t="s">
        <v>165</v>
      </c>
      <c r="F1035" s="17" t="s">
        <v>172</v>
      </c>
      <c r="G1035" s="17">
        <v>3</v>
      </c>
      <c r="H1035" s="17">
        <v>31477</v>
      </c>
      <c r="I1035" s="17">
        <v>94431</v>
      </c>
      <c r="J1035" s="17">
        <v>920</v>
      </c>
      <c r="K1035" s="17">
        <v>93511</v>
      </c>
      <c r="L1035" s="17">
        <v>20897.498029999999</v>
      </c>
      <c r="M1035" s="17">
        <v>2025</v>
      </c>
      <c r="N1035" s="17" t="s">
        <v>175</v>
      </c>
    </row>
    <row r="1036" spans="1:14" ht="14.25" customHeight="1">
      <c r="A1036" s="17">
        <v>11035</v>
      </c>
      <c r="B1036" s="18">
        <v>45587</v>
      </c>
      <c r="C1036" s="17" t="s">
        <v>39</v>
      </c>
      <c r="D1036" s="17" t="s">
        <v>170</v>
      </c>
      <c r="E1036" s="17" t="s">
        <v>168</v>
      </c>
      <c r="F1036" s="17" t="s">
        <v>172</v>
      </c>
      <c r="G1036" s="17">
        <v>6</v>
      </c>
      <c r="H1036" s="17">
        <v>58826</v>
      </c>
      <c r="I1036" s="17">
        <v>352956</v>
      </c>
      <c r="J1036" s="17">
        <v>2457</v>
      </c>
      <c r="K1036" s="17">
        <v>350499</v>
      </c>
      <c r="L1036" s="17">
        <v>40024.508040000001</v>
      </c>
      <c r="M1036" s="17">
        <v>2024</v>
      </c>
      <c r="N1036" s="17" t="s">
        <v>174</v>
      </c>
    </row>
    <row r="1037" spans="1:14" ht="14.25" customHeight="1">
      <c r="A1037" s="17">
        <v>11036</v>
      </c>
      <c r="B1037" s="18">
        <v>45586</v>
      </c>
      <c r="C1037" s="17" t="s">
        <v>45</v>
      </c>
      <c r="D1037" s="17" t="s">
        <v>111</v>
      </c>
      <c r="E1037" s="17" t="s">
        <v>165</v>
      </c>
      <c r="F1037" s="17" t="s">
        <v>166</v>
      </c>
      <c r="G1037" s="17">
        <v>4</v>
      </c>
      <c r="H1037" s="17">
        <v>71750</v>
      </c>
      <c r="I1037" s="17">
        <v>287000</v>
      </c>
      <c r="J1037" s="17">
        <v>3600</v>
      </c>
      <c r="K1037" s="17">
        <v>283400</v>
      </c>
      <c r="L1037" s="17">
        <v>57131.356630000002</v>
      </c>
      <c r="M1037" s="17">
        <v>2024</v>
      </c>
      <c r="N1037" s="17" t="s">
        <v>174</v>
      </c>
    </row>
    <row r="1038" spans="1:14" ht="14.25" customHeight="1">
      <c r="A1038" s="17">
        <v>11037</v>
      </c>
      <c r="B1038" s="18">
        <v>45907</v>
      </c>
      <c r="C1038" s="17" t="s">
        <v>58</v>
      </c>
      <c r="D1038" s="17" t="s">
        <v>89</v>
      </c>
      <c r="E1038" s="17" t="s">
        <v>168</v>
      </c>
      <c r="F1038" s="17" t="s">
        <v>172</v>
      </c>
      <c r="G1038" s="17">
        <v>1</v>
      </c>
      <c r="H1038" s="17">
        <v>25010</v>
      </c>
      <c r="I1038" s="17">
        <v>25010</v>
      </c>
      <c r="J1038" s="17">
        <v>4508</v>
      </c>
      <c r="K1038" s="17">
        <v>20502</v>
      </c>
      <c r="L1038" s="17">
        <v>2711.3414849999999</v>
      </c>
      <c r="M1038" s="17">
        <v>2025</v>
      </c>
      <c r="N1038" s="17" t="s">
        <v>129</v>
      </c>
    </row>
    <row r="1039" spans="1:14" ht="14.25" customHeight="1">
      <c r="A1039" s="17">
        <v>11038</v>
      </c>
      <c r="B1039" s="18">
        <v>45817</v>
      </c>
      <c r="C1039" s="17" t="s">
        <v>39</v>
      </c>
      <c r="D1039" s="17" t="s">
        <v>170</v>
      </c>
      <c r="E1039" s="17" t="s">
        <v>168</v>
      </c>
      <c r="F1039" s="17" t="s">
        <v>163</v>
      </c>
      <c r="G1039" s="17">
        <v>5</v>
      </c>
      <c r="H1039" s="17">
        <v>70146</v>
      </c>
      <c r="I1039" s="17">
        <v>350730</v>
      </c>
      <c r="J1039" s="17">
        <v>1788</v>
      </c>
      <c r="K1039" s="17">
        <v>348942</v>
      </c>
      <c r="L1039" s="17">
        <v>38173.457349999997</v>
      </c>
      <c r="M1039" s="17">
        <v>2025</v>
      </c>
      <c r="N1039" s="17" t="s">
        <v>120</v>
      </c>
    </row>
    <row r="1040" spans="1:14" ht="14.25" customHeight="1">
      <c r="A1040" s="17">
        <v>11039</v>
      </c>
      <c r="B1040" s="18">
        <v>45982</v>
      </c>
      <c r="C1040" s="17" t="s">
        <v>39</v>
      </c>
      <c r="D1040" s="17" t="s">
        <v>83</v>
      </c>
      <c r="E1040" s="17" t="s">
        <v>165</v>
      </c>
      <c r="F1040" s="17" t="s">
        <v>166</v>
      </c>
      <c r="G1040" s="17">
        <v>5</v>
      </c>
      <c r="H1040" s="17">
        <v>63133</v>
      </c>
      <c r="I1040" s="17">
        <v>315665</v>
      </c>
      <c r="J1040" s="17">
        <v>260</v>
      </c>
      <c r="K1040" s="17">
        <v>315405</v>
      </c>
      <c r="L1040" s="17">
        <v>62883.769950000002</v>
      </c>
      <c r="M1040" s="17">
        <v>2025</v>
      </c>
      <c r="N1040" s="17" t="s">
        <v>173</v>
      </c>
    </row>
    <row r="1041" spans="1:14" ht="14.25" customHeight="1">
      <c r="A1041" s="17">
        <v>11040</v>
      </c>
      <c r="B1041" s="18">
        <v>45928</v>
      </c>
      <c r="C1041" s="17" t="s">
        <v>45</v>
      </c>
      <c r="D1041" s="17" t="s">
        <v>86</v>
      </c>
      <c r="E1041" s="17" t="s">
        <v>168</v>
      </c>
      <c r="F1041" s="17" t="s">
        <v>172</v>
      </c>
      <c r="G1041" s="17">
        <v>9</v>
      </c>
      <c r="H1041" s="17">
        <v>45643</v>
      </c>
      <c r="I1041" s="17">
        <v>410787</v>
      </c>
      <c r="J1041" s="17">
        <v>2013</v>
      </c>
      <c r="K1041" s="17">
        <v>408774</v>
      </c>
      <c r="L1041" s="17">
        <v>48321.925840000004</v>
      </c>
      <c r="M1041" s="17">
        <v>2025</v>
      </c>
      <c r="N1041" s="17" t="s">
        <v>129</v>
      </c>
    </row>
    <row r="1042" spans="1:14" ht="14.25" customHeight="1">
      <c r="A1042" s="17">
        <v>11041</v>
      </c>
      <c r="B1042" s="18">
        <v>45713</v>
      </c>
      <c r="C1042" s="17" t="s">
        <v>50</v>
      </c>
      <c r="D1042" s="17" t="s">
        <v>83</v>
      </c>
      <c r="E1042" s="17" t="s">
        <v>168</v>
      </c>
      <c r="F1042" s="17" t="s">
        <v>166</v>
      </c>
      <c r="G1042" s="17">
        <v>8</v>
      </c>
      <c r="H1042" s="17">
        <v>51687</v>
      </c>
      <c r="I1042" s="17">
        <v>413496</v>
      </c>
      <c r="J1042" s="17">
        <v>1335</v>
      </c>
      <c r="K1042" s="17">
        <v>412161</v>
      </c>
      <c r="L1042" s="17">
        <v>87399.188819999996</v>
      </c>
      <c r="M1042" s="17">
        <v>2025</v>
      </c>
      <c r="N1042" s="17" t="s">
        <v>175</v>
      </c>
    </row>
    <row r="1043" spans="1:14" ht="14.25" customHeight="1">
      <c r="A1043" s="17">
        <v>11042</v>
      </c>
      <c r="B1043" s="18">
        <v>45314</v>
      </c>
      <c r="C1043" s="17" t="s">
        <v>39</v>
      </c>
      <c r="D1043" s="17" t="s">
        <v>170</v>
      </c>
      <c r="E1043" s="17" t="s">
        <v>162</v>
      </c>
      <c r="F1043" s="17" t="s">
        <v>172</v>
      </c>
      <c r="G1043" s="17">
        <v>8</v>
      </c>
      <c r="H1043" s="17">
        <v>52993</v>
      </c>
      <c r="I1043" s="17">
        <v>423944</v>
      </c>
      <c r="J1043" s="17">
        <v>334</v>
      </c>
      <c r="K1043" s="17">
        <v>423610</v>
      </c>
      <c r="L1043" s="17">
        <v>55241.204619999997</v>
      </c>
      <c r="M1043" s="17">
        <v>2024</v>
      </c>
      <c r="N1043" s="17" t="s">
        <v>171</v>
      </c>
    </row>
    <row r="1044" spans="1:14" ht="14.25" customHeight="1">
      <c r="A1044" s="17">
        <v>11043</v>
      </c>
      <c r="B1044" s="18">
        <v>45866</v>
      </c>
      <c r="C1044" s="17" t="s">
        <v>39</v>
      </c>
      <c r="D1044" s="17" t="s">
        <v>89</v>
      </c>
      <c r="E1044" s="17" t="s">
        <v>168</v>
      </c>
      <c r="F1044" s="17" t="s">
        <v>172</v>
      </c>
      <c r="G1044" s="17">
        <v>5</v>
      </c>
      <c r="H1044" s="17">
        <v>30078</v>
      </c>
      <c r="I1044" s="17">
        <v>150390</v>
      </c>
      <c r="J1044" s="17">
        <v>2779</v>
      </c>
      <c r="K1044" s="17">
        <v>147611</v>
      </c>
      <c r="L1044" s="17">
        <v>15835.23618</v>
      </c>
      <c r="M1044" s="17">
        <v>2025</v>
      </c>
      <c r="N1044" s="17" t="s">
        <v>123</v>
      </c>
    </row>
    <row r="1045" spans="1:14" ht="14.25" customHeight="1">
      <c r="A1045" s="17">
        <v>11044</v>
      </c>
      <c r="B1045" s="18">
        <v>45434</v>
      </c>
      <c r="C1045" s="17" t="s">
        <v>50</v>
      </c>
      <c r="D1045" s="17" t="s">
        <v>89</v>
      </c>
      <c r="E1045" s="17" t="s">
        <v>162</v>
      </c>
      <c r="F1045" s="17" t="s">
        <v>164</v>
      </c>
      <c r="G1045" s="17">
        <v>8</v>
      </c>
      <c r="H1045" s="17">
        <v>70708</v>
      </c>
      <c r="I1045" s="17">
        <v>565664</v>
      </c>
      <c r="J1045" s="17">
        <v>803</v>
      </c>
      <c r="K1045" s="17">
        <v>564861</v>
      </c>
      <c r="L1045" s="17">
        <v>64899.489809999999</v>
      </c>
      <c r="M1045" s="17">
        <v>2024</v>
      </c>
      <c r="N1045" s="17" t="s">
        <v>117</v>
      </c>
    </row>
    <row r="1046" spans="1:14" ht="14.25" customHeight="1">
      <c r="A1046" s="17">
        <v>11045</v>
      </c>
      <c r="B1046" s="18">
        <v>45956</v>
      </c>
      <c r="C1046" s="17" t="s">
        <v>45</v>
      </c>
      <c r="D1046" s="17" t="s">
        <v>83</v>
      </c>
      <c r="E1046" s="17" t="s">
        <v>162</v>
      </c>
      <c r="F1046" s="17" t="s">
        <v>166</v>
      </c>
      <c r="G1046" s="17">
        <v>7</v>
      </c>
      <c r="H1046" s="17">
        <v>22270</v>
      </c>
      <c r="I1046" s="17">
        <v>155890</v>
      </c>
      <c r="J1046" s="17">
        <v>2437</v>
      </c>
      <c r="K1046" s="17">
        <v>153453</v>
      </c>
      <c r="L1046" s="17">
        <v>34709.616520000003</v>
      </c>
      <c r="M1046" s="17">
        <v>2025</v>
      </c>
      <c r="N1046" s="17" t="s">
        <v>174</v>
      </c>
    </row>
    <row r="1047" spans="1:14" ht="14.25" customHeight="1">
      <c r="A1047" s="17">
        <v>11046</v>
      </c>
      <c r="B1047" s="18">
        <v>45436</v>
      </c>
      <c r="C1047" s="17" t="s">
        <v>39</v>
      </c>
      <c r="D1047" s="17" t="s">
        <v>111</v>
      </c>
      <c r="E1047" s="17" t="s">
        <v>162</v>
      </c>
      <c r="F1047" s="17" t="s">
        <v>164</v>
      </c>
      <c r="G1047" s="17">
        <v>1</v>
      </c>
      <c r="H1047" s="17">
        <v>11263</v>
      </c>
      <c r="I1047" s="17">
        <v>11263</v>
      </c>
      <c r="J1047" s="17">
        <v>2807</v>
      </c>
      <c r="K1047" s="17">
        <v>8456</v>
      </c>
      <c r="L1047" s="17">
        <v>1316.136086</v>
      </c>
      <c r="M1047" s="17">
        <v>2024</v>
      </c>
      <c r="N1047" s="17" t="s">
        <v>117</v>
      </c>
    </row>
    <row r="1048" spans="1:14" ht="14.25" customHeight="1">
      <c r="A1048" s="17">
        <v>11047</v>
      </c>
      <c r="B1048" s="18">
        <v>45516</v>
      </c>
      <c r="C1048" s="17" t="s">
        <v>50</v>
      </c>
      <c r="D1048" s="17" t="s">
        <v>111</v>
      </c>
      <c r="E1048" s="17" t="s">
        <v>162</v>
      </c>
      <c r="F1048" s="17" t="s">
        <v>172</v>
      </c>
      <c r="G1048" s="17">
        <v>7</v>
      </c>
      <c r="H1048" s="17">
        <v>25752</v>
      </c>
      <c r="I1048" s="17">
        <v>180264</v>
      </c>
      <c r="J1048" s="17">
        <v>940</v>
      </c>
      <c r="K1048" s="17">
        <v>179324</v>
      </c>
      <c r="L1048" s="17">
        <v>26062.949479999999</v>
      </c>
      <c r="M1048" s="17">
        <v>2024</v>
      </c>
      <c r="N1048" s="17" t="s">
        <v>126</v>
      </c>
    </row>
    <row r="1049" spans="1:14" ht="14.25" customHeight="1">
      <c r="A1049" s="17">
        <v>11048</v>
      </c>
      <c r="B1049" s="18">
        <v>45794</v>
      </c>
      <c r="C1049" s="17" t="s">
        <v>39</v>
      </c>
      <c r="D1049" s="17" t="s">
        <v>89</v>
      </c>
      <c r="E1049" s="17" t="s">
        <v>165</v>
      </c>
      <c r="F1049" s="17" t="s">
        <v>166</v>
      </c>
      <c r="G1049" s="17">
        <v>8</v>
      </c>
      <c r="H1049" s="17">
        <v>16621</v>
      </c>
      <c r="I1049" s="17">
        <v>132968</v>
      </c>
      <c r="J1049" s="17">
        <v>3163</v>
      </c>
      <c r="K1049" s="17">
        <v>129805</v>
      </c>
      <c r="L1049" s="17">
        <v>22544.509419999998</v>
      </c>
      <c r="M1049" s="17">
        <v>2025</v>
      </c>
      <c r="N1049" s="17" t="s">
        <v>117</v>
      </c>
    </row>
    <row r="1050" spans="1:14" ht="14.25" customHeight="1">
      <c r="A1050" s="17">
        <v>11049</v>
      </c>
      <c r="B1050" s="18">
        <v>45907</v>
      </c>
      <c r="C1050" s="17" t="s">
        <v>58</v>
      </c>
      <c r="D1050" s="17" t="s">
        <v>83</v>
      </c>
      <c r="E1050" s="17" t="s">
        <v>165</v>
      </c>
      <c r="F1050" s="17" t="s">
        <v>166</v>
      </c>
      <c r="G1050" s="17">
        <v>3</v>
      </c>
      <c r="H1050" s="17">
        <v>47369</v>
      </c>
      <c r="I1050" s="17">
        <v>142107</v>
      </c>
      <c r="J1050" s="17">
        <v>902</v>
      </c>
      <c r="K1050" s="17">
        <v>141205</v>
      </c>
      <c r="L1050" s="17">
        <v>27526.486509999999</v>
      </c>
      <c r="M1050" s="17">
        <v>2025</v>
      </c>
      <c r="N1050" s="17" t="s">
        <v>129</v>
      </c>
    </row>
    <row r="1051" spans="1:14" ht="14.25" customHeight="1">
      <c r="A1051" s="17">
        <v>11050</v>
      </c>
      <c r="B1051" s="18">
        <v>45395</v>
      </c>
      <c r="C1051" s="17" t="s">
        <v>167</v>
      </c>
      <c r="D1051" s="17" t="s">
        <v>83</v>
      </c>
      <c r="E1051" s="17" t="s">
        <v>168</v>
      </c>
      <c r="F1051" s="17" t="s">
        <v>163</v>
      </c>
      <c r="G1051" s="17">
        <v>9</v>
      </c>
      <c r="H1051" s="17">
        <v>77592</v>
      </c>
      <c r="I1051" s="17">
        <v>698328</v>
      </c>
      <c r="J1051" s="17">
        <v>3432</v>
      </c>
      <c r="K1051" s="17">
        <v>694896</v>
      </c>
      <c r="L1051" s="17">
        <v>73356.93028</v>
      </c>
      <c r="M1051" s="17">
        <v>2024</v>
      </c>
      <c r="N1051" s="17" t="s">
        <v>114</v>
      </c>
    </row>
    <row r="1052" spans="1:14" ht="14.25" customHeight="1">
      <c r="A1052" s="17">
        <v>11051</v>
      </c>
      <c r="B1052" s="18">
        <v>45330</v>
      </c>
      <c r="C1052" s="17" t="s">
        <v>58</v>
      </c>
      <c r="D1052" s="17" t="s">
        <v>83</v>
      </c>
      <c r="E1052" s="17" t="s">
        <v>168</v>
      </c>
      <c r="F1052" s="17" t="s">
        <v>163</v>
      </c>
      <c r="G1052" s="17">
        <v>8</v>
      </c>
      <c r="H1052" s="17">
        <v>65267</v>
      </c>
      <c r="I1052" s="17">
        <v>522136</v>
      </c>
      <c r="J1052" s="17">
        <v>1268</v>
      </c>
      <c r="K1052" s="17">
        <v>520868</v>
      </c>
      <c r="L1052" s="17">
        <v>122262.4482</v>
      </c>
      <c r="M1052" s="17">
        <v>2024</v>
      </c>
      <c r="N1052" s="17" t="s">
        <v>175</v>
      </c>
    </row>
    <row r="1053" spans="1:14" ht="14.25" customHeight="1">
      <c r="A1053" s="17">
        <v>11052</v>
      </c>
      <c r="B1053" s="18">
        <v>45489</v>
      </c>
      <c r="C1053" s="17" t="s">
        <v>39</v>
      </c>
      <c r="D1053" s="17" t="s">
        <v>170</v>
      </c>
      <c r="E1053" s="17" t="s">
        <v>168</v>
      </c>
      <c r="F1053" s="17" t="s">
        <v>172</v>
      </c>
      <c r="G1053" s="17">
        <v>2</v>
      </c>
      <c r="H1053" s="17">
        <v>19245</v>
      </c>
      <c r="I1053" s="17">
        <v>38490</v>
      </c>
      <c r="J1053" s="17">
        <v>23</v>
      </c>
      <c r="K1053" s="17">
        <v>38467</v>
      </c>
      <c r="L1053" s="17">
        <v>9377.185399</v>
      </c>
      <c r="M1053" s="17">
        <v>2024</v>
      </c>
      <c r="N1053" s="17" t="s">
        <v>123</v>
      </c>
    </row>
    <row r="1054" spans="1:14" ht="14.25" customHeight="1">
      <c r="A1054" s="17">
        <v>11053</v>
      </c>
      <c r="B1054" s="18">
        <v>45937</v>
      </c>
      <c r="C1054" s="17" t="s">
        <v>45</v>
      </c>
      <c r="D1054" s="17" t="s">
        <v>111</v>
      </c>
      <c r="E1054" s="17" t="s">
        <v>165</v>
      </c>
      <c r="F1054" s="17" t="s">
        <v>172</v>
      </c>
      <c r="G1054" s="17">
        <v>6</v>
      </c>
      <c r="H1054" s="17">
        <v>37676</v>
      </c>
      <c r="I1054" s="17">
        <v>226056</v>
      </c>
      <c r="J1054" s="17">
        <v>4652</v>
      </c>
      <c r="K1054" s="17">
        <v>221404</v>
      </c>
      <c r="L1054" s="17">
        <v>35999.409749999999</v>
      </c>
      <c r="M1054" s="17">
        <v>2025</v>
      </c>
      <c r="N1054" s="17" t="s">
        <v>174</v>
      </c>
    </row>
    <row r="1055" spans="1:14" ht="14.25" customHeight="1">
      <c r="A1055" s="17">
        <v>11054</v>
      </c>
      <c r="B1055" s="18">
        <v>45870</v>
      </c>
      <c r="C1055" s="17" t="s">
        <v>167</v>
      </c>
      <c r="D1055" s="17" t="s">
        <v>111</v>
      </c>
      <c r="E1055" s="17" t="s">
        <v>162</v>
      </c>
      <c r="F1055" s="17" t="s">
        <v>172</v>
      </c>
      <c r="G1055" s="17">
        <v>4</v>
      </c>
      <c r="H1055" s="17">
        <v>70796</v>
      </c>
      <c r="I1055" s="17">
        <v>283184</v>
      </c>
      <c r="J1055" s="17">
        <v>2748</v>
      </c>
      <c r="K1055" s="17">
        <v>280436</v>
      </c>
      <c r="L1055" s="17">
        <v>45400.999839999997</v>
      </c>
      <c r="M1055" s="17">
        <v>2025</v>
      </c>
      <c r="N1055" s="17" t="s">
        <v>126</v>
      </c>
    </row>
    <row r="1056" spans="1:14" ht="14.25" customHeight="1">
      <c r="A1056" s="17">
        <v>11055</v>
      </c>
      <c r="B1056" s="18">
        <v>45682</v>
      </c>
      <c r="C1056" s="17" t="s">
        <v>58</v>
      </c>
      <c r="D1056" s="17" t="s">
        <v>170</v>
      </c>
      <c r="E1056" s="17" t="s">
        <v>165</v>
      </c>
      <c r="F1056" s="17" t="s">
        <v>172</v>
      </c>
      <c r="G1056" s="17">
        <v>3</v>
      </c>
      <c r="H1056" s="17">
        <v>57504</v>
      </c>
      <c r="I1056" s="17">
        <v>172512</v>
      </c>
      <c r="J1056" s="17">
        <v>2450</v>
      </c>
      <c r="K1056" s="17">
        <v>170062</v>
      </c>
      <c r="L1056" s="17">
        <v>39417.6486</v>
      </c>
      <c r="M1056" s="17">
        <v>2025</v>
      </c>
      <c r="N1056" s="17" t="s">
        <v>171</v>
      </c>
    </row>
    <row r="1057" spans="1:14" ht="14.25" customHeight="1">
      <c r="A1057" s="17">
        <v>11056</v>
      </c>
      <c r="B1057" s="18">
        <v>45470</v>
      </c>
      <c r="C1057" s="17" t="s">
        <v>50</v>
      </c>
      <c r="D1057" s="17" t="s">
        <v>86</v>
      </c>
      <c r="E1057" s="17" t="s">
        <v>165</v>
      </c>
      <c r="F1057" s="17" t="s">
        <v>163</v>
      </c>
      <c r="G1057" s="17">
        <v>6</v>
      </c>
      <c r="H1057" s="17">
        <v>6352</v>
      </c>
      <c r="I1057" s="17">
        <v>38112</v>
      </c>
      <c r="J1057" s="17">
        <v>1396</v>
      </c>
      <c r="K1057" s="17">
        <v>36716</v>
      </c>
      <c r="L1057" s="17">
        <v>6035.9917969999997</v>
      </c>
      <c r="M1057" s="17">
        <v>2024</v>
      </c>
      <c r="N1057" s="17" t="s">
        <v>120</v>
      </c>
    </row>
    <row r="1058" spans="1:14" ht="14.25" customHeight="1">
      <c r="A1058" s="17">
        <v>11057</v>
      </c>
      <c r="B1058" s="18">
        <v>45845</v>
      </c>
      <c r="C1058" s="17" t="s">
        <v>45</v>
      </c>
      <c r="D1058" s="17" t="s">
        <v>170</v>
      </c>
      <c r="E1058" s="17" t="s">
        <v>168</v>
      </c>
      <c r="F1058" s="17" t="s">
        <v>166</v>
      </c>
      <c r="G1058" s="17">
        <v>9</v>
      </c>
      <c r="H1058" s="17">
        <v>10243</v>
      </c>
      <c r="I1058" s="17">
        <v>92187</v>
      </c>
      <c r="J1058" s="17">
        <v>3357</v>
      </c>
      <c r="K1058" s="17">
        <v>88830</v>
      </c>
      <c r="L1058" s="17">
        <v>20291.302790000002</v>
      </c>
      <c r="M1058" s="17">
        <v>2025</v>
      </c>
      <c r="N1058" s="17" t="s">
        <v>123</v>
      </c>
    </row>
    <row r="1059" spans="1:14" ht="14.25" customHeight="1">
      <c r="A1059" s="17">
        <v>11058</v>
      </c>
      <c r="B1059" s="18">
        <v>45739</v>
      </c>
      <c r="C1059" s="17" t="s">
        <v>58</v>
      </c>
      <c r="D1059" s="17" t="s">
        <v>83</v>
      </c>
      <c r="E1059" s="17" t="s">
        <v>168</v>
      </c>
      <c r="F1059" s="17" t="s">
        <v>164</v>
      </c>
      <c r="G1059" s="17">
        <v>2</v>
      </c>
      <c r="H1059" s="17">
        <v>50333</v>
      </c>
      <c r="I1059" s="17">
        <v>100666</v>
      </c>
      <c r="J1059" s="17">
        <v>3904</v>
      </c>
      <c r="K1059" s="17">
        <v>96762</v>
      </c>
      <c r="L1059" s="17">
        <v>10087.49091</v>
      </c>
      <c r="M1059" s="17">
        <v>2025</v>
      </c>
      <c r="N1059" s="17" t="s">
        <v>112</v>
      </c>
    </row>
    <row r="1060" spans="1:14" ht="14.25" customHeight="1">
      <c r="A1060" s="17">
        <v>11059</v>
      </c>
      <c r="B1060" s="18">
        <v>45791</v>
      </c>
      <c r="C1060" s="17" t="s">
        <v>50</v>
      </c>
      <c r="D1060" s="17" t="s">
        <v>170</v>
      </c>
      <c r="E1060" s="17" t="s">
        <v>168</v>
      </c>
      <c r="F1060" s="17" t="s">
        <v>166</v>
      </c>
      <c r="G1060" s="17">
        <v>5</v>
      </c>
      <c r="H1060" s="17">
        <v>64484</v>
      </c>
      <c r="I1060" s="17">
        <v>322420</v>
      </c>
      <c r="J1060" s="17">
        <v>2488</v>
      </c>
      <c r="K1060" s="17">
        <v>319932</v>
      </c>
      <c r="L1060" s="17">
        <v>55491.434780000003</v>
      </c>
      <c r="M1060" s="17">
        <v>2025</v>
      </c>
      <c r="N1060" s="17" t="s">
        <v>117</v>
      </c>
    </row>
    <row r="1061" spans="1:14" ht="14.25" customHeight="1">
      <c r="A1061" s="17">
        <v>11060</v>
      </c>
      <c r="B1061" s="18">
        <v>45306</v>
      </c>
      <c r="C1061" s="17" t="s">
        <v>39</v>
      </c>
      <c r="D1061" s="17" t="s">
        <v>83</v>
      </c>
      <c r="E1061" s="17" t="s">
        <v>162</v>
      </c>
      <c r="F1061" s="17" t="s">
        <v>166</v>
      </c>
      <c r="G1061" s="17">
        <v>6</v>
      </c>
      <c r="H1061" s="17">
        <v>54974</v>
      </c>
      <c r="I1061" s="17">
        <v>329844</v>
      </c>
      <c r="J1061" s="17">
        <v>3666</v>
      </c>
      <c r="K1061" s="17">
        <v>326178</v>
      </c>
      <c r="L1061" s="17">
        <v>79217.010139999999</v>
      </c>
      <c r="M1061" s="17">
        <v>2024</v>
      </c>
      <c r="N1061" s="17" t="s">
        <v>171</v>
      </c>
    </row>
    <row r="1062" spans="1:14" ht="14.25" customHeight="1">
      <c r="A1062" s="17">
        <v>11061</v>
      </c>
      <c r="B1062" s="18">
        <v>45914</v>
      </c>
      <c r="C1062" s="17" t="s">
        <v>50</v>
      </c>
      <c r="D1062" s="17" t="s">
        <v>89</v>
      </c>
      <c r="E1062" s="17" t="s">
        <v>162</v>
      </c>
      <c r="F1062" s="17" t="s">
        <v>163</v>
      </c>
      <c r="G1062" s="17">
        <v>4</v>
      </c>
      <c r="H1062" s="17">
        <v>70702</v>
      </c>
      <c r="I1062" s="17">
        <v>282808</v>
      </c>
      <c r="J1062" s="17">
        <v>1757</v>
      </c>
      <c r="K1062" s="17">
        <v>281051</v>
      </c>
      <c r="L1062" s="17">
        <v>38762.750319999999</v>
      </c>
      <c r="M1062" s="17">
        <v>2025</v>
      </c>
      <c r="N1062" s="17" t="s">
        <v>129</v>
      </c>
    </row>
    <row r="1063" spans="1:14" ht="14.25" customHeight="1">
      <c r="A1063" s="17">
        <v>11062</v>
      </c>
      <c r="B1063" s="18">
        <v>45960</v>
      </c>
      <c r="C1063" s="17" t="s">
        <v>58</v>
      </c>
      <c r="D1063" s="17" t="s">
        <v>83</v>
      </c>
      <c r="E1063" s="17" t="s">
        <v>165</v>
      </c>
      <c r="F1063" s="17" t="s">
        <v>166</v>
      </c>
      <c r="G1063" s="17">
        <v>7</v>
      </c>
      <c r="H1063" s="17">
        <v>26310</v>
      </c>
      <c r="I1063" s="17">
        <v>184170</v>
      </c>
      <c r="J1063" s="17">
        <v>4977</v>
      </c>
      <c r="K1063" s="17">
        <v>179193</v>
      </c>
      <c r="L1063" s="17">
        <v>25073.26211</v>
      </c>
      <c r="M1063" s="17">
        <v>2025</v>
      </c>
      <c r="N1063" s="17" t="s">
        <v>174</v>
      </c>
    </row>
    <row r="1064" spans="1:14" ht="14.25" customHeight="1">
      <c r="A1064" s="17">
        <v>11063</v>
      </c>
      <c r="B1064" s="18">
        <v>45580</v>
      </c>
      <c r="C1064" s="17" t="s">
        <v>58</v>
      </c>
      <c r="D1064" s="17" t="s">
        <v>111</v>
      </c>
      <c r="E1064" s="17" t="s">
        <v>162</v>
      </c>
      <c r="F1064" s="17" t="s">
        <v>166</v>
      </c>
      <c r="G1064" s="17">
        <v>2</v>
      </c>
      <c r="H1064" s="17">
        <v>22439</v>
      </c>
      <c r="I1064" s="17">
        <v>44878</v>
      </c>
      <c r="J1064" s="17">
        <v>1878</v>
      </c>
      <c r="K1064" s="17">
        <v>43000</v>
      </c>
      <c r="L1064" s="17">
        <v>8364.2932770000007</v>
      </c>
      <c r="M1064" s="17">
        <v>2024</v>
      </c>
      <c r="N1064" s="17" t="s">
        <v>174</v>
      </c>
    </row>
    <row r="1065" spans="1:14" ht="14.25" customHeight="1">
      <c r="A1065" s="17">
        <v>11064</v>
      </c>
      <c r="B1065" s="18">
        <v>45769</v>
      </c>
      <c r="C1065" s="17" t="s">
        <v>39</v>
      </c>
      <c r="D1065" s="17" t="s">
        <v>170</v>
      </c>
      <c r="E1065" s="17" t="s">
        <v>168</v>
      </c>
      <c r="F1065" s="17" t="s">
        <v>172</v>
      </c>
      <c r="G1065" s="17">
        <v>7</v>
      </c>
      <c r="H1065" s="17">
        <v>6254</v>
      </c>
      <c r="I1065" s="17">
        <v>43778</v>
      </c>
      <c r="J1065" s="17">
        <v>2532</v>
      </c>
      <c r="K1065" s="17">
        <v>41246</v>
      </c>
      <c r="L1065" s="17">
        <v>9854.8503760000003</v>
      </c>
      <c r="M1065" s="17">
        <v>2025</v>
      </c>
      <c r="N1065" s="17" t="s">
        <v>114</v>
      </c>
    </row>
    <row r="1066" spans="1:14" ht="14.25" customHeight="1">
      <c r="A1066" s="17">
        <v>11065</v>
      </c>
      <c r="B1066" s="18">
        <v>45522</v>
      </c>
      <c r="C1066" s="17" t="s">
        <v>50</v>
      </c>
      <c r="D1066" s="17" t="s">
        <v>83</v>
      </c>
      <c r="E1066" s="17" t="s">
        <v>162</v>
      </c>
      <c r="F1066" s="17" t="s">
        <v>164</v>
      </c>
      <c r="G1066" s="17">
        <v>2</v>
      </c>
      <c r="H1066" s="17">
        <v>9286</v>
      </c>
      <c r="I1066" s="17">
        <v>18572</v>
      </c>
      <c r="J1066" s="17">
        <v>3514</v>
      </c>
      <c r="K1066" s="17">
        <v>15058</v>
      </c>
      <c r="L1066" s="17">
        <v>1954.6991</v>
      </c>
      <c r="M1066" s="17">
        <v>2024</v>
      </c>
      <c r="N1066" s="17" t="s">
        <v>126</v>
      </c>
    </row>
    <row r="1067" spans="1:14" ht="14.25" customHeight="1">
      <c r="A1067" s="17">
        <v>11066</v>
      </c>
      <c r="B1067" s="18">
        <v>45711</v>
      </c>
      <c r="C1067" s="17" t="s">
        <v>50</v>
      </c>
      <c r="D1067" s="17" t="s">
        <v>86</v>
      </c>
      <c r="E1067" s="17" t="s">
        <v>162</v>
      </c>
      <c r="F1067" s="17" t="s">
        <v>166</v>
      </c>
      <c r="G1067" s="17">
        <v>1</v>
      </c>
      <c r="H1067" s="17">
        <v>78545</v>
      </c>
      <c r="I1067" s="17">
        <v>78545</v>
      </c>
      <c r="J1067" s="17">
        <v>3773</v>
      </c>
      <c r="K1067" s="17">
        <v>74772</v>
      </c>
      <c r="L1067" s="17">
        <v>17814.253580000001</v>
      </c>
      <c r="M1067" s="17">
        <v>2025</v>
      </c>
      <c r="N1067" s="17" t="s">
        <v>175</v>
      </c>
    </row>
    <row r="1068" spans="1:14" ht="14.25" customHeight="1">
      <c r="A1068" s="17">
        <v>11067</v>
      </c>
      <c r="B1068" s="18">
        <v>45448</v>
      </c>
      <c r="C1068" s="17" t="s">
        <v>39</v>
      </c>
      <c r="D1068" s="17" t="s">
        <v>89</v>
      </c>
      <c r="E1068" s="17" t="s">
        <v>162</v>
      </c>
      <c r="F1068" s="17" t="s">
        <v>166</v>
      </c>
      <c r="G1068" s="17">
        <v>5</v>
      </c>
      <c r="H1068" s="17">
        <v>74543</v>
      </c>
      <c r="I1068" s="17">
        <v>372715</v>
      </c>
      <c r="J1068" s="17">
        <v>2078</v>
      </c>
      <c r="K1068" s="17">
        <v>370637</v>
      </c>
      <c r="L1068" s="17">
        <v>73923.757809999996</v>
      </c>
      <c r="M1068" s="17">
        <v>2024</v>
      </c>
      <c r="N1068" s="17" t="s">
        <v>120</v>
      </c>
    </row>
    <row r="1069" spans="1:14" ht="14.25" customHeight="1">
      <c r="A1069" s="17">
        <v>11068</v>
      </c>
      <c r="B1069" s="18">
        <v>45841</v>
      </c>
      <c r="C1069" s="17" t="s">
        <v>50</v>
      </c>
      <c r="D1069" s="17" t="s">
        <v>86</v>
      </c>
      <c r="E1069" s="17" t="s">
        <v>162</v>
      </c>
      <c r="F1069" s="17" t="s">
        <v>164</v>
      </c>
      <c r="G1069" s="17">
        <v>2</v>
      </c>
      <c r="H1069" s="17">
        <v>19992</v>
      </c>
      <c r="I1069" s="17">
        <v>39984</v>
      </c>
      <c r="J1069" s="17">
        <v>4661</v>
      </c>
      <c r="K1069" s="17">
        <v>35323</v>
      </c>
      <c r="L1069" s="17">
        <v>8793.9115419999998</v>
      </c>
      <c r="M1069" s="17">
        <v>2025</v>
      </c>
      <c r="N1069" s="17" t="s">
        <v>123</v>
      </c>
    </row>
    <row r="1070" spans="1:14" ht="14.25" customHeight="1">
      <c r="A1070" s="17">
        <v>11069</v>
      </c>
      <c r="B1070" s="18">
        <v>45732</v>
      </c>
      <c r="C1070" s="17" t="s">
        <v>39</v>
      </c>
      <c r="D1070" s="17" t="s">
        <v>86</v>
      </c>
      <c r="E1070" s="17" t="s">
        <v>168</v>
      </c>
      <c r="F1070" s="17" t="s">
        <v>172</v>
      </c>
      <c r="G1070" s="17">
        <v>8</v>
      </c>
      <c r="H1070" s="17">
        <v>67052</v>
      </c>
      <c r="I1070" s="17">
        <v>536416</v>
      </c>
      <c r="J1070" s="17">
        <v>2057</v>
      </c>
      <c r="K1070" s="17">
        <v>534359</v>
      </c>
      <c r="L1070" s="17">
        <v>112465.91190000001</v>
      </c>
      <c r="M1070" s="17">
        <v>2025</v>
      </c>
      <c r="N1070" s="17" t="s">
        <v>112</v>
      </c>
    </row>
    <row r="1071" spans="1:14" ht="14.25" customHeight="1">
      <c r="A1071" s="17">
        <v>11070</v>
      </c>
      <c r="B1071" s="18">
        <v>45388</v>
      </c>
      <c r="C1071" s="17" t="s">
        <v>45</v>
      </c>
      <c r="D1071" s="17" t="s">
        <v>86</v>
      </c>
      <c r="E1071" s="17" t="s">
        <v>168</v>
      </c>
      <c r="F1071" s="17" t="s">
        <v>163</v>
      </c>
      <c r="G1071" s="17">
        <v>8</v>
      </c>
      <c r="H1071" s="17">
        <v>14723</v>
      </c>
      <c r="I1071" s="17">
        <v>117784</v>
      </c>
      <c r="J1071" s="17">
        <v>677</v>
      </c>
      <c r="K1071" s="17">
        <v>117107</v>
      </c>
      <c r="L1071" s="17">
        <v>23441.31769</v>
      </c>
      <c r="M1071" s="17">
        <v>2024</v>
      </c>
      <c r="N1071" s="17" t="s">
        <v>114</v>
      </c>
    </row>
    <row r="1072" spans="1:14" ht="14.25" customHeight="1">
      <c r="A1072" s="17">
        <v>11071</v>
      </c>
      <c r="B1072" s="18">
        <v>45702</v>
      </c>
      <c r="C1072" s="17" t="s">
        <v>58</v>
      </c>
      <c r="D1072" s="17" t="s">
        <v>89</v>
      </c>
      <c r="E1072" s="17" t="s">
        <v>165</v>
      </c>
      <c r="F1072" s="17" t="s">
        <v>163</v>
      </c>
      <c r="G1072" s="17">
        <v>1</v>
      </c>
      <c r="H1072" s="17">
        <v>70183</v>
      </c>
      <c r="I1072" s="17">
        <v>70183</v>
      </c>
      <c r="J1072" s="17">
        <v>4946</v>
      </c>
      <c r="K1072" s="17">
        <v>65237</v>
      </c>
      <c r="L1072" s="17">
        <v>14497.97573</v>
      </c>
      <c r="M1072" s="17">
        <v>2025</v>
      </c>
      <c r="N1072" s="17" t="s">
        <v>175</v>
      </c>
    </row>
    <row r="1073" spans="1:14" ht="14.25" customHeight="1">
      <c r="A1073" s="17">
        <v>11072</v>
      </c>
      <c r="B1073" s="18">
        <v>45580</v>
      </c>
      <c r="C1073" s="17" t="s">
        <v>45</v>
      </c>
      <c r="D1073" s="17" t="s">
        <v>89</v>
      </c>
      <c r="E1073" s="17" t="s">
        <v>165</v>
      </c>
      <c r="F1073" s="17" t="s">
        <v>166</v>
      </c>
      <c r="G1073" s="17">
        <v>4</v>
      </c>
      <c r="H1073" s="17">
        <v>19590</v>
      </c>
      <c r="I1073" s="17">
        <v>78360</v>
      </c>
      <c r="J1073" s="17">
        <v>2974</v>
      </c>
      <c r="K1073" s="17">
        <v>75386</v>
      </c>
      <c r="L1073" s="17">
        <v>9519.0692170000002</v>
      </c>
      <c r="M1073" s="17">
        <v>2024</v>
      </c>
      <c r="N1073" s="17" t="s">
        <v>174</v>
      </c>
    </row>
    <row r="1074" spans="1:14" ht="14.25" customHeight="1">
      <c r="A1074" s="17">
        <v>11073</v>
      </c>
      <c r="B1074" s="18">
        <v>45545</v>
      </c>
      <c r="C1074" s="17" t="s">
        <v>167</v>
      </c>
      <c r="D1074" s="17" t="s">
        <v>89</v>
      </c>
      <c r="E1074" s="17" t="s">
        <v>165</v>
      </c>
      <c r="F1074" s="17" t="s">
        <v>172</v>
      </c>
      <c r="G1074" s="17">
        <v>9</v>
      </c>
      <c r="H1074" s="17">
        <v>50002</v>
      </c>
      <c r="I1074" s="17">
        <v>450018</v>
      </c>
      <c r="J1074" s="17">
        <v>284</v>
      </c>
      <c r="K1074" s="17">
        <v>449734</v>
      </c>
      <c r="L1074" s="17">
        <v>108789.6841</v>
      </c>
      <c r="M1074" s="17">
        <v>2024</v>
      </c>
      <c r="N1074" s="17" t="s">
        <v>129</v>
      </c>
    </row>
    <row r="1075" spans="1:14" ht="14.25" customHeight="1">
      <c r="A1075" s="17">
        <v>11074</v>
      </c>
      <c r="B1075" s="18">
        <v>45487</v>
      </c>
      <c r="C1075" s="17" t="s">
        <v>167</v>
      </c>
      <c r="D1075" s="17" t="s">
        <v>89</v>
      </c>
      <c r="E1075" s="17" t="s">
        <v>162</v>
      </c>
      <c r="F1075" s="17" t="s">
        <v>163</v>
      </c>
      <c r="G1075" s="17">
        <v>5</v>
      </c>
      <c r="H1075" s="17">
        <v>51779</v>
      </c>
      <c r="I1075" s="17">
        <v>258895</v>
      </c>
      <c r="J1075" s="17">
        <v>2200</v>
      </c>
      <c r="K1075" s="17">
        <v>256695</v>
      </c>
      <c r="L1075" s="17">
        <v>32045.630870000001</v>
      </c>
      <c r="M1075" s="17">
        <v>2024</v>
      </c>
      <c r="N1075" s="17" t="s">
        <v>123</v>
      </c>
    </row>
    <row r="1076" spans="1:14" ht="14.25" customHeight="1">
      <c r="A1076" s="17">
        <v>11075</v>
      </c>
      <c r="B1076" s="18">
        <v>45889</v>
      </c>
      <c r="C1076" s="17" t="s">
        <v>167</v>
      </c>
      <c r="D1076" s="17" t="s">
        <v>86</v>
      </c>
      <c r="E1076" s="17" t="s">
        <v>162</v>
      </c>
      <c r="F1076" s="17" t="s">
        <v>163</v>
      </c>
      <c r="G1076" s="17">
        <v>6</v>
      </c>
      <c r="H1076" s="17">
        <v>17016</v>
      </c>
      <c r="I1076" s="17">
        <v>102096</v>
      </c>
      <c r="J1076" s="17">
        <v>4466</v>
      </c>
      <c r="K1076" s="17">
        <v>97630</v>
      </c>
      <c r="L1076" s="17">
        <v>10138.92973</v>
      </c>
      <c r="M1076" s="17">
        <v>2025</v>
      </c>
      <c r="N1076" s="17" t="s">
        <v>126</v>
      </c>
    </row>
    <row r="1077" spans="1:14" ht="14.25" customHeight="1">
      <c r="A1077" s="17">
        <v>11076</v>
      </c>
      <c r="B1077" s="18">
        <v>45813</v>
      </c>
      <c r="C1077" s="17" t="s">
        <v>39</v>
      </c>
      <c r="D1077" s="17" t="s">
        <v>111</v>
      </c>
      <c r="E1077" s="17" t="s">
        <v>168</v>
      </c>
      <c r="F1077" s="17" t="s">
        <v>163</v>
      </c>
      <c r="G1077" s="17">
        <v>3</v>
      </c>
      <c r="H1077" s="17">
        <v>53183</v>
      </c>
      <c r="I1077" s="17">
        <v>159549</v>
      </c>
      <c r="J1077" s="17">
        <v>1840</v>
      </c>
      <c r="K1077" s="17">
        <v>157709</v>
      </c>
      <c r="L1077" s="17">
        <v>32279.645690000001</v>
      </c>
      <c r="M1077" s="17">
        <v>2025</v>
      </c>
      <c r="N1077" s="17" t="s">
        <v>120</v>
      </c>
    </row>
    <row r="1078" spans="1:14" ht="14.25" customHeight="1">
      <c r="A1078" s="17">
        <v>11077</v>
      </c>
      <c r="B1078" s="18">
        <v>45808</v>
      </c>
      <c r="C1078" s="17" t="s">
        <v>50</v>
      </c>
      <c r="D1078" s="17" t="s">
        <v>111</v>
      </c>
      <c r="E1078" s="17" t="s">
        <v>165</v>
      </c>
      <c r="F1078" s="17" t="s">
        <v>163</v>
      </c>
      <c r="G1078" s="17">
        <v>5</v>
      </c>
      <c r="H1078" s="17">
        <v>9744</v>
      </c>
      <c r="I1078" s="17">
        <v>48720</v>
      </c>
      <c r="J1078" s="17">
        <v>1878</v>
      </c>
      <c r="K1078" s="17">
        <v>46842</v>
      </c>
      <c r="L1078" s="17">
        <v>5981.2228429999996</v>
      </c>
      <c r="M1078" s="17">
        <v>2025</v>
      </c>
      <c r="N1078" s="17" t="s">
        <v>117</v>
      </c>
    </row>
    <row r="1079" spans="1:14" ht="14.25" customHeight="1">
      <c r="A1079" s="17">
        <v>11078</v>
      </c>
      <c r="B1079" s="18">
        <v>45926</v>
      </c>
      <c r="C1079" s="17" t="s">
        <v>45</v>
      </c>
      <c r="D1079" s="17" t="s">
        <v>89</v>
      </c>
      <c r="E1079" s="17" t="s">
        <v>168</v>
      </c>
      <c r="F1079" s="17" t="s">
        <v>163</v>
      </c>
      <c r="G1079" s="17">
        <v>1</v>
      </c>
      <c r="H1079" s="17">
        <v>51357</v>
      </c>
      <c r="I1079" s="17">
        <v>51357</v>
      </c>
      <c r="J1079" s="17">
        <v>1610</v>
      </c>
      <c r="K1079" s="17">
        <v>49747</v>
      </c>
      <c r="L1079" s="17">
        <v>10636.55416</v>
      </c>
      <c r="M1079" s="17">
        <v>2025</v>
      </c>
      <c r="N1079" s="17" t="s">
        <v>129</v>
      </c>
    </row>
    <row r="1080" spans="1:14" ht="14.25" customHeight="1">
      <c r="A1080" s="17">
        <v>11079</v>
      </c>
      <c r="B1080" s="18">
        <v>45409</v>
      </c>
      <c r="C1080" s="17" t="s">
        <v>45</v>
      </c>
      <c r="D1080" s="17" t="s">
        <v>170</v>
      </c>
      <c r="E1080" s="17" t="s">
        <v>165</v>
      </c>
      <c r="F1080" s="17" t="s">
        <v>166</v>
      </c>
      <c r="G1080" s="17">
        <v>8</v>
      </c>
      <c r="H1080" s="17">
        <v>35239</v>
      </c>
      <c r="I1080" s="17">
        <v>281912</v>
      </c>
      <c r="J1080" s="17">
        <v>3962</v>
      </c>
      <c r="K1080" s="17">
        <v>277950</v>
      </c>
      <c r="L1080" s="17">
        <v>60942.16259</v>
      </c>
      <c r="M1080" s="17">
        <v>2024</v>
      </c>
      <c r="N1080" s="17" t="s">
        <v>114</v>
      </c>
    </row>
    <row r="1081" spans="1:14" ht="14.25" customHeight="1">
      <c r="A1081" s="17">
        <v>11080</v>
      </c>
      <c r="B1081" s="18">
        <v>45450</v>
      </c>
      <c r="C1081" s="17" t="s">
        <v>45</v>
      </c>
      <c r="D1081" s="17" t="s">
        <v>83</v>
      </c>
      <c r="E1081" s="17" t="s">
        <v>165</v>
      </c>
      <c r="F1081" s="17" t="s">
        <v>163</v>
      </c>
      <c r="G1081" s="17">
        <v>6</v>
      </c>
      <c r="H1081" s="17">
        <v>17922</v>
      </c>
      <c r="I1081" s="17">
        <v>107532</v>
      </c>
      <c r="J1081" s="17">
        <v>4236</v>
      </c>
      <c r="K1081" s="17">
        <v>103296</v>
      </c>
      <c r="L1081" s="17">
        <v>13997.112709999999</v>
      </c>
      <c r="M1081" s="17">
        <v>2024</v>
      </c>
      <c r="N1081" s="17" t="s">
        <v>120</v>
      </c>
    </row>
    <row r="1082" spans="1:14" ht="14.25" customHeight="1">
      <c r="A1082" s="17">
        <v>11081</v>
      </c>
      <c r="B1082" s="18">
        <v>45519</v>
      </c>
      <c r="C1082" s="17" t="s">
        <v>45</v>
      </c>
      <c r="D1082" s="17" t="s">
        <v>170</v>
      </c>
      <c r="E1082" s="17" t="s">
        <v>165</v>
      </c>
      <c r="F1082" s="17" t="s">
        <v>166</v>
      </c>
      <c r="G1082" s="17">
        <v>2</v>
      </c>
      <c r="H1082" s="17">
        <v>5084</v>
      </c>
      <c r="I1082" s="17">
        <v>10168</v>
      </c>
      <c r="J1082" s="17">
        <v>3159</v>
      </c>
      <c r="K1082" s="17">
        <v>7009</v>
      </c>
      <c r="L1082" s="17">
        <v>792.07341959999997</v>
      </c>
      <c r="M1082" s="17">
        <v>2024</v>
      </c>
      <c r="N1082" s="17" t="s">
        <v>126</v>
      </c>
    </row>
    <row r="1083" spans="1:14" ht="14.25" customHeight="1">
      <c r="A1083" s="17">
        <v>11082</v>
      </c>
      <c r="B1083" s="18">
        <v>45507</v>
      </c>
      <c r="C1083" s="17" t="s">
        <v>167</v>
      </c>
      <c r="D1083" s="17" t="s">
        <v>170</v>
      </c>
      <c r="E1083" s="17" t="s">
        <v>162</v>
      </c>
      <c r="F1083" s="17" t="s">
        <v>164</v>
      </c>
      <c r="G1083" s="17">
        <v>4</v>
      </c>
      <c r="H1083" s="17">
        <v>57147</v>
      </c>
      <c r="I1083" s="17">
        <v>228588</v>
      </c>
      <c r="J1083" s="17">
        <v>3498</v>
      </c>
      <c r="K1083" s="17">
        <v>225090</v>
      </c>
      <c r="L1083" s="17">
        <v>39418.468690000002</v>
      </c>
      <c r="M1083" s="17">
        <v>2024</v>
      </c>
      <c r="N1083" s="17" t="s">
        <v>126</v>
      </c>
    </row>
    <row r="1084" spans="1:14" ht="14.25" customHeight="1">
      <c r="A1084" s="17">
        <v>11083</v>
      </c>
      <c r="B1084" s="18">
        <v>45987</v>
      </c>
      <c r="C1084" s="17" t="s">
        <v>45</v>
      </c>
      <c r="D1084" s="17" t="s">
        <v>170</v>
      </c>
      <c r="E1084" s="17" t="s">
        <v>165</v>
      </c>
      <c r="F1084" s="17" t="s">
        <v>164</v>
      </c>
      <c r="G1084" s="17">
        <v>4</v>
      </c>
      <c r="H1084" s="17">
        <v>65631</v>
      </c>
      <c r="I1084" s="17">
        <v>262524</v>
      </c>
      <c r="J1084" s="17">
        <v>2131</v>
      </c>
      <c r="K1084" s="17">
        <v>260393</v>
      </c>
      <c r="L1084" s="17">
        <v>60810.300289999999</v>
      </c>
      <c r="M1084" s="17">
        <v>2025</v>
      </c>
      <c r="N1084" s="17" t="s">
        <v>173</v>
      </c>
    </row>
    <row r="1085" spans="1:14" ht="14.25" customHeight="1">
      <c r="A1085" s="17">
        <v>11084</v>
      </c>
      <c r="B1085" s="18">
        <v>45306</v>
      </c>
      <c r="C1085" s="17" t="s">
        <v>50</v>
      </c>
      <c r="D1085" s="17" t="s">
        <v>111</v>
      </c>
      <c r="E1085" s="17" t="s">
        <v>165</v>
      </c>
      <c r="F1085" s="17" t="s">
        <v>172</v>
      </c>
      <c r="G1085" s="17">
        <v>9</v>
      </c>
      <c r="H1085" s="17">
        <v>20373</v>
      </c>
      <c r="I1085" s="17">
        <v>183357</v>
      </c>
      <c r="J1085" s="17">
        <v>3314</v>
      </c>
      <c r="K1085" s="17">
        <v>180043</v>
      </c>
      <c r="L1085" s="17">
        <v>40886.624759999999</v>
      </c>
      <c r="M1085" s="17">
        <v>2024</v>
      </c>
      <c r="N1085" s="17" t="s">
        <v>171</v>
      </c>
    </row>
    <row r="1086" spans="1:14" ht="14.25" customHeight="1">
      <c r="A1086" s="17">
        <v>11085</v>
      </c>
      <c r="B1086" s="18">
        <v>45448</v>
      </c>
      <c r="C1086" s="17" t="s">
        <v>167</v>
      </c>
      <c r="D1086" s="17" t="s">
        <v>83</v>
      </c>
      <c r="E1086" s="17" t="s">
        <v>162</v>
      </c>
      <c r="F1086" s="17" t="s">
        <v>166</v>
      </c>
      <c r="G1086" s="17">
        <v>9</v>
      </c>
      <c r="H1086" s="17">
        <v>10156</v>
      </c>
      <c r="I1086" s="17">
        <v>91404</v>
      </c>
      <c r="J1086" s="17">
        <v>1378</v>
      </c>
      <c r="K1086" s="17">
        <v>90026</v>
      </c>
      <c r="L1086" s="17">
        <v>10583.66978</v>
      </c>
      <c r="M1086" s="17">
        <v>2024</v>
      </c>
      <c r="N1086" s="17" t="s">
        <v>120</v>
      </c>
    </row>
    <row r="1087" spans="1:14" ht="14.25" customHeight="1">
      <c r="A1087" s="17">
        <v>11086</v>
      </c>
      <c r="B1087" s="18">
        <v>45939</v>
      </c>
      <c r="C1087" s="17" t="s">
        <v>45</v>
      </c>
      <c r="D1087" s="17" t="s">
        <v>170</v>
      </c>
      <c r="E1087" s="17" t="s">
        <v>165</v>
      </c>
      <c r="F1087" s="17" t="s">
        <v>172</v>
      </c>
      <c r="G1087" s="17">
        <v>5</v>
      </c>
      <c r="H1087" s="17">
        <v>43551</v>
      </c>
      <c r="I1087" s="17">
        <v>217755</v>
      </c>
      <c r="J1087" s="17">
        <v>3077</v>
      </c>
      <c r="K1087" s="17">
        <v>214678</v>
      </c>
      <c r="L1087" s="17">
        <v>52535.46125</v>
      </c>
      <c r="M1087" s="17">
        <v>2025</v>
      </c>
      <c r="N1087" s="17" t="s">
        <v>174</v>
      </c>
    </row>
    <row r="1088" spans="1:14" ht="14.25" customHeight="1">
      <c r="A1088" s="17">
        <v>11087</v>
      </c>
      <c r="B1088" s="18">
        <v>45552</v>
      </c>
      <c r="C1088" s="17" t="s">
        <v>39</v>
      </c>
      <c r="D1088" s="17" t="s">
        <v>89</v>
      </c>
      <c r="E1088" s="17" t="s">
        <v>162</v>
      </c>
      <c r="F1088" s="17" t="s">
        <v>164</v>
      </c>
      <c r="G1088" s="17">
        <v>3</v>
      </c>
      <c r="H1088" s="17">
        <v>43463</v>
      </c>
      <c r="I1088" s="17">
        <v>130389</v>
      </c>
      <c r="J1088" s="17">
        <v>3014</v>
      </c>
      <c r="K1088" s="17">
        <v>127375</v>
      </c>
      <c r="L1088" s="17">
        <v>17780.579310000001</v>
      </c>
      <c r="M1088" s="17">
        <v>2024</v>
      </c>
      <c r="N1088" s="17" t="s">
        <v>129</v>
      </c>
    </row>
    <row r="1089" spans="1:14" ht="14.25" customHeight="1">
      <c r="A1089" s="17">
        <v>11088</v>
      </c>
      <c r="B1089" s="18">
        <v>45448</v>
      </c>
      <c r="C1089" s="17" t="s">
        <v>58</v>
      </c>
      <c r="D1089" s="17" t="s">
        <v>111</v>
      </c>
      <c r="E1089" s="17" t="s">
        <v>162</v>
      </c>
      <c r="F1089" s="17" t="s">
        <v>164</v>
      </c>
      <c r="G1089" s="17">
        <v>1</v>
      </c>
      <c r="H1089" s="17">
        <v>54305</v>
      </c>
      <c r="I1089" s="17">
        <v>54305</v>
      </c>
      <c r="J1089" s="17">
        <v>3892</v>
      </c>
      <c r="K1089" s="17">
        <v>50413</v>
      </c>
      <c r="L1089" s="17">
        <v>7683.3786110000001</v>
      </c>
      <c r="M1089" s="17">
        <v>2024</v>
      </c>
      <c r="N1089" s="17" t="s">
        <v>120</v>
      </c>
    </row>
    <row r="1090" spans="1:14" ht="14.25" customHeight="1">
      <c r="A1090" s="17">
        <v>11089</v>
      </c>
      <c r="B1090" s="18">
        <v>45338</v>
      </c>
      <c r="C1090" s="17" t="s">
        <v>58</v>
      </c>
      <c r="D1090" s="17" t="s">
        <v>89</v>
      </c>
      <c r="E1090" s="17" t="s">
        <v>168</v>
      </c>
      <c r="F1090" s="17" t="s">
        <v>164</v>
      </c>
      <c r="G1090" s="17">
        <v>6</v>
      </c>
      <c r="H1090" s="17">
        <v>14653</v>
      </c>
      <c r="I1090" s="17">
        <v>87918</v>
      </c>
      <c r="J1090" s="17">
        <v>1715</v>
      </c>
      <c r="K1090" s="17">
        <v>86203</v>
      </c>
      <c r="L1090" s="17">
        <v>10547.586719999999</v>
      </c>
      <c r="M1090" s="17">
        <v>2024</v>
      </c>
      <c r="N1090" s="17" t="s">
        <v>175</v>
      </c>
    </row>
    <row r="1091" spans="1:14" ht="14.25" customHeight="1">
      <c r="A1091" s="17">
        <v>11090</v>
      </c>
      <c r="B1091" s="18">
        <v>45615</v>
      </c>
      <c r="C1091" s="17" t="s">
        <v>58</v>
      </c>
      <c r="D1091" s="17" t="s">
        <v>89</v>
      </c>
      <c r="E1091" s="17" t="s">
        <v>162</v>
      </c>
      <c r="F1091" s="17" t="s">
        <v>164</v>
      </c>
      <c r="G1091" s="17">
        <v>8</v>
      </c>
      <c r="H1091" s="17">
        <v>28068</v>
      </c>
      <c r="I1091" s="17">
        <v>224544</v>
      </c>
      <c r="J1091" s="17">
        <v>452</v>
      </c>
      <c r="K1091" s="17">
        <v>224092</v>
      </c>
      <c r="L1091" s="17">
        <v>35108.59332</v>
      </c>
      <c r="M1091" s="17">
        <v>2024</v>
      </c>
      <c r="N1091" s="17" t="s">
        <v>173</v>
      </c>
    </row>
    <row r="1092" spans="1:14" ht="14.25" customHeight="1">
      <c r="A1092" s="17">
        <v>11091</v>
      </c>
      <c r="B1092" s="18">
        <v>45976</v>
      </c>
      <c r="C1092" s="17" t="s">
        <v>167</v>
      </c>
      <c r="D1092" s="17" t="s">
        <v>170</v>
      </c>
      <c r="E1092" s="17" t="s">
        <v>162</v>
      </c>
      <c r="F1092" s="17" t="s">
        <v>163</v>
      </c>
      <c r="G1092" s="17">
        <v>1</v>
      </c>
      <c r="H1092" s="17">
        <v>39787</v>
      </c>
      <c r="I1092" s="17">
        <v>39787</v>
      </c>
      <c r="J1092" s="17">
        <v>341</v>
      </c>
      <c r="K1092" s="17">
        <v>39446</v>
      </c>
      <c r="L1092" s="17">
        <v>7705.6248619999997</v>
      </c>
      <c r="M1092" s="17">
        <v>2025</v>
      </c>
      <c r="N1092" s="17" t="s">
        <v>173</v>
      </c>
    </row>
    <row r="1093" spans="1:14" ht="14.25" customHeight="1">
      <c r="A1093" s="17">
        <v>11092</v>
      </c>
      <c r="B1093" s="18">
        <v>45421</v>
      </c>
      <c r="C1093" s="17" t="s">
        <v>45</v>
      </c>
      <c r="D1093" s="17" t="s">
        <v>89</v>
      </c>
      <c r="E1093" s="17" t="s">
        <v>162</v>
      </c>
      <c r="F1093" s="17" t="s">
        <v>164</v>
      </c>
      <c r="G1093" s="17">
        <v>1</v>
      </c>
      <c r="H1093" s="17">
        <v>30673</v>
      </c>
      <c r="I1093" s="17">
        <v>30673</v>
      </c>
      <c r="J1093" s="17">
        <v>392</v>
      </c>
      <c r="K1093" s="17">
        <v>30281</v>
      </c>
      <c r="L1093" s="17">
        <v>5326.7833689999998</v>
      </c>
      <c r="M1093" s="17">
        <v>2024</v>
      </c>
      <c r="N1093" s="17" t="s">
        <v>117</v>
      </c>
    </row>
    <row r="1094" spans="1:14" ht="14.25" customHeight="1">
      <c r="A1094" s="17">
        <v>11093</v>
      </c>
      <c r="B1094" s="18">
        <v>45702</v>
      </c>
      <c r="C1094" s="17" t="s">
        <v>167</v>
      </c>
      <c r="D1094" s="17" t="s">
        <v>83</v>
      </c>
      <c r="E1094" s="17" t="s">
        <v>165</v>
      </c>
      <c r="F1094" s="17" t="s">
        <v>163</v>
      </c>
      <c r="G1094" s="17">
        <v>7</v>
      </c>
      <c r="H1094" s="17">
        <v>21155</v>
      </c>
      <c r="I1094" s="17">
        <v>148085</v>
      </c>
      <c r="J1094" s="17">
        <v>1269</v>
      </c>
      <c r="K1094" s="17">
        <v>146816</v>
      </c>
      <c r="L1094" s="17">
        <v>32906.005559999998</v>
      </c>
      <c r="M1094" s="17">
        <v>2025</v>
      </c>
      <c r="N1094" s="17" t="s">
        <v>175</v>
      </c>
    </row>
    <row r="1095" spans="1:14" ht="14.25" customHeight="1">
      <c r="A1095" s="17">
        <v>11094</v>
      </c>
      <c r="B1095" s="18">
        <v>45386</v>
      </c>
      <c r="C1095" s="17" t="s">
        <v>50</v>
      </c>
      <c r="D1095" s="17" t="s">
        <v>89</v>
      </c>
      <c r="E1095" s="17" t="s">
        <v>168</v>
      </c>
      <c r="F1095" s="17" t="s">
        <v>163</v>
      </c>
      <c r="G1095" s="17">
        <v>7</v>
      </c>
      <c r="H1095" s="17">
        <v>5570</v>
      </c>
      <c r="I1095" s="17">
        <v>38990</v>
      </c>
      <c r="J1095" s="17">
        <v>3050</v>
      </c>
      <c r="K1095" s="17">
        <v>35940</v>
      </c>
      <c r="L1095" s="17">
        <v>7051.252673</v>
      </c>
      <c r="M1095" s="17">
        <v>2024</v>
      </c>
      <c r="N1095" s="17" t="s">
        <v>114</v>
      </c>
    </row>
    <row r="1096" spans="1:14" ht="14.25" customHeight="1">
      <c r="A1096" s="17">
        <v>11095</v>
      </c>
      <c r="B1096" s="18">
        <v>45918</v>
      </c>
      <c r="C1096" s="17" t="s">
        <v>39</v>
      </c>
      <c r="D1096" s="17" t="s">
        <v>170</v>
      </c>
      <c r="E1096" s="17" t="s">
        <v>165</v>
      </c>
      <c r="F1096" s="17" t="s">
        <v>172</v>
      </c>
      <c r="G1096" s="17">
        <v>2</v>
      </c>
      <c r="H1096" s="17">
        <v>62492</v>
      </c>
      <c r="I1096" s="17">
        <v>124984</v>
      </c>
      <c r="J1096" s="17">
        <v>4059</v>
      </c>
      <c r="K1096" s="17">
        <v>120925</v>
      </c>
      <c r="L1096" s="17">
        <v>16872.867279999999</v>
      </c>
      <c r="M1096" s="17">
        <v>2025</v>
      </c>
      <c r="N1096" s="17" t="s">
        <v>129</v>
      </c>
    </row>
    <row r="1097" spans="1:14" ht="14.25" customHeight="1">
      <c r="A1097" s="17">
        <v>11096</v>
      </c>
      <c r="B1097" s="18">
        <v>45583</v>
      </c>
      <c r="C1097" s="17" t="s">
        <v>39</v>
      </c>
      <c r="D1097" s="17" t="s">
        <v>89</v>
      </c>
      <c r="E1097" s="17" t="s">
        <v>162</v>
      </c>
      <c r="F1097" s="17" t="s">
        <v>163</v>
      </c>
      <c r="G1097" s="17">
        <v>3</v>
      </c>
      <c r="H1097" s="17">
        <v>16769</v>
      </c>
      <c r="I1097" s="17">
        <v>50307</v>
      </c>
      <c r="J1097" s="17">
        <v>970</v>
      </c>
      <c r="K1097" s="17">
        <v>49337</v>
      </c>
      <c r="L1097" s="17">
        <v>9059.0480250000001</v>
      </c>
      <c r="M1097" s="17">
        <v>2024</v>
      </c>
      <c r="N1097" s="17" t="s">
        <v>174</v>
      </c>
    </row>
    <row r="1098" spans="1:14" ht="14.25" customHeight="1">
      <c r="A1098" s="17">
        <v>11097</v>
      </c>
      <c r="B1098" s="18">
        <v>45574</v>
      </c>
      <c r="C1098" s="17" t="s">
        <v>58</v>
      </c>
      <c r="D1098" s="17" t="s">
        <v>111</v>
      </c>
      <c r="E1098" s="17" t="s">
        <v>162</v>
      </c>
      <c r="F1098" s="17" t="s">
        <v>172</v>
      </c>
      <c r="G1098" s="17">
        <v>2</v>
      </c>
      <c r="H1098" s="17">
        <v>43921</v>
      </c>
      <c r="I1098" s="17">
        <v>87842</v>
      </c>
      <c r="J1098" s="17">
        <v>2205</v>
      </c>
      <c r="K1098" s="17">
        <v>85637</v>
      </c>
      <c r="L1098" s="17">
        <v>9388.2703170000004</v>
      </c>
      <c r="M1098" s="17">
        <v>2024</v>
      </c>
      <c r="N1098" s="17" t="s">
        <v>174</v>
      </c>
    </row>
    <row r="1099" spans="1:14" ht="14.25" customHeight="1">
      <c r="A1099" s="17">
        <v>11098</v>
      </c>
      <c r="B1099" s="18">
        <v>45360</v>
      </c>
      <c r="C1099" s="17" t="s">
        <v>58</v>
      </c>
      <c r="D1099" s="17" t="s">
        <v>111</v>
      </c>
      <c r="E1099" s="17" t="s">
        <v>168</v>
      </c>
      <c r="F1099" s="17" t="s">
        <v>163</v>
      </c>
      <c r="G1099" s="17">
        <v>6</v>
      </c>
      <c r="H1099" s="17">
        <v>24075</v>
      </c>
      <c r="I1099" s="17">
        <v>144450</v>
      </c>
      <c r="J1099" s="17">
        <v>4794</v>
      </c>
      <c r="K1099" s="17">
        <v>139656</v>
      </c>
      <c r="L1099" s="17">
        <v>26132.232980000001</v>
      </c>
      <c r="M1099" s="17">
        <v>2024</v>
      </c>
      <c r="N1099" s="17" t="s">
        <v>112</v>
      </c>
    </row>
    <row r="1100" spans="1:14" ht="14.25" customHeight="1">
      <c r="A1100" s="17">
        <v>11099</v>
      </c>
      <c r="B1100" s="18">
        <v>45951</v>
      </c>
      <c r="C1100" s="17" t="s">
        <v>58</v>
      </c>
      <c r="D1100" s="17" t="s">
        <v>111</v>
      </c>
      <c r="E1100" s="17" t="s">
        <v>168</v>
      </c>
      <c r="F1100" s="17" t="s">
        <v>163</v>
      </c>
      <c r="G1100" s="17">
        <v>8</v>
      </c>
      <c r="H1100" s="17">
        <v>15301</v>
      </c>
      <c r="I1100" s="17">
        <v>122408</v>
      </c>
      <c r="J1100" s="17">
        <v>165</v>
      </c>
      <c r="K1100" s="17">
        <v>122243</v>
      </c>
      <c r="L1100" s="17">
        <v>19369.351330000001</v>
      </c>
      <c r="M1100" s="17">
        <v>2025</v>
      </c>
      <c r="N1100" s="17" t="s">
        <v>174</v>
      </c>
    </row>
    <row r="1101" spans="1:14" ht="14.25" customHeight="1">
      <c r="A1101" s="17">
        <v>11100</v>
      </c>
      <c r="B1101" s="18">
        <v>45302</v>
      </c>
      <c r="C1101" s="17" t="s">
        <v>45</v>
      </c>
      <c r="D1101" s="17" t="s">
        <v>86</v>
      </c>
      <c r="E1101" s="17" t="s">
        <v>162</v>
      </c>
      <c r="F1101" s="17" t="s">
        <v>164</v>
      </c>
      <c r="G1101" s="17">
        <v>8</v>
      </c>
      <c r="H1101" s="17">
        <v>76043</v>
      </c>
      <c r="I1101" s="17">
        <v>608344</v>
      </c>
      <c r="J1101" s="17">
        <v>254</v>
      </c>
      <c r="K1101" s="17">
        <v>608090</v>
      </c>
      <c r="L1101" s="17">
        <v>69784.270860000004</v>
      </c>
      <c r="M1101" s="17">
        <v>2024</v>
      </c>
      <c r="N1101" s="17" t="s">
        <v>171</v>
      </c>
    </row>
    <row r="1102" spans="1:14" ht="14.25" customHeight="1">
      <c r="A1102" s="17">
        <v>11101</v>
      </c>
      <c r="B1102" s="18">
        <v>45545</v>
      </c>
      <c r="C1102" s="17" t="s">
        <v>50</v>
      </c>
      <c r="D1102" s="17" t="s">
        <v>111</v>
      </c>
      <c r="E1102" s="17" t="s">
        <v>162</v>
      </c>
      <c r="F1102" s="17" t="s">
        <v>166</v>
      </c>
      <c r="G1102" s="17">
        <v>1</v>
      </c>
      <c r="H1102" s="17">
        <v>60001</v>
      </c>
      <c r="I1102" s="17">
        <v>60001</v>
      </c>
      <c r="J1102" s="17">
        <v>301</v>
      </c>
      <c r="K1102" s="17">
        <v>59700</v>
      </c>
      <c r="L1102" s="17">
        <v>8723.3396990000001</v>
      </c>
      <c r="M1102" s="17">
        <v>2024</v>
      </c>
      <c r="N1102" s="17" t="s">
        <v>129</v>
      </c>
    </row>
    <row r="1103" spans="1:14" ht="14.25" customHeight="1">
      <c r="A1103" s="17">
        <v>11102</v>
      </c>
      <c r="B1103" s="18">
        <v>45841</v>
      </c>
      <c r="C1103" s="17" t="s">
        <v>50</v>
      </c>
      <c r="D1103" s="17" t="s">
        <v>111</v>
      </c>
      <c r="E1103" s="17" t="s">
        <v>165</v>
      </c>
      <c r="F1103" s="17" t="s">
        <v>163</v>
      </c>
      <c r="G1103" s="17">
        <v>9</v>
      </c>
      <c r="H1103" s="17">
        <v>53359</v>
      </c>
      <c r="I1103" s="17">
        <v>480231</v>
      </c>
      <c r="J1103" s="17">
        <v>3103</v>
      </c>
      <c r="K1103" s="17">
        <v>477128</v>
      </c>
      <c r="L1103" s="17">
        <v>111988.1676</v>
      </c>
      <c r="M1103" s="17">
        <v>2025</v>
      </c>
      <c r="N1103" s="17" t="s">
        <v>123</v>
      </c>
    </row>
    <row r="1104" spans="1:14" ht="14.25" customHeight="1">
      <c r="A1104" s="17">
        <v>11103</v>
      </c>
      <c r="B1104" s="18">
        <v>45425</v>
      </c>
      <c r="C1104" s="17" t="s">
        <v>50</v>
      </c>
      <c r="D1104" s="17" t="s">
        <v>86</v>
      </c>
      <c r="E1104" s="17" t="s">
        <v>162</v>
      </c>
      <c r="F1104" s="17" t="s">
        <v>166</v>
      </c>
      <c r="G1104" s="17">
        <v>8</v>
      </c>
      <c r="H1104" s="17">
        <v>60119</v>
      </c>
      <c r="I1104" s="17">
        <v>480952</v>
      </c>
      <c r="J1104" s="17">
        <v>3840</v>
      </c>
      <c r="K1104" s="17">
        <v>477112</v>
      </c>
      <c r="L1104" s="17">
        <v>89652.060580000005</v>
      </c>
      <c r="M1104" s="17">
        <v>2024</v>
      </c>
      <c r="N1104" s="17" t="s">
        <v>117</v>
      </c>
    </row>
    <row r="1105" spans="1:14" ht="14.25" customHeight="1">
      <c r="A1105" s="17">
        <v>11104</v>
      </c>
      <c r="B1105" s="18">
        <v>46003</v>
      </c>
      <c r="C1105" s="17" t="s">
        <v>50</v>
      </c>
      <c r="D1105" s="17" t="s">
        <v>111</v>
      </c>
      <c r="E1105" s="17" t="s">
        <v>165</v>
      </c>
      <c r="F1105" s="17" t="s">
        <v>166</v>
      </c>
      <c r="G1105" s="17">
        <v>9</v>
      </c>
      <c r="H1105" s="17">
        <v>74191</v>
      </c>
      <c r="I1105" s="17">
        <v>667719</v>
      </c>
      <c r="J1105" s="17">
        <v>2556</v>
      </c>
      <c r="K1105" s="17">
        <v>665163</v>
      </c>
      <c r="L1105" s="17">
        <v>156639.05350000001</v>
      </c>
      <c r="M1105" s="17">
        <v>2025</v>
      </c>
      <c r="N1105" s="17" t="s">
        <v>169</v>
      </c>
    </row>
    <row r="1106" spans="1:14" ht="14.25" customHeight="1">
      <c r="A1106" s="17">
        <v>11105</v>
      </c>
      <c r="B1106" s="18">
        <v>45314</v>
      </c>
      <c r="C1106" s="17" t="s">
        <v>58</v>
      </c>
      <c r="D1106" s="17" t="s">
        <v>170</v>
      </c>
      <c r="E1106" s="17" t="s">
        <v>168</v>
      </c>
      <c r="F1106" s="17" t="s">
        <v>166</v>
      </c>
      <c r="G1106" s="17">
        <v>9</v>
      </c>
      <c r="H1106" s="17">
        <v>21347</v>
      </c>
      <c r="I1106" s="17">
        <v>192123</v>
      </c>
      <c r="J1106" s="17">
        <v>1505</v>
      </c>
      <c r="K1106" s="17">
        <v>190618</v>
      </c>
      <c r="L1106" s="17">
        <v>30807.795160000001</v>
      </c>
      <c r="M1106" s="17">
        <v>2024</v>
      </c>
      <c r="N1106" s="17" t="s">
        <v>171</v>
      </c>
    </row>
    <row r="1107" spans="1:14" ht="14.25" customHeight="1">
      <c r="A1107" s="17">
        <v>11106</v>
      </c>
      <c r="B1107" s="18">
        <v>45637</v>
      </c>
      <c r="C1107" s="17" t="s">
        <v>39</v>
      </c>
      <c r="D1107" s="17" t="s">
        <v>111</v>
      </c>
      <c r="E1107" s="17" t="s">
        <v>165</v>
      </c>
      <c r="F1107" s="17" t="s">
        <v>163</v>
      </c>
      <c r="G1107" s="17">
        <v>6</v>
      </c>
      <c r="H1107" s="17">
        <v>27053</v>
      </c>
      <c r="I1107" s="17">
        <v>162318</v>
      </c>
      <c r="J1107" s="17">
        <v>1256</v>
      </c>
      <c r="K1107" s="17">
        <v>161062</v>
      </c>
      <c r="L1107" s="17">
        <v>39755.946530000001</v>
      </c>
      <c r="M1107" s="17">
        <v>2024</v>
      </c>
      <c r="N1107" s="17" t="s">
        <v>169</v>
      </c>
    </row>
    <row r="1108" spans="1:14" ht="14.25" customHeight="1">
      <c r="A1108" s="17">
        <v>11107</v>
      </c>
      <c r="B1108" s="18">
        <v>45593</v>
      </c>
      <c r="C1108" s="17" t="s">
        <v>58</v>
      </c>
      <c r="D1108" s="17" t="s">
        <v>111</v>
      </c>
      <c r="E1108" s="17" t="s">
        <v>162</v>
      </c>
      <c r="F1108" s="17" t="s">
        <v>166</v>
      </c>
      <c r="G1108" s="17">
        <v>3</v>
      </c>
      <c r="H1108" s="17">
        <v>64056</v>
      </c>
      <c r="I1108" s="17">
        <v>192168</v>
      </c>
      <c r="J1108" s="17">
        <v>2262</v>
      </c>
      <c r="K1108" s="17">
        <v>189906</v>
      </c>
      <c r="L1108" s="17">
        <v>29246.066760000002</v>
      </c>
      <c r="M1108" s="17">
        <v>2024</v>
      </c>
      <c r="N1108" s="17" t="s">
        <v>174</v>
      </c>
    </row>
    <row r="1109" spans="1:14" ht="14.25" customHeight="1">
      <c r="A1109" s="17">
        <v>11108</v>
      </c>
      <c r="B1109" s="18">
        <v>45654</v>
      </c>
      <c r="C1109" s="17" t="s">
        <v>50</v>
      </c>
      <c r="D1109" s="17" t="s">
        <v>86</v>
      </c>
      <c r="E1109" s="17" t="s">
        <v>165</v>
      </c>
      <c r="F1109" s="17" t="s">
        <v>163</v>
      </c>
      <c r="G1109" s="17">
        <v>1</v>
      </c>
      <c r="H1109" s="17">
        <v>73028</v>
      </c>
      <c r="I1109" s="17">
        <v>73028</v>
      </c>
      <c r="J1109" s="17">
        <v>4340</v>
      </c>
      <c r="K1109" s="17">
        <v>68688</v>
      </c>
      <c r="L1109" s="17">
        <v>14666.309310000001</v>
      </c>
      <c r="M1109" s="17">
        <v>2024</v>
      </c>
      <c r="N1109" s="17" t="s">
        <v>169</v>
      </c>
    </row>
    <row r="1110" spans="1:14" ht="14.25" customHeight="1">
      <c r="A1110" s="17">
        <v>11109</v>
      </c>
      <c r="B1110" s="18">
        <v>45687</v>
      </c>
      <c r="C1110" s="17" t="s">
        <v>58</v>
      </c>
      <c r="D1110" s="17" t="s">
        <v>170</v>
      </c>
      <c r="E1110" s="17" t="s">
        <v>165</v>
      </c>
      <c r="F1110" s="17" t="s">
        <v>164</v>
      </c>
      <c r="G1110" s="17">
        <v>8</v>
      </c>
      <c r="H1110" s="17">
        <v>63688</v>
      </c>
      <c r="I1110" s="17">
        <v>509504</v>
      </c>
      <c r="J1110" s="17">
        <v>209</v>
      </c>
      <c r="K1110" s="17">
        <v>509295</v>
      </c>
      <c r="L1110" s="17">
        <v>74260.539510000002</v>
      </c>
      <c r="M1110" s="17">
        <v>2025</v>
      </c>
      <c r="N1110" s="17" t="s">
        <v>171</v>
      </c>
    </row>
    <row r="1111" spans="1:14" ht="14.25" customHeight="1">
      <c r="A1111" s="17">
        <v>11110</v>
      </c>
      <c r="B1111" s="18">
        <v>45509</v>
      </c>
      <c r="C1111" s="17" t="s">
        <v>50</v>
      </c>
      <c r="D1111" s="17" t="s">
        <v>89</v>
      </c>
      <c r="E1111" s="17" t="s">
        <v>168</v>
      </c>
      <c r="F1111" s="17" t="s">
        <v>163</v>
      </c>
      <c r="G1111" s="17">
        <v>3</v>
      </c>
      <c r="H1111" s="17">
        <v>63450</v>
      </c>
      <c r="I1111" s="17">
        <v>190350</v>
      </c>
      <c r="J1111" s="17">
        <v>3793</v>
      </c>
      <c r="K1111" s="17">
        <v>186557</v>
      </c>
      <c r="L1111" s="17">
        <v>21621.69181</v>
      </c>
      <c r="M1111" s="17">
        <v>2024</v>
      </c>
      <c r="N1111" s="17" t="s">
        <v>126</v>
      </c>
    </row>
    <row r="1112" spans="1:14" ht="14.25" customHeight="1">
      <c r="A1112" s="17">
        <v>11111</v>
      </c>
      <c r="B1112" s="18">
        <v>45432</v>
      </c>
      <c r="C1112" s="17" t="s">
        <v>167</v>
      </c>
      <c r="D1112" s="17" t="s">
        <v>83</v>
      </c>
      <c r="E1112" s="17" t="s">
        <v>165</v>
      </c>
      <c r="F1112" s="17" t="s">
        <v>172</v>
      </c>
      <c r="G1112" s="17">
        <v>7</v>
      </c>
      <c r="H1112" s="17">
        <v>17304</v>
      </c>
      <c r="I1112" s="17">
        <v>121128</v>
      </c>
      <c r="J1112" s="17">
        <v>4521</v>
      </c>
      <c r="K1112" s="17">
        <v>116607</v>
      </c>
      <c r="L1112" s="17">
        <v>26231.73459</v>
      </c>
      <c r="M1112" s="17">
        <v>2024</v>
      </c>
      <c r="N1112" s="17" t="s">
        <v>117</v>
      </c>
    </row>
    <row r="1113" spans="1:14" ht="14.25" customHeight="1">
      <c r="A1113" s="17">
        <v>11112</v>
      </c>
      <c r="B1113" s="18">
        <v>45907</v>
      </c>
      <c r="C1113" s="17" t="s">
        <v>39</v>
      </c>
      <c r="D1113" s="17" t="s">
        <v>170</v>
      </c>
      <c r="E1113" s="17" t="s">
        <v>162</v>
      </c>
      <c r="F1113" s="17" t="s">
        <v>164</v>
      </c>
      <c r="G1113" s="17">
        <v>6</v>
      </c>
      <c r="H1113" s="17">
        <v>36403</v>
      </c>
      <c r="I1113" s="17">
        <v>218418</v>
      </c>
      <c r="J1113" s="17">
        <v>3047</v>
      </c>
      <c r="K1113" s="17">
        <v>215371</v>
      </c>
      <c r="L1113" s="17">
        <v>46172.791899999997</v>
      </c>
      <c r="M1113" s="17">
        <v>2025</v>
      </c>
      <c r="N1113" s="17" t="s">
        <v>129</v>
      </c>
    </row>
    <row r="1114" spans="1:14" ht="14.25" customHeight="1">
      <c r="A1114" s="17">
        <v>11113</v>
      </c>
      <c r="B1114" s="18">
        <v>45501</v>
      </c>
      <c r="C1114" s="17" t="s">
        <v>167</v>
      </c>
      <c r="D1114" s="17" t="s">
        <v>89</v>
      </c>
      <c r="E1114" s="17" t="s">
        <v>165</v>
      </c>
      <c r="F1114" s="17" t="s">
        <v>166</v>
      </c>
      <c r="G1114" s="17">
        <v>3</v>
      </c>
      <c r="H1114" s="17">
        <v>42424</v>
      </c>
      <c r="I1114" s="17">
        <v>127272</v>
      </c>
      <c r="J1114" s="17">
        <v>980</v>
      </c>
      <c r="K1114" s="17">
        <v>126292</v>
      </c>
      <c r="L1114" s="17">
        <v>28175.032289999999</v>
      </c>
      <c r="M1114" s="17">
        <v>2024</v>
      </c>
      <c r="N1114" s="17" t="s">
        <v>123</v>
      </c>
    </row>
    <row r="1115" spans="1:14" ht="14.25" customHeight="1">
      <c r="A1115" s="17">
        <v>11114</v>
      </c>
      <c r="B1115" s="18">
        <v>45914</v>
      </c>
      <c r="C1115" s="17" t="s">
        <v>45</v>
      </c>
      <c r="D1115" s="17" t="s">
        <v>170</v>
      </c>
      <c r="E1115" s="17" t="s">
        <v>165</v>
      </c>
      <c r="F1115" s="17" t="s">
        <v>166</v>
      </c>
      <c r="G1115" s="17">
        <v>6</v>
      </c>
      <c r="H1115" s="17">
        <v>64924</v>
      </c>
      <c r="I1115" s="17">
        <v>389544</v>
      </c>
      <c r="J1115" s="17">
        <v>2119</v>
      </c>
      <c r="K1115" s="17">
        <v>387425</v>
      </c>
      <c r="L1115" s="17">
        <v>56158.873090000001</v>
      </c>
      <c r="M1115" s="17">
        <v>2025</v>
      </c>
      <c r="N1115" s="17" t="s">
        <v>129</v>
      </c>
    </row>
    <row r="1116" spans="1:14" ht="14.25" customHeight="1">
      <c r="A1116" s="17">
        <v>11115</v>
      </c>
      <c r="B1116" s="18">
        <v>45907</v>
      </c>
      <c r="C1116" s="17" t="s">
        <v>58</v>
      </c>
      <c r="D1116" s="17" t="s">
        <v>89</v>
      </c>
      <c r="E1116" s="17" t="s">
        <v>165</v>
      </c>
      <c r="F1116" s="17" t="s">
        <v>172</v>
      </c>
      <c r="G1116" s="17">
        <v>3</v>
      </c>
      <c r="H1116" s="17">
        <v>79047</v>
      </c>
      <c r="I1116" s="17">
        <v>237141</v>
      </c>
      <c r="J1116" s="17">
        <v>3745</v>
      </c>
      <c r="K1116" s="17">
        <v>233396</v>
      </c>
      <c r="L1116" s="17">
        <v>47974.371319999998</v>
      </c>
      <c r="M1116" s="17">
        <v>2025</v>
      </c>
      <c r="N1116" s="17" t="s">
        <v>129</v>
      </c>
    </row>
    <row r="1117" spans="1:14" ht="14.25" customHeight="1">
      <c r="A1117" s="17">
        <v>11116</v>
      </c>
      <c r="B1117" s="18">
        <v>45974</v>
      </c>
      <c r="C1117" s="17" t="s">
        <v>45</v>
      </c>
      <c r="D1117" s="17" t="s">
        <v>89</v>
      </c>
      <c r="E1117" s="17" t="s">
        <v>162</v>
      </c>
      <c r="F1117" s="17" t="s">
        <v>164</v>
      </c>
      <c r="G1117" s="17">
        <v>9</v>
      </c>
      <c r="H1117" s="17">
        <v>26178</v>
      </c>
      <c r="I1117" s="17">
        <v>235602</v>
      </c>
      <c r="J1117" s="17">
        <v>177</v>
      </c>
      <c r="K1117" s="17">
        <v>235425</v>
      </c>
      <c r="L1117" s="17">
        <v>31308.800459999999</v>
      </c>
      <c r="M1117" s="17">
        <v>2025</v>
      </c>
      <c r="N1117" s="17" t="s">
        <v>173</v>
      </c>
    </row>
    <row r="1118" spans="1:14" ht="14.25" customHeight="1">
      <c r="A1118" s="17">
        <v>11117</v>
      </c>
      <c r="B1118" s="18">
        <v>45751</v>
      </c>
      <c r="C1118" s="17" t="s">
        <v>58</v>
      </c>
      <c r="D1118" s="17" t="s">
        <v>170</v>
      </c>
      <c r="E1118" s="17" t="s">
        <v>165</v>
      </c>
      <c r="F1118" s="17" t="s">
        <v>172</v>
      </c>
      <c r="G1118" s="17">
        <v>1</v>
      </c>
      <c r="H1118" s="17">
        <v>22821</v>
      </c>
      <c r="I1118" s="17">
        <v>22821</v>
      </c>
      <c r="J1118" s="17">
        <v>1546</v>
      </c>
      <c r="K1118" s="17">
        <v>21275</v>
      </c>
      <c r="L1118" s="17">
        <v>2163.5979400000001</v>
      </c>
      <c r="M1118" s="17">
        <v>2025</v>
      </c>
      <c r="N1118" s="17" t="s">
        <v>114</v>
      </c>
    </row>
    <row r="1119" spans="1:14" ht="14.25" customHeight="1">
      <c r="A1119" s="17">
        <v>11118</v>
      </c>
      <c r="B1119" s="18">
        <v>45647</v>
      </c>
      <c r="C1119" s="17" t="s">
        <v>167</v>
      </c>
      <c r="D1119" s="17" t="s">
        <v>86</v>
      </c>
      <c r="E1119" s="17" t="s">
        <v>162</v>
      </c>
      <c r="F1119" s="17" t="s">
        <v>166</v>
      </c>
      <c r="G1119" s="17">
        <v>8</v>
      </c>
      <c r="H1119" s="17">
        <v>5714</v>
      </c>
      <c r="I1119" s="17">
        <v>45712</v>
      </c>
      <c r="J1119" s="17">
        <v>2034</v>
      </c>
      <c r="K1119" s="17">
        <v>43678</v>
      </c>
      <c r="L1119" s="17">
        <v>10044.774509999999</v>
      </c>
      <c r="M1119" s="17">
        <v>2024</v>
      </c>
      <c r="N1119" s="17" t="s">
        <v>169</v>
      </c>
    </row>
    <row r="1120" spans="1:14" ht="14.25" customHeight="1">
      <c r="A1120" s="17">
        <v>11119</v>
      </c>
      <c r="B1120" s="18">
        <v>45615</v>
      </c>
      <c r="C1120" s="17" t="s">
        <v>50</v>
      </c>
      <c r="D1120" s="17" t="s">
        <v>170</v>
      </c>
      <c r="E1120" s="17" t="s">
        <v>165</v>
      </c>
      <c r="F1120" s="17" t="s">
        <v>163</v>
      </c>
      <c r="G1120" s="17">
        <v>5</v>
      </c>
      <c r="H1120" s="17">
        <v>79767</v>
      </c>
      <c r="I1120" s="17">
        <v>398835</v>
      </c>
      <c r="J1120" s="17">
        <v>298</v>
      </c>
      <c r="K1120" s="17">
        <v>398537</v>
      </c>
      <c r="L1120" s="17">
        <v>71150.341560000001</v>
      </c>
      <c r="M1120" s="17">
        <v>2024</v>
      </c>
      <c r="N1120" s="17" t="s">
        <v>173</v>
      </c>
    </row>
    <row r="1121" spans="1:14" ht="14.25" customHeight="1">
      <c r="A1121" s="17">
        <v>11120</v>
      </c>
      <c r="B1121" s="18">
        <v>45424</v>
      </c>
      <c r="C1121" s="17" t="s">
        <v>50</v>
      </c>
      <c r="D1121" s="17" t="s">
        <v>170</v>
      </c>
      <c r="E1121" s="17" t="s">
        <v>168</v>
      </c>
      <c r="F1121" s="17" t="s">
        <v>166</v>
      </c>
      <c r="G1121" s="17">
        <v>4</v>
      </c>
      <c r="H1121" s="17">
        <v>77882</v>
      </c>
      <c r="I1121" s="17">
        <v>311528</v>
      </c>
      <c r="J1121" s="17">
        <v>2567</v>
      </c>
      <c r="K1121" s="17">
        <v>308961</v>
      </c>
      <c r="L1121" s="17">
        <v>76482.677819999997</v>
      </c>
      <c r="M1121" s="17">
        <v>2024</v>
      </c>
      <c r="N1121" s="17" t="s">
        <v>117</v>
      </c>
    </row>
    <row r="1122" spans="1:14" ht="14.25" customHeight="1">
      <c r="A1122" s="17">
        <v>11121</v>
      </c>
      <c r="B1122" s="18">
        <v>45418</v>
      </c>
      <c r="C1122" s="17" t="s">
        <v>58</v>
      </c>
      <c r="D1122" s="17" t="s">
        <v>89</v>
      </c>
      <c r="E1122" s="17" t="s">
        <v>168</v>
      </c>
      <c r="F1122" s="17" t="s">
        <v>172</v>
      </c>
      <c r="G1122" s="17">
        <v>1</v>
      </c>
      <c r="H1122" s="17">
        <v>29124</v>
      </c>
      <c r="I1122" s="17">
        <v>29124</v>
      </c>
      <c r="J1122" s="17">
        <v>3566</v>
      </c>
      <c r="K1122" s="17">
        <v>25558</v>
      </c>
      <c r="L1122" s="17">
        <v>4031.9113440000001</v>
      </c>
      <c r="M1122" s="17">
        <v>2024</v>
      </c>
      <c r="N1122" s="17" t="s">
        <v>117</v>
      </c>
    </row>
    <row r="1123" spans="1:14" ht="14.25" customHeight="1">
      <c r="A1123" s="17">
        <v>11122</v>
      </c>
      <c r="B1123" s="18">
        <v>45397</v>
      </c>
      <c r="C1123" s="17" t="s">
        <v>50</v>
      </c>
      <c r="D1123" s="17" t="s">
        <v>83</v>
      </c>
      <c r="E1123" s="17" t="s">
        <v>168</v>
      </c>
      <c r="F1123" s="17" t="s">
        <v>163</v>
      </c>
      <c r="G1123" s="17">
        <v>9</v>
      </c>
      <c r="H1123" s="17">
        <v>22511</v>
      </c>
      <c r="I1123" s="17">
        <v>202599</v>
      </c>
      <c r="J1123" s="17">
        <v>4039</v>
      </c>
      <c r="K1123" s="17">
        <v>198560</v>
      </c>
      <c r="L1123" s="17">
        <v>48355.505640000003</v>
      </c>
      <c r="M1123" s="17">
        <v>2024</v>
      </c>
      <c r="N1123" s="17" t="s">
        <v>114</v>
      </c>
    </row>
    <row r="1124" spans="1:14" ht="14.25" customHeight="1">
      <c r="A1124" s="17">
        <v>11123</v>
      </c>
      <c r="B1124" s="18">
        <v>45895</v>
      </c>
      <c r="C1124" s="17" t="s">
        <v>167</v>
      </c>
      <c r="D1124" s="17" t="s">
        <v>89</v>
      </c>
      <c r="E1124" s="17" t="s">
        <v>162</v>
      </c>
      <c r="F1124" s="17" t="s">
        <v>163</v>
      </c>
      <c r="G1124" s="17">
        <v>9</v>
      </c>
      <c r="H1124" s="17">
        <v>59588</v>
      </c>
      <c r="I1124" s="17">
        <v>536292</v>
      </c>
      <c r="J1124" s="17">
        <v>274</v>
      </c>
      <c r="K1124" s="17">
        <v>536018</v>
      </c>
      <c r="L1124" s="17">
        <v>103054.0646</v>
      </c>
      <c r="M1124" s="17">
        <v>2025</v>
      </c>
      <c r="N1124" s="17" t="s">
        <v>126</v>
      </c>
    </row>
    <row r="1125" spans="1:14" ht="14.25" customHeight="1">
      <c r="A1125" s="17">
        <v>11124</v>
      </c>
      <c r="B1125" s="18">
        <v>45669</v>
      </c>
      <c r="C1125" s="17" t="s">
        <v>50</v>
      </c>
      <c r="D1125" s="17" t="s">
        <v>111</v>
      </c>
      <c r="E1125" s="17" t="s">
        <v>162</v>
      </c>
      <c r="F1125" s="17" t="s">
        <v>166</v>
      </c>
      <c r="G1125" s="17">
        <v>5</v>
      </c>
      <c r="H1125" s="17">
        <v>16215</v>
      </c>
      <c r="I1125" s="17">
        <v>81075</v>
      </c>
      <c r="J1125" s="17">
        <v>2995</v>
      </c>
      <c r="K1125" s="17">
        <v>78080</v>
      </c>
      <c r="L1125" s="17">
        <v>13806.9458</v>
      </c>
      <c r="M1125" s="17">
        <v>2025</v>
      </c>
      <c r="N1125" s="17" t="s">
        <v>171</v>
      </c>
    </row>
    <row r="1126" spans="1:14" ht="14.25" customHeight="1">
      <c r="A1126" s="17">
        <v>11125</v>
      </c>
      <c r="B1126" s="18">
        <v>45342</v>
      </c>
      <c r="C1126" s="17" t="s">
        <v>167</v>
      </c>
      <c r="D1126" s="17" t="s">
        <v>170</v>
      </c>
      <c r="E1126" s="17" t="s">
        <v>162</v>
      </c>
      <c r="F1126" s="17" t="s">
        <v>163</v>
      </c>
      <c r="G1126" s="17">
        <v>9</v>
      </c>
      <c r="H1126" s="17">
        <v>16851</v>
      </c>
      <c r="I1126" s="17">
        <v>151659</v>
      </c>
      <c r="J1126" s="17">
        <v>52</v>
      </c>
      <c r="K1126" s="17">
        <v>151607</v>
      </c>
      <c r="L1126" s="17">
        <v>22046.908329999998</v>
      </c>
      <c r="M1126" s="17">
        <v>2024</v>
      </c>
      <c r="N1126" s="17" t="s">
        <v>175</v>
      </c>
    </row>
    <row r="1127" spans="1:14" ht="14.25" customHeight="1">
      <c r="A1127" s="17">
        <v>11126</v>
      </c>
      <c r="B1127" s="18">
        <v>45320</v>
      </c>
      <c r="C1127" s="17" t="s">
        <v>45</v>
      </c>
      <c r="D1127" s="17" t="s">
        <v>170</v>
      </c>
      <c r="E1127" s="17" t="s">
        <v>165</v>
      </c>
      <c r="F1127" s="17" t="s">
        <v>164</v>
      </c>
      <c r="G1127" s="17">
        <v>9</v>
      </c>
      <c r="H1127" s="17">
        <v>38550</v>
      </c>
      <c r="I1127" s="17">
        <v>346950</v>
      </c>
      <c r="J1127" s="17">
        <v>1423</v>
      </c>
      <c r="K1127" s="17">
        <v>345527</v>
      </c>
      <c r="L1127" s="17">
        <v>77325.988759999993</v>
      </c>
      <c r="M1127" s="17">
        <v>2024</v>
      </c>
      <c r="N1127" s="17" t="s">
        <v>171</v>
      </c>
    </row>
    <row r="1128" spans="1:14" ht="14.25" customHeight="1">
      <c r="A1128" s="17">
        <v>11127</v>
      </c>
      <c r="B1128" s="18">
        <v>45753</v>
      </c>
      <c r="C1128" s="17" t="s">
        <v>167</v>
      </c>
      <c r="D1128" s="17" t="s">
        <v>86</v>
      </c>
      <c r="E1128" s="17" t="s">
        <v>162</v>
      </c>
      <c r="F1128" s="17" t="s">
        <v>166</v>
      </c>
      <c r="G1128" s="17">
        <v>7</v>
      </c>
      <c r="H1128" s="17">
        <v>60958</v>
      </c>
      <c r="I1128" s="17">
        <v>426706</v>
      </c>
      <c r="J1128" s="17">
        <v>1627</v>
      </c>
      <c r="K1128" s="17">
        <v>425079</v>
      </c>
      <c r="L1128" s="17">
        <v>95353.386299999998</v>
      </c>
      <c r="M1128" s="17">
        <v>2025</v>
      </c>
      <c r="N1128" s="17" t="s">
        <v>114</v>
      </c>
    </row>
    <row r="1129" spans="1:14" ht="14.25" customHeight="1">
      <c r="A1129" s="17">
        <v>11128</v>
      </c>
      <c r="B1129" s="18">
        <v>45587</v>
      </c>
      <c r="C1129" s="17" t="s">
        <v>39</v>
      </c>
      <c r="D1129" s="17" t="s">
        <v>89</v>
      </c>
      <c r="E1129" s="17" t="s">
        <v>162</v>
      </c>
      <c r="F1129" s="17" t="s">
        <v>166</v>
      </c>
      <c r="G1129" s="17">
        <v>8</v>
      </c>
      <c r="H1129" s="17">
        <v>6178</v>
      </c>
      <c r="I1129" s="17">
        <v>49424</v>
      </c>
      <c r="J1129" s="17">
        <v>488</v>
      </c>
      <c r="K1129" s="17">
        <v>48936</v>
      </c>
      <c r="L1129" s="17">
        <v>7954.0295379999998</v>
      </c>
      <c r="M1129" s="17">
        <v>2024</v>
      </c>
      <c r="N1129" s="17" t="s">
        <v>174</v>
      </c>
    </row>
    <row r="1130" spans="1:14" ht="14.25" customHeight="1">
      <c r="A1130" s="17">
        <v>11129</v>
      </c>
      <c r="B1130" s="18">
        <v>45588</v>
      </c>
      <c r="C1130" s="17" t="s">
        <v>39</v>
      </c>
      <c r="D1130" s="17" t="s">
        <v>86</v>
      </c>
      <c r="E1130" s="17" t="s">
        <v>162</v>
      </c>
      <c r="F1130" s="17" t="s">
        <v>164</v>
      </c>
      <c r="G1130" s="17">
        <v>1</v>
      </c>
      <c r="H1130" s="17">
        <v>72942</v>
      </c>
      <c r="I1130" s="17">
        <v>72942</v>
      </c>
      <c r="J1130" s="17">
        <v>2354</v>
      </c>
      <c r="K1130" s="17">
        <v>70588</v>
      </c>
      <c r="L1130" s="17">
        <v>14759.525250000001</v>
      </c>
      <c r="M1130" s="17">
        <v>2024</v>
      </c>
      <c r="N1130" s="17" t="s">
        <v>174</v>
      </c>
    </row>
    <row r="1131" spans="1:14" ht="14.25" customHeight="1">
      <c r="A1131" s="17">
        <v>11130</v>
      </c>
      <c r="B1131" s="18">
        <v>46017</v>
      </c>
      <c r="C1131" s="17" t="s">
        <v>39</v>
      </c>
      <c r="D1131" s="17" t="s">
        <v>170</v>
      </c>
      <c r="E1131" s="17" t="s">
        <v>162</v>
      </c>
      <c r="F1131" s="17" t="s">
        <v>166</v>
      </c>
      <c r="G1131" s="17">
        <v>4</v>
      </c>
      <c r="H1131" s="17">
        <v>51314</v>
      </c>
      <c r="I1131" s="17">
        <v>205256</v>
      </c>
      <c r="J1131" s="17">
        <v>416</v>
      </c>
      <c r="K1131" s="17">
        <v>204840</v>
      </c>
      <c r="L1131" s="17">
        <v>34225.83281</v>
      </c>
      <c r="M1131" s="17">
        <v>2025</v>
      </c>
      <c r="N1131" s="17" t="s">
        <v>169</v>
      </c>
    </row>
    <row r="1132" spans="1:14" ht="14.25" customHeight="1">
      <c r="A1132" s="17">
        <v>11131</v>
      </c>
      <c r="B1132" s="18">
        <v>45698</v>
      </c>
      <c r="C1132" s="17" t="s">
        <v>58</v>
      </c>
      <c r="D1132" s="17" t="s">
        <v>89</v>
      </c>
      <c r="E1132" s="17" t="s">
        <v>168</v>
      </c>
      <c r="F1132" s="17" t="s">
        <v>172</v>
      </c>
      <c r="G1132" s="17">
        <v>4</v>
      </c>
      <c r="H1132" s="17">
        <v>36146</v>
      </c>
      <c r="I1132" s="17">
        <v>144584</v>
      </c>
      <c r="J1132" s="17">
        <v>2556</v>
      </c>
      <c r="K1132" s="17">
        <v>142028</v>
      </c>
      <c r="L1132" s="17">
        <v>29960.649539999999</v>
      </c>
      <c r="M1132" s="17">
        <v>2025</v>
      </c>
      <c r="N1132" s="17" t="s">
        <v>175</v>
      </c>
    </row>
    <row r="1133" spans="1:14" ht="14.25" customHeight="1">
      <c r="A1133" s="17">
        <v>11132</v>
      </c>
      <c r="B1133" s="18">
        <v>45904</v>
      </c>
      <c r="C1133" s="17" t="s">
        <v>58</v>
      </c>
      <c r="D1133" s="17" t="s">
        <v>89</v>
      </c>
      <c r="E1133" s="17" t="s">
        <v>165</v>
      </c>
      <c r="F1133" s="17" t="s">
        <v>172</v>
      </c>
      <c r="G1133" s="17">
        <v>9</v>
      </c>
      <c r="H1133" s="17">
        <v>73260</v>
      </c>
      <c r="I1133" s="17">
        <v>659340</v>
      </c>
      <c r="J1133" s="17">
        <v>920</v>
      </c>
      <c r="K1133" s="17">
        <v>658420</v>
      </c>
      <c r="L1133" s="17">
        <v>164031.20240000001</v>
      </c>
      <c r="M1133" s="17">
        <v>2025</v>
      </c>
      <c r="N1133" s="17" t="s">
        <v>129</v>
      </c>
    </row>
    <row r="1134" spans="1:14" ht="14.25" customHeight="1">
      <c r="A1134" s="17">
        <v>11133</v>
      </c>
      <c r="B1134" s="18">
        <v>45696</v>
      </c>
      <c r="C1134" s="17" t="s">
        <v>58</v>
      </c>
      <c r="D1134" s="17" t="s">
        <v>111</v>
      </c>
      <c r="E1134" s="17" t="s">
        <v>168</v>
      </c>
      <c r="F1134" s="17" t="s">
        <v>166</v>
      </c>
      <c r="G1134" s="17">
        <v>3</v>
      </c>
      <c r="H1134" s="17">
        <v>40303</v>
      </c>
      <c r="I1134" s="17">
        <v>120909</v>
      </c>
      <c r="J1134" s="17">
        <v>1553</v>
      </c>
      <c r="K1134" s="17">
        <v>119356</v>
      </c>
      <c r="L1134" s="17">
        <v>16635.176500000001</v>
      </c>
      <c r="M1134" s="17">
        <v>2025</v>
      </c>
      <c r="N1134" s="17" t="s">
        <v>175</v>
      </c>
    </row>
    <row r="1135" spans="1:14" ht="14.25" customHeight="1">
      <c r="A1135" s="17">
        <v>11134</v>
      </c>
      <c r="B1135" s="18">
        <v>45637</v>
      </c>
      <c r="C1135" s="17" t="s">
        <v>167</v>
      </c>
      <c r="D1135" s="17" t="s">
        <v>111</v>
      </c>
      <c r="E1135" s="17" t="s">
        <v>165</v>
      </c>
      <c r="F1135" s="17" t="s">
        <v>164</v>
      </c>
      <c r="G1135" s="17">
        <v>1</v>
      </c>
      <c r="H1135" s="17">
        <v>59013</v>
      </c>
      <c r="I1135" s="17">
        <v>59013</v>
      </c>
      <c r="J1135" s="17">
        <v>2685</v>
      </c>
      <c r="K1135" s="17">
        <v>56328</v>
      </c>
      <c r="L1135" s="17">
        <v>10990.03602</v>
      </c>
      <c r="M1135" s="17">
        <v>2024</v>
      </c>
      <c r="N1135" s="17" t="s">
        <v>169</v>
      </c>
    </row>
    <row r="1136" spans="1:14" ht="14.25" customHeight="1">
      <c r="A1136" s="17">
        <v>11135</v>
      </c>
      <c r="B1136" s="18">
        <v>45913</v>
      </c>
      <c r="C1136" s="17" t="s">
        <v>58</v>
      </c>
      <c r="D1136" s="17" t="s">
        <v>83</v>
      </c>
      <c r="E1136" s="17" t="s">
        <v>165</v>
      </c>
      <c r="F1136" s="17" t="s">
        <v>163</v>
      </c>
      <c r="G1136" s="17">
        <v>5</v>
      </c>
      <c r="H1136" s="17">
        <v>6201</v>
      </c>
      <c r="I1136" s="17">
        <v>31005</v>
      </c>
      <c r="J1136" s="17">
        <v>665</v>
      </c>
      <c r="K1136" s="17">
        <v>30340</v>
      </c>
      <c r="L1136" s="17">
        <v>4762.824619</v>
      </c>
      <c r="M1136" s="17">
        <v>2025</v>
      </c>
      <c r="N1136" s="17" t="s">
        <v>129</v>
      </c>
    </row>
    <row r="1137" spans="1:14" ht="14.25" customHeight="1">
      <c r="A1137" s="17">
        <v>11136</v>
      </c>
      <c r="B1137" s="18">
        <v>45711</v>
      </c>
      <c r="C1137" s="17" t="s">
        <v>45</v>
      </c>
      <c r="D1137" s="17" t="s">
        <v>111</v>
      </c>
      <c r="E1137" s="17" t="s">
        <v>168</v>
      </c>
      <c r="F1137" s="17" t="s">
        <v>164</v>
      </c>
      <c r="G1137" s="17">
        <v>7</v>
      </c>
      <c r="H1137" s="17">
        <v>60103</v>
      </c>
      <c r="I1137" s="17">
        <v>420721</v>
      </c>
      <c r="J1137" s="17">
        <v>4101</v>
      </c>
      <c r="K1137" s="17">
        <v>416620</v>
      </c>
      <c r="L1137" s="17">
        <v>75931.384130000006</v>
      </c>
      <c r="M1137" s="17">
        <v>2025</v>
      </c>
      <c r="N1137" s="17" t="s">
        <v>175</v>
      </c>
    </row>
    <row r="1138" spans="1:14" ht="14.25" customHeight="1">
      <c r="A1138" s="17">
        <v>11137</v>
      </c>
      <c r="B1138" s="18">
        <v>45473</v>
      </c>
      <c r="C1138" s="17" t="s">
        <v>39</v>
      </c>
      <c r="D1138" s="17" t="s">
        <v>89</v>
      </c>
      <c r="E1138" s="17" t="s">
        <v>162</v>
      </c>
      <c r="F1138" s="17" t="s">
        <v>172</v>
      </c>
      <c r="G1138" s="17">
        <v>4</v>
      </c>
      <c r="H1138" s="17">
        <v>17664</v>
      </c>
      <c r="I1138" s="17">
        <v>70656</v>
      </c>
      <c r="J1138" s="17">
        <v>2469</v>
      </c>
      <c r="K1138" s="17">
        <v>68187</v>
      </c>
      <c r="L1138" s="17">
        <v>15759.52209</v>
      </c>
      <c r="M1138" s="17">
        <v>2024</v>
      </c>
      <c r="N1138" s="17" t="s">
        <v>120</v>
      </c>
    </row>
    <row r="1139" spans="1:14" ht="14.25" customHeight="1">
      <c r="A1139" s="17">
        <v>11138</v>
      </c>
      <c r="B1139" s="18">
        <v>45292</v>
      </c>
      <c r="C1139" s="17" t="s">
        <v>167</v>
      </c>
      <c r="D1139" s="17" t="s">
        <v>111</v>
      </c>
      <c r="E1139" s="17" t="s">
        <v>168</v>
      </c>
      <c r="F1139" s="17" t="s">
        <v>166</v>
      </c>
      <c r="G1139" s="17">
        <v>9</v>
      </c>
      <c r="H1139" s="17">
        <v>74856</v>
      </c>
      <c r="I1139" s="17">
        <v>673704</v>
      </c>
      <c r="J1139" s="17">
        <v>1474</v>
      </c>
      <c r="K1139" s="17">
        <v>672230</v>
      </c>
      <c r="L1139" s="17">
        <v>102270.639</v>
      </c>
      <c r="M1139" s="17">
        <v>2024</v>
      </c>
      <c r="N1139" s="17" t="s">
        <v>171</v>
      </c>
    </row>
    <row r="1140" spans="1:14" ht="14.25" customHeight="1">
      <c r="A1140" s="17">
        <v>11139</v>
      </c>
      <c r="B1140" s="18">
        <v>45858</v>
      </c>
      <c r="C1140" s="17" t="s">
        <v>39</v>
      </c>
      <c r="D1140" s="17" t="s">
        <v>83</v>
      </c>
      <c r="E1140" s="17" t="s">
        <v>165</v>
      </c>
      <c r="F1140" s="17" t="s">
        <v>164</v>
      </c>
      <c r="G1140" s="17">
        <v>6</v>
      </c>
      <c r="H1140" s="17">
        <v>73624</v>
      </c>
      <c r="I1140" s="17">
        <v>441744</v>
      </c>
      <c r="J1140" s="17">
        <v>337</v>
      </c>
      <c r="K1140" s="17">
        <v>441407</v>
      </c>
      <c r="L1140" s="17">
        <v>48933.605490000002</v>
      </c>
      <c r="M1140" s="17">
        <v>2025</v>
      </c>
      <c r="N1140" s="17" t="s">
        <v>123</v>
      </c>
    </row>
    <row r="1141" spans="1:14" ht="14.25" customHeight="1">
      <c r="A1141" s="17">
        <v>11140</v>
      </c>
      <c r="B1141" s="18">
        <v>45662</v>
      </c>
      <c r="C1141" s="17" t="s">
        <v>58</v>
      </c>
      <c r="D1141" s="17" t="s">
        <v>170</v>
      </c>
      <c r="E1141" s="17" t="s">
        <v>165</v>
      </c>
      <c r="F1141" s="17" t="s">
        <v>163</v>
      </c>
      <c r="G1141" s="17">
        <v>6</v>
      </c>
      <c r="H1141" s="17">
        <v>46456</v>
      </c>
      <c r="I1141" s="17">
        <v>278736</v>
      </c>
      <c r="J1141" s="17">
        <v>3159</v>
      </c>
      <c r="K1141" s="17">
        <v>275577</v>
      </c>
      <c r="L1141" s="17">
        <v>60583.0069</v>
      </c>
      <c r="M1141" s="17">
        <v>2025</v>
      </c>
      <c r="N1141" s="17" t="s">
        <v>171</v>
      </c>
    </row>
    <row r="1142" spans="1:14" ht="14.25" customHeight="1">
      <c r="A1142" s="17">
        <v>11141</v>
      </c>
      <c r="B1142" s="18">
        <v>45952</v>
      </c>
      <c r="C1142" s="17" t="s">
        <v>167</v>
      </c>
      <c r="D1142" s="17" t="s">
        <v>111</v>
      </c>
      <c r="E1142" s="17" t="s">
        <v>162</v>
      </c>
      <c r="F1142" s="17" t="s">
        <v>163</v>
      </c>
      <c r="G1142" s="17">
        <v>3</v>
      </c>
      <c r="H1142" s="17">
        <v>13664</v>
      </c>
      <c r="I1142" s="17">
        <v>40992</v>
      </c>
      <c r="J1142" s="17">
        <v>268</v>
      </c>
      <c r="K1142" s="17">
        <v>40724</v>
      </c>
      <c r="L1142" s="17">
        <v>7462.8248299999996</v>
      </c>
      <c r="M1142" s="17">
        <v>2025</v>
      </c>
      <c r="N1142" s="17" t="s">
        <v>174</v>
      </c>
    </row>
    <row r="1143" spans="1:14" ht="14.25" customHeight="1">
      <c r="A1143" s="17">
        <v>11142</v>
      </c>
      <c r="B1143" s="18">
        <v>45722</v>
      </c>
      <c r="C1143" s="17" t="s">
        <v>50</v>
      </c>
      <c r="D1143" s="17" t="s">
        <v>89</v>
      </c>
      <c r="E1143" s="17" t="s">
        <v>168</v>
      </c>
      <c r="F1143" s="17" t="s">
        <v>163</v>
      </c>
      <c r="G1143" s="17">
        <v>5</v>
      </c>
      <c r="H1143" s="17">
        <v>57534</v>
      </c>
      <c r="I1143" s="17">
        <v>287670</v>
      </c>
      <c r="J1143" s="17">
        <v>1087</v>
      </c>
      <c r="K1143" s="17">
        <v>286583</v>
      </c>
      <c r="L1143" s="17">
        <v>47976.900750000001</v>
      </c>
      <c r="M1143" s="17">
        <v>2025</v>
      </c>
      <c r="N1143" s="17" t="s">
        <v>112</v>
      </c>
    </row>
    <row r="1144" spans="1:14" ht="14.25" customHeight="1">
      <c r="A1144" s="17">
        <v>11143</v>
      </c>
      <c r="B1144" s="18">
        <v>45600</v>
      </c>
      <c r="C1144" s="17" t="s">
        <v>45</v>
      </c>
      <c r="D1144" s="17" t="s">
        <v>170</v>
      </c>
      <c r="E1144" s="17" t="s">
        <v>165</v>
      </c>
      <c r="F1144" s="17" t="s">
        <v>163</v>
      </c>
      <c r="G1144" s="17">
        <v>6</v>
      </c>
      <c r="H1144" s="17">
        <v>71696</v>
      </c>
      <c r="I1144" s="17">
        <v>430176</v>
      </c>
      <c r="J1144" s="17">
        <v>1293</v>
      </c>
      <c r="K1144" s="17">
        <v>428883</v>
      </c>
      <c r="L1144" s="17">
        <v>54682.56407</v>
      </c>
      <c r="M1144" s="17">
        <v>2024</v>
      </c>
      <c r="N1144" s="17" t="s">
        <v>173</v>
      </c>
    </row>
    <row r="1145" spans="1:14" ht="14.25" customHeight="1">
      <c r="A1145" s="17">
        <v>11144</v>
      </c>
      <c r="B1145" s="18">
        <v>45428</v>
      </c>
      <c r="C1145" s="17" t="s">
        <v>58</v>
      </c>
      <c r="D1145" s="17" t="s">
        <v>89</v>
      </c>
      <c r="E1145" s="17" t="s">
        <v>168</v>
      </c>
      <c r="F1145" s="17" t="s">
        <v>164</v>
      </c>
      <c r="G1145" s="17">
        <v>4</v>
      </c>
      <c r="H1145" s="17">
        <v>15714</v>
      </c>
      <c r="I1145" s="17">
        <v>62856</v>
      </c>
      <c r="J1145" s="17">
        <v>656</v>
      </c>
      <c r="K1145" s="17">
        <v>62200</v>
      </c>
      <c r="L1145" s="17">
        <v>7086.315987</v>
      </c>
      <c r="M1145" s="17">
        <v>2024</v>
      </c>
      <c r="N1145" s="17" t="s">
        <v>117</v>
      </c>
    </row>
    <row r="1146" spans="1:14" ht="14.25" customHeight="1">
      <c r="A1146" s="17">
        <v>11145</v>
      </c>
      <c r="B1146" s="18">
        <v>45493</v>
      </c>
      <c r="C1146" s="17" t="s">
        <v>58</v>
      </c>
      <c r="D1146" s="17" t="s">
        <v>170</v>
      </c>
      <c r="E1146" s="17" t="s">
        <v>162</v>
      </c>
      <c r="F1146" s="17" t="s">
        <v>163</v>
      </c>
      <c r="G1146" s="17">
        <v>3</v>
      </c>
      <c r="H1146" s="17">
        <v>9312</v>
      </c>
      <c r="I1146" s="17">
        <v>27936</v>
      </c>
      <c r="J1146" s="17">
        <v>2828</v>
      </c>
      <c r="K1146" s="17">
        <v>25108</v>
      </c>
      <c r="L1146" s="17">
        <v>3560.5738649999998</v>
      </c>
      <c r="M1146" s="17">
        <v>2024</v>
      </c>
      <c r="N1146" s="17" t="s">
        <v>123</v>
      </c>
    </row>
    <row r="1147" spans="1:14" ht="14.25" customHeight="1">
      <c r="A1147" s="17">
        <v>11146</v>
      </c>
      <c r="B1147" s="18">
        <v>45727</v>
      </c>
      <c r="C1147" s="17" t="s">
        <v>45</v>
      </c>
      <c r="D1147" s="17" t="s">
        <v>89</v>
      </c>
      <c r="E1147" s="17" t="s">
        <v>162</v>
      </c>
      <c r="F1147" s="17" t="s">
        <v>172</v>
      </c>
      <c r="G1147" s="17">
        <v>5</v>
      </c>
      <c r="H1147" s="17">
        <v>25845</v>
      </c>
      <c r="I1147" s="17">
        <v>129225</v>
      </c>
      <c r="J1147" s="17">
        <v>3973</v>
      </c>
      <c r="K1147" s="17">
        <v>125252</v>
      </c>
      <c r="L1147" s="17">
        <v>26031.829519999999</v>
      </c>
      <c r="M1147" s="17">
        <v>2025</v>
      </c>
      <c r="N1147" s="17" t="s">
        <v>112</v>
      </c>
    </row>
    <row r="1148" spans="1:14" ht="14.25" customHeight="1">
      <c r="A1148" s="17">
        <v>11147</v>
      </c>
      <c r="B1148" s="18">
        <v>45604</v>
      </c>
      <c r="C1148" s="17" t="s">
        <v>45</v>
      </c>
      <c r="D1148" s="17" t="s">
        <v>111</v>
      </c>
      <c r="E1148" s="17" t="s">
        <v>165</v>
      </c>
      <c r="F1148" s="17" t="s">
        <v>163</v>
      </c>
      <c r="G1148" s="17">
        <v>7</v>
      </c>
      <c r="H1148" s="17">
        <v>55703</v>
      </c>
      <c r="I1148" s="17">
        <v>389921</v>
      </c>
      <c r="J1148" s="17">
        <v>4957</v>
      </c>
      <c r="K1148" s="17">
        <v>384964</v>
      </c>
      <c r="L1148" s="17">
        <v>62273.947569999997</v>
      </c>
      <c r="M1148" s="17">
        <v>2024</v>
      </c>
      <c r="N1148" s="17" t="s">
        <v>173</v>
      </c>
    </row>
    <row r="1149" spans="1:14" ht="14.25" customHeight="1">
      <c r="A1149" s="17">
        <v>11148</v>
      </c>
      <c r="B1149" s="18">
        <v>45408</v>
      </c>
      <c r="C1149" s="17" t="s">
        <v>50</v>
      </c>
      <c r="D1149" s="17" t="s">
        <v>111</v>
      </c>
      <c r="E1149" s="17" t="s">
        <v>162</v>
      </c>
      <c r="F1149" s="17" t="s">
        <v>172</v>
      </c>
      <c r="G1149" s="17">
        <v>6</v>
      </c>
      <c r="H1149" s="17">
        <v>40215</v>
      </c>
      <c r="I1149" s="17">
        <v>241290</v>
      </c>
      <c r="J1149" s="17">
        <v>1336</v>
      </c>
      <c r="K1149" s="17">
        <v>239954</v>
      </c>
      <c r="L1149" s="17">
        <v>44519.658580000003</v>
      </c>
      <c r="M1149" s="17">
        <v>2024</v>
      </c>
      <c r="N1149" s="17" t="s">
        <v>114</v>
      </c>
    </row>
    <row r="1150" spans="1:14" ht="14.25" customHeight="1">
      <c r="A1150" s="17">
        <v>11149</v>
      </c>
      <c r="B1150" s="18">
        <v>45957</v>
      </c>
      <c r="C1150" s="17" t="s">
        <v>58</v>
      </c>
      <c r="D1150" s="17" t="s">
        <v>83</v>
      </c>
      <c r="E1150" s="17" t="s">
        <v>165</v>
      </c>
      <c r="F1150" s="17" t="s">
        <v>164</v>
      </c>
      <c r="G1150" s="17">
        <v>2</v>
      </c>
      <c r="H1150" s="17">
        <v>46078</v>
      </c>
      <c r="I1150" s="17">
        <v>92156</v>
      </c>
      <c r="J1150" s="17">
        <v>2356</v>
      </c>
      <c r="K1150" s="17">
        <v>89800</v>
      </c>
      <c r="L1150" s="17">
        <v>10085.153609999999</v>
      </c>
      <c r="M1150" s="17">
        <v>2025</v>
      </c>
      <c r="N1150" s="17" t="s">
        <v>174</v>
      </c>
    </row>
    <row r="1151" spans="1:14" ht="14.25" customHeight="1">
      <c r="A1151" s="17">
        <v>11150</v>
      </c>
      <c r="B1151" s="18">
        <v>45866</v>
      </c>
      <c r="C1151" s="17" t="s">
        <v>58</v>
      </c>
      <c r="D1151" s="17" t="s">
        <v>170</v>
      </c>
      <c r="E1151" s="17" t="s">
        <v>165</v>
      </c>
      <c r="F1151" s="17" t="s">
        <v>172</v>
      </c>
      <c r="G1151" s="17">
        <v>1</v>
      </c>
      <c r="H1151" s="17">
        <v>41264</v>
      </c>
      <c r="I1151" s="17">
        <v>41264</v>
      </c>
      <c r="J1151" s="17">
        <v>1667</v>
      </c>
      <c r="K1151" s="17">
        <v>39597</v>
      </c>
      <c r="L1151" s="17">
        <v>4691.7082190000001</v>
      </c>
      <c r="M1151" s="17">
        <v>2025</v>
      </c>
      <c r="N1151" s="17" t="s">
        <v>123</v>
      </c>
    </row>
    <row r="1152" spans="1:14" ht="14.25" customHeight="1">
      <c r="A1152" s="17">
        <v>11151</v>
      </c>
      <c r="B1152" s="18">
        <v>45535</v>
      </c>
      <c r="C1152" s="17" t="s">
        <v>39</v>
      </c>
      <c r="D1152" s="17" t="s">
        <v>83</v>
      </c>
      <c r="E1152" s="17" t="s">
        <v>162</v>
      </c>
      <c r="F1152" s="17" t="s">
        <v>164</v>
      </c>
      <c r="G1152" s="17">
        <v>5</v>
      </c>
      <c r="H1152" s="17">
        <v>39484</v>
      </c>
      <c r="I1152" s="17">
        <v>197420</v>
      </c>
      <c r="J1152" s="17">
        <v>1825</v>
      </c>
      <c r="K1152" s="17">
        <v>195595</v>
      </c>
      <c r="L1152" s="17">
        <v>19891.204600000001</v>
      </c>
      <c r="M1152" s="17">
        <v>2024</v>
      </c>
      <c r="N1152" s="17" t="s">
        <v>126</v>
      </c>
    </row>
    <row r="1153" spans="1:14" ht="14.25" customHeight="1">
      <c r="A1153" s="17">
        <v>11152</v>
      </c>
      <c r="B1153" s="18">
        <v>45828</v>
      </c>
      <c r="C1153" s="17" t="s">
        <v>167</v>
      </c>
      <c r="D1153" s="17" t="s">
        <v>86</v>
      </c>
      <c r="E1153" s="17" t="s">
        <v>162</v>
      </c>
      <c r="F1153" s="17" t="s">
        <v>163</v>
      </c>
      <c r="G1153" s="17">
        <v>5</v>
      </c>
      <c r="H1153" s="17">
        <v>47162</v>
      </c>
      <c r="I1153" s="17">
        <v>235810</v>
      </c>
      <c r="J1153" s="17">
        <v>4030</v>
      </c>
      <c r="K1153" s="17">
        <v>231780</v>
      </c>
      <c r="L1153" s="17">
        <v>46586.08049</v>
      </c>
      <c r="M1153" s="17">
        <v>2025</v>
      </c>
      <c r="N1153" s="17" t="s">
        <v>120</v>
      </c>
    </row>
    <row r="1154" spans="1:14" ht="14.25" customHeight="1">
      <c r="A1154" s="17">
        <v>11153</v>
      </c>
      <c r="B1154" s="18">
        <v>45893</v>
      </c>
      <c r="C1154" s="17" t="s">
        <v>167</v>
      </c>
      <c r="D1154" s="17" t="s">
        <v>111</v>
      </c>
      <c r="E1154" s="17" t="s">
        <v>168</v>
      </c>
      <c r="F1154" s="17" t="s">
        <v>166</v>
      </c>
      <c r="G1154" s="17">
        <v>6</v>
      </c>
      <c r="H1154" s="17">
        <v>71991</v>
      </c>
      <c r="I1154" s="17">
        <v>431946</v>
      </c>
      <c r="J1154" s="17">
        <v>1212</v>
      </c>
      <c r="K1154" s="17">
        <v>430734</v>
      </c>
      <c r="L1154" s="17">
        <v>60159.833140000002</v>
      </c>
      <c r="M1154" s="17">
        <v>2025</v>
      </c>
      <c r="N1154" s="17" t="s">
        <v>126</v>
      </c>
    </row>
    <row r="1155" spans="1:14" ht="14.25" customHeight="1">
      <c r="A1155" s="17">
        <v>11154</v>
      </c>
      <c r="B1155" s="18">
        <v>45366</v>
      </c>
      <c r="C1155" s="17" t="s">
        <v>39</v>
      </c>
      <c r="D1155" s="17" t="s">
        <v>170</v>
      </c>
      <c r="E1155" s="17" t="s">
        <v>168</v>
      </c>
      <c r="F1155" s="17" t="s">
        <v>172</v>
      </c>
      <c r="G1155" s="17">
        <v>3</v>
      </c>
      <c r="H1155" s="17">
        <v>44794</v>
      </c>
      <c r="I1155" s="17">
        <v>134382</v>
      </c>
      <c r="J1155" s="17">
        <v>2768</v>
      </c>
      <c r="K1155" s="17">
        <v>131614</v>
      </c>
      <c r="L1155" s="17">
        <v>32250.56135</v>
      </c>
      <c r="M1155" s="17">
        <v>2024</v>
      </c>
      <c r="N1155" s="17" t="s">
        <v>112</v>
      </c>
    </row>
    <row r="1156" spans="1:14" ht="14.25" customHeight="1">
      <c r="A1156" s="17">
        <v>11155</v>
      </c>
      <c r="B1156" s="18">
        <v>45677</v>
      </c>
      <c r="C1156" s="17" t="s">
        <v>167</v>
      </c>
      <c r="D1156" s="17" t="s">
        <v>83</v>
      </c>
      <c r="E1156" s="17" t="s">
        <v>165</v>
      </c>
      <c r="F1156" s="17" t="s">
        <v>172</v>
      </c>
      <c r="G1156" s="17">
        <v>1</v>
      </c>
      <c r="H1156" s="17">
        <v>34237</v>
      </c>
      <c r="I1156" s="17">
        <v>34237</v>
      </c>
      <c r="J1156" s="17">
        <v>4415</v>
      </c>
      <c r="K1156" s="17">
        <v>29822</v>
      </c>
      <c r="L1156" s="17">
        <v>4362.0153760000003</v>
      </c>
      <c r="M1156" s="17">
        <v>2025</v>
      </c>
      <c r="N1156" s="17" t="s">
        <v>171</v>
      </c>
    </row>
    <row r="1157" spans="1:14" ht="14.25" customHeight="1">
      <c r="A1157" s="17">
        <v>11156</v>
      </c>
      <c r="B1157" s="18">
        <v>45501</v>
      </c>
      <c r="C1157" s="17" t="s">
        <v>45</v>
      </c>
      <c r="D1157" s="17" t="s">
        <v>83</v>
      </c>
      <c r="E1157" s="17" t="s">
        <v>168</v>
      </c>
      <c r="F1157" s="17" t="s">
        <v>166</v>
      </c>
      <c r="G1157" s="17">
        <v>4</v>
      </c>
      <c r="H1157" s="17">
        <v>70294</v>
      </c>
      <c r="I1157" s="17">
        <v>281176</v>
      </c>
      <c r="J1157" s="17">
        <v>3058</v>
      </c>
      <c r="K1157" s="17">
        <v>278118</v>
      </c>
      <c r="L1157" s="17">
        <v>42981.108260000001</v>
      </c>
      <c r="M1157" s="17">
        <v>2024</v>
      </c>
      <c r="N1157" s="17" t="s">
        <v>123</v>
      </c>
    </row>
    <row r="1158" spans="1:14" ht="14.25" customHeight="1">
      <c r="A1158" s="17">
        <v>11157</v>
      </c>
      <c r="B1158" s="18">
        <v>45766</v>
      </c>
      <c r="C1158" s="17" t="s">
        <v>167</v>
      </c>
      <c r="D1158" s="17" t="s">
        <v>86</v>
      </c>
      <c r="E1158" s="17" t="s">
        <v>165</v>
      </c>
      <c r="F1158" s="17" t="s">
        <v>164</v>
      </c>
      <c r="G1158" s="17">
        <v>4</v>
      </c>
      <c r="H1158" s="17">
        <v>73007</v>
      </c>
      <c r="I1158" s="17">
        <v>292028</v>
      </c>
      <c r="J1158" s="17">
        <v>444</v>
      </c>
      <c r="K1158" s="17">
        <v>291584</v>
      </c>
      <c r="L1158" s="17">
        <v>49692.758450000001</v>
      </c>
      <c r="M1158" s="17">
        <v>2025</v>
      </c>
      <c r="N1158" s="17" t="s">
        <v>114</v>
      </c>
    </row>
    <row r="1159" spans="1:14" ht="14.25" customHeight="1">
      <c r="A1159" s="17">
        <v>11158</v>
      </c>
      <c r="B1159" s="18">
        <v>45709</v>
      </c>
      <c r="C1159" s="17" t="s">
        <v>167</v>
      </c>
      <c r="D1159" s="17" t="s">
        <v>83</v>
      </c>
      <c r="E1159" s="17" t="s">
        <v>162</v>
      </c>
      <c r="F1159" s="17" t="s">
        <v>164</v>
      </c>
      <c r="G1159" s="17">
        <v>2</v>
      </c>
      <c r="H1159" s="17">
        <v>5367</v>
      </c>
      <c r="I1159" s="17">
        <v>10734</v>
      </c>
      <c r="J1159" s="17">
        <v>1397</v>
      </c>
      <c r="K1159" s="17">
        <v>9337</v>
      </c>
      <c r="L1159" s="17">
        <v>1380.6725759999999</v>
      </c>
      <c r="M1159" s="17">
        <v>2025</v>
      </c>
      <c r="N1159" s="17" t="s">
        <v>175</v>
      </c>
    </row>
    <row r="1160" spans="1:14" ht="14.25" customHeight="1">
      <c r="A1160" s="17">
        <v>11159</v>
      </c>
      <c r="B1160" s="18">
        <v>45638</v>
      </c>
      <c r="C1160" s="17" t="s">
        <v>39</v>
      </c>
      <c r="D1160" s="17" t="s">
        <v>89</v>
      </c>
      <c r="E1160" s="17" t="s">
        <v>162</v>
      </c>
      <c r="F1160" s="17" t="s">
        <v>163</v>
      </c>
      <c r="G1160" s="17">
        <v>8</v>
      </c>
      <c r="H1160" s="17">
        <v>18417</v>
      </c>
      <c r="I1160" s="17">
        <v>147336</v>
      </c>
      <c r="J1160" s="17">
        <v>4381</v>
      </c>
      <c r="K1160" s="17">
        <v>142955</v>
      </c>
      <c r="L1160" s="17">
        <v>31824.139370000001</v>
      </c>
      <c r="M1160" s="17">
        <v>2024</v>
      </c>
      <c r="N1160" s="17" t="s">
        <v>169</v>
      </c>
    </row>
    <row r="1161" spans="1:14" ht="14.25" customHeight="1">
      <c r="A1161" s="17">
        <v>11160</v>
      </c>
      <c r="B1161" s="18">
        <v>45820</v>
      </c>
      <c r="C1161" s="17" t="s">
        <v>50</v>
      </c>
      <c r="D1161" s="17" t="s">
        <v>111</v>
      </c>
      <c r="E1161" s="17" t="s">
        <v>168</v>
      </c>
      <c r="F1161" s="17" t="s">
        <v>172</v>
      </c>
      <c r="G1161" s="17">
        <v>6</v>
      </c>
      <c r="H1161" s="17">
        <v>57328</v>
      </c>
      <c r="I1161" s="17">
        <v>343968</v>
      </c>
      <c r="J1161" s="17">
        <v>2218</v>
      </c>
      <c r="K1161" s="17">
        <v>341750</v>
      </c>
      <c r="L1161" s="17">
        <v>79091.551600000006</v>
      </c>
      <c r="M1161" s="17">
        <v>2025</v>
      </c>
      <c r="N1161" s="17" t="s">
        <v>120</v>
      </c>
    </row>
    <row r="1162" spans="1:14" ht="14.25" customHeight="1">
      <c r="A1162" s="17">
        <v>11161</v>
      </c>
      <c r="B1162" s="18">
        <v>45931</v>
      </c>
      <c r="C1162" s="17" t="s">
        <v>167</v>
      </c>
      <c r="D1162" s="17" t="s">
        <v>83</v>
      </c>
      <c r="E1162" s="17" t="s">
        <v>165</v>
      </c>
      <c r="F1162" s="17" t="s">
        <v>164</v>
      </c>
      <c r="G1162" s="17">
        <v>3</v>
      </c>
      <c r="H1162" s="17">
        <v>73910</v>
      </c>
      <c r="I1162" s="17">
        <v>221730</v>
      </c>
      <c r="J1162" s="17">
        <v>3676</v>
      </c>
      <c r="K1162" s="17">
        <v>218054</v>
      </c>
      <c r="L1162" s="17">
        <v>22166.369180000002</v>
      </c>
      <c r="M1162" s="17">
        <v>2025</v>
      </c>
      <c r="N1162" s="17" t="s">
        <v>174</v>
      </c>
    </row>
    <row r="1163" spans="1:14" ht="14.25" customHeight="1">
      <c r="A1163" s="17">
        <v>11162</v>
      </c>
      <c r="B1163" s="18">
        <v>45470</v>
      </c>
      <c r="C1163" s="17" t="s">
        <v>167</v>
      </c>
      <c r="D1163" s="17" t="s">
        <v>83</v>
      </c>
      <c r="E1163" s="17" t="s">
        <v>165</v>
      </c>
      <c r="F1163" s="17" t="s">
        <v>163</v>
      </c>
      <c r="G1163" s="17">
        <v>1</v>
      </c>
      <c r="H1163" s="17">
        <v>11773</v>
      </c>
      <c r="I1163" s="17">
        <v>11773</v>
      </c>
      <c r="J1163" s="17">
        <v>2310</v>
      </c>
      <c r="K1163" s="17">
        <v>9463</v>
      </c>
      <c r="L1163" s="17">
        <v>1875.5594490000001</v>
      </c>
      <c r="M1163" s="17">
        <v>2024</v>
      </c>
      <c r="N1163" s="17" t="s">
        <v>120</v>
      </c>
    </row>
    <row r="1164" spans="1:14" ht="14.25" customHeight="1">
      <c r="A1164" s="17">
        <v>11163</v>
      </c>
      <c r="B1164" s="18">
        <v>45473</v>
      </c>
      <c r="C1164" s="17" t="s">
        <v>50</v>
      </c>
      <c r="D1164" s="17" t="s">
        <v>86</v>
      </c>
      <c r="E1164" s="17" t="s">
        <v>168</v>
      </c>
      <c r="F1164" s="17" t="s">
        <v>164</v>
      </c>
      <c r="G1164" s="17">
        <v>3</v>
      </c>
      <c r="H1164" s="17">
        <v>19205</v>
      </c>
      <c r="I1164" s="17">
        <v>57615</v>
      </c>
      <c r="J1164" s="17">
        <v>4040</v>
      </c>
      <c r="K1164" s="17">
        <v>53575</v>
      </c>
      <c r="L1164" s="17">
        <v>10871.076940000001</v>
      </c>
      <c r="M1164" s="17">
        <v>2024</v>
      </c>
      <c r="N1164" s="17" t="s">
        <v>120</v>
      </c>
    </row>
    <row r="1165" spans="1:14" ht="14.25" customHeight="1">
      <c r="A1165" s="17">
        <v>11164</v>
      </c>
      <c r="B1165" s="18">
        <v>45955</v>
      </c>
      <c r="C1165" s="17" t="s">
        <v>39</v>
      </c>
      <c r="D1165" s="17" t="s">
        <v>89</v>
      </c>
      <c r="E1165" s="17" t="s">
        <v>165</v>
      </c>
      <c r="F1165" s="17" t="s">
        <v>166</v>
      </c>
      <c r="G1165" s="17">
        <v>8</v>
      </c>
      <c r="H1165" s="17">
        <v>60443</v>
      </c>
      <c r="I1165" s="17">
        <v>483544</v>
      </c>
      <c r="J1165" s="17">
        <v>3606</v>
      </c>
      <c r="K1165" s="17">
        <v>479938</v>
      </c>
      <c r="L1165" s="17">
        <v>117207.44990000001</v>
      </c>
      <c r="M1165" s="17">
        <v>2025</v>
      </c>
      <c r="N1165" s="17" t="s">
        <v>174</v>
      </c>
    </row>
    <row r="1166" spans="1:14" ht="14.25" customHeight="1">
      <c r="A1166" s="17">
        <v>11165</v>
      </c>
      <c r="B1166" s="18">
        <v>45316</v>
      </c>
      <c r="C1166" s="17" t="s">
        <v>50</v>
      </c>
      <c r="D1166" s="17" t="s">
        <v>83</v>
      </c>
      <c r="E1166" s="17" t="s">
        <v>165</v>
      </c>
      <c r="F1166" s="17" t="s">
        <v>166</v>
      </c>
      <c r="G1166" s="17">
        <v>4</v>
      </c>
      <c r="H1166" s="17">
        <v>59063</v>
      </c>
      <c r="I1166" s="17">
        <v>236252</v>
      </c>
      <c r="J1166" s="17">
        <v>1827</v>
      </c>
      <c r="K1166" s="17">
        <v>234425</v>
      </c>
      <c r="L1166" s="17">
        <v>36467.124770000002</v>
      </c>
      <c r="M1166" s="17">
        <v>2024</v>
      </c>
      <c r="N1166" s="17" t="s">
        <v>171</v>
      </c>
    </row>
    <row r="1167" spans="1:14" ht="14.25" customHeight="1">
      <c r="A1167" s="17">
        <v>11166</v>
      </c>
      <c r="B1167" s="18">
        <v>45471</v>
      </c>
      <c r="C1167" s="17" t="s">
        <v>39</v>
      </c>
      <c r="D1167" s="17" t="s">
        <v>111</v>
      </c>
      <c r="E1167" s="17" t="s">
        <v>162</v>
      </c>
      <c r="F1167" s="17" t="s">
        <v>166</v>
      </c>
      <c r="G1167" s="17">
        <v>3</v>
      </c>
      <c r="H1167" s="17">
        <v>52119</v>
      </c>
      <c r="I1167" s="17">
        <v>156357</v>
      </c>
      <c r="J1167" s="17">
        <v>3219</v>
      </c>
      <c r="K1167" s="17">
        <v>153138</v>
      </c>
      <c r="L1167" s="17">
        <v>19799.51757</v>
      </c>
      <c r="M1167" s="17">
        <v>2024</v>
      </c>
      <c r="N1167" s="17" t="s">
        <v>120</v>
      </c>
    </row>
    <row r="1168" spans="1:14" ht="14.25" customHeight="1">
      <c r="A1168" s="17">
        <v>11167</v>
      </c>
      <c r="B1168" s="18">
        <v>46001</v>
      </c>
      <c r="C1168" s="17" t="s">
        <v>45</v>
      </c>
      <c r="D1168" s="17" t="s">
        <v>111</v>
      </c>
      <c r="E1168" s="17" t="s">
        <v>165</v>
      </c>
      <c r="F1168" s="17" t="s">
        <v>163</v>
      </c>
      <c r="G1168" s="17">
        <v>4</v>
      </c>
      <c r="H1168" s="17">
        <v>38668</v>
      </c>
      <c r="I1168" s="17">
        <v>154672</v>
      </c>
      <c r="J1168" s="17">
        <v>4688</v>
      </c>
      <c r="K1168" s="17">
        <v>149984</v>
      </c>
      <c r="L1168" s="17">
        <v>26710.22467</v>
      </c>
      <c r="M1168" s="17">
        <v>2025</v>
      </c>
      <c r="N1168" s="17" t="s">
        <v>169</v>
      </c>
    </row>
    <row r="1169" spans="1:14" ht="14.25" customHeight="1">
      <c r="A1169" s="17">
        <v>11168</v>
      </c>
      <c r="B1169" s="18">
        <v>45792</v>
      </c>
      <c r="C1169" s="17" t="s">
        <v>39</v>
      </c>
      <c r="D1169" s="17" t="s">
        <v>83</v>
      </c>
      <c r="E1169" s="17" t="s">
        <v>165</v>
      </c>
      <c r="F1169" s="17" t="s">
        <v>172</v>
      </c>
      <c r="G1169" s="17">
        <v>4</v>
      </c>
      <c r="H1169" s="17">
        <v>7770</v>
      </c>
      <c r="I1169" s="17">
        <v>31080</v>
      </c>
      <c r="J1169" s="17">
        <v>4511</v>
      </c>
      <c r="K1169" s="17">
        <v>26569</v>
      </c>
      <c r="L1169" s="17">
        <v>4440.5660479999997</v>
      </c>
      <c r="M1169" s="17">
        <v>2025</v>
      </c>
      <c r="N1169" s="17" t="s">
        <v>117</v>
      </c>
    </row>
    <row r="1170" spans="1:14" ht="14.25" customHeight="1">
      <c r="A1170" s="17">
        <v>11169</v>
      </c>
      <c r="B1170" s="18">
        <v>45452</v>
      </c>
      <c r="C1170" s="17" t="s">
        <v>45</v>
      </c>
      <c r="D1170" s="17" t="s">
        <v>89</v>
      </c>
      <c r="E1170" s="17" t="s">
        <v>165</v>
      </c>
      <c r="F1170" s="17" t="s">
        <v>166</v>
      </c>
      <c r="G1170" s="17">
        <v>2</v>
      </c>
      <c r="H1170" s="17">
        <v>67537</v>
      </c>
      <c r="I1170" s="17">
        <v>135074</v>
      </c>
      <c r="J1170" s="17">
        <v>2072</v>
      </c>
      <c r="K1170" s="17">
        <v>133002</v>
      </c>
      <c r="L1170" s="17">
        <v>29095.48026</v>
      </c>
      <c r="M1170" s="17">
        <v>2024</v>
      </c>
      <c r="N1170" s="17" t="s">
        <v>120</v>
      </c>
    </row>
    <row r="1171" spans="1:14" ht="14.25" customHeight="1">
      <c r="A1171" s="17">
        <v>11170</v>
      </c>
      <c r="B1171" s="18">
        <v>45468</v>
      </c>
      <c r="C1171" s="17" t="s">
        <v>45</v>
      </c>
      <c r="D1171" s="17" t="s">
        <v>111</v>
      </c>
      <c r="E1171" s="17" t="s">
        <v>168</v>
      </c>
      <c r="F1171" s="17" t="s">
        <v>166</v>
      </c>
      <c r="G1171" s="17">
        <v>4</v>
      </c>
      <c r="H1171" s="17">
        <v>49308</v>
      </c>
      <c r="I1171" s="17">
        <v>197232</v>
      </c>
      <c r="J1171" s="17">
        <v>4189</v>
      </c>
      <c r="K1171" s="17">
        <v>193043</v>
      </c>
      <c r="L1171" s="17">
        <v>45480.219669999999</v>
      </c>
      <c r="M1171" s="17">
        <v>2024</v>
      </c>
      <c r="N1171" s="17" t="s">
        <v>120</v>
      </c>
    </row>
    <row r="1172" spans="1:14" ht="14.25" customHeight="1">
      <c r="A1172" s="17">
        <v>11171</v>
      </c>
      <c r="B1172" s="18">
        <v>45576</v>
      </c>
      <c r="C1172" s="17" t="s">
        <v>39</v>
      </c>
      <c r="D1172" s="17" t="s">
        <v>111</v>
      </c>
      <c r="E1172" s="17" t="s">
        <v>168</v>
      </c>
      <c r="F1172" s="17" t="s">
        <v>164</v>
      </c>
      <c r="G1172" s="17">
        <v>9</v>
      </c>
      <c r="H1172" s="17">
        <v>42948</v>
      </c>
      <c r="I1172" s="17">
        <v>386532</v>
      </c>
      <c r="J1172" s="17">
        <v>2330</v>
      </c>
      <c r="K1172" s="17">
        <v>384202</v>
      </c>
      <c r="L1172" s="17">
        <v>43417.209649999997</v>
      </c>
      <c r="M1172" s="17">
        <v>2024</v>
      </c>
      <c r="N1172" s="17" t="s">
        <v>174</v>
      </c>
    </row>
    <row r="1173" spans="1:14" ht="14.25" customHeight="1">
      <c r="A1173" s="17">
        <v>11172</v>
      </c>
      <c r="B1173" s="18">
        <v>45354</v>
      </c>
      <c r="C1173" s="17" t="s">
        <v>58</v>
      </c>
      <c r="D1173" s="17" t="s">
        <v>89</v>
      </c>
      <c r="E1173" s="17" t="s">
        <v>168</v>
      </c>
      <c r="F1173" s="17" t="s">
        <v>166</v>
      </c>
      <c r="G1173" s="17">
        <v>4</v>
      </c>
      <c r="H1173" s="17">
        <v>55102</v>
      </c>
      <c r="I1173" s="17">
        <v>220408</v>
      </c>
      <c r="J1173" s="17">
        <v>685</v>
      </c>
      <c r="K1173" s="17">
        <v>219723</v>
      </c>
      <c r="L1173" s="17">
        <v>49874.24742</v>
      </c>
      <c r="M1173" s="17">
        <v>2024</v>
      </c>
      <c r="N1173" s="17" t="s">
        <v>112</v>
      </c>
    </row>
    <row r="1174" spans="1:14" ht="14.25" customHeight="1">
      <c r="A1174" s="17">
        <v>11173</v>
      </c>
      <c r="B1174" s="18">
        <v>45953</v>
      </c>
      <c r="C1174" s="17" t="s">
        <v>39</v>
      </c>
      <c r="D1174" s="17" t="s">
        <v>89</v>
      </c>
      <c r="E1174" s="17" t="s">
        <v>165</v>
      </c>
      <c r="F1174" s="17" t="s">
        <v>172</v>
      </c>
      <c r="G1174" s="17">
        <v>1</v>
      </c>
      <c r="H1174" s="17">
        <v>8606</v>
      </c>
      <c r="I1174" s="17">
        <v>8606</v>
      </c>
      <c r="J1174" s="17">
        <v>4958</v>
      </c>
      <c r="K1174" s="17">
        <v>3648</v>
      </c>
      <c r="L1174" s="17">
        <v>862.18886459999999</v>
      </c>
      <c r="M1174" s="17">
        <v>2025</v>
      </c>
      <c r="N1174" s="17" t="s">
        <v>174</v>
      </c>
    </row>
    <row r="1175" spans="1:14" ht="14.25" customHeight="1">
      <c r="A1175" s="17">
        <v>11174</v>
      </c>
      <c r="B1175" s="18">
        <v>45957</v>
      </c>
      <c r="C1175" s="17" t="s">
        <v>167</v>
      </c>
      <c r="D1175" s="17" t="s">
        <v>83</v>
      </c>
      <c r="E1175" s="17" t="s">
        <v>165</v>
      </c>
      <c r="F1175" s="17" t="s">
        <v>163</v>
      </c>
      <c r="G1175" s="17">
        <v>1</v>
      </c>
      <c r="H1175" s="17">
        <v>38025</v>
      </c>
      <c r="I1175" s="17">
        <v>38025</v>
      </c>
      <c r="J1175" s="17">
        <v>684</v>
      </c>
      <c r="K1175" s="17">
        <v>37341</v>
      </c>
      <c r="L1175" s="17">
        <v>8910.3236749999996</v>
      </c>
      <c r="M1175" s="17">
        <v>2025</v>
      </c>
      <c r="N1175" s="17" t="s">
        <v>174</v>
      </c>
    </row>
    <row r="1176" spans="1:14" ht="14.25" customHeight="1">
      <c r="A1176" s="17">
        <v>11175</v>
      </c>
      <c r="B1176" s="18">
        <v>45447</v>
      </c>
      <c r="C1176" s="17" t="s">
        <v>167</v>
      </c>
      <c r="D1176" s="17" t="s">
        <v>170</v>
      </c>
      <c r="E1176" s="17" t="s">
        <v>168</v>
      </c>
      <c r="F1176" s="17" t="s">
        <v>166</v>
      </c>
      <c r="G1176" s="17">
        <v>1</v>
      </c>
      <c r="H1176" s="17">
        <v>55373</v>
      </c>
      <c r="I1176" s="17">
        <v>55373</v>
      </c>
      <c r="J1176" s="17">
        <v>2937</v>
      </c>
      <c r="K1176" s="17">
        <v>52436</v>
      </c>
      <c r="L1176" s="17">
        <v>11255.20276</v>
      </c>
      <c r="M1176" s="17">
        <v>2024</v>
      </c>
      <c r="N1176" s="17" t="s">
        <v>120</v>
      </c>
    </row>
    <row r="1177" spans="1:14" ht="14.25" customHeight="1">
      <c r="A1177" s="17">
        <v>11176</v>
      </c>
      <c r="B1177" s="18">
        <v>45760</v>
      </c>
      <c r="C1177" s="17" t="s">
        <v>58</v>
      </c>
      <c r="D1177" s="17" t="s">
        <v>86</v>
      </c>
      <c r="E1177" s="17" t="s">
        <v>168</v>
      </c>
      <c r="F1177" s="17" t="s">
        <v>163</v>
      </c>
      <c r="G1177" s="17">
        <v>5</v>
      </c>
      <c r="H1177" s="17">
        <v>19388</v>
      </c>
      <c r="I1177" s="17">
        <v>96940</v>
      </c>
      <c r="J1177" s="17">
        <v>3711</v>
      </c>
      <c r="K1177" s="17">
        <v>93229</v>
      </c>
      <c r="L1177" s="17">
        <v>19700.44226</v>
      </c>
      <c r="M1177" s="17">
        <v>2025</v>
      </c>
      <c r="N1177" s="17" t="s">
        <v>114</v>
      </c>
    </row>
    <row r="1178" spans="1:14" ht="14.25" customHeight="1">
      <c r="A1178" s="17">
        <v>11177</v>
      </c>
      <c r="B1178" s="18">
        <v>45340</v>
      </c>
      <c r="C1178" s="17" t="s">
        <v>45</v>
      </c>
      <c r="D1178" s="17" t="s">
        <v>170</v>
      </c>
      <c r="E1178" s="17" t="s">
        <v>165</v>
      </c>
      <c r="F1178" s="17" t="s">
        <v>163</v>
      </c>
      <c r="G1178" s="17">
        <v>6</v>
      </c>
      <c r="H1178" s="17">
        <v>35920</v>
      </c>
      <c r="I1178" s="17">
        <v>215520</v>
      </c>
      <c r="J1178" s="17">
        <v>340</v>
      </c>
      <c r="K1178" s="17">
        <v>215180</v>
      </c>
      <c r="L1178" s="17">
        <v>21998.823209999999</v>
      </c>
      <c r="M1178" s="17">
        <v>2024</v>
      </c>
      <c r="N1178" s="17" t="s">
        <v>175</v>
      </c>
    </row>
    <row r="1179" spans="1:14" ht="14.25" customHeight="1">
      <c r="A1179" s="17">
        <v>11178</v>
      </c>
      <c r="B1179" s="18">
        <v>45375</v>
      </c>
      <c r="C1179" s="17" t="s">
        <v>58</v>
      </c>
      <c r="D1179" s="17" t="s">
        <v>170</v>
      </c>
      <c r="E1179" s="17" t="s">
        <v>165</v>
      </c>
      <c r="F1179" s="17" t="s">
        <v>172</v>
      </c>
      <c r="G1179" s="17">
        <v>6</v>
      </c>
      <c r="H1179" s="17">
        <v>40193</v>
      </c>
      <c r="I1179" s="17">
        <v>241158</v>
      </c>
      <c r="J1179" s="17">
        <v>4699</v>
      </c>
      <c r="K1179" s="17">
        <v>236459</v>
      </c>
      <c r="L1179" s="17">
        <v>56284.038630000003</v>
      </c>
      <c r="M1179" s="17">
        <v>2024</v>
      </c>
      <c r="N1179" s="17" t="s">
        <v>112</v>
      </c>
    </row>
    <row r="1180" spans="1:14" ht="14.25" customHeight="1">
      <c r="A1180" s="17">
        <v>11179</v>
      </c>
      <c r="B1180" s="18">
        <v>45652</v>
      </c>
      <c r="C1180" s="17" t="s">
        <v>167</v>
      </c>
      <c r="D1180" s="17" t="s">
        <v>111</v>
      </c>
      <c r="E1180" s="17" t="s">
        <v>162</v>
      </c>
      <c r="F1180" s="17" t="s">
        <v>164</v>
      </c>
      <c r="G1180" s="17">
        <v>6</v>
      </c>
      <c r="H1180" s="17">
        <v>20011</v>
      </c>
      <c r="I1180" s="17">
        <v>120066</v>
      </c>
      <c r="J1180" s="17">
        <v>733</v>
      </c>
      <c r="K1180" s="17">
        <v>119333</v>
      </c>
      <c r="L1180" s="17">
        <v>18225.225750000001</v>
      </c>
      <c r="M1180" s="17">
        <v>2024</v>
      </c>
      <c r="N1180" s="17" t="s">
        <v>169</v>
      </c>
    </row>
    <row r="1181" spans="1:14" ht="14.25" customHeight="1">
      <c r="A1181" s="17">
        <v>11180</v>
      </c>
      <c r="B1181" s="18">
        <v>45980</v>
      </c>
      <c r="C1181" s="17" t="s">
        <v>58</v>
      </c>
      <c r="D1181" s="17" t="s">
        <v>89</v>
      </c>
      <c r="E1181" s="17" t="s">
        <v>168</v>
      </c>
      <c r="F1181" s="17" t="s">
        <v>164</v>
      </c>
      <c r="G1181" s="17">
        <v>9</v>
      </c>
      <c r="H1181" s="17">
        <v>36254</v>
      </c>
      <c r="I1181" s="17">
        <v>326286</v>
      </c>
      <c r="J1181" s="17">
        <v>1496</v>
      </c>
      <c r="K1181" s="17">
        <v>324790</v>
      </c>
      <c r="L1181" s="17">
        <v>34482.397120000001</v>
      </c>
      <c r="M1181" s="17">
        <v>2025</v>
      </c>
      <c r="N1181" s="17" t="s">
        <v>173</v>
      </c>
    </row>
    <row r="1182" spans="1:14" ht="14.25" customHeight="1">
      <c r="A1182" s="17">
        <v>11181</v>
      </c>
      <c r="B1182" s="18">
        <v>45439</v>
      </c>
      <c r="C1182" s="17" t="s">
        <v>39</v>
      </c>
      <c r="D1182" s="17" t="s">
        <v>111</v>
      </c>
      <c r="E1182" s="17" t="s">
        <v>165</v>
      </c>
      <c r="F1182" s="17" t="s">
        <v>163</v>
      </c>
      <c r="G1182" s="17">
        <v>1</v>
      </c>
      <c r="H1182" s="17">
        <v>63266</v>
      </c>
      <c r="I1182" s="17">
        <v>63266</v>
      </c>
      <c r="J1182" s="17">
        <v>3893</v>
      </c>
      <c r="K1182" s="17">
        <v>59373</v>
      </c>
      <c r="L1182" s="17">
        <v>9615.2730869999996</v>
      </c>
      <c r="M1182" s="17">
        <v>2024</v>
      </c>
      <c r="N1182" s="17" t="s">
        <v>117</v>
      </c>
    </row>
    <row r="1183" spans="1:14" ht="14.25" customHeight="1">
      <c r="A1183" s="17">
        <v>11182</v>
      </c>
      <c r="B1183" s="18">
        <v>45921</v>
      </c>
      <c r="C1183" s="17" t="s">
        <v>58</v>
      </c>
      <c r="D1183" s="17" t="s">
        <v>86</v>
      </c>
      <c r="E1183" s="17" t="s">
        <v>168</v>
      </c>
      <c r="F1183" s="17" t="s">
        <v>166</v>
      </c>
      <c r="G1183" s="17">
        <v>6</v>
      </c>
      <c r="H1183" s="17">
        <v>16106</v>
      </c>
      <c r="I1183" s="17">
        <v>96636</v>
      </c>
      <c r="J1183" s="17">
        <v>2954</v>
      </c>
      <c r="K1183" s="17">
        <v>93682</v>
      </c>
      <c r="L1183" s="17">
        <v>19666.465059999999</v>
      </c>
      <c r="M1183" s="17">
        <v>2025</v>
      </c>
      <c r="N1183" s="17" t="s">
        <v>129</v>
      </c>
    </row>
    <row r="1184" spans="1:14" ht="14.25" customHeight="1">
      <c r="A1184" s="17">
        <v>11183</v>
      </c>
      <c r="B1184" s="18">
        <v>45633</v>
      </c>
      <c r="C1184" s="17" t="s">
        <v>45</v>
      </c>
      <c r="D1184" s="17" t="s">
        <v>83</v>
      </c>
      <c r="E1184" s="17" t="s">
        <v>168</v>
      </c>
      <c r="F1184" s="17" t="s">
        <v>163</v>
      </c>
      <c r="G1184" s="17">
        <v>8</v>
      </c>
      <c r="H1184" s="17">
        <v>26786</v>
      </c>
      <c r="I1184" s="17">
        <v>214288</v>
      </c>
      <c r="J1184" s="17">
        <v>1131</v>
      </c>
      <c r="K1184" s="17">
        <v>213157</v>
      </c>
      <c r="L1184" s="17">
        <v>35446.576739999997</v>
      </c>
      <c r="M1184" s="17">
        <v>2024</v>
      </c>
      <c r="N1184" s="17" t="s">
        <v>169</v>
      </c>
    </row>
    <row r="1185" spans="1:14" ht="14.25" customHeight="1">
      <c r="A1185" s="17">
        <v>11184</v>
      </c>
      <c r="B1185" s="18">
        <v>45767</v>
      </c>
      <c r="C1185" s="17" t="s">
        <v>39</v>
      </c>
      <c r="D1185" s="17" t="s">
        <v>86</v>
      </c>
      <c r="E1185" s="17" t="s">
        <v>168</v>
      </c>
      <c r="F1185" s="17" t="s">
        <v>164</v>
      </c>
      <c r="G1185" s="17">
        <v>8</v>
      </c>
      <c r="H1185" s="17">
        <v>61852</v>
      </c>
      <c r="I1185" s="17">
        <v>494816</v>
      </c>
      <c r="J1185" s="17">
        <v>4635</v>
      </c>
      <c r="K1185" s="17">
        <v>490181</v>
      </c>
      <c r="L1185" s="17">
        <v>104752.4951</v>
      </c>
      <c r="M1185" s="17">
        <v>2025</v>
      </c>
      <c r="N1185" s="17" t="s">
        <v>114</v>
      </c>
    </row>
    <row r="1186" spans="1:14" ht="14.25" customHeight="1">
      <c r="A1186" s="17">
        <v>11185</v>
      </c>
      <c r="B1186" s="18">
        <v>45354</v>
      </c>
      <c r="C1186" s="17" t="s">
        <v>50</v>
      </c>
      <c r="D1186" s="17" t="s">
        <v>111</v>
      </c>
      <c r="E1186" s="17" t="s">
        <v>162</v>
      </c>
      <c r="F1186" s="17" t="s">
        <v>166</v>
      </c>
      <c r="G1186" s="17">
        <v>3</v>
      </c>
      <c r="H1186" s="17">
        <v>21944</v>
      </c>
      <c r="I1186" s="17">
        <v>65832</v>
      </c>
      <c r="J1186" s="17">
        <v>1732</v>
      </c>
      <c r="K1186" s="17">
        <v>64100</v>
      </c>
      <c r="L1186" s="17">
        <v>11307.97164</v>
      </c>
      <c r="M1186" s="17">
        <v>2024</v>
      </c>
      <c r="N1186" s="17" t="s">
        <v>112</v>
      </c>
    </row>
    <row r="1187" spans="1:14" ht="14.25" customHeight="1">
      <c r="A1187" s="17">
        <v>11186</v>
      </c>
      <c r="B1187" s="18">
        <v>45992</v>
      </c>
      <c r="C1187" s="17" t="s">
        <v>167</v>
      </c>
      <c r="D1187" s="17" t="s">
        <v>111</v>
      </c>
      <c r="E1187" s="17" t="s">
        <v>165</v>
      </c>
      <c r="F1187" s="17" t="s">
        <v>164</v>
      </c>
      <c r="G1187" s="17">
        <v>5</v>
      </c>
      <c r="H1187" s="17">
        <v>78917</v>
      </c>
      <c r="I1187" s="17">
        <v>394585</v>
      </c>
      <c r="J1187" s="17">
        <v>3035</v>
      </c>
      <c r="K1187" s="17">
        <v>391550</v>
      </c>
      <c r="L1187" s="17">
        <v>56741.104979999996</v>
      </c>
      <c r="M1187" s="17">
        <v>2025</v>
      </c>
      <c r="N1187" s="17" t="s">
        <v>169</v>
      </c>
    </row>
    <row r="1188" spans="1:14" ht="14.25" customHeight="1">
      <c r="A1188" s="17">
        <v>11187</v>
      </c>
      <c r="B1188" s="18">
        <v>45651</v>
      </c>
      <c r="C1188" s="17" t="s">
        <v>167</v>
      </c>
      <c r="D1188" s="17" t="s">
        <v>111</v>
      </c>
      <c r="E1188" s="17" t="s">
        <v>165</v>
      </c>
      <c r="F1188" s="17" t="s">
        <v>172</v>
      </c>
      <c r="G1188" s="17">
        <v>4</v>
      </c>
      <c r="H1188" s="17">
        <v>46164</v>
      </c>
      <c r="I1188" s="17">
        <v>184656</v>
      </c>
      <c r="J1188" s="17">
        <v>2713</v>
      </c>
      <c r="K1188" s="17">
        <v>181943</v>
      </c>
      <c r="L1188" s="17">
        <v>23732.072090000001</v>
      </c>
      <c r="M1188" s="17">
        <v>2024</v>
      </c>
      <c r="N1188" s="17" t="s">
        <v>169</v>
      </c>
    </row>
    <row r="1189" spans="1:14" ht="14.25" customHeight="1">
      <c r="A1189" s="17">
        <v>11188</v>
      </c>
      <c r="B1189" s="18">
        <v>45852</v>
      </c>
      <c r="C1189" s="17" t="s">
        <v>58</v>
      </c>
      <c r="D1189" s="17" t="s">
        <v>111</v>
      </c>
      <c r="E1189" s="17" t="s">
        <v>168</v>
      </c>
      <c r="F1189" s="17" t="s">
        <v>164</v>
      </c>
      <c r="G1189" s="17">
        <v>1</v>
      </c>
      <c r="H1189" s="17">
        <v>33715</v>
      </c>
      <c r="I1189" s="17">
        <v>33715</v>
      </c>
      <c r="J1189" s="17">
        <v>2479</v>
      </c>
      <c r="K1189" s="17">
        <v>31236</v>
      </c>
      <c r="L1189" s="17">
        <v>5096.6373800000001</v>
      </c>
      <c r="M1189" s="17">
        <v>2025</v>
      </c>
      <c r="N1189" s="17" t="s">
        <v>123</v>
      </c>
    </row>
    <row r="1190" spans="1:14" ht="14.25" customHeight="1">
      <c r="A1190" s="17">
        <v>11189</v>
      </c>
      <c r="B1190" s="18">
        <v>45618</v>
      </c>
      <c r="C1190" s="17" t="s">
        <v>39</v>
      </c>
      <c r="D1190" s="17" t="s">
        <v>170</v>
      </c>
      <c r="E1190" s="17" t="s">
        <v>165</v>
      </c>
      <c r="F1190" s="17" t="s">
        <v>166</v>
      </c>
      <c r="G1190" s="17">
        <v>9</v>
      </c>
      <c r="H1190" s="17">
        <v>59251</v>
      </c>
      <c r="I1190" s="17">
        <v>533259</v>
      </c>
      <c r="J1190" s="17">
        <v>1419</v>
      </c>
      <c r="K1190" s="17">
        <v>531840</v>
      </c>
      <c r="L1190" s="17">
        <v>56040.256159999997</v>
      </c>
      <c r="M1190" s="17">
        <v>2024</v>
      </c>
      <c r="N1190" s="17" t="s">
        <v>173</v>
      </c>
    </row>
    <row r="1191" spans="1:14" ht="14.25" customHeight="1">
      <c r="A1191" s="17">
        <v>11190</v>
      </c>
      <c r="B1191" s="18">
        <v>45432</v>
      </c>
      <c r="C1191" s="17" t="s">
        <v>50</v>
      </c>
      <c r="D1191" s="17" t="s">
        <v>83</v>
      </c>
      <c r="E1191" s="17" t="s">
        <v>162</v>
      </c>
      <c r="F1191" s="17" t="s">
        <v>166</v>
      </c>
      <c r="G1191" s="17">
        <v>5</v>
      </c>
      <c r="H1191" s="17">
        <v>73907</v>
      </c>
      <c r="I1191" s="17">
        <v>369535</v>
      </c>
      <c r="J1191" s="17">
        <v>1989</v>
      </c>
      <c r="K1191" s="17">
        <v>367546</v>
      </c>
      <c r="L1191" s="17">
        <v>60050.248319999999</v>
      </c>
      <c r="M1191" s="17">
        <v>2024</v>
      </c>
      <c r="N1191" s="17" t="s">
        <v>117</v>
      </c>
    </row>
    <row r="1192" spans="1:14" ht="14.25" customHeight="1">
      <c r="A1192" s="17">
        <v>11191</v>
      </c>
      <c r="B1192" s="18">
        <v>45506</v>
      </c>
      <c r="C1192" s="17" t="s">
        <v>39</v>
      </c>
      <c r="D1192" s="17" t="s">
        <v>170</v>
      </c>
      <c r="E1192" s="17" t="s">
        <v>168</v>
      </c>
      <c r="F1192" s="17" t="s">
        <v>163</v>
      </c>
      <c r="G1192" s="17">
        <v>2</v>
      </c>
      <c r="H1192" s="17">
        <v>69506</v>
      </c>
      <c r="I1192" s="17">
        <v>139012</v>
      </c>
      <c r="J1192" s="17">
        <v>4710</v>
      </c>
      <c r="K1192" s="17">
        <v>134302</v>
      </c>
      <c r="L1192" s="17">
        <v>14812.57244</v>
      </c>
      <c r="M1192" s="17">
        <v>2024</v>
      </c>
      <c r="N1192" s="17" t="s">
        <v>126</v>
      </c>
    </row>
    <row r="1193" spans="1:14" ht="14.25" customHeight="1">
      <c r="A1193" s="17">
        <v>11192</v>
      </c>
      <c r="B1193" s="18">
        <v>45726</v>
      </c>
      <c r="C1193" s="17" t="s">
        <v>167</v>
      </c>
      <c r="D1193" s="17" t="s">
        <v>111</v>
      </c>
      <c r="E1193" s="17" t="s">
        <v>162</v>
      </c>
      <c r="F1193" s="17" t="s">
        <v>166</v>
      </c>
      <c r="G1193" s="17">
        <v>2</v>
      </c>
      <c r="H1193" s="17">
        <v>40809</v>
      </c>
      <c r="I1193" s="17">
        <v>81618</v>
      </c>
      <c r="J1193" s="17">
        <v>487</v>
      </c>
      <c r="K1193" s="17">
        <v>81131</v>
      </c>
      <c r="L1193" s="17">
        <v>18785.940340000001</v>
      </c>
      <c r="M1193" s="17">
        <v>2025</v>
      </c>
      <c r="N1193" s="17" t="s">
        <v>112</v>
      </c>
    </row>
    <row r="1194" spans="1:14" ht="14.25" customHeight="1">
      <c r="A1194" s="17">
        <v>11193</v>
      </c>
      <c r="B1194" s="18">
        <v>46014</v>
      </c>
      <c r="C1194" s="17" t="s">
        <v>39</v>
      </c>
      <c r="D1194" s="17" t="s">
        <v>89</v>
      </c>
      <c r="E1194" s="17" t="s">
        <v>162</v>
      </c>
      <c r="F1194" s="17" t="s">
        <v>172</v>
      </c>
      <c r="G1194" s="17">
        <v>7</v>
      </c>
      <c r="H1194" s="17">
        <v>11844</v>
      </c>
      <c r="I1194" s="17">
        <v>82908</v>
      </c>
      <c r="J1194" s="17">
        <v>3819</v>
      </c>
      <c r="K1194" s="17">
        <v>79089</v>
      </c>
      <c r="L1194" s="17">
        <v>14736.0329</v>
      </c>
      <c r="M1194" s="17">
        <v>2025</v>
      </c>
      <c r="N1194" s="17" t="s">
        <v>169</v>
      </c>
    </row>
    <row r="1195" spans="1:14" ht="14.25" customHeight="1">
      <c r="A1195" s="17">
        <v>11194</v>
      </c>
      <c r="B1195" s="18">
        <v>45609</v>
      </c>
      <c r="C1195" s="17" t="s">
        <v>50</v>
      </c>
      <c r="D1195" s="17" t="s">
        <v>170</v>
      </c>
      <c r="E1195" s="17" t="s">
        <v>165</v>
      </c>
      <c r="F1195" s="17" t="s">
        <v>164</v>
      </c>
      <c r="G1195" s="17">
        <v>4</v>
      </c>
      <c r="H1195" s="17">
        <v>54864</v>
      </c>
      <c r="I1195" s="17">
        <v>219456</v>
      </c>
      <c r="J1195" s="17">
        <v>1441</v>
      </c>
      <c r="K1195" s="17">
        <v>218015</v>
      </c>
      <c r="L1195" s="17">
        <v>42928.55848</v>
      </c>
      <c r="M1195" s="17">
        <v>2024</v>
      </c>
      <c r="N1195" s="17" t="s">
        <v>173</v>
      </c>
    </row>
    <row r="1196" spans="1:14" ht="14.25" customHeight="1">
      <c r="A1196" s="17">
        <v>11195</v>
      </c>
      <c r="B1196" s="18">
        <v>45323</v>
      </c>
      <c r="C1196" s="17" t="s">
        <v>58</v>
      </c>
      <c r="D1196" s="17" t="s">
        <v>111</v>
      </c>
      <c r="E1196" s="17" t="s">
        <v>165</v>
      </c>
      <c r="F1196" s="17" t="s">
        <v>163</v>
      </c>
      <c r="G1196" s="17">
        <v>1</v>
      </c>
      <c r="H1196" s="17">
        <v>42174</v>
      </c>
      <c r="I1196" s="17">
        <v>42174</v>
      </c>
      <c r="J1196" s="17">
        <v>2390</v>
      </c>
      <c r="K1196" s="17">
        <v>39784</v>
      </c>
      <c r="L1196" s="17">
        <v>5702.224749</v>
      </c>
      <c r="M1196" s="17">
        <v>2024</v>
      </c>
      <c r="N1196" s="17" t="s">
        <v>175</v>
      </c>
    </row>
    <row r="1197" spans="1:14" ht="14.25" customHeight="1">
      <c r="A1197" s="17">
        <v>11196</v>
      </c>
      <c r="B1197" s="18">
        <v>45961</v>
      </c>
      <c r="C1197" s="17" t="s">
        <v>45</v>
      </c>
      <c r="D1197" s="17" t="s">
        <v>111</v>
      </c>
      <c r="E1197" s="17" t="s">
        <v>162</v>
      </c>
      <c r="F1197" s="17" t="s">
        <v>163</v>
      </c>
      <c r="G1197" s="17">
        <v>5</v>
      </c>
      <c r="H1197" s="17">
        <v>50933</v>
      </c>
      <c r="I1197" s="17">
        <v>254665</v>
      </c>
      <c r="J1197" s="17">
        <v>1384</v>
      </c>
      <c r="K1197" s="17">
        <v>253281</v>
      </c>
      <c r="L1197" s="17">
        <v>33907.528209999997</v>
      </c>
      <c r="M1197" s="17">
        <v>2025</v>
      </c>
      <c r="N1197" s="17" t="s">
        <v>174</v>
      </c>
    </row>
    <row r="1198" spans="1:14" ht="14.25" customHeight="1">
      <c r="A1198" s="17">
        <v>11197</v>
      </c>
      <c r="B1198" s="18">
        <v>45576</v>
      </c>
      <c r="C1198" s="17" t="s">
        <v>39</v>
      </c>
      <c r="D1198" s="17" t="s">
        <v>83</v>
      </c>
      <c r="E1198" s="17" t="s">
        <v>165</v>
      </c>
      <c r="F1198" s="17" t="s">
        <v>166</v>
      </c>
      <c r="G1198" s="17">
        <v>2</v>
      </c>
      <c r="H1198" s="17">
        <v>18144</v>
      </c>
      <c r="I1198" s="17">
        <v>36288</v>
      </c>
      <c r="J1198" s="17">
        <v>2156</v>
      </c>
      <c r="K1198" s="17">
        <v>34132</v>
      </c>
      <c r="L1198" s="17">
        <v>7037.5332950000002</v>
      </c>
      <c r="M1198" s="17">
        <v>2024</v>
      </c>
      <c r="N1198" s="17" t="s">
        <v>174</v>
      </c>
    </row>
    <row r="1199" spans="1:14" ht="14.25" customHeight="1">
      <c r="A1199" s="17">
        <v>11198</v>
      </c>
      <c r="B1199" s="18">
        <v>45596</v>
      </c>
      <c r="C1199" s="17" t="s">
        <v>45</v>
      </c>
      <c r="D1199" s="17" t="s">
        <v>86</v>
      </c>
      <c r="E1199" s="17" t="s">
        <v>162</v>
      </c>
      <c r="F1199" s="17" t="s">
        <v>172</v>
      </c>
      <c r="G1199" s="17">
        <v>7</v>
      </c>
      <c r="H1199" s="17">
        <v>12649</v>
      </c>
      <c r="I1199" s="17">
        <v>88543</v>
      </c>
      <c r="J1199" s="17">
        <v>4944</v>
      </c>
      <c r="K1199" s="17">
        <v>83599</v>
      </c>
      <c r="L1199" s="17">
        <v>16781.23042</v>
      </c>
      <c r="M1199" s="17">
        <v>2024</v>
      </c>
      <c r="N1199" s="17" t="s">
        <v>174</v>
      </c>
    </row>
    <row r="1200" spans="1:14" ht="14.25" customHeight="1">
      <c r="A1200" s="17">
        <v>11199</v>
      </c>
      <c r="B1200" s="18">
        <v>45720</v>
      </c>
      <c r="C1200" s="17" t="s">
        <v>167</v>
      </c>
      <c r="D1200" s="17" t="s">
        <v>170</v>
      </c>
      <c r="E1200" s="17" t="s">
        <v>162</v>
      </c>
      <c r="F1200" s="17" t="s">
        <v>163</v>
      </c>
      <c r="G1200" s="17">
        <v>9</v>
      </c>
      <c r="H1200" s="17">
        <v>41645</v>
      </c>
      <c r="I1200" s="17">
        <v>374805</v>
      </c>
      <c r="J1200" s="17">
        <v>4396</v>
      </c>
      <c r="K1200" s="17">
        <v>370409</v>
      </c>
      <c r="L1200" s="17">
        <v>43857.080650000004</v>
      </c>
      <c r="M1200" s="17">
        <v>2025</v>
      </c>
      <c r="N1200" s="17" t="s">
        <v>112</v>
      </c>
    </row>
    <row r="1201" spans="1:14" ht="14.25" customHeight="1">
      <c r="A1201" s="17">
        <v>11200</v>
      </c>
      <c r="B1201" s="18">
        <v>45768</v>
      </c>
      <c r="C1201" s="17" t="s">
        <v>58</v>
      </c>
      <c r="D1201" s="17" t="s">
        <v>170</v>
      </c>
      <c r="E1201" s="17" t="s">
        <v>168</v>
      </c>
      <c r="F1201" s="17" t="s">
        <v>172</v>
      </c>
      <c r="G1201" s="17">
        <v>1</v>
      </c>
      <c r="H1201" s="17">
        <v>57674</v>
      </c>
      <c r="I1201" s="17">
        <v>57674</v>
      </c>
      <c r="J1201" s="17">
        <v>1391</v>
      </c>
      <c r="K1201" s="17">
        <v>56283</v>
      </c>
      <c r="L1201" s="17">
        <v>7643.0179449999996</v>
      </c>
      <c r="M1201" s="17">
        <v>2025</v>
      </c>
      <c r="N1201" s="17" t="s">
        <v>114</v>
      </c>
    </row>
    <row r="1202" spans="1:14" ht="14.25" customHeight="1">
      <c r="A1202" s="17">
        <v>11201</v>
      </c>
      <c r="B1202" s="18">
        <v>45577</v>
      </c>
      <c r="C1202" s="17" t="s">
        <v>58</v>
      </c>
      <c r="D1202" s="17" t="s">
        <v>170</v>
      </c>
      <c r="E1202" s="17" t="s">
        <v>162</v>
      </c>
      <c r="F1202" s="17" t="s">
        <v>172</v>
      </c>
      <c r="G1202" s="17">
        <v>2</v>
      </c>
      <c r="H1202" s="17">
        <v>17818</v>
      </c>
      <c r="I1202" s="17">
        <v>35636</v>
      </c>
      <c r="J1202" s="17">
        <v>4800</v>
      </c>
      <c r="K1202" s="17">
        <v>30836</v>
      </c>
      <c r="L1202" s="17">
        <v>7461.8916429999999</v>
      </c>
      <c r="M1202" s="17">
        <v>2024</v>
      </c>
      <c r="N1202" s="17" t="s">
        <v>174</v>
      </c>
    </row>
    <row r="1203" spans="1:14" ht="14.25" customHeight="1">
      <c r="A1203" s="17">
        <v>11202</v>
      </c>
      <c r="B1203" s="18">
        <v>45435</v>
      </c>
      <c r="C1203" s="17" t="s">
        <v>39</v>
      </c>
      <c r="D1203" s="17" t="s">
        <v>111</v>
      </c>
      <c r="E1203" s="17" t="s">
        <v>162</v>
      </c>
      <c r="F1203" s="17" t="s">
        <v>164</v>
      </c>
      <c r="G1203" s="17">
        <v>6</v>
      </c>
      <c r="H1203" s="17">
        <v>41880</v>
      </c>
      <c r="I1203" s="17">
        <v>251280</v>
      </c>
      <c r="J1203" s="17">
        <v>3142</v>
      </c>
      <c r="K1203" s="17">
        <v>248138</v>
      </c>
      <c r="L1203" s="17">
        <v>36135.496700000003</v>
      </c>
      <c r="M1203" s="17">
        <v>2024</v>
      </c>
      <c r="N1203" s="17" t="s">
        <v>117</v>
      </c>
    </row>
    <row r="1204" spans="1:14" ht="14.25" customHeight="1">
      <c r="A1204" s="17">
        <v>11203</v>
      </c>
      <c r="B1204" s="18">
        <v>45715</v>
      </c>
      <c r="C1204" s="17" t="s">
        <v>58</v>
      </c>
      <c r="D1204" s="17" t="s">
        <v>83</v>
      </c>
      <c r="E1204" s="17" t="s">
        <v>165</v>
      </c>
      <c r="F1204" s="17" t="s">
        <v>164</v>
      </c>
      <c r="G1204" s="17">
        <v>8</v>
      </c>
      <c r="H1204" s="17">
        <v>65109</v>
      </c>
      <c r="I1204" s="17">
        <v>520872</v>
      </c>
      <c r="J1204" s="17">
        <v>268</v>
      </c>
      <c r="K1204" s="17">
        <v>520604</v>
      </c>
      <c r="L1204" s="17">
        <v>54077.598140000002</v>
      </c>
      <c r="M1204" s="17">
        <v>2025</v>
      </c>
      <c r="N1204" s="17" t="s">
        <v>175</v>
      </c>
    </row>
    <row r="1205" spans="1:14" ht="14.25" customHeight="1">
      <c r="A1205" s="17">
        <v>11204</v>
      </c>
      <c r="B1205" s="18">
        <v>45310</v>
      </c>
      <c r="C1205" s="17" t="s">
        <v>39</v>
      </c>
      <c r="D1205" s="17" t="s">
        <v>111</v>
      </c>
      <c r="E1205" s="17" t="s">
        <v>168</v>
      </c>
      <c r="F1205" s="17" t="s">
        <v>164</v>
      </c>
      <c r="G1205" s="17">
        <v>7</v>
      </c>
      <c r="H1205" s="17">
        <v>42333</v>
      </c>
      <c r="I1205" s="17">
        <v>296331</v>
      </c>
      <c r="J1205" s="17">
        <v>3917</v>
      </c>
      <c r="K1205" s="17">
        <v>292414</v>
      </c>
      <c r="L1205" s="17">
        <v>32039.01469</v>
      </c>
      <c r="M1205" s="17">
        <v>2024</v>
      </c>
      <c r="N1205" s="17" t="s">
        <v>171</v>
      </c>
    </row>
    <row r="1206" spans="1:14" ht="14.25" customHeight="1">
      <c r="A1206" s="17">
        <v>11205</v>
      </c>
      <c r="B1206" s="18">
        <v>45309</v>
      </c>
      <c r="C1206" s="17" t="s">
        <v>39</v>
      </c>
      <c r="D1206" s="17" t="s">
        <v>111</v>
      </c>
      <c r="E1206" s="17" t="s">
        <v>165</v>
      </c>
      <c r="F1206" s="17" t="s">
        <v>172</v>
      </c>
      <c r="G1206" s="17">
        <v>9</v>
      </c>
      <c r="H1206" s="17">
        <v>59058</v>
      </c>
      <c r="I1206" s="17">
        <v>531522</v>
      </c>
      <c r="J1206" s="17">
        <v>1524</v>
      </c>
      <c r="K1206" s="17">
        <v>529998</v>
      </c>
      <c r="L1206" s="17">
        <v>114651.4037</v>
      </c>
      <c r="M1206" s="17">
        <v>2024</v>
      </c>
      <c r="N1206" s="17" t="s">
        <v>171</v>
      </c>
    </row>
    <row r="1207" spans="1:14" ht="14.25" customHeight="1">
      <c r="A1207" s="17">
        <v>11206</v>
      </c>
      <c r="B1207" s="18">
        <v>45881</v>
      </c>
      <c r="C1207" s="17" t="s">
        <v>45</v>
      </c>
      <c r="D1207" s="17" t="s">
        <v>89</v>
      </c>
      <c r="E1207" s="17" t="s">
        <v>168</v>
      </c>
      <c r="F1207" s="17" t="s">
        <v>164</v>
      </c>
      <c r="G1207" s="17">
        <v>2</v>
      </c>
      <c r="H1207" s="17">
        <v>59575</v>
      </c>
      <c r="I1207" s="17">
        <v>119150</v>
      </c>
      <c r="J1207" s="17">
        <v>477</v>
      </c>
      <c r="K1207" s="17">
        <v>118673</v>
      </c>
      <c r="L1207" s="17">
        <v>25345.390479999998</v>
      </c>
      <c r="M1207" s="17">
        <v>2025</v>
      </c>
      <c r="N1207" s="17" t="s">
        <v>126</v>
      </c>
    </row>
    <row r="1208" spans="1:14" ht="14.25" customHeight="1">
      <c r="A1208" s="17">
        <v>11207</v>
      </c>
      <c r="B1208" s="18">
        <v>45662</v>
      </c>
      <c r="C1208" s="17" t="s">
        <v>58</v>
      </c>
      <c r="D1208" s="17" t="s">
        <v>83</v>
      </c>
      <c r="E1208" s="17" t="s">
        <v>165</v>
      </c>
      <c r="F1208" s="17" t="s">
        <v>163</v>
      </c>
      <c r="G1208" s="17">
        <v>9</v>
      </c>
      <c r="H1208" s="17">
        <v>30130</v>
      </c>
      <c r="I1208" s="17">
        <v>271170</v>
      </c>
      <c r="J1208" s="17">
        <v>4271</v>
      </c>
      <c r="K1208" s="17">
        <v>266899</v>
      </c>
      <c r="L1208" s="17">
        <v>41976.297460000002</v>
      </c>
      <c r="M1208" s="17">
        <v>2025</v>
      </c>
      <c r="N1208" s="17" t="s">
        <v>171</v>
      </c>
    </row>
    <row r="1209" spans="1:14" ht="14.25" customHeight="1">
      <c r="A1209" s="17">
        <v>11208</v>
      </c>
      <c r="B1209" s="18">
        <v>45466</v>
      </c>
      <c r="C1209" s="17" t="s">
        <v>39</v>
      </c>
      <c r="D1209" s="17" t="s">
        <v>170</v>
      </c>
      <c r="E1209" s="17" t="s">
        <v>162</v>
      </c>
      <c r="F1209" s="17" t="s">
        <v>163</v>
      </c>
      <c r="G1209" s="17">
        <v>4</v>
      </c>
      <c r="H1209" s="17">
        <v>31716</v>
      </c>
      <c r="I1209" s="17">
        <v>126864</v>
      </c>
      <c r="J1209" s="17">
        <v>238</v>
      </c>
      <c r="K1209" s="17">
        <v>126626</v>
      </c>
      <c r="L1209" s="17">
        <v>15572.480229999999</v>
      </c>
      <c r="M1209" s="17">
        <v>2024</v>
      </c>
      <c r="N1209" s="17" t="s">
        <v>120</v>
      </c>
    </row>
    <row r="1210" spans="1:14" ht="14.25" customHeight="1">
      <c r="A1210" s="17">
        <v>11209</v>
      </c>
      <c r="B1210" s="18">
        <v>45485</v>
      </c>
      <c r="C1210" s="17" t="s">
        <v>45</v>
      </c>
      <c r="D1210" s="17" t="s">
        <v>86</v>
      </c>
      <c r="E1210" s="17" t="s">
        <v>168</v>
      </c>
      <c r="F1210" s="17" t="s">
        <v>166</v>
      </c>
      <c r="G1210" s="17">
        <v>3</v>
      </c>
      <c r="H1210" s="17">
        <v>36297</v>
      </c>
      <c r="I1210" s="17">
        <v>108891</v>
      </c>
      <c r="J1210" s="17">
        <v>609</v>
      </c>
      <c r="K1210" s="17">
        <v>108282</v>
      </c>
      <c r="L1210" s="17">
        <v>18918.574359999999</v>
      </c>
      <c r="M1210" s="17">
        <v>2024</v>
      </c>
      <c r="N1210" s="17" t="s">
        <v>123</v>
      </c>
    </row>
    <row r="1211" spans="1:14" ht="14.25" customHeight="1">
      <c r="A1211" s="17">
        <v>11210</v>
      </c>
      <c r="B1211" s="18">
        <v>45793</v>
      </c>
      <c r="C1211" s="17" t="s">
        <v>50</v>
      </c>
      <c r="D1211" s="17" t="s">
        <v>170</v>
      </c>
      <c r="E1211" s="17" t="s">
        <v>168</v>
      </c>
      <c r="F1211" s="17" t="s">
        <v>172</v>
      </c>
      <c r="G1211" s="17">
        <v>7</v>
      </c>
      <c r="H1211" s="17">
        <v>24062</v>
      </c>
      <c r="I1211" s="17">
        <v>168434</v>
      </c>
      <c r="J1211" s="17">
        <v>4587</v>
      </c>
      <c r="K1211" s="17">
        <v>163847</v>
      </c>
      <c r="L1211" s="17">
        <v>24541.54407</v>
      </c>
      <c r="M1211" s="17">
        <v>2025</v>
      </c>
      <c r="N1211" s="17" t="s">
        <v>117</v>
      </c>
    </row>
    <row r="1212" spans="1:14" ht="14.25" customHeight="1">
      <c r="A1212" s="17">
        <v>11211</v>
      </c>
      <c r="B1212" s="18">
        <v>45404</v>
      </c>
      <c r="C1212" s="17" t="s">
        <v>45</v>
      </c>
      <c r="D1212" s="17" t="s">
        <v>111</v>
      </c>
      <c r="E1212" s="17" t="s">
        <v>168</v>
      </c>
      <c r="F1212" s="17" t="s">
        <v>164</v>
      </c>
      <c r="G1212" s="17">
        <v>5</v>
      </c>
      <c r="H1212" s="17">
        <v>34492</v>
      </c>
      <c r="I1212" s="17">
        <v>172460</v>
      </c>
      <c r="J1212" s="17">
        <v>4424</v>
      </c>
      <c r="K1212" s="17">
        <v>168036</v>
      </c>
      <c r="L1212" s="17">
        <v>26229.621800000001</v>
      </c>
      <c r="M1212" s="17">
        <v>2024</v>
      </c>
      <c r="N1212" s="17" t="s">
        <v>114</v>
      </c>
    </row>
    <row r="1213" spans="1:14" ht="14.25" customHeight="1">
      <c r="A1213" s="17">
        <v>11212</v>
      </c>
      <c r="B1213" s="18">
        <v>45405</v>
      </c>
      <c r="C1213" s="17" t="s">
        <v>45</v>
      </c>
      <c r="D1213" s="17" t="s">
        <v>83</v>
      </c>
      <c r="E1213" s="17" t="s">
        <v>168</v>
      </c>
      <c r="F1213" s="17" t="s">
        <v>163</v>
      </c>
      <c r="G1213" s="17">
        <v>5</v>
      </c>
      <c r="H1213" s="17">
        <v>61481</v>
      </c>
      <c r="I1213" s="17">
        <v>307405</v>
      </c>
      <c r="J1213" s="17">
        <v>3397</v>
      </c>
      <c r="K1213" s="17">
        <v>304008</v>
      </c>
      <c r="L1213" s="17">
        <v>42302.045330000001</v>
      </c>
      <c r="M1213" s="17">
        <v>2024</v>
      </c>
      <c r="N1213" s="17" t="s">
        <v>114</v>
      </c>
    </row>
    <row r="1214" spans="1:14" ht="14.25" customHeight="1">
      <c r="A1214" s="17">
        <v>11213</v>
      </c>
      <c r="B1214" s="18">
        <v>45513</v>
      </c>
      <c r="C1214" s="17" t="s">
        <v>39</v>
      </c>
      <c r="D1214" s="17" t="s">
        <v>83</v>
      </c>
      <c r="E1214" s="17" t="s">
        <v>165</v>
      </c>
      <c r="F1214" s="17" t="s">
        <v>172</v>
      </c>
      <c r="G1214" s="17">
        <v>2</v>
      </c>
      <c r="H1214" s="17">
        <v>71377</v>
      </c>
      <c r="I1214" s="17">
        <v>142754</v>
      </c>
      <c r="J1214" s="17">
        <v>4540</v>
      </c>
      <c r="K1214" s="17">
        <v>138214</v>
      </c>
      <c r="L1214" s="17">
        <v>15124.57653</v>
      </c>
      <c r="M1214" s="17">
        <v>2024</v>
      </c>
      <c r="N1214" s="17" t="s">
        <v>126</v>
      </c>
    </row>
    <row r="1215" spans="1:14" ht="14.25" customHeight="1">
      <c r="A1215" s="17">
        <v>11214</v>
      </c>
      <c r="B1215" s="18">
        <v>45969</v>
      </c>
      <c r="C1215" s="17" t="s">
        <v>167</v>
      </c>
      <c r="D1215" s="17" t="s">
        <v>83</v>
      </c>
      <c r="E1215" s="17" t="s">
        <v>165</v>
      </c>
      <c r="F1215" s="17" t="s">
        <v>172</v>
      </c>
      <c r="G1215" s="17">
        <v>6</v>
      </c>
      <c r="H1215" s="17">
        <v>15567</v>
      </c>
      <c r="I1215" s="17">
        <v>93402</v>
      </c>
      <c r="J1215" s="17">
        <v>4537</v>
      </c>
      <c r="K1215" s="17">
        <v>88865</v>
      </c>
      <c r="L1215" s="17">
        <v>19432.45537</v>
      </c>
      <c r="M1215" s="17">
        <v>2025</v>
      </c>
      <c r="N1215" s="17" t="s">
        <v>173</v>
      </c>
    </row>
    <row r="1216" spans="1:14" ht="14.25" customHeight="1">
      <c r="A1216" s="17">
        <v>11215</v>
      </c>
      <c r="B1216" s="18">
        <v>45935</v>
      </c>
      <c r="C1216" s="17" t="s">
        <v>167</v>
      </c>
      <c r="D1216" s="17" t="s">
        <v>89</v>
      </c>
      <c r="E1216" s="17" t="s">
        <v>168</v>
      </c>
      <c r="F1216" s="17" t="s">
        <v>164</v>
      </c>
      <c r="G1216" s="17">
        <v>6</v>
      </c>
      <c r="H1216" s="17">
        <v>41806</v>
      </c>
      <c r="I1216" s="17">
        <v>250836</v>
      </c>
      <c r="J1216" s="17">
        <v>4890</v>
      </c>
      <c r="K1216" s="17">
        <v>245946</v>
      </c>
      <c r="L1216" s="17">
        <v>47401.940849999999</v>
      </c>
      <c r="M1216" s="17">
        <v>2025</v>
      </c>
      <c r="N1216" s="17" t="s">
        <v>174</v>
      </c>
    </row>
    <row r="1217" spans="1:14" ht="14.25" customHeight="1">
      <c r="A1217" s="17">
        <v>11216</v>
      </c>
      <c r="B1217" s="18">
        <v>45555</v>
      </c>
      <c r="C1217" s="17" t="s">
        <v>167</v>
      </c>
      <c r="D1217" s="17" t="s">
        <v>170</v>
      </c>
      <c r="E1217" s="17" t="s">
        <v>168</v>
      </c>
      <c r="F1217" s="17" t="s">
        <v>172</v>
      </c>
      <c r="G1217" s="17">
        <v>4</v>
      </c>
      <c r="H1217" s="17">
        <v>79457</v>
      </c>
      <c r="I1217" s="17">
        <v>317828</v>
      </c>
      <c r="J1217" s="17">
        <v>1831</v>
      </c>
      <c r="K1217" s="17">
        <v>315997</v>
      </c>
      <c r="L1217" s="17">
        <v>71161.029280000002</v>
      </c>
      <c r="M1217" s="17">
        <v>2024</v>
      </c>
      <c r="N1217" s="17" t="s">
        <v>129</v>
      </c>
    </row>
    <row r="1218" spans="1:14" ht="14.25" customHeight="1">
      <c r="A1218" s="17">
        <v>11217</v>
      </c>
      <c r="B1218" s="18">
        <v>45346</v>
      </c>
      <c r="C1218" s="17" t="s">
        <v>45</v>
      </c>
      <c r="D1218" s="17" t="s">
        <v>89</v>
      </c>
      <c r="E1218" s="17" t="s">
        <v>168</v>
      </c>
      <c r="F1218" s="17" t="s">
        <v>164</v>
      </c>
      <c r="G1218" s="17">
        <v>5</v>
      </c>
      <c r="H1218" s="17">
        <v>74885</v>
      </c>
      <c r="I1218" s="17">
        <v>374425</v>
      </c>
      <c r="J1218" s="17">
        <v>4986</v>
      </c>
      <c r="K1218" s="17">
        <v>369439</v>
      </c>
      <c r="L1218" s="17">
        <v>64829.265299999999</v>
      </c>
      <c r="M1218" s="17">
        <v>2024</v>
      </c>
      <c r="N1218" s="17" t="s">
        <v>175</v>
      </c>
    </row>
    <row r="1219" spans="1:14" ht="14.25" customHeight="1">
      <c r="A1219" s="17">
        <v>11218</v>
      </c>
      <c r="B1219" s="18">
        <v>45934</v>
      </c>
      <c r="C1219" s="17" t="s">
        <v>39</v>
      </c>
      <c r="D1219" s="17" t="s">
        <v>86</v>
      </c>
      <c r="E1219" s="17" t="s">
        <v>165</v>
      </c>
      <c r="F1219" s="17" t="s">
        <v>164</v>
      </c>
      <c r="G1219" s="17">
        <v>7</v>
      </c>
      <c r="H1219" s="17">
        <v>52674</v>
      </c>
      <c r="I1219" s="17">
        <v>368718</v>
      </c>
      <c r="J1219" s="17">
        <v>1154</v>
      </c>
      <c r="K1219" s="17">
        <v>367564</v>
      </c>
      <c r="L1219" s="17">
        <v>91063.244349999994</v>
      </c>
      <c r="M1219" s="17">
        <v>2025</v>
      </c>
      <c r="N1219" s="17" t="s">
        <v>174</v>
      </c>
    </row>
    <row r="1220" spans="1:14" ht="14.25" customHeight="1">
      <c r="A1220" s="17">
        <v>11219</v>
      </c>
      <c r="B1220" s="18">
        <v>45749</v>
      </c>
      <c r="C1220" s="17" t="s">
        <v>58</v>
      </c>
      <c r="D1220" s="17" t="s">
        <v>111</v>
      </c>
      <c r="E1220" s="17" t="s">
        <v>168</v>
      </c>
      <c r="F1220" s="17" t="s">
        <v>164</v>
      </c>
      <c r="G1220" s="17">
        <v>8</v>
      </c>
      <c r="H1220" s="17">
        <v>75482</v>
      </c>
      <c r="I1220" s="17">
        <v>603856</v>
      </c>
      <c r="J1220" s="17">
        <v>1751</v>
      </c>
      <c r="K1220" s="17">
        <v>602105</v>
      </c>
      <c r="L1220" s="17">
        <v>147141.65909999999</v>
      </c>
      <c r="M1220" s="17">
        <v>2025</v>
      </c>
      <c r="N1220" s="17" t="s">
        <v>114</v>
      </c>
    </row>
    <row r="1221" spans="1:14" ht="14.25" customHeight="1">
      <c r="A1221" s="17">
        <v>11220</v>
      </c>
      <c r="B1221" s="18">
        <v>45453</v>
      </c>
      <c r="C1221" s="17" t="s">
        <v>45</v>
      </c>
      <c r="D1221" s="17" t="s">
        <v>89</v>
      </c>
      <c r="E1221" s="17" t="s">
        <v>168</v>
      </c>
      <c r="F1221" s="17" t="s">
        <v>172</v>
      </c>
      <c r="G1221" s="17">
        <v>6</v>
      </c>
      <c r="H1221" s="17">
        <v>48127</v>
      </c>
      <c r="I1221" s="17">
        <v>288762</v>
      </c>
      <c r="J1221" s="17">
        <v>3598</v>
      </c>
      <c r="K1221" s="17">
        <v>285164</v>
      </c>
      <c r="L1221" s="17">
        <v>40141.829949999999</v>
      </c>
      <c r="M1221" s="17">
        <v>2024</v>
      </c>
      <c r="N1221" s="17" t="s">
        <v>120</v>
      </c>
    </row>
    <row r="1222" spans="1:14" ht="14.25" customHeight="1">
      <c r="A1222" s="17">
        <v>11221</v>
      </c>
      <c r="B1222" s="18">
        <v>45671</v>
      </c>
      <c r="C1222" s="17" t="s">
        <v>45</v>
      </c>
      <c r="D1222" s="17" t="s">
        <v>89</v>
      </c>
      <c r="E1222" s="17" t="s">
        <v>168</v>
      </c>
      <c r="F1222" s="17" t="s">
        <v>172</v>
      </c>
      <c r="G1222" s="17">
        <v>5</v>
      </c>
      <c r="H1222" s="17">
        <v>28502</v>
      </c>
      <c r="I1222" s="17">
        <v>142510</v>
      </c>
      <c r="J1222" s="17">
        <v>2485</v>
      </c>
      <c r="K1222" s="17">
        <v>140025</v>
      </c>
      <c r="L1222" s="17">
        <v>22130.466560000001</v>
      </c>
      <c r="M1222" s="17">
        <v>2025</v>
      </c>
      <c r="N1222" s="17" t="s">
        <v>171</v>
      </c>
    </row>
    <row r="1223" spans="1:14" ht="14.25" customHeight="1">
      <c r="A1223" s="17">
        <v>11222</v>
      </c>
      <c r="B1223" s="18">
        <v>45378</v>
      </c>
      <c r="C1223" s="17" t="s">
        <v>39</v>
      </c>
      <c r="D1223" s="17" t="s">
        <v>111</v>
      </c>
      <c r="E1223" s="17" t="s">
        <v>165</v>
      </c>
      <c r="F1223" s="17" t="s">
        <v>164</v>
      </c>
      <c r="G1223" s="17">
        <v>3</v>
      </c>
      <c r="H1223" s="17">
        <v>77193</v>
      </c>
      <c r="I1223" s="17">
        <v>231579</v>
      </c>
      <c r="J1223" s="17">
        <v>3338</v>
      </c>
      <c r="K1223" s="17">
        <v>228241</v>
      </c>
      <c r="L1223" s="17">
        <v>48593.972370000003</v>
      </c>
      <c r="M1223" s="17">
        <v>2024</v>
      </c>
      <c r="N1223" s="17" t="s">
        <v>112</v>
      </c>
    </row>
    <row r="1224" spans="1:14" ht="14.25" customHeight="1">
      <c r="A1224" s="17">
        <v>11223</v>
      </c>
      <c r="B1224" s="18">
        <v>45346</v>
      </c>
      <c r="C1224" s="17" t="s">
        <v>50</v>
      </c>
      <c r="D1224" s="17" t="s">
        <v>83</v>
      </c>
      <c r="E1224" s="17" t="s">
        <v>162</v>
      </c>
      <c r="F1224" s="17" t="s">
        <v>172</v>
      </c>
      <c r="G1224" s="17">
        <v>7</v>
      </c>
      <c r="H1224" s="17">
        <v>55724</v>
      </c>
      <c r="I1224" s="17">
        <v>390068</v>
      </c>
      <c r="J1224" s="17">
        <v>2333</v>
      </c>
      <c r="K1224" s="17">
        <v>387735</v>
      </c>
      <c r="L1224" s="17">
        <v>83940.951499999996</v>
      </c>
      <c r="M1224" s="17">
        <v>2024</v>
      </c>
      <c r="N1224" s="17" t="s">
        <v>175</v>
      </c>
    </row>
    <row r="1225" spans="1:14" ht="14.25" customHeight="1">
      <c r="A1225" s="17">
        <v>11224</v>
      </c>
      <c r="B1225" s="18">
        <v>45767</v>
      </c>
      <c r="C1225" s="17" t="s">
        <v>45</v>
      </c>
      <c r="D1225" s="17" t="s">
        <v>111</v>
      </c>
      <c r="E1225" s="17" t="s">
        <v>162</v>
      </c>
      <c r="F1225" s="17" t="s">
        <v>164</v>
      </c>
      <c r="G1225" s="17">
        <v>8</v>
      </c>
      <c r="H1225" s="17">
        <v>11240</v>
      </c>
      <c r="I1225" s="17">
        <v>89920</v>
      </c>
      <c r="J1225" s="17">
        <v>4386</v>
      </c>
      <c r="K1225" s="17">
        <v>85534</v>
      </c>
      <c r="L1225" s="17">
        <v>20237.760989999999</v>
      </c>
      <c r="M1225" s="17">
        <v>2025</v>
      </c>
      <c r="N1225" s="17" t="s">
        <v>114</v>
      </c>
    </row>
    <row r="1226" spans="1:14" ht="14.25" customHeight="1">
      <c r="A1226" s="17">
        <v>11225</v>
      </c>
      <c r="B1226" s="18">
        <v>45469</v>
      </c>
      <c r="C1226" s="17" t="s">
        <v>50</v>
      </c>
      <c r="D1226" s="17" t="s">
        <v>170</v>
      </c>
      <c r="E1226" s="17" t="s">
        <v>165</v>
      </c>
      <c r="F1226" s="17" t="s">
        <v>166</v>
      </c>
      <c r="G1226" s="17">
        <v>3</v>
      </c>
      <c r="H1226" s="17">
        <v>53544</v>
      </c>
      <c r="I1226" s="17">
        <v>160632</v>
      </c>
      <c r="J1226" s="17">
        <v>4463</v>
      </c>
      <c r="K1226" s="17">
        <v>156169</v>
      </c>
      <c r="L1226" s="17">
        <v>30905.075970000002</v>
      </c>
      <c r="M1226" s="17">
        <v>2024</v>
      </c>
      <c r="N1226" s="17" t="s">
        <v>120</v>
      </c>
    </row>
    <row r="1227" spans="1:14" ht="14.25" customHeight="1">
      <c r="A1227" s="17">
        <v>11226</v>
      </c>
      <c r="B1227" s="18">
        <v>45682</v>
      </c>
      <c r="C1227" s="17" t="s">
        <v>50</v>
      </c>
      <c r="D1227" s="17" t="s">
        <v>111</v>
      </c>
      <c r="E1227" s="17" t="s">
        <v>162</v>
      </c>
      <c r="F1227" s="17" t="s">
        <v>172</v>
      </c>
      <c r="G1227" s="17">
        <v>5</v>
      </c>
      <c r="H1227" s="17">
        <v>21640</v>
      </c>
      <c r="I1227" s="17">
        <v>108200</v>
      </c>
      <c r="J1227" s="17">
        <v>4581</v>
      </c>
      <c r="K1227" s="17">
        <v>103619</v>
      </c>
      <c r="L1227" s="17">
        <v>17746.63408</v>
      </c>
      <c r="M1227" s="17">
        <v>2025</v>
      </c>
      <c r="N1227" s="17" t="s">
        <v>171</v>
      </c>
    </row>
    <row r="1228" spans="1:14" ht="14.25" customHeight="1">
      <c r="A1228" s="17">
        <v>11227</v>
      </c>
      <c r="B1228" s="18">
        <v>45640</v>
      </c>
      <c r="C1228" s="17" t="s">
        <v>167</v>
      </c>
      <c r="D1228" s="17" t="s">
        <v>83</v>
      </c>
      <c r="E1228" s="17" t="s">
        <v>168</v>
      </c>
      <c r="F1228" s="17" t="s">
        <v>172</v>
      </c>
      <c r="G1228" s="17">
        <v>2</v>
      </c>
      <c r="H1228" s="17">
        <v>37895</v>
      </c>
      <c r="I1228" s="17">
        <v>75790</v>
      </c>
      <c r="J1228" s="17">
        <v>167</v>
      </c>
      <c r="K1228" s="17">
        <v>75623</v>
      </c>
      <c r="L1228" s="17">
        <v>11846.171469999999</v>
      </c>
      <c r="M1228" s="17">
        <v>2024</v>
      </c>
      <c r="N1228" s="17" t="s">
        <v>169</v>
      </c>
    </row>
    <row r="1229" spans="1:14" ht="14.25" customHeight="1">
      <c r="A1229" s="17">
        <v>11228</v>
      </c>
      <c r="B1229" s="18">
        <v>45299</v>
      </c>
      <c r="C1229" s="17" t="s">
        <v>39</v>
      </c>
      <c r="D1229" s="17" t="s">
        <v>111</v>
      </c>
      <c r="E1229" s="17" t="s">
        <v>168</v>
      </c>
      <c r="F1229" s="17" t="s">
        <v>166</v>
      </c>
      <c r="G1229" s="17">
        <v>4</v>
      </c>
      <c r="H1229" s="17">
        <v>16920</v>
      </c>
      <c r="I1229" s="17">
        <v>67680</v>
      </c>
      <c r="J1229" s="17">
        <v>3542</v>
      </c>
      <c r="K1229" s="17">
        <v>64138</v>
      </c>
      <c r="L1229" s="17">
        <v>10446.59109</v>
      </c>
      <c r="M1229" s="17">
        <v>2024</v>
      </c>
      <c r="N1229" s="17" t="s">
        <v>171</v>
      </c>
    </row>
    <row r="1230" spans="1:14" ht="14.25" customHeight="1">
      <c r="A1230" s="17">
        <v>11229</v>
      </c>
      <c r="B1230" s="18">
        <v>45604</v>
      </c>
      <c r="C1230" s="17" t="s">
        <v>50</v>
      </c>
      <c r="D1230" s="17" t="s">
        <v>89</v>
      </c>
      <c r="E1230" s="17" t="s">
        <v>165</v>
      </c>
      <c r="F1230" s="17" t="s">
        <v>166</v>
      </c>
      <c r="G1230" s="17">
        <v>4</v>
      </c>
      <c r="H1230" s="17">
        <v>35643</v>
      </c>
      <c r="I1230" s="17">
        <v>142572</v>
      </c>
      <c r="J1230" s="17">
        <v>4009</v>
      </c>
      <c r="K1230" s="17">
        <v>138563</v>
      </c>
      <c r="L1230" s="17">
        <v>31531.503339999999</v>
      </c>
      <c r="M1230" s="17">
        <v>2024</v>
      </c>
      <c r="N1230" s="17" t="s">
        <v>173</v>
      </c>
    </row>
    <row r="1231" spans="1:14" ht="14.25" customHeight="1">
      <c r="A1231" s="17">
        <v>11230</v>
      </c>
      <c r="B1231" s="18">
        <v>45734</v>
      </c>
      <c r="C1231" s="17" t="s">
        <v>39</v>
      </c>
      <c r="D1231" s="17" t="s">
        <v>86</v>
      </c>
      <c r="E1231" s="17" t="s">
        <v>165</v>
      </c>
      <c r="F1231" s="17" t="s">
        <v>166</v>
      </c>
      <c r="G1231" s="17">
        <v>8</v>
      </c>
      <c r="H1231" s="17">
        <v>34227</v>
      </c>
      <c r="I1231" s="17">
        <v>273816</v>
      </c>
      <c r="J1231" s="17">
        <v>77</v>
      </c>
      <c r="K1231" s="17">
        <v>273739</v>
      </c>
      <c r="L1231" s="17">
        <v>67613.896129999994</v>
      </c>
      <c r="M1231" s="17">
        <v>2025</v>
      </c>
      <c r="N1231" s="17" t="s">
        <v>112</v>
      </c>
    </row>
    <row r="1232" spans="1:14" ht="14.25" customHeight="1">
      <c r="A1232" s="17">
        <v>11231</v>
      </c>
      <c r="B1232" s="18">
        <v>45619</v>
      </c>
      <c r="C1232" s="17" t="s">
        <v>167</v>
      </c>
      <c r="D1232" s="17" t="s">
        <v>89</v>
      </c>
      <c r="E1232" s="17" t="s">
        <v>162</v>
      </c>
      <c r="F1232" s="17" t="s">
        <v>164</v>
      </c>
      <c r="G1232" s="17">
        <v>3</v>
      </c>
      <c r="H1232" s="17">
        <v>28251</v>
      </c>
      <c r="I1232" s="17">
        <v>84753</v>
      </c>
      <c r="J1232" s="17">
        <v>2898</v>
      </c>
      <c r="K1232" s="17">
        <v>81855</v>
      </c>
      <c r="L1232" s="17">
        <v>8822.8539500000006</v>
      </c>
      <c r="M1232" s="17">
        <v>2024</v>
      </c>
      <c r="N1232" s="17" t="s">
        <v>173</v>
      </c>
    </row>
    <row r="1233" spans="1:14" ht="14.25" customHeight="1">
      <c r="A1233" s="17">
        <v>11232</v>
      </c>
      <c r="B1233" s="18">
        <v>45345</v>
      </c>
      <c r="C1233" s="17" t="s">
        <v>39</v>
      </c>
      <c r="D1233" s="17" t="s">
        <v>86</v>
      </c>
      <c r="E1233" s="17" t="s">
        <v>162</v>
      </c>
      <c r="F1233" s="17" t="s">
        <v>164</v>
      </c>
      <c r="G1233" s="17">
        <v>5</v>
      </c>
      <c r="H1233" s="17">
        <v>29238</v>
      </c>
      <c r="I1233" s="17">
        <v>146190</v>
      </c>
      <c r="J1233" s="17">
        <v>1108</v>
      </c>
      <c r="K1233" s="17">
        <v>145082</v>
      </c>
      <c r="L1233" s="17">
        <v>27135.658429999999</v>
      </c>
      <c r="M1233" s="17">
        <v>2024</v>
      </c>
      <c r="N1233" s="17" t="s">
        <v>175</v>
      </c>
    </row>
    <row r="1234" spans="1:14" ht="14.25" customHeight="1">
      <c r="A1234" s="17">
        <v>11233</v>
      </c>
      <c r="B1234" s="18">
        <v>45530</v>
      </c>
      <c r="C1234" s="17" t="s">
        <v>45</v>
      </c>
      <c r="D1234" s="17" t="s">
        <v>111</v>
      </c>
      <c r="E1234" s="17" t="s">
        <v>168</v>
      </c>
      <c r="F1234" s="17" t="s">
        <v>163</v>
      </c>
      <c r="G1234" s="17">
        <v>5</v>
      </c>
      <c r="H1234" s="17">
        <v>65044</v>
      </c>
      <c r="I1234" s="17">
        <v>325220</v>
      </c>
      <c r="J1234" s="17">
        <v>891</v>
      </c>
      <c r="K1234" s="17">
        <v>324329</v>
      </c>
      <c r="L1234" s="17">
        <v>57733.187709999998</v>
      </c>
      <c r="M1234" s="17">
        <v>2024</v>
      </c>
      <c r="N1234" s="17" t="s">
        <v>126</v>
      </c>
    </row>
    <row r="1235" spans="1:14" ht="14.25" customHeight="1">
      <c r="A1235" s="17">
        <v>11234</v>
      </c>
      <c r="B1235" s="18">
        <v>45520</v>
      </c>
      <c r="C1235" s="17" t="s">
        <v>50</v>
      </c>
      <c r="D1235" s="17" t="s">
        <v>170</v>
      </c>
      <c r="E1235" s="17" t="s">
        <v>165</v>
      </c>
      <c r="F1235" s="17" t="s">
        <v>166</v>
      </c>
      <c r="G1235" s="17">
        <v>2</v>
      </c>
      <c r="H1235" s="17">
        <v>32723</v>
      </c>
      <c r="I1235" s="17">
        <v>65446</v>
      </c>
      <c r="J1235" s="17">
        <v>4756</v>
      </c>
      <c r="K1235" s="17">
        <v>60690</v>
      </c>
      <c r="L1235" s="17">
        <v>9493.2111989999994</v>
      </c>
      <c r="M1235" s="17">
        <v>2024</v>
      </c>
      <c r="N1235" s="17" t="s">
        <v>126</v>
      </c>
    </row>
    <row r="1236" spans="1:14" ht="14.25" customHeight="1">
      <c r="A1236" s="17">
        <v>11235</v>
      </c>
      <c r="B1236" s="18">
        <v>45870</v>
      </c>
      <c r="C1236" s="17" t="s">
        <v>39</v>
      </c>
      <c r="D1236" s="17" t="s">
        <v>111</v>
      </c>
      <c r="E1236" s="17" t="s">
        <v>162</v>
      </c>
      <c r="F1236" s="17" t="s">
        <v>163</v>
      </c>
      <c r="G1236" s="17">
        <v>9</v>
      </c>
      <c r="H1236" s="17">
        <v>39973</v>
      </c>
      <c r="I1236" s="17">
        <v>359757</v>
      </c>
      <c r="J1236" s="17">
        <v>1224</v>
      </c>
      <c r="K1236" s="17">
        <v>358533</v>
      </c>
      <c r="L1236" s="17">
        <v>81651.038530000005</v>
      </c>
      <c r="M1236" s="17">
        <v>2025</v>
      </c>
      <c r="N1236" s="17" t="s">
        <v>126</v>
      </c>
    </row>
    <row r="1237" spans="1:14" ht="14.25" customHeight="1">
      <c r="A1237" s="17">
        <v>11236</v>
      </c>
      <c r="B1237" s="18">
        <v>45342</v>
      </c>
      <c r="C1237" s="17" t="s">
        <v>58</v>
      </c>
      <c r="D1237" s="17" t="s">
        <v>83</v>
      </c>
      <c r="E1237" s="17" t="s">
        <v>162</v>
      </c>
      <c r="F1237" s="17" t="s">
        <v>164</v>
      </c>
      <c r="G1237" s="17">
        <v>4</v>
      </c>
      <c r="H1237" s="17">
        <v>13513</v>
      </c>
      <c r="I1237" s="17">
        <v>54052</v>
      </c>
      <c r="J1237" s="17">
        <v>4684</v>
      </c>
      <c r="K1237" s="17">
        <v>49368</v>
      </c>
      <c r="L1237" s="17">
        <v>9200.2921889999998</v>
      </c>
      <c r="M1237" s="17">
        <v>2024</v>
      </c>
      <c r="N1237" s="17" t="s">
        <v>175</v>
      </c>
    </row>
    <row r="1238" spans="1:14" ht="14.25" customHeight="1">
      <c r="A1238" s="17">
        <v>11237</v>
      </c>
      <c r="B1238" s="18">
        <v>45900</v>
      </c>
      <c r="C1238" s="17" t="s">
        <v>39</v>
      </c>
      <c r="D1238" s="17" t="s">
        <v>111</v>
      </c>
      <c r="E1238" s="17" t="s">
        <v>168</v>
      </c>
      <c r="F1238" s="17" t="s">
        <v>172</v>
      </c>
      <c r="G1238" s="17">
        <v>9</v>
      </c>
      <c r="H1238" s="17">
        <v>48316</v>
      </c>
      <c r="I1238" s="17">
        <v>434844</v>
      </c>
      <c r="J1238" s="17">
        <v>564</v>
      </c>
      <c r="K1238" s="17">
        <v>434280</v>
      </c>
      <c r="L1238" s="17">
        <v>63825.006529999999</v>
      </c>
      <c r="M1238" s="17">
        <v>2025</v>
      </c>
      <c r="N1238" s="17" t="s">
        <v>126</v>
      </c>
    </row>
    <row r="1239" spans="1:14" ht="14.25" customHeight="1">
      <c r="A1239" s="17">
        <v>11238</v>
      </c>
      <c r="B1239" s="18">
        <v>45895</v>
      </c>
      <c r="C1239" s="17" t="s">
        <v>50</v>
      </c>
      <c r="D1239" s="17" t="s">
        <v>86</v>
      </c>
      <c r="E1239" s="17" t="s">
        <v>168</v>
      </c>
      <c r="F1239" s="17" t="s">
        <v>166</v>
      </c>
      <c r="G1239" s="17">
        <v>9</v>
      </c>
      <c r="H1239" s="17">
        <v>35225</v>
      </c>
      <c r="I1239" s="17">
        <v>317025</v>
      </c>
      <c r="J1239" s="17">
        <v>2859</v>
      </c>
      <c r="K1239" s="17">
        <v>314166</v>
      </c>
      <c r="L1239" s="17">
        <v>52344.958400000003</v>
      </c>
      <c r="M1239" s="17">
        <v>2025</v>
      </c>
      <c r="N1239" s="17" t="s">
        <v>126</v>
      </c>
    </row>
    <row r="1240" spans="1:14" ht="14.25" customHeight="1">
      <c r="A1240" s="17">
        <v>11239</v>
      </c>
      <c r="B1240" s="18">
        <v>45555</v>
      </c>
      <c r="C1240" s="17" t="s">
        <v>167</v>
      </c>
      <c r="D1240" s="17" t="s">
        <v>89</v>
      </c>
      <c r="E1240" s="17" t="s">
        <v>168</v>
      </c>
      <c r="F1240" s="17" t="s">
        <v>172</v>
      </c>
      <c r="G1240" s="17">
        <v>2</v>
      </c>
      <c r="H1240" s="17">
        <v>9379</v>
      </c>
      <c r="I1240" s="17">
        <v>18758</v>
      </c>
      <c r="J1240" s="17">
        <v>301</v>
      </c>
      <c r="K1240" s="17">
        <v>18457</v>
      </c>
      <c r="L1240" s="17">
        <v>2833.5284889999998</v>
      </c>
      <c r="M1240" s="17">
        <v>2024</v>
      </c>
      <c r="N1240" s="17" t="s">
        <v>129</v>
      </c>
    </row>
    <row r="1241" spans="1:14" ht="14.25" customHeight="1">
      <c r="A1241" s="17">
        <v>11240</v>
      </c>
      <c r="B1241" s="18">
        <v>45709</v>
      </c>
      <c r="C1241" s="17" t="s">
        <v>167</v>
      </c>
      <c r="D1241" s="17" t="s">
        <v>170</v>
      </c>
      <c r="E1241" s="17" t="s">
        <v>168</v>
      </c>
      <c r="F1241" s="17" t="s">
        <v>164</v>
      </c>
      <c r="G1241" s="17">
        <v>9</v>
      </c>
      <c r="H1241" s="17">
        <v>16305</v>
      </c>
      <c r="I1241" s="17">
        <v>146745</v>
      </c>
      <c r="J1241" s="17">
        <v>4389</v>
      </c>
      <c r="K1241" s="17">
        <v>142356</v>
      </c>
      <c r="L1241" s="17">
        <v>23419.390019999999</v>
      </c>
      <c r="M1241" s="17">
        <v>2025</v>
      </c>
      <c r="N1241" s="17" t="s">
        <v>175</v>
      </c>
    </row>
    <row r="1242" spans="1:14" ht="14.25" customHeight="1">
      <c r="A1242" s="17">
        <v>11241</v>
      </c>
      <c r="B1242" s="18">
        <v>45387</v>
      </c>
      <c r="C1242" s="17" t="s">
        <v>50</v>
      </c>
      <c r="D1242" s="17" t="s">
        <v>111</v>
      </c>
      <c r="E1242" s="17" t="s">
        <v>162</v>
      </c>
      <c r="F1242" s="17" t="s">
        <v>166</v>
      </c>
      <c r="G1242" s="17">
        <v>9</v>
      </c>
      <c r="H1242" s="17">
        <v>36722</v>
      </c>
      <c r="I1242" s="17">
        <v>330498</v>
      </c>
      <c r="J1242" s="17">
        <v>108</v>
      </c>
      <c r="K1242" s="17">
        <v>330390</v>
      </c>
      <c r="L1242" s="17">
        <v>36570.825669999998</v>
      </c>
      <c r="M1242" s="17">
        <v>2024</v>
      </c>
      <c r="N1242" s="17" t="s">
        <v>114</v>
      </c>
    </row>
    <row r="1243" spans="1:14" ht="14.25" customHeight="1">
      <c r="A1243" s="17">
        <v>11242</v>
      </c>
      <c r="B1243" s="18">
        <v>45379</v>
      </c>
      <c r="C1243" s="17" t="s">
        <v>45</v>
      </c>
      <c r="D1243" s="17" t="s">
        <v>111</v>
      </c>
      <c r="E1243" s="17" t="s">
        <v>165</v>
      </c>
      <c r="F1243" s="17" t="s">
        <v>163</v>
      </c>
      <c r="G1243" s="17">
        <v>2</v>
      </c>
      <c r="H1243" s="17">
        <v>60429</v>
      </c>
      <c r="I1243" s="17">
        <v>120858</v>
      </c>
      <c r="J1243" s="17">
        <v>2412</v>
      </c>
      <c r="K1243" s="17">
        <v>118446</v>
      </c>
      <c r="L1243" s="17">
        <v>13832.99712</v>
      </c>
      <c r="M1243" s="17">
        <v>2024</v>
      </c>
      <c r="N1243" s="17" t="s">
        <v>112</v>
      </c>
    </row>
    <row r="1244" spans="1:14" ht="14.25" customHeight="1">
      <c r="A1244" s="17">
        <v>11243</v>
      </c>
      <c r="B1244" s="18">
        <v>45369</v>
      </c>
      <c r="C1244" s="17" t="s">
        <v>45</v>
      </c>
      <c r="D1244" s="17" t="s">
        <v>89</v>
      </c>
      <c r="E1244" s="17" t="s">
        <v>165</v>
      </c>
      <c r="F1244" s="17" t="s">
        <v>163</v>
      </c>
      <c r="G1244" s="17">
        <v>6</v>
      </c>
      <c r="H1244" s="17">
        <v>47476</v>
      </c>
      <c r="I1244" s="17">
        <v>284856</v>
      </c>
      <c r="J1244" s="17">
        <v>2647</v>
      </c>
      <c r="K1244" s="17">
        <v>282209</v>
      </c>
      <c r="L1244" s="17">
        <v>54622.610939999999</v>
      </c>
      <c r="M1244" s="17">
        <v>2024</v>
      </c>
      <c r="N1244" s="17" t="s">
        <v>112</v>
      </c>
    </row>
    <row r="1245" spans="1:14" ht="14.25" customHeight="1">
      <c r="A1245" s="17">
        <v>11244</v>
      </c>
      <c r="B1245" s="18">
        <v>45579</v>
      </c>
      <c r="C1245" s="17" t="s">
        <v>167</v>
      </c>
      <c r="D1245" s="17" t="s">
        <v>170</v>
      </c>
      <c r="E1245" s="17" t="s">
        <v>168</v>
      </c>
      <c r="F1245" s="17" t="s">
        <v>164</v>
      </c>
      <c r="G1245" s="17">
        <v>9</v>
      </c>
      <c r="H1245" s="17">
        <v>49253</v>
      </c>
      <c r="I1245" s="17">
        <v>443277</v>
      </c>
      <c r="J1245" s="17">
        <v>2725</v>
      </c>
      <c r="K1245" s="17">
        <v>440552</v>
      </c>
      <c r="L1245" s="17">
        <v>89260.353770000002</v>
      </c>
      <c r="M1245" s="17">
        <v>2024</v>
      </c>
      <c r="N1245" s="17" t="s">
        <v>174</v>
      </c>
    </row>
    <row r="1246" spans="1:14" ht="14.25" customHeight="1">
      <c r="A1246" s="17">
        <v>11245</v>
      </c>
      <c r="B1246" s="18">
        <v>45411</v>
      </c>
      <c r="C1246" s="17" t="s">
        <v>167</v>
      </c>
      <c r="D1246" s="17" t="s">
        <v>111</v>
      </c>
      <c r="E1246" s="17" t="s">
        <v>168</v>
      </c>
      <c r="F1246" s="17" t="s">
        <v>172</v>
      </c>
      <c r="G1246" s="17">
        <v>4</v>
      </c>
      <c r="H1246" s="17">
        <v>25708</v>
      </c>
      <c r="I1246" s="17">
        <v>102832</v>
      </c>
      <c r="J1246" s="17">
        <v>3338</v>
      </c>
      <c r="K1246" s="17">
        <v>99494</v>
      </c>
      <c r="L1246" s="17">
        <v>19450.386740000002</v>
      </c>
      <c r="M1246" s="17">
        <v>2024</v>
      </c>
      <c r="N1246" s="17" t="s">
        <v>114</v>
      </c>
    </row>
    <row r="1247" spans="1:14" ht="14.25" customHeight="1">
      <c r="A1247" s="17">
        <v>11246</v>
      </c>
      <c r="B1247" s="18">
        <v>45782</v>
      </c>
      <c r="C1247" s="17" t="s">
        <v>50</v>
      </c>
      <c r="D1247" s="17" t="s">
        <v>111</v>
      </c>
      <c r="E1247" s="17" t="s">
        <v>162</v>
      </c>
      <c r="F1247" s="17" t="s">
        <v>164</v>
      </c>
      <c r="G1247" s="17">
        <v>2</v>
      </c>
      <c r="H1247" s="17">
        <v>69963</v>
      </c>
      <c r="I1247" s="17">
        <v>139926</v>
      </c>
      <c r="J1247" s="17">
        <v>2140</v>
      </c>
      <c r="K1247" s="17">
        <v>137786</v>
      </c>
      <c r="L1247" s="17">
        <v>29549.766009999999</v>
      </c>
      <c r="M1247" s="17">
        <v>2025</v>
      </c>
      <c r="N1247" s="17" t="s">
        <v>117</v>
      </c>
    </row>
    <row r="1248" spans="1:14" ht="14.25" customHeight="1">
      <c r="A1248" s="17">
        <v>11247</v>
      </c>
      <c r="B1248" s="18">
        <v>45743</v>
      </c>
      <c r="C1248" s="17" t="s">
        <v>45</v>
      </c>
      <c r="D1248" s="17" t="s">
        <v>86</v>
      </c>
      <c r="E1248" s="17" t="s">
        <v>168</v>
      </c>
      <c r="F1248" s="17" t="s">
        <v>172</v>
      </c>
      <c r="G1248" s="17">
        <v>7</v>
      </c>
      <c r="H1248" s="17">
        <v>32621</v>
      </c>
      <c r="I1248" s="17">
        <v>228347</v>
      </c>
      <c r="J1248" s="17">
        <v>4523</v>
      </c>
      <c r="K1248" s="17">
        <v>223824</v>
      </c>
      <c r="L1248" s="17">
        <v>54060.233820000001</v>
      </c>
      <c r="M1248" s="17">
        <v>2025</v>
      </c>
      <c r="N1248" s="17" t="s">
        <v>112</v>
      </c>
    </row>
    <row r="1249" spans="1:14" ht="14.25" customHeight="1">
      <c r="A1249" s="17">
        <v>11248</v>
      </c>
      <c r="B1249" s="18">
        <v>45791</v>
      </c>
      <c r="C1249" s="17" t="s">
        <v>167</v>
      </c>
      <c r="D1249" s="17" t="s">
        <v>86</v>
      </c>
      <c r="E1249" s="17" t="s">
        <v>165</v>
      </c>
      <c r="F1249" s="17" t="s">
        <v>164</v>
      </c>
      <c r="G1249" s="17">
        <v>9</v>
      </c>
      <c r="H1249" s="17">
        <v>35001</v>
      </c>
      <c r="I1249" s="17">
        <v>315009</v>
      </c>
      <c r="J1249" s="17">
        <v>4733</v>
      </c>
      <c r="K1249" s="17">
        <v>310276</v>
      </c>
      <c r="L1249" s="17">
        <v>71081.980869999999</v>
      </c>
      <c r="M1249" s="17">
        <v>2025</v>
      </c>
      <c r="N1249" s="17" t="s">
        <v>117</v>
      </c>
    </row>
    <row r="1250" spans="1:14" ht="14.25" customHeight="1">
      <c r="A1250" s="17">
        <v>11249</v>
      </c>
      <c r="B1250" s="18">
        <v>45456</v>
      </c>
      <c r="C1250" s="17" t="s">
        <v>45</v>
      </c>
      <c r="D1250" s="17" t="s">
        <v>83</v>
      </c>
      <c r="E1250" s="17" t="s">
        <v>168</v>
      </c>
      <c r="F1250" s="17" t="s">
        <v>163</v>
      </c>
      <c r="G1250" s="17">
        <v>6</v>
      </c>
      <c r="H1250" s="17">
        <v>19220</v>
      </c>
      <c r="I1250" s="17">
        <v>115320</v>
      </c>
      <c r="J1250" s="17">
        <v>3813</v>
      </c>
      <c r="K1250" s="17">
        <v>111507</v>
      </c>
      <c r="L1250" s="17">
        <v>18150.712149999999</v>
      </c>
      <c r="M1250" s="17">
        <v>2024</v>
      </c>
      <c r="N1250" s="17" t="s">
        <v>120</v>
      </c>
    </row>
    <row r="1251" spans="1:14" ht="14.25" customHeight="1">
      <c r="A1251" s="17">
        <v>11250</v>
      </c>
      <c r="B1251" s="18">
        <v>45473</v>
      </c>
      <c r="C1251" s="17" t="s">
        <v>167</v>
      </c>
      <c r="D1251" s="17" t="s">
        <v>89</v>
      </c>
      <c r="E1251" s="17" t="s">
        <v>165</v>
      </c>
      <c r="F1251" s="17" t="s">
        <v>172</v>
      </c>
      <c r="G1251" s="17">
        <v>4</v>
      </c>
      <c r="H1251" s="17">
        <v>70122</v>
      </c>
      <c r="I1251" s="17">
        <v>280488</v>
      </c>
      <c r="J1251" s="17">
        <v>4200</v>
      </c>
      <c r="K1251" s="17">
        <v>276288</v>
      </c>
      <c r="L1251" s="17">
        <v>36644.48373</v>
      </c>
      <c r="M1251" s="17">
        <v>2024</v>
      </c>
      <c r="N1251" s="17" t="s">
        <v>120</v>
      </c>
    </row>
    <row r="1252" spans="1:14" ht="14.25" customHeight="1">
      <c r="A1252" s="17">
        <v>11251</v>
      </c>
      <c r="B1252" s="18">
        <v>45760</v>
      </c>
      <c r="C1252" s="17" t="s">
        <v>39</v>
      </c>
      <c r="D1252" s="17" t="s">
        <v>170</v>
      </c>
      <c r="E1252" s="17" t="s">
        <v>168</v>
      </c>
      <c r="F1252" s="17" t="s">
        <v>164</v>
      </c>
      <c r="G1252" s="17">
        <v>1</v>
      </c>
      <c r="H1252" s="17">
        <v>72907</v>
      </c>
      <c r="I1252" s="17">
        <v>72907</v>
      </c>
      <c r="J1252" s="17">
        <v>2256</v>
      </c>
      <c r="K1252" s="17">
        <v>70651</v>
      </c>
      <c r="L1252" s="17">
        <v>10370.00059</v>
      </c>
      <c r="M1252" s="17">
        <v>2025</v>
      </c>
      <c r="N1252" s="17" t="s">
        <v>114</v>
      </c>
    </row>
    <row r="1253" spans="1:14" ht="14.25" customHeight="1">
      <c r="A1253" s="17">
        <v>11252</v>
      </c>
      <c r="B1253" s="18">
        <v>45298</v>
      </c>
      <c r="C1253" s="17" t="s">
        <v>58</v>
      </c>
      <c r="D1253" s="17" t="s">
        <v>111</v>
      </c>
      <c r="E1253" s="17" t="s">
        <v>168</v>
      </c>
      <c r="F1253" s="17" t="s">
        <v>166</v>
      </c>
      <c r="G1253" s="17">
        <v>4</v>
      </c>
      <c r="H1253" s="17">
        <v>42784</v>
      </c>
      <c r="I1253" s="17">
        <v>171136</v>
      </c>
      <c r="J1253" s="17">
        <v>3645</v>
      </c>
      <c r="K1253" s="17">
        <v>167491</v>
      </c>
      <c r="L1253" s="17">
        <v>31515.311430000002</v>
      </c>
      <c r="M1253" s="17">
        <v>2024</v>
      </c>
      <c r="N1253" s="17" t="s">
        <v>171</v>
      </c>
    </row>
    <row r="1254" spans="1:14" ht="14.25" customHeight="1">
      <c r="A1254" s="17">
        <v>11253</v>
      </c>
      <c r="B1254" s="18">
        <v>45621</v>
      </c>
      <c r="C1254" s="17" t="s">
        <v>39</v>
      </c>
      <c r="D1254" s="17" t="s">
        <v>111</v>
      </c>
      <c r="E1254" s="17" t="s">
        <v>165</v>
      </c>
      <c r="F1254" s="17" t="s">
        <v>163</v>
      </c>
      <c r="G1254" s="17">
        <v>3</v>
      </c>
      <c r="H1254" s="17">
        <v>44070</v>
      </c>
      <c r="I1254" s="17">
        <v>132210</v>
      </c>
      <c r="J1254" s="17">
        <v>3059</v>
      </c>
      <c r="K1254" s="17">
        <v>129151</v>
      </c>
      <c r="L1254" s="17">
        <v>29502.124390000001</v>
      </c>
      <c r="M1254" s="17">
        <v>2024</v>
      </c>
      <c r="N1254" s="17" t="s">
        <v>173</v>
      </c>
    </row>
    <row r="1255" spans="1:14" ht="14.25" customHeight="1">
      <c r="A1255" s="17">
        <v>11254</v>
      </c>
      <c r="B1255" s="18">
        <v>45964</v>
      </c>
      <c r="C1255" s="17" t="s">
        <v>167</v>
      </c>
      <c r="D1255" s="17" t="s">
        <v>83</v>
      </c>
      <c r="E1255" s="17" t="s">
        <v>162</v>
      </c>
      <c r="F1255" s="17" t="s">
        <v>163</v>
      </c>
      <c r="G1255" s="17">
        <v>7</v>
      </c>
      <c r="H1255" s="17">
        <v>44150</v>
      </c>
      <c r="I1255" s="17">
        <v>309050</v>
      </c>
      <c r="J1255" s="17">
        <v>2521</v>
      </c>
      <c r="K1255" s="17">
        <v>306529</v>
      </c>
      <c r="L1255" s="17">
        <v>62917.719080000003</v>
      </c>
      <c r="M1255" s="17">
        <v>2025</v>
      </c>
      <c r="N1255" s="17" t="s">
        <v>173</v>
      </c>
    </row>
    <row r="1256" spans="1:14" ht="14.25" customHeight="1">
      <c r="A1256" s="17">
        <v>11255</v>
      </c>
      <c r="B1256" s="18">
        <v>45442</v>
      </c>
      <c r="C1256" s="17" t="s">
        <v>58</v>
      </c>
      <c r="D1256" s="17" t="s">
        <v>111</v>
      </c>
      <c r="E1256" s="17" t="s">
        <v>162</v>
      </c>
      <c r="F1256" s="17" t="s">
        <v>166</v>
      </c>
      <c r="G1256" s="17">
        <v>5</v>
      </c>
      <c r="H1256" s="17">
        <v>66262</v>
      </c>
      <c r="I1256" s="17">
        <v>331310</v>
      </c>
      <c r="J1256" s="17">
        <v>3417</v>
      </c>
      <c r="K1256" s="17">
        <v>327893</v>
      </c>
      <c r="L1256" s="17">
        <v>59496.829389999999</v>
      </c>
      <c r="M1256" s="17">
        <v>2024</v>
      </c>
      <c r="N1256" s="17" t="s">
        <v>117</v>
      </c>
    </row>
    <row r="1257" spans="1:14" ht="14.25" customHeight="1">
      <c r="A1257" s="17">
        <v>11256</v>
      </c>
      <c r="B1257" s="18">
        <v>45376</v>
      </c>
      <c r="C1257" s="17" t="s">
        <v>58</v>
      </c>
      <c r="D1257" s="17" t="s">
        <v>89</v>
      </c>
      <c r="E1257" s="17" t="s">
        <v>168</v>
      </c>
      <c r="F1257" s="17" t="s">
        <v>164</v>
      </c>
      <c r="G1257" s="17">
        <v>3</v>
      </c>
      <c r="H1257" s="17">
        <v>60544</v>
      </c>
      <c r="I1257" s="17">
        <v>181632</v>
      </c>
      <c r="J1257" s="17">
        <v>11</v>
      </c>
      <c r="K1257" s="17">
        <v>181621</v>
      </c>
      <c r="L1257" s="17">
        <v>34559.162429999997</v>
      </c>
      <c r="M1257" s="17">
        <v>2024</v>
      </c>
      <c r="N1257" s="17" t="s">
        <v>112</v>
      </c>
    </row>
    <row r="1258" spans="1:14" ht="14.25" customHeight="1">
      <c r="A1258" s="17">
        <v>11257</v>
      </c>
      <c r="B1258" s="18">
        <v>45438</v>
      </c>
      <c r="C1258" s="17" t="s">
        <v>167</v>
      </c>
      <c r="D1258" s="17" t="s">
        <v>83</v>
      </c>
      <c r="E1258" s="17" t="s">
        <v>168</v>
      </c>
      <c r="F1258" s="17" t="s">
        <v>172</v>
      </c>
      <c r="G1258" s="17">
        <v>2</v>
      </c>
      <c r="H1258" s="17">
        <v>32161</v>
      </c>
      <c r="I1258" s="17">
        <v>64322</v>
      </c>
      <c r="J1258" s="17">
        <v>4744</v>
      </c>
      <c r="K1258" s="17">
        <v>59578</v>
      </c>
      <c r="L1258" s="17">
        <v>10678.71199</v>
      </c>
      <c r="M1258" s="17">
        <v>2024</v>
      </c>
      <c r="N1258" s="17" t="s">
        <v>117</v>
      </c>
    </row>
    <row r="1259" spans="1:14" ht="14.25" customHeight="1">
      <c r="A1259" s="17">
        <v>11258</v>
      </c>
      <c r="B1259" s="18">
        <v>45915</v>
      </c>
      <c r="C1259" s="17" t="s">
        <v>167</v>
      </c>
      <c r="D1259" s="17" t="s">
        <v>89</v>
      </c>
      <c r="E1259" s="17" t="s">
        <v>165</v>
      </c>
      <c r="F1259" s="17" t="s">
        <v>163</v>
      </c>
      <c r="G1259" s="17">
        <v>2</v>
      </c>
      <c r="H1259" s="17">
        <v>26180</v>
      </c>
      <c r="I1259" s="17">
        <v>52360</v>
      </c>
      <c r="J1259" s="17">
        <v>3266</v>
      </c>
      <c r="K1259" s="17">
        <v>49094</v>
      </c>
      <c r="L1259" s="17">
        <v>12064.562159999999</v>
      </c>
      <c r="M1259" s="17">
        <v>2025</v>
      </c>
      <c r="N1259" s="17" t="s">
        <v>129</v>
      </c>
    </row>
    <row r="1260" spans="1:14" ht="14.25" customHeight="1">
      <c r="A1260" s="17">
        <v>11259</v>
      </c>
      <c r="B1260" s="18">
        <v>45672</v>
      </c>
      <c r="C1260" s="17" t="s">
        <v>45</v>
      </c>
      <c r="D1260" s="17" t="s">
        <v>83</v>
      </c>
      <c r="E1260" s="17" t="s">
        <v>165</v>
      </c>
      <c r="F1260" s="17" t="s">
        <v>164</v>
      </c>
      <c r="G1260" s="17">
        <v>5</v>
      </c>
      <c r="H1260" s="17">
        <v>23825</v>
      </c>
      <c r="I1260" s="17">
        <v>119125</v>
      </c>
      <c r="J1260" s="17">
        <v>3145</v>
      </c>
      <c r="K1260" s="17">
        <v>115980</v>
      </c>
      <c r="L1260" s="17">
        <v>25795.542990000002</v>
      </c>
      <c r="M1260" s="17">
        <v>2025</v>
      </c>
      <c r="N1260" s="17" t="s">
        <v>171</v>
      </c>
    </row>
    <row r="1261" spans="1:14" ht="14.25" customHeight="1">
      <c r="A1261" s="17">
        <v>11260</v>
      </c>
      <c r="B1261" s="18">
        <v>45839</v>
      </c>
      <c r="C1261" s="17" t="s">
        <v>167</v>
      </c>
      <c r="D1261" s="17" t="s">
        <v>111</v>
      </c>
      <c r="E1261" s="17" t="s">
        <v>168</v>
      </c>
      <c r="F1261" s="17" t="s">
        <v>166</v>
      </c>
      <c r="G1261" s="17">
        <v>8</v>
      </c>
      <c r="H1261" s="17">
        <v>6017</v>
      </c>
      <c r="I1261" s="17">
        <v>48136</v>
      </c>
      <c r="J1261" s="17">
        <v>874</v>
      </c>
      <c r="K1261" s="17">
        <v>47262</v>
      </c>
      <c r="L1261" s="17">
        <v>10264.90856</v>
      </c>
      <c r="M1261" s="17">
        <v>2025</v>
      </c>
      <c r="N1261" s="17" t="s">
        <v>123</v>
      </c>
    </row>
    <row r="1262" spans="1:14" ht="14.25" customHeight="1">
      <c r="A1262" s="17">
        <v>11261</v>
      </c>
      <c r="B1262" s="18">
        <v>45576</v>
      </c>
      <c r="C1262" s="17" t="s">
        <v>50</v>
      </c>
      <c r="D1262" s="17" t="s">
        <v>83</v>
      </c>
      <c r="E1262" s="17" t="s">
        <v>165</v>
      </c>
      <c r="F1262" s="17" t="s">
        <v>172</v>
      </c>
      <c r="G1262" s="17">
        <v>8</v>
      </c>
      <c r="H1262" s="17">
        <v>25885</v>
      </c>
      <c r="I1262" s="17">
        <v>207080</v>
      </c>
      <c r="J1262" s="17">
        <v>2433</v>
      </c>
      <c r="K1262" s="17">
        <v>204647</v>
      </c>
      <c r="L1262" s="17">
        <v>36345.173779999997</v>
      </c>
      <c r="M1262" s="17">
        <v>2024</v>
      </c>
      <c r="N1262" s="17" t="s">
        <v>174</v>
      </c>
    </row>
    <row r="1263" spans="1:14" ht="14.25" customHeight="1">
      <c r="A1263" s="17">
        <v>11262</v>
      </c>
      <c r="B1263" s="18">
        <v>45991</v>
      </c>
      <c r="C1263" s="17" t="s">
        <v>167</v>
      </c>
      <c r="D1263" s="17" t="s">
        <v>86</v>
      </c>
      <c r="E1263" s="17" t="s">
        <v>162</v>
      </c>
      <c r="F1263" s="17" t="s">
        <v>164</v>
      </c>
      <c r="G1263" s="17">
        <v>5</v>
      </c>
      <c r="H1263" s="17">
        <v>51260</v>
      </c>
      <c r="I1263" s="17">
        <v>256300</v>
      </c>
      <c r="J1263" s="17">
        <v>883</v>
      </c>
      <c r="K1263" s="17">
        <v>255417</v>
      </c>
      <c r="L1263" s="17">
        <v>38254.166429999997</v>
      </c>
      <c r="M1263" s="17">
        <v>2025</v>
      </c>
      <c r="N1263" s="17" t="s">
        <v>173</v>
      </c>
    </row>
    <row r="1264" spans="1:14" ht="14.25" customHeight="1">
      <c r="A1264" s="17">
        <v>11263</v>
      </c>
      <c r="B1264" s="18">
        <v>45373</v>
      </c>
      <c r="C1264" s="17" t="s">
        <v>50</v>
      </c>
      <c r="D1264" s="17" t="s">
        <v>170</v>
      </c>
      <c r="E1264" s="17" t="s">
        <v>162</v>
      </c>
      <c r="F1264" s="17" t="s">
        <v>164</v>
      </c>
      <c r="G1264" s="17">
        <v>2</v>
      </c>
      <c r="H1264" s="17">
        <v>15260</v>
      </c>
      <c r="I1264" s="17">
        <v>30520</v>
      </c>
      <c r="J1264" s="17">
        <v>4650</v>
      </c>
      <c r="K1264" s="17">
        <v>25870</v>
      </c>
      <c r="L1264" s="17">
        <v>2662.7244430000001</v>
      </c>
      <c r="M1264" s="17">
        <v>2024</v>
      </c>
      <c r="N1264" s="17" t="s">
        <v>112</v>
      </c>
    </row>
    <row r="1265" spans="1:14" ht="14.25" customHeight="1">
      <c r="A1265" s="17">
        <v>11264</v>
      </c>
      <c r="B1265" s="18">
        <v>45805</v>
      </c>
      <c r="C1265" s="17" t="s">
        <v>167</v>
      </c>
      <c r="D1265" s="17" t="s">
        <v>111</v>
      </c>
      <c r="E1265" s="17" t="s">
        <v>165</v>
      </c>
      <c r="F1265" s="17" t="s">
        <v>163</v>
      </c>
      <c r="G1265" s="17">
        <v>4</v>
      </c>
      <c r="H1265" s="17">
        <v>59946</v>
      </c>
      <c r="I1265" s="17">
        <v>239784</v>
      </c>
      <c r="J1265" s="17">
        <v>3985</v>
      </c>
      <c r="K1265" s="17">
        <v>235799</v>
      </c>
      <c r="L1265" s="17">
        <v>25116.013449999999</v>
      </c>
      <c r="M1265" s="17">
        <v>2025</v>
      </c>
      <c r="N1265" s="17" t="s">
        <v>117</v>
      </c>
    </row>
    <row r="1266" spans="1:14" ht="14.25" customHeight="1">
      <c r="A1266" s="17">
        <v>11265</v>
      </c>
      <c r="B1266" s="18">
        <v>46000</v>
      </c>
      <c r="C1266" s="17" t="s">
        <v>45</v>
      </c>
      <c r="D1266" s="17" t="s">
        <v>170</v>
      </c>
      <c r="E1266" s="17" t="s">
        <v>165</v>
      </c>
      <c r="F1266" s="17" t="s">
        <v>163</v>
      </c>
      <c r="G1266" s="17">
        <v>7</v>
      </c>
      <c r="H1266" s="17">
        <v>51662</v>
      </c>
      <c r="I1266" s="17">
        <v>361634</v>
      </c>
      <c r="J1266" s="17">
        <v>1579</v>
      </c>
      <c r="K1266" s="17">
        <v>360055</v>
      </c>
      <c r="L1266" s="17">
        <v>37638.597419999998</v>
      </c>
      <c r="M1266" s="17">
        <v>2025</v>
      </c>
      <c r="N1266" s="17" t="s">
        <v>169</v>
      </c>
    </row>
    <row r="1267" spans="1:14" ht="14.25" customHeight="1">
      <c r="A1267" s="17">
        <v>11266</v>
      </c>
      <c r="B1267" s="18">
        <v>45814</v>
      </c>
      <c r="C1267" s="17" t="s">
        <v>50</v>
      </c>
      <c r="D1267" s="17" t="s">
        <v>111</v>
      </c>
      <c r="E1267" s="17" t="s">
        <v>165</v>
      </c>
      <c r="F1267" s="17" t="s">
        <v>172</v>
      </c>
      <c r="G1267" s="17">
        <v>6</v>
      </c>
      <c r="H1267" s="17">
        <v>42018</v>
      </c>
      <c r="I1267" s="17">
        <v>252108</v>
      </c>
      <c r="J1267" s="17">
        <v>3771</v>
      </c>
      <c r="K1267" s="17">
        <v>248337</v>
      </c>
      <c r="L1267" s="17">
        <v>61356.998820000001</v>
      </c>
      <c r="M1267" s="17">
        <v>2025</v>
      </c>
      <c r="N1267" s="17" t="s">
        <v>120</v>
      </c>
    </row>
    <row r="1268" spans="1:14" ht="14.25" customHeight="1">
      <c r="A1268" s="17">
        <v>11267</v>
      </c>
      <c r="B1268" s="18">
        <v>45677</v>
      </c>
      <c r="C1268" s="17" t="s">
        <v>39</v>
      </c>
      <c r="D1268" s="17" t="s">
        <v>170</v>
      </c>
      <c r="E1268" s="17" t="s">
        <v>162</v>
      </c>
      <c r="F1268" s="17" t="s">
        <v>164</v>
      </c>
      <c r="G1268" s="17">
        <v>7</v>
      </c>
      <c r="H1268" s="17">
        <v>60099</v>
      </c>
      <c r="I1268" s="17">
        <v>420693</v>
      </c>
      <c r="J1268" s="17">
        <v>352</v>
      </c>
      <c r="K1268" s="17">
        <v>420341</v>
      </c>
      <c r="L1268" s="17">
        <v>49252.343099999998</v>
      </c>
      <c r="M1268" s="17">
        <v>2025</v>
      </c>
      <c r="N1268" s="17" t="s">
        <v>171</v>
      </c>
    </row>
    <row r="1269" spans="1:14" ht="14.25" customHeight="1">
      <c r="A1269" s="17">
        <v>11268</v>
      </c>
      <c r="B1269" s="18">
        <v>45998</v>
      </c>
      <c r="C1269" s="17" t="s">
        <v>50</v>
      </c>
      <c r="D1269" s="17" t="s">
        <v>86</v>
      </c>
      <c r="E1269" s="17" t="s">
        <v>168</v>
      </c>
      <c r="F1269" s="17" t="s">
        <v>166</v>
      </c>
      <c r="G1269" s="17">
        <v>5</v>
      </c>
      <c r="H1269" s="17">
        <v>67306</v>
      </c>
      <c r="I1269" s="17">
        <v>336530</v>
      </c>
      <c r="J1269" s="17">
        <v>1506</v>
      </c>
      <c r="K1269" s="17">
        <v>335024</v>
      </c>
      <c r="L1269" s="17">
        <v>40644.383990000002</v>
      </c>
      <c r="M1269" s="17">
        <v>2025</v>
      </c>
      <c r="N1269" s="17" t="s">
        <v>169</v>
      </c>
    </row>
    <row r="1270" spans="1:14" ht="14.25" customHeight="1">
      <c r="A1270" s="17">
        <v>11269</v>
      </c>
      <c r="B1270" s="18">
        <v>45762</v>
      </c>
      <c r="C1270" s="17" t="s">
        <v>45</v>
      </c>
      <c r="D1270" s="17" t="s">
        <v>170</v>
      </c>
      <c r="E1270" s="17" t="s">
        <v>165</v>
      </c>
      <c r="F1270" s="17" t="s">
        <v>166</v>
      </c>
      <c r="G1270" s="17">
        <v>2</v>
      </c>
      <c r="H1270" s="17">
        <v>34230</v>
      </c>
      <c r="I1270" s="17">
        <v>68460</v>
      </c>
      <c r="J1270" s="17">
        <v>3487</v>
      </c>
      <c r="K1270" s="17">
        <v>64973</v>
      </c>
      <c r="L1270" s="17">
        <v>11215.80157</v>
      </c>
      <c r="M1270" s="17">
        <v>2025</v>
      </c>
      <c r="N1270" s="17" t="s">
        <v>114</v>
      </c>
    </row>
    <row r="1271" spans="1:14" ht="14.25" customHeight="1">
      <c r="A1271" s="17">
        <v>11270</v>
      </c>
      <c r="B1271" s="18">
        <v>45410</v>
      </c>
      <c r="C1271" s="17" t="s">
        <v>50</v>
      </c>
      <c r="D1271" s="17" t="s">
        <v>83</v>
      </c>
      <c r="E1271" s="17" t="s">
        <v>165</v>
      </c>
      <c r="F1271" s="17" t="s">
        <v>172</v>
      </c>
      <c r="G1271" s="17">
        <v>8</v>
      </c>
      <c r="H1271" s="17">
        <v>29769</v>
      </c>
      <c r="I1271" s="17">
        <v>238152</v>
      </c>
      <c r="J1271" s="17">
        <v>2851</v>
      </c>
      <c r="K1271" s="17">
        <v>235301</v>
      </c>
      <c r="L1271" s="17">
        <v>40521.2264</v>
      </c>
      <c r="M1271" s="17">
        <v>2024</v>
      </c>
      <c r="N1271" s="17" t="s">
        <v>114</v>
      </c>
    </row>
    <row r="1272" spans="1:14" ht="14.25" customHeight="1">
      <c r="A1272" s="17">
        <v>11271</v>
      </c>
      <c r="B1272" s="18">
        <v>45687</v>
      </c>
      <c r="C1272" s="17" t="s">
        <v>167</v>
      </c>
      <c r="D1272" s="17" t="s">
        <v>170</v>
      </c>
      <c r="E1272" s="17" t="s">
        <v>165</v>
      </c>
      <c r="F1272" s="17" t="s">
        <v>164</v>
      </c>
      <c r="G1272" s="17">
        <v>2</v>
      </c>
      <c r="H1272" s="17">
        <v>40214</v>
      </c>
      <c r="I1272" s="17">
        <v>80428</v>
      </c>
      <c r="J1272" s="17">
        <v>2029</v>
      </c>
      <c r="K1272" s="17">
        <v>78399</v>
      </c>
      <c r="L1272" s="17">
        <v>18658.65351</v>
      </c>
      <c r="M1272" s="17">
        <v>2025</v>
      </c>
      <c r="N1272" s="17" t="s">
        <v>171</v>
      </c>
    </row>
    <row r="1273" spans="1:14" ht="14.25" customHeight="1">
      <c r="A1273" s="17">
        <v>11272</v>
      </c>
      <c r="B1273" s="18">
        <v>45823</v>
      </c>
      <c r="C1273" s="17" t="s">
        <v>167</v>
      </c>
      <c r="D1273" s="17" t="s">
        <v>111</v>
      </c>
      <c r="E1273" s="17" t="s">
        <v>168</v>
      </c>
      <c r="F1273" s="17" t="s">
        <v>163</v>
      </c>
      <c r="G1273" s="17">
        <v>8</v>
      </c>
      <c r="H1273" s="17">
        <v>37492</v>
      </c>
      <c r="I1273" s="17">
        <v>299936</v>
      </c>
      <c r="J1273" s="17">
        <v>1846</v>
      </c>
      <c r="K1273" s="17">
        <v>298090</v>
      </c>
      <c r="L1273" s="17">
        <v>33096.9058</v>
      </c>
      <c r="M1273" s="17">
        <v>2025</v>
      </c>
      <c r="N1273" s="17" t="s">
        <v>120</v>
      </c>
    </row>
    <row r="1274" spans="1:14" ht="14.25" customHeight="1">
      <c r="A1274" s="17">
        <v>11273</v>
      </c>
      <c r="B1274" s="18">
        <v>45552</v>
      </c>
      <c r="C1274" s="17" t="s">
        <v>45</v>
      </c>
      <c r="D1274" s="17" t="s">
        <v>89</v>
      </c>
      <c r="E1274" s="17" t="s">
        <v>165</v>
      </c>
      <c r="F1274" s="17" t="s">
        <v>164</v>
      </c>
      <c r="G1274" s="17">
        <v>7</v>
      </c>
      <c r="H1274" s="17">
        <v>68767</v>
      </c>
      <c r="I1274" s="17">
        <v>481369</v>
      </c>
      <c r="J1274" s="17">
        <v>2390</v>
      </c>
      <c r="K1274" s="17">
        <v>478979</v>
      </c>
      <c r="L1274" s="17">
        <v>116672.5187</v>
      </c>
      <c r="M1274" s="17">
        <v>2024</v>
      </c>
      <c r="N1274" s="17" t="s">
        <v>129</v>
      </c>
    </row>
    <row r="1275" spans="1:14" ht="14.25" customHeight="1">
      <c r="A1275" s="17">
        <v>11274</v>
      </c>
      <c r="B1275" s="18">
        <v>45547</v>
      </c>
      <c r="C1275" s="17" t="s">
        <v>58</v>
      </c>
      <c r="D1275" s="17" t="s">
        <v>170</v>
      </c>
      <c r="E1275" s="17" t="s">
        <v>165</v>
      </c>
      <c r="F1275" s="17" t="s">
        <v>163</v>
      </c>
      <c r="G1275" s="17">
        <v>3</v>
      </c>
      <c r="H1275" s="17">
        <v>67473</v>
      </c>
      <c r="I1275" s="17">
        <v>202419</v>
      </c>
      <c r="J1275" s="17">
        <v>4030</v>
      </c>
      <c r="K1275" s="17">
        <v>198389</v>
      </c>
      <c r="L1275" s="17">
        <v>26278.316449999998</v>
      </c>
      <c r="M1275" s="17">
        <v>2024</v>
      </c>
      <c r="N1275" s="17" t="s">
        <v>129</v>
      </c>
    </row>
    <row r="1276" spans="1:14" ht="14.25" customHeight="1">
      <c r="A1276" s="17">
        <v>11275</v>
      </c>
      <c r="B1276" s="18">
        <v>45517</v>
      </c>
      <c r="C1276" s="17" t="s">
        <v>167</v>
      </c>
      <c r="D1276" s="17" t="s">
        <v>170</v>
      </c>
      <c r="E1276" s="17" t="s">
        <v>162</v>
      </c>
      <c r="F1276" s="17" t="s">
        <v>166</v>
      </c>
      <c r="G1276" s="17">
        <v>4</v>
      </c>
      <c r="H1276" s="17">
        <v>8687</v>
      </c>
      <c r="I1276" s="17">
        <v>34748</v>
      </c>
      <c r="J1276" s="17">
        <v>3438</v>
      </c>
      <c r="K1276" s="17">
        <v>31310</v>
      </c>
      <c r="L1276" s="17">
        <v>7687.3273650000001</v>
      </c>
      <c r="M1276" s="17">
        <v>2024</v>
      </c>
      <c r="N1276" s="17" t="s">
        <v>126</v>
      </c>
    </row>
    <row r="1277" spans="1:14" ht="14.25" customHeight="1">
      <c r="A1277" s="17">
        <v>11276</v>
      </c>
      <c r="B1277" s="18">
        <v>45344</v>
      </c>
      <c r="C1277" s="17" t="s">
        <v>39</v>
      </c>
      <c r="D1277" s="17" t="s">
        <v>170</v>
      </c>
      <c r="E1277" s="17" t="s">
        <v>165</v>
      </c>
      <c r="F1277" s="17" t="s">
        <v>172</v>
      </c>
      <c r="G1277" s="17">
        <v>7</v>
      </c>
      <c r="H1277" s="17">
        <v>54135</v>
      </c>
      <c r="I1277" s="17">
        <v>378945</v>
      </c>
      <c r="J1277" s="17">
        <v>2383</v>
      </c>
      <c r="K1277" s="17">
        <v>376562</v>
      </c>
      <c r="L1277" s="17">
        <v>68232.512789999993</v>
      </c>
      <c r="M1277" s="17">
        <v>2024</v>
      </c>
      <c r="N1277" s="17" t="s">
        <v>175</v>
      </c>
    </row>
    <row r="1278" spans="1:14" ht="14.25" customHeight="1">
      <c r="A1278" s="17">
        <v>11277</v>
      </c>
      <c r="B1278" s="18">
        <v>45791</v>
      </c>
      <c r="C1278" s="17" t="s">
        <v>45</v>
      </c>
      <c r="D1278" s="17" t="s">
        <v>111</v>
      </c>
      <c r="E1278" s="17" t="s">
        <v>162</v>
      </c>
      <c r="F1278" s="17" t="s">
        <v>172</v>
      </c>
      <c r="G1278" s="17">
        <v>4</v>
      </c>
      <c r="H1278" s="17">
        <v>69635</v>
      </c>
      <c r="I1278" s="17">
        <v>278540</v>
      </c>
      <c r="J1278" s="17">
        <v>3367</v>
      </c>
      <c r="K1278" s="17">
        <v>275173</v>
      </c>
      <c r="L1278" s="17">
        <v>54429.745499999997</v>
      </c>
      <c r="M1278" s="17">
        <v>2025</v>
      </c>
      <c r="N1278" s="17" t="s">
        <v>117</v>
      </c>
    </row>
    <row r="1279" spans="1:14" ht="14.25" customHeight="1">
      <c r="A1279" s="17">
        <v>11278</v>
      </c>
      <c r="B1279" s="18">
        <v>45797</v>
      </c>
      <c r="C1279" s="17" t="s">
        <v>50</v>
      </c>
      <c r="D1279" s="17" t="s">
        <v>170</v>
      </c>
      <c r="E1279" s="17" t="s">
        <v>168</v>
      </c>
      <c r="F1279" s="17" t="s">
        <v>172</v>
      </c>
      <c r="G1279" s="17">
        <v>9</v>
      </c>
      <c r="H1279" s="17">
        <v>78400</v>
      </c>
      <c r="I1279" s="17">
        <v>705600</v>
      </c>
      <c r="J1279" s="17">
        <v>4980</v>
      </c>
      <c r="K1279" s="17">
        <v>700620</v>
      </c>
      <c r="L1279" s="17">
        <v>103242.8839</v>
      </c>
      <c r="M1279" s="17">
        <v>2025</v>
      </c>
      <c r="N1279" s="17" t="s">
        <v>117</v>
      </c>
    </row>
    <row r="1280" spans="1:14" ht="14.25" customHeight="1">
      <c r="A1280" s="17">
        <v>11279</v>
      </c>
      <c r="B1280" s="18">
        <v>45655</v>
      </c>
      <c r="C1280" s="17" t="s">
        <v>50</v>
      </c>
      <c r="D1280" s="17" t="s">
        <v>111</v>
      </c>
      <c r="E1280" s="17" t="s">
        <v>165</v>
      </c>
      <c r="F1280" s="17" t="s">
        <v>163</v>
      </c>
      <c r="G1280" s="17">
        <v>7</v>
      </c>
      <c r="H1280" s="17">
        <v>76663</v>
      </c>
      <c r="I1280" s="17">
        <v>536641</v>
      </c>
      <c r="J1280" s="17">
        <v>1465</v>
      </c>
      <c r="K1280" s="17">
        <v>535176</v>
      </c>
      <c r="L1280" s="17">
        <v>102632.62420000001</v>
      </c>
      <c r="M1280" s="17">
        <v>2024</v>
      </c>
      <c r="N1280" s="17" t="s">
        <v>169</v>
      </c>
    </row>
    <row r="1281" spans="1:14" ht="14.25" customHeight="1">
      <c r="A1281" s="17">
        <v>11280</v>
      </c>
      <c r="B1281" s="18">
        <v>45571</v>
      </c>
      <c r="C1281" s="17" t="s">
        <v>39</v>
      </c>
      <c r="D1281" s="17" t="s">
        <v>111</v>
      </c>
      <c r="E1281" s="17" t="s">
        <v>165</v>
      </c>
      <c r="F1281" s="17" t="s">
        <v>166</v>
      </c>
      <c r="G1281" s="17">
        <v>1</v>
      </c>
      <c r="H1281" s="17">
        <v>54704</v>
      </c>
      <c r="I1281" s="17">
        <v>54704</v>
      </c>
      <c r="J1281" s="17">
        <v>2151</v>
      </c>
      <c r="K1281" s="17">
        <v>52553</v>
      </c>
      <c r="L1281" s="17">
        <v>10858.73561</v>
      </c>
      <c r="M1281" s="17">
        <v>2024</v>
      </c>
      <c r="N1281" s="17" t="s">
        <v>174</v>
      </c>
    </row>
    <row r="1282" spans="1:14" ht="14.25" customHeight="1">
      <c r="A1282" s="17">
        <v>11281</v>
      </c>
      <c r="B1282" s="18">
        <v>45884</v>
      </c>
      <c r="C1282" s="17" t="s">
        <v>167</v>
      </c>
      <c r="D1282" s="17" t="s">
        <v>89</v>
      </c>
      <c r="E1282" s="17" t="s">
        <v>162</v>
      </c>
      <c r="F1282" s="17" t="s">
        <v>166</v>
      </c>
      <c r="G1282" s="17">
        <v>1</v>
      </c>
      <c r="H1282" s="17">
        <v>18834</v>
      </c>
      <c r="I1282" s="17">
        <v>18834</v>
      </c>
      <c r="J1282" s="17">
        <v>3483</v>
      </c>
      <c r="K1282" s="17">
        <v>15351</v>
      </c>
      <c r="L1282" s="17">
        <v>1558.9788659999999</v>
      </c>
      <c r="M1282" s="17">
        <v>2025</v>
      </c>
      <c r="N1282" s="17" t="s">
        <v>126</v>
      </c>
    </row>
    <row r="1283" spans="1:14" ht="14.25" customHeight="1">
      <c r="A1283" s="17">
        <v>11282</v>
      </c>
      <c r="B1283" s="18">
        <v>46005</v>
      </c>
      <c r="C1283" s="17" t="s">
        <v>45</v>
      </c>
      <c r="D1283" s="17" t="s">
        <v>83</v>
      </c>
      <c r="E1283" s="17" t="s">
        <v>168</v>
      </c>
      <c r="F1283" s="17" t="s">
        <v>172</v>
      </c>
      <c r="G1283" s="17">
        <v>4</v>
      </c>
      <c r="H1283" s="17">
        <v>13921</v>
      </c>
      <c r="I1283" s="17">
        <v>55684</v>
      </c>
      <c r="J1283" s="17">
        <v>573</v>
      </c>
      <c r="K1283" s="17">
        <v>55111</v>
      </c>
      <c r="L1283" s="17">
        <v>5794.0544110000001</v>
      </c>
      <c r="M1283" s="17">
        <v>2025</v>
      </c>
      <c r="N1283" s="17" t="s">
        <v>169</v>
      </c>
    </row>
    <row r="1284" spans="1:14" ht="14.25" customHeight="1">
      <c r="A1284" s="17">
        <v>11283</v>
      </c>
      <c r="B1284" s="18">
        <v>45449</v>
      </c>
      <c r="C1284" s="17" t="s">
        <v>39</v>
      </c>
      <c r="D1284" s="17" t="s">
        <v>111</v>
      </c>
      <c r="E1284" s="17" t="s">
        <v>168</v>
      </c>
      <c r="F1284" s="17" t="s">
        <v>172</v>
      </c>
      <c r="G1284" s="17">
        <v>9</v>
      </c>
      <c r="H1284" s="17">
        <v>33573</v>
      </c>
      <c r="I1284" s="17">
        <v>302157</v>
      </c>
      <c r="J1284" s="17">
        <v>774</v>
      </c>
      <c r="K1284" s="17">
        <v>301383</v>
      </c>
      <c r="L1284" s="17">
        <v>74734.410189999995</v>
      </c>
      <c r="M1284" s="17">
        <v>2024</v>
      </c>
      <c r="N1284" s="17" t="s">
        <v>120</v>
      </c>
    </row>
    <row r="1285" spans="1:14" ht="14.25" customHeight="1">
      <c r="A1285" s="17">
        <v>11284</v>
      </c>
      <c r="B1285" s="18">
        <v>45923</v>
      </c>
      <c r="C1285" s="17" t="s">
        <v>167</v>
      </c>
      <c r="D1285" s="17" t="s">
        <v>86</v>
      </c>
      <c r="E1285" s="17" t="s">
        <v>162</v>
      </c>
      <c r="F1285" s="17" t="s">
        <v>163</v>
      </c>
      <c r="G1285" s="17">
        <v>4</v>
      </c>
      <c r="H1285" s="17">
        <v>42876</v>
      </c>
      <c r="I1285" s="17">
        <v>171504</v>
      </c>
      <c r="J1285" s="17">
        <v>3365</v>
      </c>
      <c r="K1285" s="17">
        <v>168139</v>
      </c>
      <c r="L1285" s="17">
        <v>28353.879110000002</v>
      </c>
      <c r="M1285" s="17">
        <v>2025</v>
      </c>
      <c r="N1285" s="17" t="s">
        <v>129</v>
      </c>
    </row>
    <row r="1286" spans="1:14" ht="14.25" customHeight="1">
      <c r="A1286" s="17">
        <v>11285</v>
      </c>
      <c r="B1286" s="18">
        <v>45350</v>
      </c>
      <c r="C1286" s="17" t="s">
        <v>45</v>
      </c>
      <c r="D1286" s="17" t="s">
        <v>170</v>
      </c>
      <c r="E1286" s="17" t="s">
        <v>168</v>
      </c>
      <c r="F1286" s="17" t="s">
        <v>163</v>
      </c>
      <c r="G1286" s="17">
        <v>5</v>
      </c>
      <c r="H1286" s="17">
        <v>9266</v>
      </c>
      <c r="I1286" s="17">
        <v>46330</v>
      </c>
      <c r="J1286" s="17">
        <v>4338</v>
      </c>
      <c r="K1286" s="17">
        <v>41992</v>
      </c>
      <c r="L1286" s="17">
        <v>10093.727430000001</v>
      </c>
      <c r="M1286" s="17">
        <v>2024</v>
      </c>
      <c r="N1286" s="17" t="s">
        <v>175</v>
      </c>
    </row>
    <row r="1287" spans="1:14" ht="14.25" customHeight="1">
      <c r="A1287" s="17">
        <v>11286</v>
      </c>
      <c r="B1287" s="18">
        <v>46018</v>
      </c>
      <c r="C1287" s="17" t="s">
        <v>50</v>
      </c>
      <c r="D1287" s="17" t="s">
        <v>86</v>
      </c>
      <c r="E1287" s="17" t="s">
        <v>168</v>
      </c>
      <c r="F1287" s="17" t="s">
        <v>164</v>
      </c>
      <c r="G1287" s="17">
        <v>1</v>
      </c>
      <c r="H1287" s="17">
        <v>42713</v>
      </c>
      <c r="I1287" s="17">
        <v>42713</v>
      </c>
      <c r="J1287" s="17">
        <v>3930</v>
      </c>
      <c r="K1287" s="17">
        <v>38783</v>
      </c>
      <c r="L1287" s="17">
        <v>8124.4428909999997</v>
      </c>
      <c r="M1287" s="17">
        <v>2025</v>
      </c>
      <c r="N1287" s="17" t="s">
        <v>169</v>
      </c>
    </row>
    <row r="1288" spans="1:14" ht="14.25" customHeight="1">
      <c r="A1288" s="17">
        <v>11287</v>
      </c>
      <c r="B1288" s="18">
        <v>45419</v>
      </c>
      <c r="C1288" s="17" t="s">
        <v>45</v>
      </c>
      <c r="D1288" s="17" t="s">
        <v>170</v>
      </c>
      <c r="E1288" s="17" t="s">
        <v>168</v>
      </c>
      <c r="F1288" s="17" t="s">
        <v>163</v>
      </c>
      <c r="G1288" s="17">
        <v>2</v>
      </c>
      <c r="H1288" s="17">
        <v>13985</v>
      </c>
      <c r="I1288" s="17">
        <v>27970</v>
      </c>
      <c r="J1288" s="17">
        <v>2680</v>
      </c>
      <c r="K1288" s="17">
        <v>25290</v>
      </c>
      <c r="L1288" s="17">
        <v>3943.8552759999998</v>
      </c>
      <c r="M1288" s="17">
        <v>2024</v>
      </c>
      <c r="N1288" s="17" t="s">
        <v>117</v>
      </c>
    </row>
    <row r="1289" spans="1:14" ht="14.25" customHeight="1">
      <c r="A1289" s="17">
        <v>11288</v>
      </c>
      <c r="B1289" s="18">
        <v>46012</v>
      </c>
      <c r="C1289" s="17" t="s">
        <v>58</v>
      </c>
      <c r="D1289" s="17" t="s">
        <v>89</v>
      </c>
      <c r="E1289" s="17" t="s">
        <v>168</v>
      </c>
      <c r="F1289" s="17" t="s">
        <v>164</v>
      </c>
      <c r="G1289" s="17">
        <v>4</v>
      </c>
      <c r="H1289" s="17">
        <v>27068</v>
      </c>
      <c r="I1289" s="17">
        <v>108272</v>
      </c>
      <c r="J1289" s="17">
        <v>4960</v>
      </c>
      <c r="K1289" s="17">
        <v>103312</v>
      </c>
      <c r="L1289" s="17">
        <v>12668.76838</v>
      </c>
      <c r="M1289" s="17">
        <v>2025</v>
      </c>
      <c r="N1289" s="17" t="s">
        <v>169</v>
      </c>
    </row>
    <row r="1290" spans="1:14" ht="14.25" customHeight="1">
      <c r="A1290" s="17">
        <v>11289</v>
      </c>
      <c r="B1290" s="18">
        <v>45406</v>
      </c>
      <c r="C1290" s="17" t="s">
        <v>45</v>
      </c>
      <c r="D1290" s="17" t="s">
        <v>111</v>
      </c>
      <c r="E1290" s="17" t="s">
        <v>168</v>
      </c>
      <c r="F1290" s="17" t="s">
        <v>172</v>
      </c>
      <c r="G1290" s="17">
        <v>4</v>
      </c>
      <c r="H1290" s="17">
        <v>13366</v>
      </c>
      <c r="I1290" s="17">
        <v>53464</v>
      </c>
      <c r="J1290" s="17">
        <v>2220</v>
      </c>
      <c r="K1290" s="17">
        <v>51244</v>
      </c>
      <c r="L1290" s="17">
        <v>12643.061110000001</v>
      </c>
      <c r="M1290" s="17">
        <v>2024</v>
      </c>
      <c r="N1290" s="17" t="s">
        <v>114</v>
      </c>
    </row>
    <row r="1291" spans="1:14" ht="14.25" customHeight="1">
      <c r="A1291" s="17">
        <v>11290</v>
      </c>
      <c r="B1291" s="18">
        <v>45500</v>
      </c>
      <c r="C1291" s="17" t="s">
        <v>58</v>
      </c>
      <c r="D1291" s="17" t="s">
        <v>83</v>
      </c>
      <c r="E1291" s="17" t="s">
        <v>168</v>
      </c>
      <c r="F1291" s="17" t="s">
        <v>166</v>
      </c>
      <c r="G1291" s="17">
        <v>6</v>
      </c>
      <c r="H1291" s="17">
        <v>74384</v>
      </c>
      <c r="I1291" s="17">
        <v>446304</v>
      </c>
      <c r="J1291" s="17">
        <v>1439</v>
      </c>
      <c r="K1291" s="17">
        <v>444865</v>
      </c>
      <c r="L1291" s="17">
        <v>83489.789109999998</v>
      </c>
      <c r="M1291" s="17">
        <v>2024</v>
      </c>
      <c r="N1291" s="17" t="s">
        <v>123</v>
      </c>
    </row>
    <row r="1292" spans="1:14" ht="14.25" customHeight="1">
      <c r="A1292" s="17">
        <v>11291</v>
      </c>
      <c r="B1292" s="18">
        <v>45817</v>
      </c>
      <c r="C1292" s="17" t="s">
        <v>45</v>
      </c>
      <c r="D1292" s="17" t="s">
        <v>111</v>
      </c>
      <c r="E1292" s="17" t="s">
        <v>168</v>
      </c>
      <c r="F1292" s="17" t="s">
        <v>163</v>
      </c>
      <c r="G1292" s="17">
        <v>6</v>
      </c>
      <c r="H1292" s="17">
        <v>35472</v>
      </c>
      <c r="I1292" s="17">
        <v>212832</v>
      </c>
      <c r="J1292" s="17">
        <v>713</v>
      </c>
      <c r="K1292" s="17">
        <v>212119</v>
      </c>
      <c r="L1292" s="17">
        <v>27332.27419</v>
      </c>
      <c r="M1292" s="17">
        <v>2025</v>
      </c>
      <c r="N1292" s="17" t="s">
        <v>120</v>
      </c>
    </row>
    <row r="1293" spans="1:14" ht="14.25" customHeight="1">
      <c r="A1293" s="17">
        <v>11292</v>
      </c>
      <c r="B1293" s="18">
        <v>45812</v>
      </c>
      <c r="C1293" s="17" t="s">
        <v>58</v>
      </c>
      <c r="D1293" s="17" t="s">
        <v>170</v>
      </c>
      <c r="E1293" s="17" t="s">
        <v>168</v>
      </c>
      <c r="F1293" s="17" t="s">
        <v>166</v>
      </c>
      <c r="G1293" s="17">
        <v>8</v>
      </c>
      <c r="H1293" s="17">
        <v>8456</v>
      </c>
      <c r="I1293" s="17">
        <v>67648</v>
      </c>
      <c r="J1293" s="17">
        <v>575</v>
      </c>
      <c r="K1293" s="17">
        <v>67073</v>
      </c>
      <c r="L1293" s="17">
        <v>13565.376550000001</v>
      </c>
      <c r="M1293" s="17">
        <v>2025</v>
      </c>
      <c r="N1293" s="17" t="s">
        <v>120</v>
      </c>
    </row>
    <row r="1294" spans="1:14" ht="14.25" customHeight="1">
      <c r="A1294" s="17">
        <v>11293</v>
      </c>
      <c r="B1294" s="18">
        <v>45843</v>
      </c>
      <c r="C1294" s="17" t="s">
        <v>50</v>
      </c>
      <c r="D1294" s="17" t="s">
        <v>83</v>
      </c>
      <c r="E1294" s="17" t="s">
        <v>165</v>
      </c>
      <c r="F1294" s="17" t="s">
        <v>163</v>
      </c>
      <c r="G1294" s="17">
        <v>9</v>
      </c>
      <c r="H1294" s="17">
        <v>17031</v>
      </c>
      <c r="I1294" s="17">
        <v>153279</v>
      </c>
      <c r="J1294" s="17">
        <v>2981</v>
      </c>
      <c r="K1294" s="17">
        <v>150298</v>
      </c>
      <c r="L1294" s="17">
        <v>17105.00604</v>
      </c>
      <c r="M1294" s="17">
        <v>2025</v>
      </c>
      <c r="N1294" s="17" t="s">
        <v>123</v>
      </c>
    </row>
    <row r="1295" spans="1:14" ht="14.25" customHeight="1">
      <c r="A1295" s="17">
        <v>11294</v>
      </c>
      <c r="B1295" s="18">
        <v>45528</v>
      </c>
      <c r="C1295" s="17" t="s">
        <v>167</v>
      </c>
      <c r="D1295" s="17" t="s">
        <v>111</v>
      </c>
      <c r="E1295" s="17" t="s">
        <v>162</v>
      </c>
      <c r="F1295" s="17" t="s">
        <v>163</v>
      </c>
      <c r="G1295" s="17">
        <v>1</v>
      </c>
      <c r="H1295" s="17">
        <v>25026</v>
      </c>
      <c r="I1295" s="17">
        <v>25026</v>
      </c>
      <c r="J1295" s="17">
        <v>69</v>
      </c>
      <c r="K1295" s="17">
        <v>24957</v>
      </c>
      <c r="L1295" s="17">
        <v>5745.2409589999997</v>
      </c>
      <c r="M1295" s="17">
        <v>2024</v>
      </c>
      <c r="N1295" s="17" t="s">
        <v>126</v>
      </c>
    </row>
    <row r="1296" spans="1:14" ht="14.25" customHeight="1">
      <c r="A1296" s="17">
        <v>11295</v>
      </c>
      <c r="B1296" s="18">
        <v>45572</v>
      </c>
      <c r="C1296" s="17" t="s">
        <v>58</v>
      </c>
      <c r="D1296" s="17" t="s">
        <v>83</v>
      </c>
      <c r="E1296" s="17" t="s">
        <v>168</v>
      </c>
      <c r="F1296" s="17" t="s">
        <v>164</v>
      </c>
      <c r="G1296" s="17">
        <v>1</v>
      </c>
      <c r="H1296" s="17">
        <v>45887</v>
      </c>
      <c r="I1296" s="17">
        <v>45887</v>
      </c>
      <c r="J1296" s="17">
        <v>3764</v>
      </c>
      <c r="K1296" s="17">
        <v>42123</v>
      </c>
      <c r="L1296" s="17">
        <v>4781.8283220000003</v>
      </c>
      <c r="M1296" s="17">
        <v>2024</v>
      </c>
      <c r="N1296" s="17" t="s">
        <v>174</v>
      </c>
    </row>
    <row r="1297" spans="1:14" ht="14.25" customHeight="1">
      <c r="A1297" s="17">
        <v>11296</v>
      </c>
      <c r="B1297" s="18">
        <v>45650</v>
      </c>
      <c r="C1297" s="17" t="s">
        <v>58</v>
      </c>
      <c r="D1297" s="17" t="s">
        <v>170</v>
      </c>
      <c r="E1297" s="17" t="s">
        <v>162</v>
      </c>
      <c r="F1297" s="17" t="s">
        <v>163</v>
      </c>
      <c r="G1297" s="17">
        <v>6</v>
      </c>
      <c r="H1297" s="17">
        <v>33777</v>
      </c>
      <c r="I1297" s="17">
        <v>202662</v>
      </c>
      <c r="J1297" s="17">
        <v>4938</v>
      </c>
      <c r="K1297" s="17">
        <v>197724</v>
      </c>
      <c r="L1297" s="17">
        <v>26777.593990000001</v>
      </c>
      <c r="M1297" s="17">
        <v>2024</v>
      </c>
      <c r="N1297" s="17" t="s">
        <v>169</v>
      </c>
    </row>
    <row r="1298" spans="1:14" ht="14.25" customHeight="1">
      <c r="A1298" s="17">
        <v>11297</v>
      </c>
      <c r="B1298" s="18">
        <v>45492</v>
      </c>
      <c r="C1298" s="17" t="s">
        <v>50</v>
      </c>
      <c r="D1298" s="17" t="s">
        <v>89</v>
      </c>
      <c r="E1298" s="17" t="s">
        <v>168</v>
      </c>
      <c r="F1298" s="17" t="s">
        <v>172</v>
      </c>
      <c r="G1298" s="17">
        <v>4</v>
      </c>
      <c r="H1298" s="17">
        <v>47930</v>
      </c>
      <c r="I1298" s="17">
        <v>191720</v>
      </c>
      <c r="J1298" s="17">
        <v>2376</v>
      </c>
      <c r="K1298" s="17">
        <v>189344</v>
      </c>
      <c r="L1298" s="17">
        <v>21531.18116</v>
      </c>
      <c r="M1298" s="17">
        <v>2024</v>
      </c>
      <c r="N1298" s="17" t="s">
        <v>123</v>
      </c>
    </row>
    <row r="1299" spans="1:14" ht="14.25" customHeight="1">
      <c r="A1299" s="17">
        <v>11298</v>
      </c>
      <c r="B1299" s="18">
        <v>45569</v>
      </c>
      <c r="C1299" s="17" t="s">
        <v>58</v>
      </c>
      <c r="D1299" s="17" t="s">
        <v>89</v>
      </c>
      <c r="E1299" s="17" t="s">
        <v>168</v>
      </c>
      <c r="F1299" s="17" t="s">
        <v>166</v>
      </c>
      <c r="G1299" s="17">
        <v>4</v>
      </c>
      <c r="H1299" s="17">
        <v>6660</v>
      </c>
      <c r="I1299" s="17">
        <v>26640</v>
      </c>
      <c r="J1299" s="17">
        <v>2205</v>
      </c>
      <c r="K1299" s="17">
        <v>24435</v>
      </c>
      <c r="L1299" s="17">
        <v>2823.906097</v>
      </c>
      <c r="M1299" s="17">
        <v>2024</v>
      </c>
      <c r="N1299" s="17" t="s">
        <v>174</v>
      </c>
    </row>
    <row r="1300" spans="1:14" ht="14.25" customHeight="1">
      <c r="A1300" s="17">
        <v>11299</v>
      </c>
      <c r="B1300" s="18">
        <v>45526</v>
      </c>
      <c r="C1300" s="17" t="s">
        <v>39</v>
      </c>
      <c r="D1300" s="17" t="s">
        <v>111</v>
      </c>
      <c r="E1300" s="17" t="s">
        <v>165</v>
      </c>
      <c r="F1300" s="17" t="s">
        <v>163</v>
      </c>
      <c r="G1300" s="17">
        <v>1</v>
      </c>
      <c r="H1300" s="17">
        <v>32151</v>
      </c>
      <c r="I1300" s="17">
        <v>32151</v>
      </c>
      <c r="J1300" s="17">
        <v>917</v>
      </c>
      <c r="K1300" s="17">
        <v>31234</v>
      </c>
      <c r="L1300" s="17">
        <v>5577.615393</v>
      </c>
      <c r="M1300" s="17">
        <v>2024</v>
      </c>
      <c r="N1300" s="17" t="s">
        <v>126</v>
      </c>
    </row>
    <row r="1301" spans="1:14" ht="14.25" customHeight="1">
      <c r="A1301" s="17">
        <v>11300</v>
      </c>
      <c r="B1301" s="18">
        <v>45785</v>
      </c>
      <c r="C1301" s="17" t="s">
        <v>50</v>
      </c>
      <c r="D1301" s="17" t="s">
        <v>86</v>
      </c>
      <c r="E1301" s="17" t="s">
        <v>162</v>
      </c>
      <c r="F1301" s="17" t="s">
        <v>166</v>
      </c>
      <c r="G1301" s="17">
        <v>9</v>
      </c>
      <c r="H1301" s="17">
        <v>29613</v>
      </c>
      <c r="I1301" s="17">
        <v>266517</v>
      </c>
      <c r="J1301" s="17">
        <v>2745</v>
      </c>
      <c r="K1301" s="17">
        <v>263772</v>
      </c>
      <c r="L1301" s="17">
        <v>53558.501129999997</v>
      </c>
      <c r="M1301" s="17">
        <v>2025</v>
      </c>
      <c r="N1301" s="17" t="s">
        <v>117</v>
      </c>
    </row>
    <row r="1302" spans="1:14" ht="14.25" customHeight="1">
      <c r="A1302" s="17">
        <v>11301</v>
      </c>
      <c r="B1302" s="18">
        <v>45295</v>
      </c>
      <c r="C1302" s="17" t="s">
        <v>39</v>
      </c>
      <c r="D1302" s="17" t="s">
        <v>170</v>
      </c>
      <c r="E1302" s="17" t="s">
        <v>162</v>
      </c>
      <c r="F1302" s="17" t="s">
        <v>166</v>
      </c>
      <c r="G1302" s="17">
        <v>3</v>
      </c>
      <c r="H1302" s="17">
        <v>70266</v>
      </c>
      <c r="I1302" s="17">
        <v>210798</v>
      </c>
      <c r="J1302" s="17">
        <v>742</v>
      </c>
      <c r="K1302" s="17">
        <v>210056</v>
      </c>
      <c r="L1302" s="17">
        <v>45849.399420000002</v>
      </c>
      <c r="M1302" s="17">
        <v>2024</v>
      </c>
      <c r="N1302" s="17" t="s">
        <v>171</v>
      </c>
    </row>
    <row r="1303" spans="1:14" ht="14.25" customHeight="1">
      <c r="A1303" s="17">
        <v>11302</v>
      </c>
      <c r="B1303" s="18">
        <v>45957</v>
      </c>
      <c r="C1303" s="17" t="s">
        <v>50</v>
      </c>
      <c r="D1303" s="17" t="s">
        <v>111</v>
      </c>
      <c r="E1303" s="17" t="s">
        <v>165</v>
      </c>
      <c r="F1303" s="17" t="s">
        <v>166</v>
      </c>
      <c r="G1303" s="17">
        <v>5</v>
      </c>
      <c r="H1303" s="17">
        <v>59738</v>
      </c>
      <c r="I1303" s="17">
        <v>298690</v>
      </c>
      <c r="J1303" s="17">
        <v>4150</v>
      </c>
      <c r="K1303" s="17">
        <v>294540</v>
      </c>
      <c r="L1303" s="17">
        <v>60162.23775</v>
      </c>
      <c r="M1303" s="17">
        <v>2025</v>
      </c>
      <c r="N1303" s="17" t="s">
        <v>174</v>
      </c>
    </row>
    <row r="1304" spans="1:14" ht="14.25" customHeight="1">
      <c r="A1304" s="17">
        <v>11303</v>
      </c>
      <c r="B1304" s="18">
        <v>45733</v>
      </c>
      <c r="C1304" s="17" t="s">
        <v>58</v>
      </c>
      <c r="D1304" s="17" t="s">
        <v>111</v>
      </c>
      <c r="E1304" s="17" t="s">
        <v>165</v>
      </c>
      <c r="F1304" s="17" t="s">
        <v>163</v>
      </c>
      <c r="G1304" s="17">
        <v>1</v>
      </c>
      <c r="H1304" s="17">
        <v>50777</v>
      </c>
      <c r="I1304" s="17">
        <v>50777</v>
      </c>
      <c r="J1304" s="17">
        <v>2533</v>
      </c>
      <c r="K1304" s="17">
        <v>48244</v>
      </c>
      <c r="L1304" s="17">
        <v>7454.8303740000001</v>
      </c>
      <c r="M1304" s="17">
        <v>2025</v>
      </c>
      <c r="N1304" s="17" t="s">
        <v>112</v>
      </c>
    </row>
    <row r="1305" spans="1:14" ht="14.25" customHeight="1">
      <c r="A1305" s="17">
        <v>11304</v>
      </c>
      <c r="B1305" s="18">
        <v>45320</v>
      </c>
      <c r="C1305" s="17" t="s">
        <v>39</v>
      </c>
      <c r="D1305" s="17" t="s">
        <v>89</v>
      </c>
      <c r="E1305" s="17" t="s">
        <v>162</v>
      </c>
      <c r="F1305" s="17" t="s">
        <v>164</v>
      </c>
      <c r="G1305" s="17">
        <v>8</v>
      </c>
      <c r="H1305" s="17">
        <v>35702</v>
      </c>
      <c r="I1305" s="17">
        <v>285616</v>
      </c>
      <c r="J1305" s="17">
        <v>1837</v>
      </c>
      <c r="K1305" s="17">
        <v>283779</v>
      </c>
      <c r="L1305" s="17">
        <v>52099.88564</v>
      </c>
      <c r="M1305" s="17">
        <v>2024</v>
      </c>
      <c r="N1305" s="17" t="s">
        <v>171</v>
      </c>
    </row>
    <row r="1306" spans="1:14" ht="14.25" customHeight="1">
      <c r="A1306" s="17">
        <v>11305</v>
      </c>
      <c r="B1306" s="18">
        <v>45400</v>
      </c>
      <c r="C1306" s="17" t="s">
        <v>58</v>
      </c>
      <c r="D1306" s="17" t="s">
        <v>83</v>
      </c>
      <c r="E1306" s="17" t="s">
        <v>168</v>
      </c>
      <c r="F1306" s="17" t="s">
        <v>166</v>
      </c>
      <c r="G1306" s="17">
        <v>3</v>
      </c>
      <c r="H1306" s="17">
        <v>66804</v>
      </c>
      <c r="I1306" s="17">
        <v>200412</v>
      </c>
      <c r="J1306" s="17">
        <v>1376</v>
      </c>
      <c r="K1306" s="17">
        <v>199036</v>
      </c>
      <c r="L1306" s="17">
        <v>47599.382010000001</v>
      </c>
      <c r="M1306" s="17">
        <v>2024</v>
      </c>
      <c r="N1306" s="17" t="s">
        <v>114</v>
      </c>
    </row>
    <row r="1307" spans="1:14" ht="14.25" customHeight="1">
      <c r="A1307" s="17">
        <v>11306</v>
      </c>
      <c r="B1307" s="18">
        <v>45901</v>
      </c>
      <c r="C1307" s="17" t="s">
        <v>50</v>
      </c>
      <c r="D1307" s="17" t="s">
        <v>170</v>
      </c>
      <c r="E1307" s="17" t="s">
        <v>168</v>
      </c>
      <c r="F1307" s="17" t="s">
        <v>166</v>
      </c>
      <c r="G1307" s="17">
        <v>1</v>
      </c>
      <c r="H1307" s="17">
        <v>18021</v>
      </c>
      <c r="I1307" s="17">
        <v>18021</v>
      </c>
      <c r="J1307" s="17">
        <v>409</v>
      </c>
      <c r="K1307" s="17">
        <v>17612</v>
      </c>
      <c r="L1307" s="17">
        <v>2785.0999029999998</v>
      </c>
      <c r="M1307" s="17">
        <v>2025</v>
      </c>
      <c r="N1307" s="17" t="s">
        <v>129</v>
      </c>
    </row>
    <row r="1308" spans="1:14" ht="14.25" customHeight="1">
      <c r="A1308" s="17">
        <v>11307</v>
      </c>
      <c r="B1308" s="18">
        <v>46018</v>
      </c>
      <c r="C1308" s="17" t="s">
        <v>58</v>
      </c>
      <c r="D1308" s="17" t="s">
        <v>83</v>
      </c>
      <c r="E1308" s="17" t="s">
        <v>162</v>
      </c>
      <c r="F1308" s="17" t="s">
        <v>163</v>
      </c>
      <c r="G1308" s="17">
        <v>6</v>
      </c>
      <c r="H1308" s="17">
        <v>49001</v>
      </c>
      <c r="I1308" s="17">
        <v>294006</v>
      </c>
      <c r="J1308" s="17">
        <v>3007</v>
      </c>
      <c r="K1308" s="17">
        <v>290999</v>
      </c>
      <c r="L1308" s="17">
        <v>40117.312850000002</v>
      </c>
      <c r="M1308" s="17">
        <v>2025</v>
      </c>
      <c r="N1308" s="17" t="s">
        <v>169</v>
      </c>
    </row>
    <row r="1309" spans="1:14" ht="14.25" customHeight="1">
      <c r="A1309" s="17">
        <v>11308</v>
      </c>
      <c r="B1309" s="18">
        <v>45366</v>
      </c>
      <c r="C1309" s="17" t="s">
        <v>39</v>
      </c>
      <c r="D1309" s="17" t="s">
        <v>170</v>
      </c>
      <c r="E1309" s="17" t="s">
        <v>168</v>
      </c>
      <c r="F1309" s="17" t="s">
        <v>163</v>
      </c>
      <c r="G1309" s="17">
        <v>1</v>
      </c>
      <c r="H1309" s="17">
        <v>24092</v>
      </c>
      <c r="I1309" s="17">
        <v>24092</v>
      </c>
      <c r="J1309" s="17">
        <v>2952</v>
      </c>
      <c r="K1309" s="17">
        <v>21140</v>
      </c>
      <c r="L1309" s="17">
        <v>3760.7616760000001</v>
      </c>
      <c r="M1309" s="17">
        <v>2024</v>
      </c>
      <c r="N1309" s="17" t="s">
        <v>112</v>
      </c>
    </row>
    <row r="1310" spans="1:14" ht="14.25" customHeight="1">
      <c r="A1310" s="17">
        <v>11309</v>
      </c>
      <c r="B1310" s="18">
        <v>45437</v>
      </c>
      <c r="C1310" s="17" t="s">
        <v>39</v>
      </c>
      <c r="D1310" s="17" t="s">
        <v>86</v>
      </c>
      <c r="E1310" s="17" t="s">
        <v>165</v>
      </c>
      <c r="F1310" s="17" t="s">
        <v>172</v>
      </c>
      <c r="G1310" s="17">
        <v>3</v>
      </c>
      <c r="H1310" s="17">
        <v>33915</v>
      </c>
      <c r="I1310" s="17">
        <v>101745</v>
      </c>
      <c r="J1310" s="17">
        <v>4242</v>
      </c>
      <c r="K1310" s="17">
        <v>97503</v>
      </c>
      <c r="L1310" s="17">
        <v>14098.96127</v>
      </c>
      <c r="M1310" s="17">
        <v>2024</v>
      </c>
      <c r="N1310" s="17" t="s">
        <v>117</v>
      </c>
    </row>
    <row r="1311" spans="1:14" ht="14.25" customHeight="1">
      <c r="A1311" s="17">
        <v>11310</v>
      </c>
      <c r="B1311" s="18">
        <v>45419</v>
      </c>
      <c r="C1311" s="17" t="s">
        <v>58</v>
      </c>
      <c r="D1311" s="17" t="s">
        <v>89</v>
      </c>
      <c r="E1311" s="17" t="s">
        <v>165</v>
      </c>
      <c r="F1311" s="17" t="s">
        <v>172</v>
      </c>
      <c r="G1311" s="17">
        <v>5</v>
      </c>
      <c r="H1311" s="17">
        <v>58323</v>
      </c>
      <c r="I1311" s="17">
        <v>291615</v>
      </c>
      <c r="J1311" s="17">
        <v>1679</v>
      </c>
      <c r="K1311" s="17">
        <v>289936</v>
      </c>
      <c r="L1311" s="17">
        <v>40380.128320000003</v>
      </c>
      <c r="M1311" s="17">
        <v>2024</v>
      </c>
      <c r="N1311" s="17" t="s">
        <v>117</v>
      </c>
    </row>
    <row r="1312" spans="1:14" ht="14.25" customHeight="1">
      <c r="A1312" s="17">
        <v>11311</v>
      </c>
      <c r="B1312" s="18">
        <v>45333</v>
      </c>
      <c r="C1312" s="17" t="s">
        <v>45</v>
      </c>
      <c r="D1312" s="17" t="s">
        <v>86</v>
      </c>
      <c r="E1312" s="17" t="s">
        <v>165</v>
      </c>
      <c r="F1312" s="17" t="s">
        <v>164</v>
      </c>
      <c r="G1312" s="17">
        <v>4</v>
      </c>
      <c r="H1312" s="17">
        <v>56902</v>
      </c>
      <c r="I1312" s="17">
        <v>227608</v>
      </c>
      <c r="J1312" s="17">
        <v>1714</v>
      </c>
      <c r="K1312" s="17">
        <v>225894</v>
      </c>
      <c r="L1312" s="17">
        <v>48978.448940000002</v>
      </c>
      <c r="M1312" s="17">
        <v>2024</v>
      </c>
      <c r="N1312" s="17" t="s">
        <v>175</v>
      </c>
    </row>
    <row r="1313" spans="1:14" ht="14.25" customHeight="1">
      <c r="A1313" s="17">
        <v>11312</v>
      </c>
      <c r="B1313" s="18">
        <v>45647</v>
      </c>
      <c r="C1313" s="17" t="s">
        <v>50</v>
      </c>
      <c r="D1313" s="17" t="s">
        <v>111</v>
      </c>
      <c r="E1313" s="17" t="s">
        <v>162</v>
      </c>
      <c r="F1313" s="17" t="s">
        <v>164</v>
      </c>
      <c r="G1313" s="17">
        <v>7</v>
      </c>
      <c r="H1313" s="17">
        <v>20739</v>
      </c>
      <c r="I1313" s="17">
        <v>145173</v>
      </c>
      <c r="J1313" s="17">
        <v>1197</v>
      </c>
      <c r="K1313" s="17">
        <v>143976</v>
      </c>
      <c r="L1313" s="17">
        <v>33636.447509999998</v>
      </c>
      <c r="M1313" s="17">
        <v>2024</v>
      </c>
      <c r="N1313" s="17" t="s">
        <v>169</v>
      </c>
    </row>
    <row r="1314" spans="1:14" ht="14.25" customHeight="1">
      <c r="A1314" s="17">
        <v>11313</v>
      </c>
      <c r="B1314" s="18">
        <v>45332</v>
      </c>
      <c r="C1314" s="17" t="s">
        <v>50</v>
      </c>
      <c r="D1314" s="17" t="s">
        <v>89</v>
      </c>
      <c r="E1314" s="17" t="s">
        <v>162</v>
      </c>
      <c r="F1314" s="17" t="s">
        <v>164</v>
      </c>
      <c r="G1314" s="17">
        <v>6</v>
      </c>
      <c r="H1314" s="17">
        <v>78012</v>
      </c>
      <c r="I1314" s="17">
        <v>468072</v>
      </c>
      <c r="J1314" s="17">
        <v>2337</v>
      </c>
      <c r="K1314" s="17">
        <v>465735</v>
      </c>
      <c r="L1314" s="17">
        <v>81665.469039999996</v>
      </c>
      <c r="M1314" s="17">
        <v>2024</v>
      </c>
      <c r="N1314" s="17" t="s">
        <v>175</v>
      </c>
    </row>
    <row r="1315" spans="1:14" ht="14.25" customHeight="1">
      <c r="A1315" s="17">
        <v>11314</v>
      </c>
      <c r="B1315" s="18">
        <v>45325</v>
      </c>
      <c r="C1315" s="17" t="s">
        <v>58</v>
      </c>
      <c r="D1315" s="17" t="s">
        <v>111</v>
      </c>
      <c r="E1315" s="17" t="s">
        <v>162</v>
      </c>
      <c r="F1315" s="17" t="s">
        <v>164</v>
      </c>
      <c r="G1315" s="17">
        <v>3</v>
      </c>
      <c r="H1315" s="17">
        <v>78467</v>
      </c>
      <c r="I1315" s="17">
        <v>235401</v>
      </c>
      <c r="J1315" s="17">
        <v>3216</v>
      </c>
      <c r="K1315" s="17">
        <v>232185</v>
      </c>
      <c r="L1315" s="17">
        <v>50376.583270000003</v>
      </c>
      <c r="M1315" s="17">
        <v>2024</v>
      </c>
      <c r="N1315" s="17" t="s">
        <v>175</v>
      </c>
    </row>
    <row r="1316" spans="1:14" ht="14.25" customHeight="1">
      <c r="A1316" s="17">
        <v>11315</v>
      </c>
      <c r="B1316" s="18">
        <v>45308</v>
      </c>
      <c r="C1316" s="17" t="s">
        <v>45</v>
      </c>
      <c r="D1316" s="17" t="s">
        <v>86</v>
      </c>
      <c r="E1316" s="17" t="s">
        <v>168</v>
      </c>
      <c r="F1316" s="17" t="s">
        <v>166</v>
      </c>
      <c r="G1316" s="17">
        <v>8</v>
      </c>
      <c r="H1316" s="17">
        <v>18699</v>
      </c>
      <c r="I1316" s="17">
        <v>149592</v>
      </c>
      <c r="J1316" s="17">
        <v>2956</v>
      </c>
      <c r="K1316" s="17">
        <v>146636</v>
      </c>
      <c r="L1316" s="17">
        <v>18778.706760000001</v>
      </c>
      <c r="M1316" s="17">
        <v>2024</v>
      </c>
      <c r="N1316" s="17" t="s">
        <v>171</v>
      </c>
    </row>
    <row r="1317" spans="1:14" ht="14.25" customHeight="1">
      <c r="A1317" s="17">
        <v>11316</v>
      </c>
      <c r="B1317" s="18">
        <v>45968</v>
      </c>
      <c r="C1317" s="17" t="s">
        <v>39</v>
      </c>
      <c r="D1317" s="17" t="s">
        <v>170</v>
      </c>
      <c r="E1317" s="17" t="s">
        <v>162</v>
      </c>
      <c r="F1317" s="17" t="s">
        <v>163</v>
      </c>
      <c r="G1317" s="17">
        <v>8</v>
      </c>
      <c r="H1317" s="17">
        <v>7804</v>
      </c>
      <c r="I1317" s="17">
        <v>62432</v>
      </c>
      <c r="J1317" s="17">
        <v>3193</v>
      </c>
      <c r="K1317" s="17">
        <v>59239</v>
      </c>
      <c r="L1317" s="17">
        <v>10790.17367</v>
      </c>
      <c r="M1317" s="17">
        <v>2025</v>
      </c>
      <c r="N1317" s="17" t="s">
        <v>173</v>
      </c>
    </row>
    <row r="1318" spans="1:14" ht="14.25" customHeight="1">
      <c r="A1318" s="17">
        <v>11317</v>
      </c>
      <c r="B1318" s="18">
        <v>45444</v>
      </c>
      <c r="C1318" s="17" t="s">
        <v>167</v>
      </c>
      <c r="D1318" s="17" t="s">
        <v>111</v>
      </c>
      <c r="E1318" s="17" t="s">
        <v>162</v>
      </c>
      <c r="F1318" s="17" t="s">
        <v>172</v>
      </c>
      <c r="G1318" s="17">
        <v>2</v>
      </c>
      <c r="H1318" s="17">
        <v>53904</v>
      </c>
      <c r="I1318" s="17">
        <v>107808</v>
      </c>
      <c r="J1318" s="17">
        <v>26</v>
      </c>
      <c r="K1318" s="17">
        <v>107782</v>
      </c>
      <c r="L1318" s="17">
        <v>21063.835330000002</v>
      </c>
      <c r="M1318" s="17">
        <v>2024</v>
      </c>
      <c r="N1318" s="17" t="s">
        <v>120</v>
      </c>
    </row>
    <row r="1319" spans="1:14" ht="14.25" customHeight="1">
      <c r="A1319" s="17">
        <v>11318</v>
      </c>
      <c r="B1319" s="18">
        <v>45669</v>
      </c>
      <c r="C1319" s="17" t="s">
        <v>167</v>
      </c>
      <c r="D1319" s="17" t="s">
        <v>83</v>
      </c>
      <c r="E1319" s="17" t="s">
        <v>165</v>
      </c>
      <c r="F1319" s="17" t="s">
        <v>166</v>
      </c>
      <c r="G1319" s="17">
        <v>7</v>
      </c>
      <c r="H1319" s="17">
        <v>59596</v>
      </c>
      <c r="I1319" s="17">
        <v>417172</v>
      </c>
      <c r="J1319" s="17">
        <v>3137</v>
      </c>
      <c r="K1319" s="17">
        <v>414035</v>
      </c>
      <c r="L1319" s="17">
        <v>71876.320810000005</v>
      </c>
      <c r="M1319" s="17">
        <v>2025</v>
      </c>
      <c r="N1319" s="17" t="s">
        <v>171</v>
      </c>
    </row>
    <row r="1320" spans="1:14" ht="14.25" customHeight="1">
      <c r="A1320" s="17">
        <v>11319</v>
      </c>
      <c r="B1320" s="18">
        <v>45879</v>
      </c>
      <c r="C1320" s="17" t="s">
        <v>58</v>
      </c>
      <c r="D1320" s="17" t="s">
        <v>170</v>
      </c>
      <c r="E1320" s="17" t="s">
        <v>168</v>
      </c>
      <c r="F1320" s="17" t="s">
        <v>163</v>
      </c>
      <c r="G1320" s="17">
        <v>1</v>
      </c>
      <c r="H1320" s="17">
        <v>54993</v>
      </c>
      <c r="I1320" s="17">
        <v>54993</v>
      </c>
      <c r="J1320" s="17">
        <v>2973</v>
      </c>
      <c r="K1320" s="17">
        <v>52020</v>
      </c>
      <c r="L1320" s="17">
        <v>6114.0163279999997</v>
      </c>
      <c r="M1320" s="17">
        <v>2025</v>
      </c>
      <c r="N1320" s="17" t="s">
        <v>126</v>
      </c>
    </row>
    <row r="1321" spans="1:14" ht="14.25" customHeight="1">
      <c r="A1321" s="17">
        <v>11320</v>
      </c>
      <c r="B1321" s="18">
        <v>45890</v>
      </c>
      <c r="C1321" s="17" t="s">
        <v>45</v>
      </c>
      <c r="D1321" s="17" t="s">
        <v>170</v>
      </c>
      <c r="E1321" s="17" t="s">
        <v>168</v>
      </c>
      <c r="F1321" s="17" t="s">
        <v>163</v>
      </c>
      <c r="G1321" s="17">
        <v>2</v>
      </c>
      <c r="H1321" s="17">
        <v>69366</v>
      </c>
      <c r="I1321" s="17">
        <v>138732</v>
      </c>
      <c r="J1321" s="17">
        <v>3165</v>
      </c>
      <c r="K1321" s="17">
        <v>135567</v>
      </c>
      <c r="L1321" s="17">
        <v>28484.664919999999</v>
      </c>
      <c r="M1321" s="17">
        <v>2025</v>
      </c>
      <c r="N1321" s="17" t="s">
        <v>126</v>
      </c>
    </row>
    <row r="1322" spans="1:14" ht="14.25" customHeight="1">
      <c r="A1322" s="17">
        <v>11321</v>
      </c>
      <c r="B1322" s="18">
        <v>45920</v>
      </c>
      <c r="C1322" s="17" t="s">
        <v>45</v>
      </c>
      <c r="D1322" s="17" t="s">
        <v>86</v>
      </c>
      <c r="E1322" s="17" t="s">
        <v>165</v>
      </c>
      <c r="F1322" s="17" t="s">
        <v>166</v>
      </c>
      <c r="G1322" s="17">
        <v>8</v>
      </c>
      <c r="H1322" s="17">
        <v>43343</v>
      </c>
      <c r="I1322" s="17">
        <v>346744</v>
      </c>
      <c r="J1322" s="17">
        <v>1090</v>
      </c>
      <c r="K1322" s="17">
        <v>345654</v>
      </c>
      <c r="L1322" s="17">
        <v>78070.009239999999</v>
      </c>
      <c r="M1322" s="17">
        <v>2025</v>
      </c>
      <c r="N1322" s="17" t="s">
        <v>129</v>
      </c>
    </row>
    <row r="1323" spans="1:14" ht="14.25" customHeight="1">
      <c r="A1323" s="17">
        <v>11322</v>
      </c>
      <c r="B1323" s="18">
        <v>45633</v>
      </c>
      <c r="C1323" s="17" t="s">
        <v>50</v>
      </c>
      <c r="D1323" s="17" t="s">
        <v>86</v>
      </c>
      <c r="E1323" s="17" t="s">
        <v>168</v>
      </c>
      <c r="F1323" s="17" t="s">
        <v>166</v>
      </c>
      <c r="G1323" s="17">
        <v>1</v>
      </c>
      <c r="H1323" s="17">
        <v>16775</v>
      </c>
      <c r="I1323" s="17">
        <v>16775</v>
      </c>
      <c r="J1323" s="17">
        <v>249</v>
      </c>
      <c r="K1323" s="17">
        <v>16526</v>
      </c>
      <c r="L1323" s="17">
        <v>3227.2623629999998</v>
      </c>
      <c r="M1323" s="17">
        <v>2024</v>
      </c>
      <c r="N1323" s="17" t="s">
        <v>169</v>
      </c>
    </row>
    <row r="1324" spans="1:14" ht="14.25" customHeight="1">
      <c r="A1324" s="17">
        <v>11323</v>
      </c>
      <c r="B1324" s="18">
        <v>45318</v>
      </c>
      <c r="C1324" s="17" t="s">
        <v>39</v>
      </c>
      <c r="D1324" s="17" t="s">
        <v>89</v>
      </c>
      <c r="E1324" s="17" t="s">
        <v>162</v>
      </c>
      <c r="F1324" s="17" t="s">
        <v>172</v>
      </c>
      <c r="G1324" s="17">
        <v>2</v>
      </c>
      <c r="H1324" s="17">
        <v>68012</v>
      </c>
      <c r="I1324" s="17">
        <v>136024</v>
      </c>
      <c r="J1324" s="17">
        <v>141</v>
      </c>
      <c r="K1324" s="17">
        <v>135883</v>
      </c>
      <c r="L1324" s="17">
        <v>17036.215660000002</v>
      </c>
      <c r="M1324" s="17">
        <v>2024</v>
      </c>
      <c r="N1324" s="17" t="s">
        <v>171</v>
      </c>
    </row>
    <row r="1325" spans="1:14" ht="14.25" customHeight="1">
      <c r="A1325" s="17">
        <v>11324</v>
      </c>
      <c r="B1325" s="18">
        <v>45578</v>
      </c>
      <c r="C1325" s="17" t="s">
        <v>45</v>
      </c>
      <c r="D1325" s="17" t="s">
        <v>89</v>
      </c>
      <c r="E1325" s="17" t="s">
        <v>168</v>
      </c>
      <c r="F1325" s="17" t="s">
        <v>164</v>
      </c>
      <c r="G1325" s="17">
        <v>1</v>
      </c>
      <c r="H1325" s="17">
        <v>52686</v>
      </c>
      <c r="I1325" s="17">
        <v>52686</v>
      </c>
      <c r="J1325" s="17">
        <v>266</v>
      </c>
      <c r="K1325" s="17">
        <v>52420</v>
      </c>
      <c r="L1325" s="17">
        <v>5828.2058349999998</v>
      </c>
      <c r="M1325" s="17">
        <v>2024</v>
      </c>
      <c r="N1325" s="17" t="s">
        <v>174</v>
      </c>
    </row>
    <row r="1326" spans="1:14" ht="14.25" customHeight="1">
      <c r="A1326" s="17">
        <v>11325</v>
      </c>
      <c r="B1326" s="18">
        <v>45937</v>
      </c>
      <c r="C1326" s="17" t="s">
        <v>167</v>
      </c>
      <c r="D1326" s="17" t="s">
        <v>83</v>
      </c>
      <c r="E1326" s="17" t="s">
        <v>165</v>
      </c>
      <c r="F1326" s="17" t="s">
        <v>164</v>
      </c>
      <c r="G1326" s="17">
        <v>5</v>
      </c>
      <c r="H1326" s="17">
        <v>60557</v>
      </c>
      <c r="I1326" s="17">
        <v>302785</v>
      </c>
      <c r="J1326" s="17">
        <v>4310</v>
      </c>
      <c r="K1326" s="17">
        <v>298475</v>
      </c>
      <c r="L1326" s="17">
        <v>43350.683969999998</v>
      </c>
      <c r="M1326" s="17">
        <v>2025</v>
      </c>
      <c r="N1326" s="17" t="s">
        <v>174</v>
      </c>
    </row>
    <row r="1327" spans="1:14" ht="14.25" customHeight="1">
      <c r="A1327" s="17">
        <v>11326</v>
      </c>
      <c r="B1327" s="18">
        <v>46022</v>
      </c>
      <c r="C1327" s="17" t="s">
        <v>39</v>
      </c>
      <c r="D1327" s="17" t="s">
        <v>170</v>
      </c>
      <c r="E1327" s="17" t="s">
        <v>168</v>
      </c>
      <c r="F1327" s="17" t="s">
        <v>172</v>
      </c>
      <c r="G1327" s="17">
        <v>7</v>
      </c>
      <c r="H1327" s="17">
        <v>69236</v>
      </c>
      <c r="I1327" s="17">
        <v>484652</v>
      </c>
      <c r="J1327" s="17">
        <v>488</v>
      </c>
      <c r="K1327" s="17">
        <v>484164</v>
      </c>
      <c r="L1327" s="17">
        <v>51102.792079999999</v>
      </c>
      <c r="M1327" s="17">
        <v>2025</v>
      </c>
      <c r="N1327" s="17" t="s">
        <v>169</v>
      </c>
    </row>
    <row r="1328" spans="1:14" ht="14.25" customHeight="1">
      <c r="A1328" s="17">
        <v>11327</v>
      </c>
      <c r="B1328" s="18">
        <v>45459</v>
      </c>
      <c r="C1328" s="17" t="s">
        <v>39</v>
      </c>
      <c r="D1328" s="17" t="s">
        <v>83</v>
      </c>
      <c r="E1328" s="17" t="s">
        <v>165</v>
      </c>
      <c r="F1328" s="17" t="s">
        <v>172</v>
      </c>
      <c r="G1328" s="17">
        <v>6</v>
      </c>
      <c r="H1328" s="17">
        <v>50874</v>
      </c>
      <c r="I1328" s="17">
        <v>305244</v>
      </c>
      <c r="J1328" s="17">
        <v>495</v>
      </c>
      <c r="K1328" s="17">
        <v>304749</v>
      </c>
      <c r="L1328" s="17">
        <v>68837.573130000004</v>
      </c>
      <c r="M1328" s="17">
        <v>2024</v>
      </c>
      <c r="N1328" s="17" t="s">
        <v>120</v>
      </c>
    </row>
    <row r="1329" spans="1:14" ht="14.25" customHeight="1">
      <c r="A1329" s="17">
        <v>11328</v>
      </c>
      <c r="B1329" s="18">
        <v>45901</v>
      </c>
      <c r="C1329" s="17" t="s">
        <v>58</v>
      </c>
      <c r="D1329" s="17" t="s">
        <v>83</v>
      </c>
      <c r="E1329" s="17" t="s">
        <v>162</v>
      </c>
      <c r="F1329" s="17" t="s">
        <v>164</v>
      </c>
      <c r="G1329" s="17">
        <v>6</v>
      </c>
      <c r="H1329" s="17">
        <v>36586</v>
      </c>
      <c r="I1329" s="17">
        <v>219516</v>
      </c>
      <c r="J1329" s="17">
        <v>479</v>
      </c>
      <c r="K1329" s="17">
        <v>219037</v>
      </c>
      <c r="L1329" s="17">
        <v>45003.137439999999</v>
      </c>
      <c r="M1329" s="17">
        <v>2025</v>
      </c>
      <c r="N1329" s="17" t="s">
        <v>129</v>
      </c>
    </row>
    <row r="1330" spans="1:14" ht="14.25" customHeight="1">
      <c r="A1330" s="17">
        <v>11329</v>
      </c>
      <c r="B1330" s="18">
        <v>45559</v>
      </c>
      <c r="C1330" s="17" t="s">
        <v>45</v>
      </c>
      <c r="D1330" s="17" t="s">
        <v>86</v>
      </c>
      <c r="E1330" s="17" t="s">
        <v>162</v>
      </c>
      <c r="F1330" s="17" t="s">
        <v>166</v>
      </c>
      <c r="G1330" s="17">
        <v>6</v>
      </c>
      <c r="H1330" s="17">
        <v>62009</v>
      </c>
      <c r="I1330" s="17">
        <v>372054</v>
      </c>
      <c r="J1330" s="17">
        <v>2690</v>
      </c>
      <c r="K1330" s="17">
        <v>369364</v>
      </c>
      <c r="L1330" s="17">
        <v>68167.344790000003</v>
      </c>
      <c r="M1330" s="17">
        <v>2024</v>
      </c>
      <c r="N1330" s="17" t="s">
        <v>129</v>
      </c>
    </row>
    <row r="1331" spans="1:14" ht="14.25" customHeight="1">
      <c r="A1331" s="17">
        <v>11330</v>
      </c>
      <c r="B1331" s="18">
        <v>45746</v>
      </c>
      <c r="C1331" s="17" t="s">
        <v>58</v>
      </c>
      <c r="D1331" s="17" t="s">
        <v>83</v>
      </c>
      <c r="E1331" s="17" t="s">
        <v>165</v>
      </c>
      <c r="F1331" s="17" t="s">
        <v>164</v>
      </c>
      <c r="G1331" s="17">
        <v>8</v>
      </c>
      <c r="H1331" s="17">
        <v>5607</v>
      </c>
      <c r="I1331" s="17">
        <v>44856</v>
      </c>
      <c r="J1331" s="17">
        <v>4096</v>
      </c>
      <c r="K1331" s="17">
        <v>40760</v>
      </c>
      <c r="L1331" s="17">
        <v>9515.2131260000006</v>
      </c>
      <c r="M1331" s="17">
        <v>2025</v>
      </c>
      <c r="N1331" s="17" t="s">
        <v>112</v>
      </c>
    </row>
    <row r="1332" spans="1:14" ht="14.25" customHeight="1">
      <c r="A1332" s="17">
        <v>11331</v>
      </c>
      <c r="B1332" s="18">
        <v>45976</v>
      </c>
      <c r="C1332" s="17" t="s">
        <v>45</v>
      </c>
      <c r="D1332" s="17" t="s">
        <v>83</v>
      </c>
      <c r="E1332" s="17" t="s">
        <v>162</v>
      </c>
      <c r="F1332" s="17" t="s">
        <v>163</v>
      </c>
      <c r="G1332" s="17">
        <v>5</v>
      </c>
      <c r="H1332" s="17">
        <v>42386</v>
      </c>
      <c r="I1332" s="17">
        <v>211930</v>
      </c>
      <c r="J1332" s="17">
        <v>3080</v>
      </c>
      <c r="K1332" s="17">
        <v>208850</v>
      </c>
      <c r="L1332" s="17">
        <v>24333.954109999999</v>
      </c>
      <c r="M1332" s="17">
        <v>2025</v>
      </c>
      <c r="N1332" s="17" t="s">
        <v>173</v>
      </c>
    </row>
    <row r="1333" spans="1:14" ht="14.25" customHeight="1">
      <c r="A1333" s="17">
        <v>11332</v>
      </c>
      <c r="B1333" s="18">
        <v>45692</v>
      </c>
      <c r="C1333" s="17" t="s">
        <v>50</v>
      </c>
      <c r="D1333" s="17" t="s">
        <v>111</v>
      </c>
      <c r="E1333" s="17" t="s">
        <v>162</v>
      </c>
      <c r="F1333" s="17" t="s">
        <v>163</v>
      </c>
      <c r="G1333" s="17">
        <v>7</v>
      </c>
      <c r="H1333" s="17">
        <v>67652</v>
      </c>
      <c r="I1333" s="17">
        <v>473564</v>
      </c>
      <c r="J1333" s="17">
        <v>4936</v>
      </c>
      <c r="K1333" s="17">
        <v>468628</v>
      </c>
      <c r="L1333" s="17">
        <v>97085.176550000004</v>
      </c>
      <c r="M1333" s="17">
        <v>2025</v>
      </c>
      <c r="N1333" s="17" t="s">
        <v>175</v>
      </c>
    </row>
    <row r="1334" spans="1:14" ht="14.25" customHeight="1">
      <c r="A1334" s="17">
        <v>11333</v>
      </c>
      <c r="B1334" s="18">
        <v>45767</v>
      </c>
      <c r="C1334" s="17" t="s">
        <v>58</v>
      </c>
      <c r="D1334" s="17" t="s">
        <v>89</v>
      </c>
      <c r="E1334" s="17" t="s">
        <v>168</v>
      </c>
      <c r="F1334" s="17" t="s">
        <v>172</v>
      </c>
      <c r="G1334" s="17">
        <v>3</v>
      </c>
      <c r="H1334" s="17">
        <v>58112</v>
      </c>
      <c r="I1334" s="17">
        <v>174336</v>
      </c>
      <c r="J1334" s="17">
        <v>2427</v>
      </c>
      <c r="K1334" s="17">
        <v>171909</v>
      </c>
      <c r="L1334" s="17">
        <v>20972.009409999999</v>
      </c>
      <c r="M1334" s="17">
        <v>2025</v>
      </c>
      <c r="N1334" s="17" t="s">
        <v>114</v>
      </c>
    </row>
    <row r="1335" spans="1:14" ht="14.25" customHeight="1">
      <c r="A1335" s="17">
        <v>11334</v>
      </c>
      <c r="B1335" s="18">
        <v>45993</v>
      </c>
      <c r="C1335" s="17" t="s">
        <v>58</v>
      </c>
      <c r="D1335" s="17" t="s">
        <v>89</v>
      </c>
      <c r="E1335" s="17" t="s">
        <v>162</v>
      </c>
      <c r="F1335" s="17" t="s">
        <v>164</v>
      </c>
      <c r="G1335" s="17">
        <v>9</v>
      </c>
      <c r="H1335" s="17">
        <v>42025</v>
      </c>
      <c r="I1335" s="17">
        <v>378225</v>
      </c>
      <c r="J1335" s="17">
        <v>843</v>
      </c>
      <c r="K1335" s="17">
        <v>377382</v>
      </c>
      <c r="L1335" s="17">
        <v>41187.023910000004</v>
      </c>
      <c r="M1335" s="17">
        <v>2025</v>
      </c>
      <c r="N1335" s="17" t="s">
        <v>169</v>
      </c>
    </row>
    <row r="1336" spans="1:14" ht="14.25" customHeight="1">
      <c r="A1336" s="17">
        <v>11335</v>
      </c>
      <c r="B1336" s="18">
        <v>45925</v>
      </c>
      <c r="C1336" s="17" t="s">
        <v>167</v>
      </c>
      <c r="D1336" s="17" t="s">
        <v>170</v>
      </c>
      <c r="E1336" s="17" t="s">
        <v>165</v>
      </c>
      <c r="F1336" s="17" t="s">
        <v>164</v>
      </c>
      <c r="G1336" s="17">
        <v>3</v>
      </c>
      <c r="H1336" s="17">
        <v>68492</v>
      </c>
      <c r="I1336" s="17">
        <v>205476</v>
      </c>
      <c r="J1336" s="17">
        <v>3215</v>
      </c>
      <c r="K1336" s="17">
        <v>202261</v>
      </c>
      <c r="L1336" s="17">
        <v>24258.30978</v>
      </c>
      <c r="M1336" s="17">
        <v>2025</v>
      </c>
      <c r="N1336" s="17" t="s">
        <v>129</v>
      </c>
    </row>
    <row r="1337" spans="1:14" ht="14.25" customHeight="1">
      <c r="A1337" s="17">
        <v>11336</v>
      </c>
      <c r="B1337" s="18">
        <v>45849</v>
      </c>
      <c r="C1337" s="17" t="s">
        <v>58</v>
      </c>
      <c r="D1337" s="17" t="s">
        <v>89</v>
      </c>
      <c r="E1337" s="17" t="s">
        <v>162</v>
      </c>
      <c r="F1337" s="17" t="s">
        <v>163</v>
      </c>
      <c r="G1337" s="17">
        <v>6</v>
      </c>
      <c r="H1337" s="17">
        <v>15223</v>
      </c>
      <c r="I1337" s="17">
        <v>91338</v>
      </c>
      <c r="J1337" s="17">
        <v>3911</v>
      </c>
      <c r="K1337" s="17">
        <v>87427</v>
      </c>
      <c r="L1337" s="17">
        <v>21213.375899999999</v>
      </c>
      <c r="M1337" s="17">
        <v>2025</v>
      </c>
      <c r="N1337" s="17" t="s">
        <v>123</v>
      </c>
    </row>
    <row r="1338" spans="1:14" ht="14.25" customHeight="1">
      <c r="A1338" s="17">
        <v>11337</v>
      </c>
      <c r="B1338" s="18">
        <v>45867</v>
      </c>
      <c r="C1338" s="17" t="s">
        <v>45</v>
      </c>
      <c r="D1338" s="17" t="s">
        <v>170</v>
      </c>
      <c r="E1338" s="17" t="s">
        <v>168</v>
      </c>
      <c r="F1338" s="17" t="s">
        <v>164</v>
      </c>
      <c r="G1338" s="17">
        <v>3</v>
      </c>
      <c r="H1338" s="17">
        <v>27943</v>
      </c>
      <c r="I1338" s="17">
        <v>83829</v>
      </c>
      <c r="J1338" s="17">
        <v>4077</v>
      </c>
      <c r="K1338" s="17">
        <v>79752</v>
      </c>
      <c r="L1338" s="17">
        <v>13244.01649</v>
      </c>
      <c r="M1338" s="17">
        <v>2025</v>
      </c>
      <c r="N1338" s="17" t="s">
        <v>123</v>
      </c>
    </row>
    <row r="1339" spans="1:14" ht="14.25" customHeight="1">
      <c r="A1339" s="17">
        <v>11338</v>
      </c>
      <c r="B1339" s="18">
        <v>45421</v>
      </c>
      <c r="C1339" s="17" t="s">
        <v>167</v>
      </c>
      <c r="D1339" s="17" t="s">
        <v>111</v>
      </c>
      <c r="E1339" s="17" t="s">
        <v>165</v>
      </c>
      <c r="F1339" s="17" t="s">
        <v>172</v>
      </c>
      <c r="G1339" s="17">
        <v>1</v>
      </c>
      <c r="H1339" s="17">
        <v>67860</v>
      </c>
      <c r="I1339" s="17">
        <v>67860</v>
      </c>
      <c r="J1339" s="17">
        <v>2349</v>
      </c>
      <c r="K1339" s="17">
        <v>65511</v>
      </c>
      <c r="L1339" s="17">
        <v>7032.5635579999998</v>
      </c>
      <c r="M1339" s="17">
        <v>2024</v>
      </c>
      <c r="N1339" s="17" t="s">
        <v>117</v>
      </c>
    </row>
    <row r="1340" spans="1:14" ht="14.25" customHeight="1">
      <c r="A1340" s="17">
        <v>11339</v>
      </c>
      <c r="B1340" s="18">
        <v>45654</v>
      </c>
      <c r="C1340" s="17" t="s">
        <v>58</v>
      </c>
      <c r="D1340" s="17" t="s">
        <v>89</v>
      </c>
      <c r="E1340" s="17" t="s">
        <v>162</v>
      </c>
      <c r="F1340" s="17" t="s">
        <v>172</v>
      </c>
      <c r="G1340" s="17">
        <v>1</v>
      </c>
      <c r="H1340" s="17">
        <v>71287</v>
      </c>
      <c r="I1340" s="17">
        <v>71287</v>
      </c>
      <c r="J1340" s="17">
        <v>649</v>
      </c>
      <c r="K1340" s="17">
        <v>70638</v>
      </c>
      <c r="L1340" s="17">
        <v>13247.817639999999</v>
      </c>
      <c r="M1340" s="17">
        <v>2024</v>
      </c>
      <c r="N1340" s="17" t="s">
        <v>169</v>
      </c>
    </row>
    <row r="1341" spans="1:14" ht="14.25" customHeight="1">
      <c r="A1341" s="17">
        <v>11340</v>
      </c>
      <c r="B1341" s="18">
        <v>45996</v>
      </c>
      <c r="C1341" s="17" t="s">
        <v>58</v>
      </c>
      <c r="D1341" s="17" t="s">
        <v>111</v>
      </c>
      <c r="E1341" s="17" t="s">
        <v>162</v>
      </c>
      <c r="F1341" s="17" t="s">
        <v>163</v>
      </c>
      <c r="G1341" s="17">
        <v>3</v>
      </c>
      <c r="H1341" s="17">
        <v>75880</v>
      </c>
      <c r="I1341" s="17">
        <v>227640</v>
      </c>
      <c r="J1341" s="17">
        <v>1893</v>
      </c>
      <c r="K1341" s="17">
        <v>225747</v>
      </c>
      <c r="L1341" s="17">
        <v>29337.42769</v>
      </c>
      <c r="M1341" s="17">
        <v>2025</v>
      </c>
      <c r="N1341" s="17" t="s">
        <v>169</v>
      </c>
    </row>
    <row r="1342" spans="1:14" ht="14.25" customHeight="1">
      <c r="A1342" s="17">
        <v>11341</v>
      </c>
      <c r="B1342" s="18">
        <v>45984</v>
      </c>
      <c r="C1342" s="17" t="s">
        <v>50</v>
      </c>
      <c r="D1342" s="17" t="s">
        <v>89</v>
      </c>
      <c r="E1342" s="17" t="s">
        <v>162</v>
      </c>
      <c r="F1342" s="17" t="s">
        <v>164</v>
      </c>
      <c r="G1342" s="17">
        <v>4</v>
      </c>
      <c r="H1342" s="17">
        <v>38973</v>
      </c>
      <c r="I1342" s="17">
        <v>155892</v>
      </c>
      <c r="J1342" s="17">
        <v>2856</v>
      </c>
      <c r="K1342" s="17">
        <v>153036</v>
      </c>
      <c r="L1342" s="17">
        <v>15460.53253</v>
      </c>
      <c r="M1342" s="17">
        <v>2025</v>
      </c>
      <c r="N1342" s="17" t="s">
        <v>173</v>
      </c>
    </row>
    <row r="1343" spans="1:14" ht="14.25" customHeight="1">
      <c r="A1343" s="17">
        <v>11342</v>
      </c>
      <c r="B1343" s="18">
        <v>45583</v>
      </c>
      <c r="C1343" s="17" t="s">
        <v>58</v>
      </c>
      <c r="D1343" s="17" t="s">
        <v>89</v>
      </c>
      <c r="E1343" s="17" t="s">
        <v>165</v>
      </c>
      <c r="F1343" s="17" t="s">
        <v>164</v>
      </c>
      <c r="G1343" s="17">
        <v>2</v>
      </c>
      <c r="H1343" s="17">
        <v>41655</v>
      </c>
      <c r="I1343" s="17">
        <v>83310</v>
      </c>
      <c r="J1343" s="17">
        <v>3250</v>
      </c>
      <c r="K1343" s="17">
        <v>80060</v>
      </c>
      <c r="L1343" s="17">
        <v>17113.455010000001</v>
      </c>
      <c r="M1343" s="17">
        <v>2024</v>
      </c>
      <c r="N1343" s="17" t="s">
        <v>174</v>
      </c>
    </row>
    <row r="1344" spans="1:14" ht="14.25" customHeight="1">
      <c r="A1344" s="17">
        <v>11343</v>
      </c>
      <c r="B1344" s="18">
        <v>45662</v>
      </c>
      <c r="C1344" s="17" t="s">
        <v>39</v>
      </c>
      <c r="D1344" s="17" t="s">
        <v>111</v>
      </c>
      <c r="E1344" s="17" t="s">
        <v>168</v>
      </c>
      <c r="F1344" s="17" t="s">
        <v>163</v>
      </c>
      <c r="G1344" s="17">
        <v>9</v>
      </c>
      <c r="H1344" s="17">
        <v>79158</v>
      </c>
      <c r="I1344" s="17">
        <v>712422</v>
      </c>
      <c r="J1344" s="17">
        <v>2386</v>
      </c>
      <c r="K1344" s="17">
        <v>710036</v>
      </c>
      <c r="L1344" s="17">
        <v>87497.354170000006</v>
      </c>
      <c r="M1344" s="17">
        <v>2025</v>
      </c>
      <c r="N1344" s="17" t="s">
        <v>171</v>
      </c>
    </row>
    <row r="1345" spans="1:14" ht="14.25" customHeight="1">
      <c r="A1345" s="17">
        <v>11344</v>
      </c>
      <c r="B1345" s="18">
        <v>45320</v>
      </c>
      <c r="C1345" s="17" t="s">
        <v>167</v>
      </c>
      <c r="D1345" s="17" t="s">
        <v>83</v>
      </c>
      <c r="E1345" s="17" t="s">
        <v>165</v>
      </c>
      <c r="F1345" s="17" t="s">
        <v>166</v>
      </c>
      <c r="G1345" s="17">
        <v>8</v>
      </c>
      <c r="H1345" s="17">
        <v>69177</v>
      </c>
      <c r="I1345" s="17">
        <v>553416</v>
      </c>
      <c r="J1345" s="17">
        <v>1725</v>
      </c>
      <c r="K1345" s="17">
        <v>551691</v>
      </c>
      <c r="L1345" s="17">
        <v>133163.29569999999</v>
      </c>
      <c r="M1345" s="17">
        <v>2024</v>
      </c>
      <c r="N1345" s="17" t="s">
        <v>171</v>
      </c>
    </row>
    <row r="1346" spans="1:14" ht="14.25" customHeight="1">
      <c r="A1346" s="17">
        <v>11345</v>
      </c>
      <c r="B1346" s="18">
        <v>45440</v>
      </c>
      <c r="C1346" s="17" t="s">
        <v>39</v>
      </c>
      <c r="D1346" s="17" t="s">
        <v>83</v>
      </c>
      <c r="E1346" s="17" t="s">
        <v>165</v>
      </c>
      <c r="F1346" s="17" t="s">
        <v>166</v>
      </c>
      <c r="G1346" s="17">
        <v>3</v>
      </c>
      <c r="H1346" s="17">
        <v>64509</v>
      </c>
      <c r="I1346" s="17">
        <v>193527</v>
      </c>
      <c r="J1346" s="17">
        <v>1354</v>
      </c>
      <c r="K1346" s="17">
        <v>192173</v>
      </c>
      <c r="L1346" s="17">
        <v>36305.319380000001</v>
      </c>
      <c r="M1346" s="17">
        <v>2024</v>
      </c>
      <c r="N1346" s="17" t="s">
        <v>117</v>
      </c>
    </row>
    <row r="1347" spans="1:14" ht="14.25" customHeight="1">
      <c r="A1347" s="17">
        <v>11346</v>
      </c>
      <c r="B1347" s="18">
        <v>45587</v>
      </c>
      <c r="C1347" s="17" t="s">
        <v>167</v>
      </c>
      <c r="D1347" s="17" t="s">
        <v>83</v>
      </c>
      <c r="E1347" s="17" t="s">
        <v>168</v>
      </c>
      <c r="F1347" s="17" t="s">
        <v>164</v>
      </c>
      <c r="G1347" s="17">
        <v>7</v>
      </c>
      <c r="H1347" s="17">
        <v>65461</v>
      </c>
      <c r="I1347" s="17">
        <v>458227</v>
      </c>
      <c r="J1347" s="17">
        <v>1293</v>
      </c>
      <c r="K1347" s="17">
        <v>456934</v>
      </c>
      <c r="L1347" s="17">
        <v>51656.102379999997</v>
      </c>
      <c r="M1347" s="17">
        <v>2024</v>
      </c>
      <c r="N1347" s="17" t="s">
        <v>174</v>
      </c>
    </row>
    <row r="1348" spans="1:14" ht="14.25" customHeight="1">
      <c r="A1348" s="17">
        <v>11347</v>
      </c>
      <c r="B1348" s="18">
        <v>45302</v>
      </c>
      <c r="C1348" s="17" t="s">
        <v>50</v>
      </c>
      <c r="D1348" s="17" t="s">
        <v>83</v>
      </c>
      <c r="E1348" s="17" t="s">
        <v>165</v>
      </c>
      <c r="F1348" s="17" t="s">
        <v>172</v>
      </c>
      <c r="G1348" s="17">
        <v>4</v>
      </c>
      <c r="H1348" s="17">
        <v>23658</v>
      </c>
      <c r="I1348" s="17">
        <v>94632</v>
      </c>
      <c r="J1348" s="17">
        <v>3046</v>
      </c>
      <c r="K1348" s="17">
        <v>91586</v>
      </c>
      <c r="L1348" s="17">
        <v>12151.050219999999</v>
      </c>
      <c r="M1348" s="17">
        <v>2024</v>
      </c>
      <c r="N1348" s="17" t="s">
        <v>171</v>
      </c>
    </row>
    <row r="1349" spans="1:14" ht="14.25" customHeight="1">
      <c r="A1349" s="17">
        <v>11348</v>
      </c>
      <c r="B1349" s="18">
        <v>45803</v>
      </c>
      <c r="C1349" s="17" t="s">
        <v>58</v>
      </c>
      <c r="D1349" s="17" t="s">
        <v>89</v>
      </c>
      <c r="E1349" s="17" t="s">
        <v>165</v>
      </c>
      <c r="F1349" s="17" t="s">
        <v>166</v>
      </c>
      <c r="G1349" s="17">
        <v>5</v>
      </c>
      <c r="H1349" s="17">
        <v>41133</v>
      </c>
      <c r="I1349" s="17">
        <v>205665</v>
      </c>
      <c r="J1349" s="17">
        <v>3258</v>
      </c>
      <c r="K1349" s="17">
        <v>202407</v>
      </c>
      <c r="L1349" s="17">
        <v>38786.584569999999</v>
      </c>
      <c r="M1349" s="17">
        <v>2025</v>
      </c>
      <c r="N1349" s="17" t="s">
        <v>117</v>
      </c>
    </row>
    <row r="1350" spans="1:14" ht="14.25" customHeight="1">
      <c r="A1350" s="17">
        <v>11349</v>
      </c>
      <c r="B1350" s="18">
        <v>45967</v>
      </c>
      <c r="C1350" s="17" t="s">
        <v>58</v>
      </c>
      <c r="D1350" s="17" t="s">
        <v>86</v>
      </c>
      <c r="E1350" s="17" t="s">
        <v>162</v>
      </c>
      <c r="F1350" s="17" t="s">
        <v>164</v>
      </c>
      <c r="G1350" s="17">
        <v>4</v>
      </c>
      <c r="H1350" s="17">
        <v>25620</v>
      </c>
      <c r="I1350" s="17">
        <v>102480</v>
      </c>
      <c r="J1350" s="17">
        <v>2713</v>
      </c>
      <c r="K1350" s="17">
        <v>99767</v>
      </c>
      <c r="L1350" s="17">
        <v>15036.57388</v>
      </c>
      <c r="M1350" s="17">
        <v>2025</v>
      </c>
      <c r="N1350" s="17" t="s">
        <v>173</v>
      </c>
    </row>
    <row r="1351" spans="1:14" ht="14.25" customHeight="1">
      <c r="A1351" s="17">
        <v>11350</v>
      </c>
      <c r="B1351" s="18">
        <v>45404</v>
      </c>
      <c r="C1351" s="17" t="s">
        <v>58</v>
      </c>
      <c r="D1351" s="17" t="s">
        <v>111</v>
      </c>
      <c r="E1351" s="17" t="s">
        <v>165</v>
      </c>
      <c r="F1351" s="17" t="s">
        <v>166</v>
      </c>
      <c r="G1351" s="17">
        <v>9</v>
      </c>
      <c r="H1351" s="17">
        <v>42067</v>
      </c>
      <c r="I1351" s="17">
        <v>378603</v>
      </c>
      <c r="J1351" s="17">
        <v>403</v>
      </c>
      <c r="K1351" s="17">
        <v>378200</v>
      </c>
      <c r="L1351" s="17">
        <v>68008.475290000002</v>
      </c>
      <c r="M1351" s="17">
        <v>2024</v>
      </c>
      <c r="N1351" s="17" t="s">
        <v>114</v>
      </c>
    </row>
    <row r="1352" spans="1:14" ht="14.25" customHeight="1">
      <c r="A1352" s="17">
        <v>11351</v>
      </c>
      <c r="B1352" s="18">
        <v>45478</v>
      </c>
      <c r="C1352" s="17" t="s">
        <v>167</v>
      </c>
      <c r="D1352" s="17" t="s">
        <v>86</v>
      </c>
      <c r="E1352" s="17" t="s">
        <v>162</v>
      </c>
      <c r="F1352" s="17" t="s">
        <v>163</v>
      </c>
      <c r="G1352" s="17">
        <v>7</v>
      </c>
      <c r="H1352" s="17">
        <v>74269</v>
      </c>
      <c r="I1352" s="17">
        <v>519883</v>
      </c>
      <c r="J1352" s="17">
        <v>3972</v>
      </c>
      <c r="K1352" s="17">
        <v>515911</v>
      </c>
      <c r="L1352" s="17">
        <v>113462.65889999999</v>
      </c>
      <c r="M1352" s="17">
        <v>2024</v>
      </c>
      <c r="N1352" s="17" t="s">
        <v>123</v>
      </c>
    </row>
    <row r="1353" spans="1:14" ht="14.25" customHeight="1">
      <c r="A1353" s="17">
        <v>11352</v>
      </c>
      <c r="B1353" s="18">
        <v>45518</v>
      </c>
      <c r="C1353" s="17" t="s">
        <v>58</v>
      </c>
      <c r="D1353" s="17" t="s">
        <v>86</v>
      </c>
      <c r="E1353" s="17" t="s">
        <v>165</v>
      </c>
      <c r="F1353" s="17" t="s">
        <v>166</v>
      </c>
      <c r="G1353" s="17">
        <v>4</v>
      </c>
      <c r="H1353" s="17">
        <v>34675</v>
      </c>
      <c r="I1353" s="17">
        <v>138700</v>
      </c>
      <c r="J1353" s="17">
        <v>4032</v>
      </c>
      <c r="K1353" s="17">
        <v>134668</v>
      </c>
      <c r="L1353" s="17">
        <v>29477.508989999998</v>
      </c>
      <c r="M1353" s="17">
        <v>2024</v>
      </c>
      <c r="N1353" s="17" t="s">
        <v>126</v>
      </c>
    </row>
    <row r="1354" spans="1:14" ht="14.25" customHeight="1">
      <c r="A1354" s="17">
        <v>11353</v>
      </c>
      <c r="B1354" s="18">
        <v>45601</v>
      </c>
      <c r="C1354" s="17" t="s">
        <v>39</v>
      </c>
      <c r="D1354" s="17" t="s">
        <v>170</v>
      </c>
      <c r="E1354" s="17" t="s">
        <v>162</v>
      </c>
      <c r="F1354" s="17" t="s">
        <v>166</v>
      </c>
      <c r="G1354" s="17">
        <v>8</v>
      </c>
      <c r="H1354" s="17">
        <v>72201</v>
      </c>
      <c r="I1354" s="17">
        <v>577608</v>
      </c>
      <c r="J1354" s="17">
        <v>1546</v>
      </c>
      <c r="K1354" s="17">
        <v>576062</v>
      </c>
      <c r="L1354" s="17">
        <v>117918.75109999999</v>
      </c>
      <c r="M1354" s="17">
        <v>2024</v>
      </c>
      <c r="N1354" s="17" t="s">
        <v>173</v>
      </c>
    </row>
    <row r="1355" spans="1:14" ht="14.25" customHeight="1">
      <c r="A1355" s="17">
        <v>11354</v>
      </c>
      <c r="B1355" s="18">
        <v>45389</v>
      </c>
      <c r="C1355" s="17" t="s">
        <v>58</v>
      </c>
      <c r="D1355" s="17" t="s">
        <v>83</v>
      </c>
      <c r="E1355" s="17" t="s">
        <v>162</v>
      </c>
      <c r="F1355" s="17" t="s">
        <v>163</v>
      </c>
      <c r="G1355" s="17">
        <v>2</v>
      </c>
      <c r="H1355" s="17">
        <v>5860</v>
      </c>
      <c r="I1355" s="17">
        <v>11720</v>
      </c>
      <c r="J1355" s="17">
        <v>2606</v>
      </c>
      <c r="K1355" s="17">
        <v>9114</v>
      </c>
      <c r="L1355" s="17">
        <v>2122.7248420000001</v>
      </c>
      <c r="M1355" s="17">
        <v>2024</v>
      </c>
      <c r="N1355" s="17" t="s">
        <v>114</v>
      </c>
    </row>
    <row r="1356" spans="1:14" ht="14.25" customHeight="1">
      <c r="A1356" s="17">
        <v>11355</v>
      </c>
      <c r="B1356" s="18">
        <v>45346</v>
      </c>
      <c r="C1356" s="17" t="s">
        <v>50</v>
      </c>
      <c r="D1356" s="17" t="s">
        <v>89</v>
      </c>
      <c r="E1356" s="17" t="s">
        <v>162</v>
      </c>
      <c r="F1356" s="17" t="s">
        <v>172</v>
      </c>
      <c r="G1356" s="17">
        <v>7</v>
      </c>
      <c r="H1356" s="17">
        <v>32618</v>
      </c>
      <c r="I1356" s="17">
        <v>228326</v>
      </c>
      <c r="J1356" s="17">
        <v>2825</v>
      </c>
      <c r="K1356" s="17">
        <v>225501</v>
      </c>
      <c r="L1356" s="17">
        <v>29293.505300000001</v>
      </c>
      <c r="M1356" s="17">
        <v>2024</v>
      </c>
      <c r="N1356" s="17" t="s">
        <v>175</v>
      </c>
    </row>
    <row r="1357" spans="1:14" ht="14.25" customHeight="1">
      <c r="A1357" s="17">
        <v>11356</v>
      </c>
      <c r="B1357" s="18">
        <v>45914</v>
      </c>
      <c r="C1357" s="17" t="s">
        <v>39</v>
      </c>
      <c r="D1357" s="17" t="s">
        <v>83</v>
      </c>
      <c r="E1357" s="17" t="s">
        <v>168</v>
      </c>
      <c r="F1357" s="17" t="s">
        <v>164</v>
      </c>
      <c r="G1357" s="17">
        <v>1</v>
      </c>
      <c r="H1357" s="17">
        <v>32916</v>
      </c>
      <c r="I1357" s="17">
        <v>32916</v>
      </c>
      <c r="J1357" s="17">
        <v>1852</v>
      </c>
      <c r="K1357" s="17">
        <v>31064</v>
      </c>
      <c r="L1357" s="17">
        <v>3932.2744400000001</v>
      </c>
      <c r="M1357" s="17">
        <v>2025</v>
      </c>
      <c r="N1357" s="17" t="s">
        <v>129</v>
      </c>
    </row>
    <row r="1358" spans="1:14" ht="14.25" customHeight="1">
      <c r="A1358" s="17">
        <v>11357</v>
      </c>
      <c r="B1358" s="18">
        <v>45955</v>
      </c>
      <c r="C1358" s="17" t="s">
        <v>58</v>
      </c>
      <c r="D1358" s="17" t="s">
        <v>83</v>
      </c>
      <c r="E1358" s="17" t="s">
        <v>165</v>
      </c>
      <c r="F1358" s="17" t="s">
        <v>172</v>
      </c>
      <c r="G1358" s="17">
        <v>8</v>
      </c>
      <c r="H1358" s="17">
        <v>27878</v>
      </c>
      <c r="I1358" s="17">
        <v>223024</v>
      </c>
      <c r="J1358" s="17">
        <v>4206</v>
      </c>
      <c r="K1358" s="17">
        <v>218818</v>
      </c>
      <c r="L1358" s="17">
        <v>48118.609369999998</v>
      </c>
      <c r="M1358" s="17">
        <v>2025</v>
      </c>
      <c r="N1358" s="17" t="s">
        <v>174</v>
      </c>
    </row>
    <row r="1359" spans="1:14" ht="14.25" customHeight="1">
      <c r="A1359" s="17">
        <v>11358</v>
      </c>
      <c r="B1359" s="18">
        <v>45697</v>
      </c>
      <c r="C1359" s="17" t="s">
        <v>58</v>
      </c>
      <c r="D1359" s="17" t="s">
        <v>86</v>
      </c>
      <c r="E1359" s="17" t="s">
        <v>165</v>
      </c>
      <c r="F1359" s="17" t="s">
        <v>172</v>
      </c>
      <c r="G1359" s="17">
        <v>6</v>
      </c>
      <c r="H1359" s="17">
        <v>43554</v>
      </c>
      <c r="I1359" s="17">
        <v>261324</v>
      </c>
      <c r="J1359" s="17">
        <v>812</v>
      </c>
      <c r="K1359" s="17">
        <v>260512</v>
      </c>
      <c r="L1359" s="17">
        <v>38590.5288</v>
      </c>
      <c r="M1359" s="17">
        <v>2025</v>
      </c>
      <c r="N1359" s="17" t="s">
        <v>175</v>
      </c>
    </row>
    <row r="1360" spans="1:14" ht="14.25" customHeight="1">
      <c r="A1360" s="17">
        <v>11359</v>
      </c>
      <c r="B1360" s="18">
        <v>45360</v>
      </c>
      <c r="C1360" s="17" t="s">
        <v>45</v>
      </c>
      <c r="D1360" s="17" t="s">
        <v>170</v>
      </c>
      <c r="E1360" s="17" t="s">
        <v>165</v>
      </c>
      <c r="F1360" s="17" t="s">
        <v>166</v>
      </c>
      <c r="G1360" s="17">
        <v>5</v>
      </c>
      <c r="H1360" s="17">
        <v>31796</v>
      </c>
      <c r="I1360" s="17">
        <v>158980</v>
      </c>
      <c r="J1360" s="17">
        <v>3374</v>
      </c>
      <c r="K1360" s="17">
        <v>155606</v>
      </c>
      <c r="L1360" s="17">
        <v>27515.39849</v>
      </c>
      <c r="M1360" s="17">
        <v>2024</v>
      </c>
      <c r="N1360" s="17" t="s">
        <v>112</v>
      </c>
    </row>
    <row r="1361" spans="1:14" ht="14.25" customHeight="1">
      <c r="A1361" s="17">
        <v>11360</v>
      </c>
      <c r="B1361" s="18">
        <v>45603</v>
      </c>
      <c r="C1361" s="17" t="s">
        <v>167</v>
      </c>
      <c r="D1361" s="17" t="s">
        <v>83</v>
      </c>
      <c r="E1361" s="17" t="s">
        <v>168</v>
      </c>
      <c r="F1361" s="17" t="s">
        <v>164</v>
      </c>
      <c r="G1361" s="17">
        <v>9</v>
      </c>
      <c r="H1361" s="17">
        <v>14345</v>
      </c>
      <c r="I1361" s="17">
        <v>129105</v>
      </c>
      <c r="J1361" s="17">
        <v>929</v>
      </c>
      <c r="K1361" s="17">
        <v>128176</v>
      </c>
      <c r="L1361" s="17">
        <v>27121.121589999999</v>
      </c>
      <c r="M1361" s="17">
        <v>2024</v>
      </c>
      <c r="N1361" s="17" t="s">
        <v>173</v>
      </c>
    </row>
    <row r="1362" spans="1:14" ht="14.25" customHeight="1">
      <c r="A1362" s="17">
        <v>11361</v>
      </c>
      <c r="B1362" s="18">
        <v>45580</v>
      </c>
      <c r="C1362" s="17" t="s">
        <v>39</v>
      </c>
      <c r="D1362" s="17" t="s">
        <v>111</v>
      </c>
      <c r="E1362" s="17" t="s">
        <v>162</v>
      </c>
      <c r="F1362" s="17" t="s">
        <v>166</v>
      </c>
      <c r="G1362" s="17">
        <v>9</v>
      </c>
      <c r="H1362" s="17">
        <v>66518</v>
      </c>
      <c r="I1362" s="17">
        <v>598662</v>
      </c>
      <c r="J1362" s="17">
        <v>4981</v>
      </c>
      <c r="K1362" s="17">
        <v>593681</v>
      </c>
      <c r="L1362" s="17">
        <v>94626.727849999996</v>
      </c>
      <c r="M1362" s="17">
        <v>2024</v>
      </c>
      <c r="N1362" s="17" t="s">
        <v>174</v>
      </c>
    </row>
    <row r="1363" spans="1:14" ht="14.25" customHeight="1">
      <c r="A1363" s="17">
        <v>11362</v>
      </c>
      <c r="B1363" s="18">
        <v>45839</v>
      </c>
      <c r="C1363" s="17" t="s">
        <v>45</v>
      </c>
      <c r="D1363" s="17" t="s">
        <v>111</v>
      </c>
      <c r="E1363" s="17" t="s">
        <v>165</v>
      </c>
      <c r="F1363" s="17" t="s">
        <v>163</v>
      </c>
      <c r="G1363" s="17">
        <v>3</v>
      </c>
      <c r="H1363" s="17">
        <v>27584</v>
      </c>
      <c r="I1363" s="17">
        <v>82752</v>
      </c>
      <c r="J1363" s="17">
        <v>4075</v>
      </c>
      <c r="K1363" s="17">
        <v>78677</v>
      </c>
      <c r="L1363" s="17">
        <v>9403.8168939999996</v>
      </c>
      <c r="M1363" s="17">
        <v>2025</v>
      </c>
      <c r="N1363" s="17" t="s">
        <v>123</v>
      </c>
    </row>
    <row r="1364" spans="1:14" ht="14.25" customHeight="1">
      <c r="A1364" s="17">
        <v>11363</v>
      </c>
      <c r="B1364" s="18">
        <v>45439</v>
      </c>
      <c r="C1364" s="17" t="s">
        <v>50</v>
      </c>
      <c r="D1364" s="17" t="s">
        <v>83</v>
      </c>
      <c r="E1364" s="17" t="s">
        <v>168</v>
      </c>
      <c r="F1364" s="17" t="s">
        <v>172</v>
      </c>
      <c r="G1364" s="17">
        <v>9</v>
      </c>
      <c r="H1364" s="17">
        <v>16598</v>
      </c>
      <c r="I1364" s="17">
        <v>149382</v>
      </c>
      <c r="J1364" s="17">
        <v>3323</v>
      </c>
      <c r="K1364" s="17">
        <v>146059</v>
      </c>
      <c r="L1364" s="17">
        <v>29492.02592</v>
      </c>
      <c r="M1364" s="17">
        <v>2024</v>
      </c>
      <c r="N1364" s="17" t="s">
        <v>117</v>
      </c>
    </row>
    <row r="1365" spans="1:14" ht="14.25" customHeight="1">
      <c r="A1365" s="17">
        <v>11364</v>
      </c>
      <c r="B1365" s="18">
        <v>45758</v>
      </c>
      <c r="C1365" s="17" t="s">
        <v>167</v>
      </c>
      <c r="D1365" s="17" t="s">
        <v>86</v>
      </c>
      <c r="E1365" s="17" t="s">
        <v>168</v>
      </c>
      <c r="F1365" s="17" t="s">
        <v>172</v>
      </c>
      <c r="G1365" s="17">
        <v>9</v>
      </c>
      <c r="H1365" s="17">
        <v>78861</v>
      </c>
      <c r="I1365" s="17">
        <v>709749</v>
      </c>
      <c r="J1365" s="17">
        <v>174</v>
      </c>
      <c r="K1365" s="17">
        <v>709575</v>
      </c>
      <c r="L1365" s="17">
        <v>157932.88080000001</v>
      </c>
      <c r="M1365" s="17">
        <v>2025</v>
      </c>
      <c r="N1365" s="17" t="s">
        <v>114</v>
      </c>
    </row>
    <row r="1366" spans="1:14" ht="14.25" customHeight="1">
      <c r="A1366" s="17">
        <v>11365</v>
      </c>
      <c r="B1366" s="18">
        <v>45535</v>
      </c>
      <c r="C1366" s="17" t="s">
        <v>39</v>
      </c>
      <c r="D1366" s="17" t="s">
        <v>86</v>
      </c>
      <c r="E1366" s="17" t="s">
        <v>165</v>
      </c>
      <c r="F1366" s="17" t="s">
        <v>163</v>
      </c>
      <c r="G1366" s="17">
        <v>2</v>
      </c>
      <c r="H1366" s="17">
        <v>23445</v>
      </c>
      <c r="I1366" s="17">
        <v>46890</v>
      </c>
      <c r="J1366" s="17">
        <v>1363</v>
      </c>
      <c r="K1366" s="17">
        <v>45527</v>
      </c>
      <c r="L1366" s="17">
        <v>4640.0932890000004</v>
      </c>
      <c r="M1366" s="17">
        <v>2024</v>
      </c>
      <c r="N1366" s="17" t="s">
        <v>126</v>
      </c>
    </row>
    <row r="1367" spans="1:14" ht="14.25" customHeight="1">
      <c r="A1367" s="17">
        <v>11366</v>
      </c>
      <c r="B1367" s="18">
        <v>45782</v>
      </c>
      <c r="C1367" s="17" t="s">
        <v>58</v>
      </c>
      <c r="D1367" s="17" t="s">
        <v>89</v>
      </c>
      <c r="E1367" s="17" t="s">
        <v>162</v>
      </c>
      <c r="F1367" s="17" t="s">
        <v>164</v>
      </c>
      <c r="G1367" s="17">
        <v>5</v>
      </c>
      <c r="H1367" s="17">
        <v>48813</v>
      </c>
      <c r="I1367" s="17">
        <v>244065</v>
      </c>
      <c r="J1367" s="17">
        <v>2895</v>
      </c>
      <c r="K1367" s="17">
        <v>241170</v>
      </c>
      <c r="L1367" s="17">
        <v>44467.604079999997</v>
      </c>
      <c r="M1367" s="17">
        <v>2025</v>
      </c>
      <c r="N1367" s="17" t="s">
        <v>117</v>
      </c>
    </row>
    <row r="1368" spans="1:14" ht="14.25" customHeight="1">
      <c r="A1368" s="17">
        <v>11367</v>
      </c>
      <c r="B1368" s="18">
        <v>45798</v>
      </c>
      <c r="C1368" s="17" t="s">
        <v>39</v>
      </c>
      <c r="D1368" s="17" t="s">
        <v>170</v>
      </c>
      <c r="E1368" s="17" t="s">
        <v>168</v>
      </c>
      <c r="F1368" s="17" t="s">
        <v>172</v>
      </c>
      <c r="G1368" s="17">
        <v>2</v>
      </c>
      <c r="H1368" s="17">
        <v>8730</v>
      </c>
      <c r="I1368" s="17">
        <v>17460</v>
      </c>
      <c r="J1368" s="17">
        <v>1037</v>
      </c>
      <c r="K1368" s="17">
        <v>16423</v>
      </c>
      <c r="L1368" s="17">
        <v>2798.6559750000001</v>
      </c>
      <c r="M1368" s="17">
        <v>2025</v>
      </c>
      <c r="N1368" s="17" t="s">
        <v>117</v>
      </c>
    </row>
    <row r="1369" spans="1:14" ht="14.25" customHeight="1">
      <c r="A1369" s="17">
        <v>11368</v>
      </c>
      <c r="B1369" s="18">
        <v>45656</v>
      </c>
      <c r="C1369" s="17" t="s">
        <v>58</v>
      </c>
      <c r="D1369" s="17" t="s">
        <v>86</v>
      </c>
      <c r="E1369" s="17" t="s">
        <v>165</v>
      </c>
      <c r="F1369" s="17" t="s">
        <v>172</v>
      </c>
      <c r="G1369" s="17">
        <v>1</v>
      </c>
      <c r="H1369" s="17">
        <v>16684</v>
      </c>
      <c r="I1369" s="17">
        <v>16684</v>
      </c>
      <c r="J1369" s="17">
        <v>3011</v>
      </c>
      <c r="K1369" s="17">
        <v>13673</v>
      </c>
      <c r="L1369" s="17">
        <v>1899.7184299999999</v>
      </c>
      <c r="M1369" s="17">
        <v>2024</v>
      </c>
      <c r="N1369" s="17" t="s">
        <v>169</v>
      </c>
    </row>
    <row r="1370" spans="1:14" ht="14.25" customHeight="1">
      <c r="A1370" s="17">
        <v>11369</v>
      </c>
      <c r="B1370" s="18">
        <v>45773</v>
      </c>
      <c r="C1370" s="17" t="s">
        <v>167</v>
      </c>
      <c r="D1370" s="17" t="s">
        <v>89</v>
      </c>
      <c r="E1370" s="17" t="s">
        <v>162</v>
      </c>
      <c r="F1370" s="17" t="s">
        <v>164</v>
      </c>
      <c r="G1370" s="17">
        <v>7</v>
      </c>
      <c r="H1370" s="17">
        <v>62470</v>
      </c>
      <c r="I1370" s="17">
        <v>437290</v>
      </c>
      <c r="J1370" s="17">
        <v>2090</v>
      </c>
      <c r="K1370" s="17">
        <v>435200</v>
      </c>
      <c r="L1370" s="17">
        <v>54031.944860000003</v>
      </c>
      <c r="M1370" s="17">
        <v>2025</v>
      </c>
      <c r="N1370" s="17" t="s">
        <v>114</v>
      </c>
    </row>
    <row r="1371" spans="1:14" ht="14.25" customHeight="1">
      <c r="A1371" s="17">
        <v>11370</v>
      </c>
      <c r="B1371" s="18">
        <v>45492</v>
      </c>
      <c r="C1371" s="17" t="s">
        <v>58</v>
      </c>
      <c r="D1371" s="17" t="s">
        <v>111</v>
      </c>
      <c r="E1371" s="17" t="s">
        <v>168</v>
      </c>
      <c r="F1371" s="17" t="s">
        <v>166</v>
      </c>
      <c r="G1371" s="17">
        <v>4</v>
      </c>
      <c r="H1371" s="17">
        <v>39563</v>
      </c>
      <c r="I1371" s="17">
        <v>158252</v>
      </c>
      <c r="J1371" s="17">
        <v>460</v>
      </c>
      <c r="K1371" s="17">
        <v>157792</v>
      </c>
      <c r="L1371" s="17">
        <v>20229.817510000001</v>
      </c>
      <c r="M1371" s="17">
        <v>2024</v>
      </c>
      <c r="N1371" s="17" t="s">
        <v>123</v>
      </c>
    </row>
    <row r="1372" spans="1:14" ht="14.25" customHeight="1">
      <c r="A1372" s="17">
        <v>11371</v>
      </c>
      <c r="B1372" s="18">
        <v>45445</v>
      </c>
      <c r="C1372" s="17" t="s">
        <v>50</v>
      </c>
      <c r="D1372" s="17" t="s">
        <v>111</v>
      </c>
      <c r="E1372" s="17" t="s">
        <v>168</v>
      </c>
      <c r="F1372" s="17" t="s">
        <v>163</v>
      </c>
      <c r="G1372" s="17">
        <v>5</v>
      </c>
      <c r="H1372" s="17">
        <v>15041</v>
      </c>
      <c r="I1372" s="17">
        <v>75205</v>
      </c>
      <c r="J1372" s="17">
        <v>2752</v>
      </c>
      <c r="K1372" s="17">
        <v>72453</v>
      </c>
      <c r="L1372" s="17">
        <v>15124.27232</v>
      </c>
      <c r="M1372" s="17">
        <v>2024</v>
      </c>
      <c r="N1372" s="17" t="s">
        <v>120</v>
      </c>
    </row>
    <row r="1373" spans="1:14" ht="14.25" customHeight="1">
      <c r="A1373" s="17">
        <v>11372</v>
      </c>
      <c r="B1373" s="18">
        <v>45741</v>
      </c>
      <c r="C1373" s="17" t="s">
        <v>58</v>
      </c>
      <c r="D1373" s="17" t="s">
        <v>111</v>
      </c>
      <c r="E1373" s="17" t="s">
        <v>165</v>
      </c>
      <c r="F1373" s="17" t="s">
        <v>164</v>
      </c>
      <c r="G1373" s="17">
        <v>4</v>
      </c>
      <c r="H1373" s="17">
        <v>58465</v>
      </c>
      <c r="I1373" s="17">
        <v>233860</v>
      </c>
      <c r="J1373" s="17">
        <v>148</v>
      </c>
      <c r="K1373" s="17">
        <v>233712</v>
      </c>
      <c r="L1373" s="17">
        <v>42168.48558</v>
      </c>
      <c r="M1373" s="17">
        <v>2025</v>
      </c>
      <c r="N1373" s="17" t="s">
        <v>112</v>
      </c>
    </row>
    <row r="1374" spans="1:14" ht="14.25" customHeight="1">
      <c r="A1374" s="17">
        <v>11373</v>
      </c>
      <c r="B1374" s="18">
        <v>45792</v>
      </c>
      <c r="C1374" s="17" t="s">
        <v>50</v>
      </c>
      <c r="D1374" s="17" t="s">
        <v>83</v>
      </c>
      <c r="E1374" s="17" t="s">
        <v>165</v>
      </c>
      <c r="F1374" s="17" t="s">
        <v>163</v>
      </c>
      <c r="G1374" s="17">
        <v>6</v>
      </c>
      <c r="H1374" s="17">
        <v>78723</v>
      </c>
      <c r="I1374" s="17">
        <v>472338</v>
      </c>
      <c r="J1374" s="17">
        <v>4433</v>
      </c>
      <c r="K1374" s="17">
        <v>467905</v>
      </c>
      <c r="L1374" s="17">
        <v>115653.5561</v>
      </c>
      <c r="M1374" s="17">
        <v>2025</v>
      </c>
      <c r="N1374" s="17" t="s">
        <v>117</v>
      </c>
    </row>
    <row r="1375" spans="1:14" ht="14.25" customHeight="1">
      <c r="A1375" s="17">
        <v>11374</v>
      </c>
      <c r="B1375" s="18">
        <v>45364</v>
      </c>
      <c r="C1375" s="17" t="s">
        <v>167</v>
      </c>
      <c r="D1375" s="17" t="s">
        <v>170</v>
      </c>
      <c r="E1375" s="17" t="s">
        <v>162</v>
      </c>
      <c r="F1375" s="17" t="s">
        <v>163</v>
      </c>
      <c r="G1375" s="17">
        <v>2</v>
      </c>
      <c r="H1375" s="17">
        <v>66320</v>
      </c>
      <c r="I1375" s="17">
        <v>132640</v>
      </c>
      <c r="J1375" s="17">
        <v>1133</v>
      </c>
      <c r="K1375" s="17">
        <v>131507</v>
      </c>
      <c r="L1375" s="17">
        <v>17948.68289</v>
      </c>
      <c r="M1375" s="17">
        <v>2024</v>
      </c>
      <c r="N1375" s="17" t="s">
        <v>112</v>
      </c>
    </row>
    <row r="1376" spans="1:14" ht="14.25" customHeight="1">
      <c r="A1376" s="17">
        <v>11375</v>
      </c>
      <c r="B1376" s="18">
        <v>46004</v>
      </c>
      <c r="C1376" s="17" t="s">
        <v>167</v>
      </c>
      <c r="D1376" s="17" t="s">
        <v>89</v>
      </c>
      <c r="E1376" s="17" t="s">
        <v>165</v>
      </c>
      <c r="F1376" s="17" t="s">
        <v>172</v>
      </c>
      <c r="G1376" s="17">
        <v>8</v>
      </c>
      <c r="H1376" s="17">
        <v>37624</v>
      </c>
      <c r="I1376" s="17">
        <v>300992</v>
      </c>
      <c r="J1376" s="17">
        <v>353</v>
      </c>
      <c r="K1376" s="17">
        <v>300639</v>
      </c>
      <c r="L1376" s="17">
        <v>73216.307220000002</v>
      </c>
      <c r="M1376" s="17">
        <v>2025</v>
      </c>
      <c r="N1376" s="17" t="s">
        <v>169</v>
      </c>
    </row>
    <row r="1377" spans="1:14" ht="14.25" customHeight="1">
      <c r="A1377" s="17">
        <v>11376</v>
      </c>
      <c r="B1377" s="18">
        <v>45587</v>
      </c>
      <c r="C1377" s="17" t="s">
        <v>39</v>
      </c>
      <c r="D1377" s="17" t="s">
        <v>170</v>
      </c>
      <c r="E1377" s="17" t="s">
        <v>165</v>
      </c>
      <c r="F1377" s="17" t="s">
        <v>164</v>
      </c>
      <c r="G1377" s="17">
        <v>4</v>
      </c>
      <c r="H1377" s="17">
        <v>8726</v>
      </c>
      <c r="I1377" s="17">
        <v>34904</v>
      </c>
      <c r="J1377" s="17">
        <v>1107</v>
      </c>
      <c r="K1377" s="17">
        <v>33797</v>
      </c>
      <c r="L1377" s="17">
        <v>5991.0736669999997</v>
      </c>
      <c r="M1377" s="17">
        <v>2024</v>
      </c>
      <c r="N1377" s="17" t="s">
        <v>174</v>
      </c>
    </row>
    <row r="1378" spans="1:14" ht="14.25" customHeight="1">
      <c r="A1378" s="17">
        <v>11377</v>
      </c>
      <c r="B1378" s="18">
        <v>45308</v>
      </c>
      <c r="C1378" s="17" t="s">
        <v>50</v>
      </c>
      <c r="D1378" s="17" t="s">
        <v>83</v>
      </c>
      <c r="E1378" s="17" t="s">
        <v>162</v>
      </c>
      <c r="F1378" s="17" t="s">
        <v>163</v>
      </c>
      <c r="G1378" s="17">
        <v>8</v>
      </c>
      <c r="H1378" s="17">
        <v>55393</v>
      </c>
      <c r="I1378" s="17">
        <v>443144</v>
      </c>
      <c r="J1378" s="17">
        <v>2602</v>
      </c>
      <c r="K1378" s="17">
        <v>440542</v>
      </c>
      <c r="L1378" s="17">
        <v>53703.812870000002</v>
      </c>
      <c r="M1378" s="17">
        <v>2024</v>
      </c>
      <c r="N1378" s="17" t="s">
        <v>171</v>
      </c>
    </row>
    <row r="1379" spans="1:14" ht="14.25" customHeight="1">
      <c r="A1379" s="17">
        <v>11378</v>
      </c>
      <c r="B1379" s="18">
        <v>45932</v>
      </c>
      <c r="C1379" s="17" t="s">
        <v>50</v>
      </c>
      <c r="D1379" s="17" t="s">
        <v>89</v>
      </c>
      <c r="E1379" s="17" t="s">
        <v>165</v>
      </c>
      <c r="F1379" s="17" t="s">
        <v>166</v>
      </c>
      <c r="G1379" s="17">
        <v>3</v>
      </c>
      <c r="H1379" s="17">
        <v>6843</v>
      </c>
      <c r="I1379" s="17">
        <v>20529</v>
      </c>
      <c r="J1379" s="17">
        <v>2113</v>
      </c>
      <c r="K1379" s="17">
        <v>18416</v>
      </c>
      <c r="L1379" s="17">
        <v>2250.9297879999999</v>
      </c>
      <c r="M1379" s="17">
        <v>2025</v>
      </c>
      <c r="N1379" s="17" t="s">
        <v>174</v>
      </c>
    </row>
    <row r="1380" spans="1:14" ht="14.25" customHeight="1">
      <c r="A1380" s="17">
        <v>11379</v>
      </c>
      <c r="B1380" s="18">
        <v>45508</v>
      </c>
      <c r="C1380" s="17" t="s">
        <v>45</v>
      </c>
      <c r="D1380" s="17" t="s">
        <v>89</v>
      </c>
      <c r="E1380" s="17" t="s">
        <v>162</v>
      </c>
      <c r="F1380" s="17" t="s">
        <v>163</v>
      </c>
      <c r="G1380" s="17">
        <v>5</v>
      </c>
      <c r="H1380" s="17">
        <v>59929</v>
      </c>
      <c r="I1380" s="17">
        <v>299645</v>
      </c>
      <c r="J1380" s="17">
        <v>4094</v>
      </c>
      <c r="K1380" s="17">
        <v>295551</v>
      </c>
      <c r="L1380" s="17">
        <v>56534.531719999999</v>
      </c>
      <c r="M1380" s="17">
        <v>2024</v>
      </c>
      <c r="N1380" s="17" t="s">
        <v>126</v>
      </c>
    </row>
    <row r="1381" spans="1:14" ht="14.25" customHeight="1">
      <c r="A1381" s="17">
        <v>11380</v>
      </c>
      <c r="B1381" s="18">
        <v>45352</v>
      </c>
      <c r="C1381" s="17" t="s">
        <v>45</v>
      </c>
      <c r="D1381" s="17" t="s">
        <v>86</v>
      </c>
      <c r="E1381" s="17" t="s">
        <v>162</v>
      </c>
      <c r="F1381" s="17" t="s">
        <v>172</v>
      </c>
      <c r="G1381" s="17">
        <v>3</v>
      </c>
      <c r="H1381" s="17">
        <v>63856</v>
      </c>
      <c r="I1381" s="17">
        <v>191568</v>
      </c>
      <c r="J1381" s="17">
        <v>3685</v>
      </c>
      <c r="K1381" s="17">
        <v>187883</v>
      </c>
      <c r="L1381" s="17">
        <v>42219.829989999998</v>
      </c>
      <c r="M1381" s="17">
        <v>2024</v>
      </c>
      <c r="N1381" s="17" t="s">
        <v>112</v>
      </c>
    </row>
    <row r="1382" spans="1:14" ht="14.25" customHeight="1">
      <c r="A1382" s="17">
        <v>11381</v>
      </c>
      <c r="B1382" s="18">
        <v>45907</v>
      </c>
      <c r="C1382" s="17" t="s">
        <v>45</v>
      </c>
      <c r="D1382" s="17" t="s">
        <v>170</v>
      </c>
      <c r="E1382" s="17" t="s">
        <v>162</v>
      </c>
      <c r="F1382" s="17" t="s">
        <v>166</v>
      </c>
      <c r="G1382" s="17">
        <v>7</v>
      </c>
      <c r="H1382" s="17">
        <v>70460</v>
      </c>
      <c r="I1382" s="17">
        <v>493220</v>
      </c>
      <c r="J1382" s="17">
        <v>3206</v>
      </c>
      <c r="K1382" s="17">
        <v>490014</v>
      </c>
      <c r="L1382" s="17">
        <v>103959.76730000001</v>
      </c>
      <c r="M1382" s="17">
        <v>2025</v>
      </c>
      <c r="N1382" s="17" t="s">
        <v>129</v>
      </c>
    </row>
    <row r="1383" spans="1:14" ht="14.25" customHeight="1">
      <c r="A1383" s="17">
        <v>11382</v>
      </c>
      <c r="B1383" s="18">
        <v>45333</v>
      </c>
      <c r="C1383" s="17" t="s">
        <v>58</v>
      </c>
      <c r="D1383" s="17" t="s">
        <v>170</v>
      </c>
      <c r="E1383" s="17" t="s">
        <v>165</v>
      </c>
      <c r="F1383" s="17" t="s">
        <v>166</v>
      </c>
      <c r="G1383" s="17">
        <v>3</v>
      </c>
      <c r="H1383" s="17">
        <v>18754</v>
      </c>
      <c r="I1383" s="17">
        <v>56262</v>
      </c>
      <c r="J1383" s="17">
        <v>1109</v>
      </c>
      <c r="K1383" s="17">
        <v>55153</v>
      </c>
      <c r="L1383" s="17">
        <v>10939.272220000001</v>
      </c>
      <c r="M1383" s="17">
        <v>2024</v>
      </c>
      <c r="N1383" s="17" t="s">
        <v>175</v>
      </c>
    </row>
    <row r="1384" spans="1:14" ht="14.25" customHeight="1">
      <c r="A1384" s="17">
        <v>11383</v>
      </c>
      <c r="B1384" s="18">
        <v>45316</v>
      </c>
      <c r="C1384" s="17" t="s">
        <v>45</v>
      </c>
      <c r="D1384" s="17" t="s">
        <v>86</v>
      </c>
      <c r="E1384" s="17" t="s">
        <v>162</v>
      </c>
      <c r="F1384" s="17" t="s">
        <v>164</v>
      </c>
      <c r="G1384" s="17">
        <v>8</v>
      </c>
      <c r="H1384" s="17">
        <v>33853</v>
      </c>
      <c r="I1384" s="17">
        <v>270824</v>
      </c>
      <c r="J1384" s="17">
        <v>4179</v>
      </c>
      <c r="K1384" s="17">
        <v>266645</v>
      </c>
      <c r="L1384" s="17">
        <v>33548.263149999999</v>
      </c>
      <c r="M1384" s="17">
        <v>2024</v>
      </c>
      <c r="N1384" s="17" t="s">
        <v>171</v>
      </c>
    </row>
    <row r="1385" spans="1:14" ht="14.25" customHeight="1">
      <c r="A1385" s="17">
        <v>11384</v>
      </c>
      <c r="B1385" s="18">
        <v>45330</v>
      </c>
      <c r="C1385" s="17" t="s">
        <v>50</v>
      </c>
      <c r="D1385" s="17" t="s">
        <v>111</v>
      </c>
      <c r="E1385" s="17" t="s">
        <v>165</v>
      </c>
      <c r="F1385" s="17" t="s">
        <v>166</v>
      </c>
      <c r="G1385" s="17">
        <v>9</v>
      </c>
      <c r="H1385" s="17">
        <v>64560</v>
      </c>
      <c r="I1385" s="17">
        <v>581040</v>
      </c>
      <c r="J1385" s="17">
        <v>1977</v>
      </c>
      <c r="K1385" s="17">
        <v>579063</v>
      </c>
      <c r="L1385" s="17">
        <v>67316.653309999994</v>
      </c>
      <c r="M1385" s="17">
        <v>2024</v>
      </c>
      <c r="N1385" s="17" t="s">
        <v>175</v>
      </c>
    </row>
    <row r="1386" spans="1:14" ht="14.25" customHeight="1">
      <c r="A1386" s="17">
        <v>11385</v>
      </c>
      <c r="B1386" s="18">
        <v>45422</v>
      </c>
      <c r="C1386" s="17" t="s">
        <v>58</v>
      </c>
      <c r="D1386" s="17" t="s">
        <v>83</v>
      </c>
      <c r="E1386" s="17" t="s">
        <v>162</v>
      </c>
      <c r="F1386" s="17" t="s">
        <v>164</v>
      </c>
      <c r="G1386" s="17">
        <v>2</v>
      </c>
      <c r="H1386" s="17">
        <v>72816</v>
      </c>
      <c r="I1386" s="17">
        <v>145632</v>
      </c>
      <c r="J1386" s="17">
        <v>226</v>
      </c>
      <c r="K1386" s="17">
        <v>145406</v>
      </c>
      <c r="L1386" s="17">
        <v>14546.009620000001</v>
      </c>
      <c r="M1386" s="17">
        <v>2024</v>
      </c>
      <c r="N1386" s="17" t="s">
        <v>117</v>
      </c>
    </row>
    <row r="1387" spans="1:14" ht="14.25" customHeight="1">
      <c r="A1387" s="17">
        <v>11386</v>
      </c>
      <c r="B1387" s="18">
        <v>45789</v>
      </c>
      <c r="C1387" s="17" t="s">
        <v>167</v>
      </c>
      <c r="D1387" s="17" t="s">
        <v>170</v>
      </c>
      <c r="E1387" s="17" t="s">
        <v>165</v>
      </c>
      <c r="F1387" s="17" t="s">
        <v>164</v>
      </c>
      <c r="G1387" s="17">
        <v>3</v>
      </c>
      <c r="H1387" s="17">
        <v>78332</v>
      </c>
      <c r="I1387" s="17">
        <v>234996</v>
      </c>
      <c r="J1387" s="17">
        <v>2939</v>
      </c>
      <c r="K1387" s="17">
        <v>232057</v>
      </c>
      <c r="L1387" s="17">
        <v>26748.996709999999</v>
      </c>
      <c r="M1387" s="17">
        <v>2025</v>
      </c>
      <c r="N1387" s="17" t="s">
        <v>117</v>
      </c>
    </row>
    <row r="1388" spans="1:14" ht="14.25" customHeight="1">
      <c r="A1388" s="17">
        <v>11387</v>
      </c>
      <c r="B1388" s="18">
        <v>45520</v>
      </c>
      <c r="C1388" s="17" t="s">
        <v>39</v>
      </c>
      <c r="D1388" s="17" t="s">
        <v>86</v>
      </c>
      <c r="E1388" s="17" t="s">
        <v>162</v>
      </c>
      <c r="F1388" s="17" t="s">
        <v>166</v>
      </c>
      <c r="G1388" s="17">
        <v>7</v>
      </c>
      <c r="H1388" s="17">
        <v>9567</v>
      </c>
      <c r="I1388" s="17">
        <v>66969</v>
      </c>
      <c r="J1388" s="17">
        <v>1012</v>
      </c>
      <c r="K1388" s="17">
        <v>65957</v>
      </c>
      <c r="L1388" s="17">
        <v>14177.78635</v>
      </c>
      <c r="M1388" s="17">
        <v>2024</v>
      </c>
      <c r="N1388" s="17" t="s">
        <v>126</v>
      </c>
    </row>
    <row r="1389" spans="1:14" ht="14.25" customHeight="1">
      <c r="A1389" s="17">
        <v>11388</v>
      </c>
      <c r="B1389" s="18">
        <v>45399</v>
      </c>
      <c r="C1389" s="17" t="s">
        <v>45</v>
      </c>
      <c r="D1389" s="17" t="s">
        <v>89</v>
      </c>
      <c r="E1389" s="17" t="s">
        <v>168</v>
      </c>
      <c r="F1389" s="17" t="s">
        <v>164</v>
      </c>
      <c r="G1389" s="17">
        <v>5</v>
      </c>
      <c r="H1389" s="17">
        <v>79836</v>
      </c>
      <c r="I1389" s="17">
        <v>399180</v>
      </c>
      <c r="J1389" s="17">
        <v>4115</v>
      </c>
      <c r="K1389" s="17">
        <v>395065</v>
      </c>
      <c r="L1389" s="17">
        <v>92558.697320000007</v>
      </c>
      <c r="M1389" s="17">
        <v>2024</v>
      </c>
      <c r="N1389" s="17" t="s">
        <v>114</v>
      </c>
    </row>
    <row r="1390" spans="1:14" ht="14.25" customHeight="1">
      <c r="A1390" s="17">
        <v>11389</v>
      </c>
      <c r="B1390" s="18">
        <v>45463</v>
      </c>
      <c r="C1390" s="17" t="s">
        <v>167</v>
      </c>
      <c r="D1390" s="17" t="s">
        <v>86</v>
      </c>
      <c r="E1390" s="17" t="s">
        <v>168</v>
      </c>
      <c r="F1390" s="17" t="s">
        <v>164</v>
      </c>
      <c r="G1390" s="17">
        <v>7</v>
      </c>
      <c r="H1390" s="17">
        <v>67118</v>
      </c>
      <c r="I1390" s="17">
        <v>469826</v>
      </c>
      <c r="J1390" s="17">
        <v>3106</v>
      </c>
      <c r="K1390" s="17">
        <v>466720</v>
      </c>
      <c r="L1390" s="17">
        <v>63498.454919999996</v>
      </c>
      <c r="M1390" s="17">
        <v>2024</v>
      </c>
      <c r="N1390" s="17" t="s">
        <v>120</v>
      </c>
    </row>
    <row r="1391" spans="1:14" ht="14.25" customHeight="1">
      <c r="A1391" s="17">
        <v>11390</v>
      </c>
      <c r="B1391" s="18">
        <v>45726</v>
      </c>
      <c r="C1391" s="17" t="s">
        <v>50</v>
      </c>
      <c r="D1391" s="17" t="s">
        <v>111</v>
      </c>
      <c r="E1391" s="17" t="s">
        <v>168</v>
      </c>
      <c r="F1391" s="17" t="s">
        <v>166</v>
      </c>
      <c r="G1391" s="17">
        <v>2</v>
      </c>
      <c r="H1391" s="17">
        <v>63886</v>
      </c>
      <c r="I1391" s="17">
        <v>127772</v>
      </c>
      <c r="J1391" s="17">
        <v>3936</v>
      </c>
      <c r="K1391" s="17">
        <v>123836</v>
      </c>
      <c r="L1391" s="17">
        <v>27149.07847</v>
      </c>
      <c r="M1391" s="17">
        <v>2025</v>
      </c>
      <c r="N1391" s="17" t="s">
        <v>112</v>
      </c>
    </row>
    <row r="1392" spans="1:14" ht="14.25" customHeight="1">
      <c r="A1392" s="17">
        <v>11391</v>
      </c>
      <c r="B1392" s="18">
        <v>45769</v>
      </c>
      <c r="C1392" s="17" t="s">
        <v>39</v>
      </c>
      <c r="D1392" s="17" t="s">
        <v>83</v>
      </c>
      <c r="E1392" s="17" t="s">
        <v>162</v>
      </c>
      <c r="F1392" s="17" t="s">
        <v>172</v>
      </c>
      <c r="G1392" s="17">
        <v>4</v>
      </c>
      <c r="H1392" s="17">
        <v>62724</v>
      </c>
      <c r="I1392" s="17">
        <v>250896</v>
      </c>
      <c r="J1392" s="17">
        <v>2802</v>
      </c>
      <c r="K1392" s="17">
        <v>248094</v>
      </c>
      <c r="L1392" s="17">
        <v>32209.377850000001</v>
      </c>
      <c r="M1392" s="17">
        <v>2025</v>
      </c>
      <c r="N1392" s="17" t="s">
        <v>114</v>
      </c>
    </row>
    <row r="1393" spans="1:14" ht="14.25" customHeight="1">
      <c r="A1393" s="17">
        <v>11392</v>
      </c>
      <c r="B1393" s="18">
        <v>45393</v>
      </c>
      <c r="C1393" s="17" t="s">
        <v>167</v>
      </c>
      <c r="D1393" s="17" t="s">
        <v>111</v>
      </c>
      <c r="E1393" s="17" t="s">
        <v>165</v>
      </c>
      <c r="F1393" s="17" t="s">
        <v>163</v>
      </c>
      <c r="G1393" s="17">
        <v>1</v>
      </c>
      <c r="H1393" s="17">
        <v>37150</v>
      </c>
      <c r="I1393" s="17">
        <v>37150</v>
      </c>
      <c r="J1393" s="17">
        <v>1466</v>
      </c>
      <c r="K1393" s="17">
        <v>35684</v>
      </c>
      <c r="L1393" s="17">
        <v>4902.6516119999997</v>
      </c>
      <c r="M1393" s="17">
        <v>2024</v>
      </c>
      <c r="N1393" s="17" t="s">
        <v>114</v>
      </c>
    </row>
    <row r="1394" spans="1:14" ht="14.25" customHeight="1">
      <c r="A1394" s="17">
        <v>11393</v>
      </c>
      <c r="B1394" s="18">
        <v>45815</v>
      </c>
      <c r="C1394" s="17" t="s">
        <v>39</v>
      </c>
      <c r="D1394" s="17" t="s">
        <v>89</v>
      </c>
      <c r="E1394" s="17" t="s">
        <v>162</v>
      </c>
      <c r="F1394" s="17" t="s">
        <v>164</v>
      </c>
      <c r="G1394" s="17">
        <v>5</v>
      </c>
      <c r="H1394" s="17">
        <v>71791</v>
      </c>
      <c r="I1394" s="17">
        <v>358955</v>
      </c>
      <c r="J1394" s="17">
        <v>2988</v>
      </c>
      <c r="K1394" s="17">
        <v>355967</v>
      </c>
      <c r="L1394" s="17">
        <v>47565.632660000003</v>
      </c>
      <c r="M1394" s="17">
        <v>2025</v>
      </c>
      <c r="N1394" s="17" t="s">
        <v>120</v>
      </c>
    </row>
    <row r="1395" spans="1:14" ht="14.25" customHeight="1">
      <c r="A1395" s="17">
        <v>11394</v>
      </c>
      <c r="B1395" s="18">
        <v>45566</v>
      </c>
      <c r="C1395" s="17" t="s">
        <v>45</v>
      </c>
      <c r="D1395" s="17" t="s">
        <v>89</v>
      </c>
      <c r="E1395" s="17" t="s">
        <v>162</v>
      </c>
      <c r="F1395" s="17" t="s">
        <v>164</v>
      </c>
      <c r="G1395" s="17">
        <v>8</v>
      </c>
      <c r="H1395" s="17">
        <v>11462</v>
      </c>
      <c r="I1395" s="17">
        <v>91696</v>
      </c>
      <c r="J1395" s="17">
        <v>269</v>
      </c>
      <c r="K1395" s="17">
        <v>91427</v>
      </c>
      <c r="L1395" s="17">
        <v>9852.1265590000003</v>
      </c>
      <c r="M1395" s="17">
        <v>2024</v>
      </c>
      <c r="N1395" s="17" t="s">
        <v>174</v>
      </c>
    </row>
    <row r="1396" spans="1:14" ht="14.25" customHeight="1">
      <c r="A1396" s="17">
        <v>11395</v>
      </c>
      <c r="B1396" s="18">
        <v>45904</v>
      </c>
      <c r="C1396" s="17" t="s">
        <v>50</v>
      </c>
      <c r="D1396" s="17" t="s">
        <v>89</v>
      </c>
      <c r="E1396" s="17" t="s">
        <v>162</v>
      </c>
      <c r="F1396" s="17" t="s">
        <v>166</v>
      </c>
      <c r="G1396" s="17">
        <v>1</v>
      </c>
      <c r="H1396" s="17">
        <v>32560</v>
      </c>
      <c r="I1396" s="17">
        <v>32560</v>
      </c>
      <c r="J1396" s="17">
        <v>3806</v>
      </c>
      <c r="K1396" s="17">
        <v>28754</v>
      </c>
      <c r="L1396" s="17">
        <v>3712.405655</v>
      </c>
      <c r="M1396" s="17">
        <v>2025</v>
      </c>
      <c r="N1396" s="17" t="s">
        <v>129</v>
      </c>
    </row>
    <row r="1397" spans="1:14" ht="14.25" customHeight="1">
      <c r="A1397" s="17">
        <v>11396</v>
      </c>
      <c r="B1397" s="18">
        <v>45335</v>
      </c>
      <c r="C1397" s="17" t="s">
        <v>39</v>
      </c>
      <c r="D1397" s="17" t="s">
        <v>89</v>
      </c>
      <c r="E1397" s="17" t="s">
        <v>162</v>
      </c>
      <c r="F1397" s="17" t="s">
        <v>163</v>
      </c>
      <c r="G1397" s="17">
        <v>7</v>
      </c>
      <c r="H1397" s="17">
        <v>8371</v>
      </c>
      <c r="I1397" s="17">
        <v>58597</v>
      </c>
      <c r="J1397" s="17">
        <v>1531</v>
      </c>
      <c r="K1397" s="17">
        <v>57066</v>
      </c>
      <c r="L1397" s="17">
        <v>8904.0936760000004</v>
      </c>
      <c r="M1397" s="17">
        <v>2024</v>
      </c>
      <c r="N1397" s="17" t="s">
        <v>175</v>
      </c>
    </row>
    <row r="1398" spans="1:14" ht="14.25" customHeight="1">
      <c r="A1398" s="17">
        <v>11397</v>
      </c>
      <c r="B1398" s="18">
        <v>45308</v>
      </c>
      <c r="C1398" s="17" t="s">
        <v>167</v>
      </c>
      <c r="D1398" s="17" t="s">
        <v>86</v>
      </c>
      <c r="E1398" s="17" t="s">
        <v>165</v>
      </c>
      <c r="F1398" s="17" t="s">
        <v>163</v>
      </c>
      <c r="G1398" s="17">
        <v>7</v>
      </c>
      <c r="H1398" s="17">
        <v>59012</v>
      </c>
      <c r="I1398" s="17">
        <v>413084</v>
      </c>
      <c r="J1398" s="17">
        <v>303</v>
      </c>
      <c r="K1398" s="17">
        <v>412781</v>
      </c>
      <c r="L1398" s="17">
        <v>66383.629190000007</v>
      </c>
      <c r="M1398" s="17">
        <v>2024</v>
      </c>
      <c r="N1398" s="17" t="s">
        <v>171</v>
      </c>
    </row>
    <row r="1399" spans="1:14" ht="14.25" customHeight="1">
      <c r="A1399" s="17">
        <v>11398</v>
      </c>
      <c r="B1399" s="18">
        <v>45621</v>
      </c>
      <c r="C1399" s="17" t="s">
        <v>45</v>
      </c>
      <c r="D1399" s="17" t="s">
        <v>89</v>
      </c>
      <c r="E1399" s="17" t="s">
        <v>162</v>
      </c>
      <c r="F1399" s="17" t="s">
        <v>164</v>
      </c>
      <c r="G1399" s="17">
        <v>7</v>
      </c>
      <c r="H1399" s="17">
        <v>78156</v>
      </c>
      <c r="I1399" s="17">
        <v>547092</v>
      </c>
      <c r="J1399" s="17">
        <v>4905</v>
      </c>
      <c r="K1399" s="17">
        <v>542187</v>
      </c>
      <c r="L1399" s="17">
        <v>79386.999979999993</v>
      </c>
      <c r="M1399" s="17">
        <v>2024</v>
      </c>
      <c r="N1399" s="17" t="s">
        <v>173</v>
      </c>
    </row>
    <row r="1400" spans="1:14" ht="14.25" customHeight="1">
      <c r="A1400" s="17">
        <v>11399</v>
      </c>
      <c r="B1400" s="18">
        <v>45860</v>
      </c>
      <c r="C1400" s="17" t="s">
        <v>45</v>
      </c>
      <c r="D1400" s="17" t="s">
        <v>89</v>
      </c>
      <c r="E1400" s="17" t="s">
        <v>168</v>
      </c>
      <c r="F1400" s="17" t="s">
        <v>166</v>
      </c>
      <c r="G1400" s="17">
        <v>1</v>
      </c>
      <c r="H1400" s="17">
        <v>7932</v>
      </c>
      <c r="I1400" s="17">
        <v>7932</v>
      </c>
      <c r="J1400" s="17">
        <v>1932</v>
      </c>
      <c r="K1400" s="17">
        <v>6000</v>
      </c>
      <c r="L1400" s="17">
        <v>1063.252757</v>
      </c>
      <c r="M1400" s="17">
        <v>2025</v>
      </c>
      <c r="N1400" s="17" t="s">
        <v>123</v>
      </c>
    </row>
    <row r="1401" spans="1:14" ht="14.25" customHeight="1">
      <c r="A1401" s="17">
        <v>11400</v>
      </c>
      <c r="B1401" s="18">
        <v>45788</v>
      </c>
      <c r="C1401" s="17" t="s">
        <v>167</v>
      </c>
      <c r="D1401" s="17" t="s">
        <v>86</v>
      </c>
      <c r="E1401" s="17" t="s">
        <v>168</v>
      </c>
      <c r="F1401" s="17" t="s">
        <v>172</v>
      </c>
      <c r="G1401" s="17">
        <v>3</v>
      </c>
      <c r="H1401" s="17">
        <v>26470</v>
      </c>
      <c r="I1401" s="17">
        <v>79410</v>
      </c>
      <c r="J1401" s="17">
        <v>2040</v>
      </c>
      <c r="K1401" s="17">
        <v>77370</v>
      </c>
      <c r="L1401" s="17">
        <v>12123.858490000001</v>
      </c>
      <c r="M1401" s="17">
        <v>2025</v>
      </c>
      <c r="N1401" s="17" t="s">
        <v>117</v>
      </c>
    </row>
    <row r="1402" spans="1:14" ht="14.25" customHeight="1">
      <c r="A1402" s="17">
        <v>11401</v>
      </c>
      <c r="B1402" s="18">
        <v>45303</v>
      </c>
      <c r="C1402" s="17" t="s">
        <v>167</v>
      </c>
      <c r="D1402" s="17" t="s">
        <v>89</v>
      </c>
      <c r="E1402" s="17" t="s">
        <v>168</v>
      </c>
      <c r="F1402" s="17" t="s">
        <v>163</v>
      </c>
      <c r="G1402" s="17">
        <v>2</v>
      </c>
      <c r="H1402" s="17">
        <v>14778</v>
      </c>
      <c r="I1402" s="17">
        <v>29556</v>
      </c>
      <c r="J1402" s="17">
        <v>4021</v>
      </c>
      <c r="K1402" s="17">
        <v>25535</v>
      </c>
      <c r="L1402" s="17">
        <v>6270.2391859999998</v>
      </c>
      <c r="M1402" s="17">
        <v>2024</v>
      </c>
      <c r="N1402" s="17" t="s">
        <v>171</v>
      </c>
    </row>
    <row r="1403" spans="1:14" ht="14.25" customHeight="1">
      <c r="A1403" s="17">
        <v>11402</v>
      </c>
      <c r="B1403" s="18">
        <v>45609</v>
      </c>
      <c r="C1403" s="17" t="s">
        <v>39</v>
      </c>
      <c r="D1403" s="17" t="s">
        <v>111</v>
      </c>
      <c r="E1403" s="17" t="s">
        <v>162</v>
      </c>
      <c r="F1403" s="17" t="s">
        <v>172</v>
      </c>
      <c r="G1403" s="17">
        <v>5</v>
      </c>
      <c r="H1403" s="17">
        <v>28033</v>
      </c>
      <c r="I1403" s="17">
        <v>140165</v>
      </c>
      <c r="J1403" s="17">
        <v>141</v>
      </c>
      <c r="K1403" s="17">
        <v>140024</v>
      </c>
      <c r="L1403" s="17">
        <v>30959.666000000001</v>
      </c>
      <c r="M1403" s="17">
        <v>2024</v>
      </c>
      <c r="N1403" s="17" t="s">
        <v>173</v>
      </c>
    </row>
    <row r="1404" spans="1:14" ht="14.25" customHeight="1">
      <c r="A1404" s="17">
        <v>11403</v>
      </c>
      <c r="B1404" s="18">
        <v>45883</v>
      </c>
      <c r="C1404" s="17" t="s">
        <v>58</v>
      </c>
      <c r="D1404" s="17" t="s">
        <v>111</v>
      </c>
      <c r="E1404" s="17" t="s">
        <v>165</v>
      </c>
      <c r="F1404" s="17" t="s">
        <v>166</v>
      </c>
      <c r="G1404" s="17">
        <v>2</v>
      </c>
      <c r="H1404" s="17">
        <v>15304</v>
      </c>
      <c r="I1404" s="17">
        <v>30608</v>
      </c>
      <c r="J1404" s="17">
        <v>808</v>
      </c>
      <c r="K1404" s="17">
        <v>29800</v>
      </c>
      <c r="L1404" s="17">
        <v>7141.4687359999998</v>
      </c>
      <c r="M1404" s="17">
        <v>2025</v>
      </c>
      <c r="N1404" s="17" t="s">
        <v>126</v>
      </c>
    </row>
    <row r="1405" spans="1:14" ht="14.25" customHeight="1">
      <c r="A1405" s="17">
        <v>11404</v>
      </c>
      <c r="B1405" s="18">
        <v>45507</v>
      </c>
      <c r="C1405" s="17" t="s">
        <v>45</v>
      </c>
      <c r="D1405" s="17" t="s">
        <v>170</v>
      </c>
      <c r="E1405" s="17" t="s">
        <v>165</v>
      </c>
      <c r="F1405" s="17" t="s">
        <v>172</v>
      </c>
      <c r="G1405" s="17">
        <v>5</v>
      </c>
      <c r="H1405" s="17">
        <v>78655</v>
      </c>
      <c r="I1405" s="17">
        <v>393275</v>
      </c>
      <c r="J1405" s="17">
        <v>947</v>
      </c>
      <c r="K1405" s="17">
        <v>392328</v>
      </c>
      <c r="L1405" s="17">
        <v>72036.929839999997</v>
      </c>
      <c r="M1405" s="17">
        <v>2024</v>
      </c>
      <c r="N1405" s="17" t="s">
        <v>126</v>
      </c>
    </row>
    <row r="1406" spans="1:14" ht="14.25" customHeight="1">
      <c r="A1406" s="17">
        <v>11405</v>
      </c>
      <c r="B1406" s="18">
        <v>45630</v>
      </c>
      <c r="C1406" s="17" t="s">
        <v>39</v>
      </c>
      <c r="D1406" s="17" t="s">
        <v>111</v>
      </c>
      <c r="E1406" s="17" t="s">
        <v>165</v>
      </c>
      <c r="F1406" s="17" t="s">
        <v>166</v>
      </c>
      <c r="G1406" s="17">
        <v>5</v>
      </c>
      <c r="H1406" s="17">
        <v>19407</v>
      </c>
      <c r="I1406" s="17">
        <v>97035</v>
      </c>
      <c r="J1406" s="17">
        <v>3951</v>
      </c>
      <c r="K1406" s="17">
        <v>93084</v>
      </c>
      <c r="L1406" s="17">
        <v>18779.784899999999</v>
      </c>
      <c r="M1406" s="17">
        <v>2024</v>
      </c>
      <c r="N1406" s="17" t="s">
        <v>169</v>
      </c>
    </row>
    <row r="1407" spans="1:14" ht="14.25" customHeight="1">
      <c r="A1407" s="17">
        <v>11406</v>
      </c>
      <c r="B1407" s="18">
        <v>45952</v>
      </c>
      <c r="C1407" s="17" t="s">
        <v>167</v>
      </c>
      <c r="D1407" s="17" t="s">
        <v>83</v>
      </c>
      <c r="E1407" s="17" t="s">
        <v>162</v>
      </c>
      <c r="F1407" s="17" t="s">
        <v>164</v>
      </c>
      <c r="G1407" s="17">
        <v>4</v>
      </c>
      <c r="H1407" s="17">
        <v>75519</v>
      </c>
      <c r="I1407" s="17">
        <v>302076</v>
      </c>
      <c r="J1407" s="17">
        <v>3412</v>
      </c>
      <c r="K1407" s="17">
        <v>298664</v>
      </c>
      <c r="L1407" s="17">
        <v>37333.434930000003</v>
      </c>
      <c r="M1407" s="17">
        <v>2025</v>
      </c>
      <c r="N1407" s="17" t="s">
        <v>174</v>
      </c>
    </row>
    <row r="1408" spans="1:14" ht="14.25" customHeight="1">
      <c r="A1408" s="17">
        <v>11407</v>
      </c>
      <c r="B1408" s="18">
        <v>45372</v>
      </c>
      <c r="C1408" s="17" t="s">
        <v>39</v>
      </c>
      <c r="D1408" s="17" t="s">
        <v>83</v>
      </c>
      <c r="E1408" s="17" t="s">
        <v>165</v>
      </c>
      <c r="F1408" s="17" t="s">
        <v>172</v>
      </c>
      <c r="G1408" s="17">
        <v>7</v>
      </c>
      <c r="H1408" s="17">
        <v>7521</v>
      </c>
      <c r="I1408" s="17">
        <v>52647</v>
      </c>
      <c r="J1408" s="17">
        <v>2292</v>
      </c>
      <c r="K1408" s="17">
        <v>50355</v>
      </c>
      <c r="L1408" s="17">
        <v>10721.479020000001</v>
      </c>
      <c r="M1408" s="17">
        <v>2024</v>
      </c>
      <c r="N1408" s="17" t="s">
        <v>112</v>
      </c>
    </row>
    <row r="1409" spans="1:14" ht="14.25" customHeight="1">
      <c r="A1409" s="17">
        <v>11408</v>
      </c>
      <c r="B1409" s="18">
        <v>46018</v>
      </c>
      <c r="C1409" s="17" t="s">
        <v>167</v>
      </c>
      <c r="D1409" s="17" t="s">
        <v>83</v>
      </c>
      <c r="E1409" s="17" t="s">
        <v>168</v>
      </c>
      <c r="F1409" s="17" t="s">
        <v>164</v>
      </c>
      <c r="G1409" s="17">
        <v>6</v>
      </c>
      <c r="H1409" s="17">
        <v>5783</v>
      </c>
      <c r="I1409" s="17">
        <v>34698</v>
      </c>
      <c r="J1409" s="17">
        <v>765</v>
      </c>
      <c r="K1409" s="17">
        <v>33933</v>
      </c>
      <c r="L1409" s="17">
        <v>4594.3811569999998</v>
      </c>
      <c r="M1409" s="17">
        <v>2025</v>
      </c>
      <c r="N1409" s="17" t="s">
        <v>169</v>
      </c>
    </row>
    <row r="1410" spans="1:14" ht="14.25" customHeight="1">
      <c r="A1410" s="17">
        <v>11409</v>
      </c>
      <c r="B1410" s="18">
        <v>45776</v>
      </c>
      <c r="C1410" s="17" t="s">
        <v>50</v>
      </c>
      <c r="D1410" s="17" t="s">
        <v>86</v>
      </c>
      <c r="E1410" s="17" t="s">
        <v>165</v>
      </c>
      <c r="F1410" s="17" t="s">
        <v>164</v>
      </c>
      <c r="G1410" s="17">
        <v>2</v>
      </c>
      <c r="H1410" s="17">
        <v>47666</v>
      </c>
      <c r="I1410" s="17">
        <v>95332</v>
      </c>
      <c r="J1410" s="17">
        <v>2923</v>
      </c>
      <c r="K1410" s="17">
        <v>92409</v>
      </c>
      <c r="L1410" s="17">
        <v>11262.341249999999</v>
      </c>
      <c r="M1410" s="17">
        <v>2025</v>
      </c>
      <c r="N1410" s="17" t="s">
        <v>114</v>
      </c>
    </row>
    <row r="1411" spans="1:14" ht="14.25" customHeight="1">
      <c r="A1411" s="17">
        <v>11410</v>
      </c>
      <c r="B1411" s="18">
        <v>45665</v>
      </c>
      <c r="C1411" s="17" t="s">
        <v>167</v>
      </c>
      <c r="D1411" s="17" t="s">
        <v>111</v>
      </c>
      <c r="E1411" s="17" t="s">
        <v>162</v>
      </c>
      <c r="F1411" s="17" t="s">
        <v>166</v>
      </c>
      <c r="G1411" s="17">
        <v>4</v>
      </c>
      <c r="H1411" s="17">
        <v>21798</v>
      </c>
      <c r="I1411" s="17">
        <v>87192</v>
      </c>
      <c r="J1411" s="17">
        <v>938</v>
      </c>
      <c r="K1411" s="17">
        <v>86254</v>
      </c>
      <c r="L1411" s="17">
        <v>9166.9804399999994</v>
      </c>
      <c r="M1411" s="17">
        <v>2025</v>
      </c>
      <c r="N1411" s="17" t="s">
        <v>171</v>
      </c>
    </row>
    <row r="1412" spans="1:14" ht="14.25" customHeight="1">
      <c r="A1412" s="17">
        <v>11411</v>
      </c>
      <c r="B1412" s="18">
        <v>46001</v>
      </c>
      <c r="C1412" s="17" t="s">
        <v>167</v>
      </c>
      <c r="D1412" s="17" t="s">
        <v>83</v>
      </c>
      <c r="E1412" s="17" t="s">
        <v>162</v>
      </c>
      <c r="F1412" s="17" t="s">
        <v>172</v>
      </c>
      <c r="G1412" s="17">
        <v>7</v>
      </c>
      <c r="H1412" s="17">
        <v>79091</v>
      </c>
      <c r="I1412" s="17">
        <v>553637</v>
      </c>
      <c r="J1412" s="17">
        <v>2496</v>
      </c>
      <c r="K1412" s="17">
        <v>551141</v>
      </c>
      <c r="L1412" s="17">
        <v>94153.917799999996</v>
      </c>
      <c r="M1412" s="17">
        <v>2025</v>
      </c>
      <c r="N1412" s="17" t="s">
        <v>169</v>
      </c>
    </row>
    <row r="1413" spans="1:14" ht="14.25" customHeight="1">
      <c r="A1413" s="17">
        <v>11412</v>
      </c>
      <c r="B1413" s="18">
        <v>45491</v>
      </c>
      <c r="C1413" s="17" t="s">
        <v>167</v>
      </c>
      <c r="D1413" s="17" t="s">
        <v>170</v>
      </c>
      <c r="E1413" s="17" t="s">
        <v>165</v>
      </c>
      <c r="F1413" s="17" t="s">
        <v>163</v>
      </c>
      <c r="G1413" s="17">
        <v>9</v>
      </c>
      <c r="H1413" s="17">
        <v>6103</v>
      </c>
      <c r="I1413" s="17">
        <v>54927</v>
      </c>
      <c r="J1413" s="17">
        <v>3562</v>
      </c>
      <c r="K1413" s="17">
        <v>51365</v>
      </c>
      <c r="L1413" s="17">
        <v>7346.1395480000001</v>
      </c>
      <c r="M1413" s="17">
        <v>2024</v>
      </c>
      <c r="N1413" s="17" t="s">
        <v>123</v>
      </c>
    </row>
    <row r="1414" spans="1:14" ht="14.25" customHeight="1">
      <c r="A1414" s="17">
        <v>11413</v>
      </c>
      <c r="B1414" s="18">
        <v>45828</v>
      </c>
      <c r="C1414" s="17" t="s">
        <v>58</v>
      </c>
      <c r="D1414" s="17" t="s">
        <v>86</v>
      </c>
      <c r="E1414" s="17" t="s">
        <v>162</v>
      </c>
      <c r="F1414" s="17" t="s">
        <v>172</v>
      </c>
      <c r="G1414" s="17">
        <v>9</v>
      </c>
      <c r="H1414" s="17">
        <v>59043</v>
      </c>
      <c r="I1414" s="17">
        <v>531387</v>
      </c>
      <c r="J1414" s="17">
        <v>1262</v>
      </c>
      <c r="K1414" s="17">
        <v>530125</v>
      </c>
      <c r="L1414" s="17">
        <v>131475.81140000001</v>
      </c>
      <c r="M1414" s="17">
        <v>2025</v>
      </c>
      <c r="N1414" s="17" t="s">
        <v>120</v>
      </c>
    </row>
    <row r="1415" spans="1:14" ht="14.25" customHeight="1">
      <c r="A1415" s="17">
        <v>11414</v>
      </c>
      <c r="B1415" s="18">
        <v>45757</v>
      </c>
      <c r="C1415" s="17" t="s">
        <v>167</v>
      </c>
      <c r="D1415" s="17" t="s">
        <v>170</v>
      </c>
      <c r="E1415" s="17" t="s">
        <v>165</v>
      </c>
      <c r="F1415" s="17" t="s">
        <v>163</v>
      </c>
      <c r="G1415" s="17">
        <v>3</v>
      </c>
      <c r="H1415" s="17">
        <v>75845</v>
      </c>
      <c r="I1415" s="17">
        <v>227535</v>
      </c>
      <c r="J1415" s="17">
        <v>542</v>
      </c>
      <c r="K1415" s="17">
        <v>226993</v>
      </c>
      <c r="L1415" s="17">
        <v>31205.895659999998</v>
      </c>
      <c r="M1415" s="17">
        <v>2025</v>
      </c>
      <c r="N1415" s="17" t="s">
        <v>114</v>
      </c>
    </row>
    <row r="1416" spans="1:14" ht="14.25" customHeight="1">
      <c r="A1416" s="17">
        <v>11415</v>
      </c>
      <c r="B1416" s="18">
        <v>45380</v>
      </c>
      <c r="C1416" s="17" t="s">
        <v>45</v>
      </c>
      <c r="D1416" s="17" t="s">
        <v>111</v>
      </c>
      <c r="E1416" s="17" t="s">
        <v>165</v>
      </c>
      <c r="F1416" s="17" t="s">
        <v>164</v>
      </c>
      <c r="G1416" s="17">
        <v>1</v>
      </c>
      <c r="H1416" s="17">
        <v>38939</v>
      </c>
      <c r="I1416" s="17">
        <v>38939</v>
      </c>
      <c r="J1416" s="17">
        <v>2679</v>
      </c>
      <c r="K1416" s="17">
        <v>36260</v>
      </c>
      <c r="L1416" s="17">
        <v>8339.1289020000004</v>
      </c>
      <c r="M1416" s="17">
        <v>2024</v>
      </c>
      <c r="N1416" s="17" t="s">
        <v>112</v>
      </c>
    </row>
    <row r="1417" spans="1:14" ht="14.25" customHeight="1">
      <c r="A1417" s="17">
        <v>11416</v>
      </c>
      <c r="B1417" s="18">
        <v>45559</v>
      </c>
      <c r="C1417" s="17" t="s">
        <v>45</v>
      </c>
      <c r="D1417" s="17" t="s">
        <v>89</v>
      </c>
      <c r="E1417" s="17" t="s">
        <v>168</v>
      </c>
      <c r="F1417" s="17" t="s">
        <v>164</v>
      </c>
      <c r="G1417" s="17">
        <v>9</v>
      </c>
      <c r="H1417" s="17">
        <v>64042</v>
      </c>
      <c r="I1417" s="17">
        <v>576378</v>
      </c>
      <c r="J1417" s="17">
        <v>2954</v>
      </c>
      <c r="K1417" s="17">
        <v>573424</v>
      </c>
      <c r="L1417" s="17">
        <v>84560.437709999998</v>
      </c>
      <c r="M1417" s="17">
        <v>2024</v>
      </c>
      <c r="N1417" s="17" t="s">
        <v>129</v>
      </c>
    </row>
    <row r="1418" spans="1:14" ht="14.25" customHeight="1">
      <c r="A1418" s="17">
        <v>11417</v>
      </c>
      <c r="B1418" s="18">
        <v>45946</v>
      </c>
      <c r="C1418" s="17" t="s">
        <v>39</v>
      </c>
      <c r="D1418" s="17" t="s">
        <v>170</v>
      </c>
      <c r="E1418" s="17" t="s">
        <v>162</v>
      </c>
      <c r="F1418" s="17" t="s">
        <v>166</v>
      </c>
      <c r="G1418" s="17">
        <v>8</v>
      </c>
      <c r="H1418" s="17">
        <v>79170</v>
      </c>
      <c r="I1418" s="17">
        <v>633360</v>
      </c>
      <c r="J1418" s="17">
        <v>2931</v>
      </c>
      <c r="K1418" s="17">
        <v>630429</v>
      </c>
      <c r="L1418" s="17">
        <v>133883.59390000001</v>
      </c>
      <c r="M1418" s="17">
        <v>2025</v>
      </c>
      <c r="N1418" s="17" t="s">
        <v>174</v>
      </c>
    </row>
    <row r="1419" spans="1:14" ht="14.25" customHeight="1">
      <c r="A1419" s="17">
        <v>11418</v>
      </c>
      <c r="B1419" s="18">
        <v>45862</v>
      </c>
      <c r="C1419" s="17" t="s">
        <v>58</v>
      </c>
      <c r="D1419" s="17" t="s">
        <v>89</v>
      </c>
      <c r="E1419" s="17" t="s">
        <v>168</v>
      </c>
      <c r="F1419" s="17" t="s">
        <v>163</v>
      </c>
      <c r="G1419" s="17">
        <v>7</v>
      </c>
      <c r="H1419" s="17">
        <v>17135</v>
      </c>
      <c r="I1419" s="17">
        <v>119945</v>
      </c>
      <c r="J1419" s="17">
        <v>2781</v>
      </c>
      <c r="K1419" s="17">
        <v>117164</v>
      </c>
      <c r="L1419" s="17">
        <v>23312.847089999999</v>
      </c>
      <c r="M1419" s="17">
        <v>2025</v>
      </c>
      <c r="N1419" s="17" t="s">
        <v>123</v>
      </c>
    </row>
    <row r="1420" spans="1:14" ht="14.25" customHeight="1">
      <c r="A1420" s="17">
        <v>11419</v>
      </c>
      <c r="B1420" s="18">
        <v>45780</v>
      </c>
      <c r="C1420" s="17" t="s">
        <v>39</v>
      </c>
      <c r="D1420" s="17" t="s">
        <v>86</v>
      </c>
      <c r="E1420" s="17" t="s">
        <v>162</v>
      </c>
      <c r="F1420" s="17" t="s">
        <v>172</v>
      </c>
      <c r="G1420" s="17">
        <v>6</v>
      </c>
      <c r="H1420" s="17">
        <v>66948</v>
      </c>
      <c r="I1420" s="17">
        <v>401688</v>
      </c>
      <c r="J1420" s="17">
        <v>4239</v>
      </c>
      <c r="K1420" s="17">
        <v>397449</v>
      </c>
      <c r="L1420" s="17">
        <v>73236.946800000005</v>
      </c>
      <c r="M1420" s="17">
        <v>2025</v>
      </c>
      <c r="N1420" s="17" t="s">
        <v>117</v>
      </c>
    </row>
    <row r="1421" spans="1:14" ht="14.25" customHeight="1">
      <c r="A1421" s="17">
        <v>11420</v>
      </c>
      <c r="B1421" s="18">
        <v>45829</v>
      </c>
      <c r="C1421" s="17" t="s">
        <v>45</v>
      </c>
      <c r="D1421" s="17" t="s">
        <v>170</v>
      </c>
      <c r="E1421" s="17" t="s">
        <v>165</v>
      </c>
      <c r="F1421" s="17" t="s">
        <v>166</v>
      </c>
      <c r="G1421" s="17">
        <v>7</v>
      </c>
      <c r="H1421" s="17">
        <v>64756</v>
      </c>
      <c r="I1421" s="17">
        <v>453292</v>
      </c>
      <c r="J1421" s="17">
        <v>2991</v>
      </c>
      <c r="K1421" s="17">
        <v>450301</v>
      </c>
      <c r="L1421" s="17">
        <v>73184.603329999998</v>
      </c>
      <c r="M1421" s="17">
        <v>2025</v>
      </c>
      <c r="N1421" s="17" t="s">
        <v>120</v>
      </c>
    </row>
    <row r="1422" spans="1:14" ht="14.25" customHeight="1">
      <c r="A1422" s="17">
        <v>11421</v>
      </c>
      <c r="B1422" s="18">
        <v>45338</v>
      </c>
      <c r="C1422" s="17" t="s">
        <v>45</v>
      </c>
      <c r="D1422" s="17" t="s">
        <v>170</v>
      </c>
      <c r="E1422" s="17" t="s">
        <v>162</v>
      </c>
      <c r="F1422" s="17" t="s">
        <v>166</v>
      </c>
      <c r="G1422" s="17">
        <v>9</v>
      </c>
      <c r="H1422" s="17">
        <v>44404</v>
      </c>
      <c r="I1422" s="17">
        <v>399636</v>
      </c>
      <c r="J1422" s="17">
        <v>2612</v>
      </c>
      <c r="K1422" s="17">
        <v>397024</v>
      </c>
      <c r="L1422" s="17">
        <v>79669.119489999997</v>
      </c>
      <c r="M1422" s="17">
        <v>2024</v>
      </c>
      <c r="N1422" s="17" t="s">
        <v>175</v>
      </c>
    </row>
    <row r="1423" spans="1:14" ht="14.25" customHeight="1">
      <c r="A1423" s="17">
        <v>11422</v>
      </c>
      <c r="B1423" s="18">
        <v>45579</v>
      </c>
      <c r="C1423" s="17" t="s">
        <v>50</v>
      </c>
      <c r="D1423" s="17" t="s">
        <v>86</v>
      </c>
      <c r="E1423" s="17" t="s">
        <v>165</v>
      </c>
      <c r="F1423" s="17" t="s">
        <v>166</v>
      </c>
      <c r="G1423" s="17">
        <v>6</v>
      </c>
      <c r="H1423" s="17">
        <v>7589</v>
      </c>
      <c r="I1423" s="17">
        <v>45534</v>
      </c>
      <c r="J1423" s="17">
        <v>3648</v>
      </c>
      <c r="K1423" s="17">
        <v>41886</v>
      </c>
      <c r="L1423" s="17">
        <v>6747.4891470000002</v>
      </c>
      <c r="M1423" s="17">
        <v>2024</v>
      </c>
      <c r="N1423" s="17" t="s">
        <v>174</v>
      </c>
    </row>
    <row r="1424" spans="1:14" ht="14.25" customHeight="1">
      <c r="A1424" s="17">
        <v>11423</v>
      </c>
      <c r="B1424" s="18">
        <v>45307</v>
      </c>
      <c r="C1424" s="17" t="s">
        <v>167</v>
      </c>
      <c r="D1424" s="17" t="s">
        <v>86</v>
      </c>
      <c r="E1424" s="17" t="s">
        <v>162</v>
      </c>
      <c r="F1424" s="17" t="s">
        <v>172</v>
      </c>
      <c r="G1424" s="17">
        <v>3</v>
      </c>
      <c r="H1424" s="17">
        <v>14695</v>
      </c>
      <c r="I1424" s="17">
        <v>44085</v>
      </c>
      <c r="J1424" s="17">
        <v>1199</v>
      </c>
      <c r="K1424" s="17">
        <v>42886</v>
      </c>
      <c r="L1424" s="17">
        <v>7814.4739970000001</v>
      </c>
      <c r="M1424" s="17">
        <v>2024</v>
      </c>
      <c r="N1424" s="17" t="s">
        <v>171</v>
      </c>
    </row>
    <row r="1425" spans="1:14" ht="14.25" customHeight="1">
      <c r="A1425" s="17">
        <v>11424</v>
      </c>
      <c r="B1425" s="18">
        <v>46002</v>
      </c>
      <c r="C1425" s="17" t="s">
        <v>45</v>
      </c>
      <c r="D1425" s="17" t="s">
        <v>83</v>
      </c>
      <c r="E1425" s="17" t="s">
        <v>168</v>
      </c>
      <c r="F1425" s="17" t="s">
        <v>166</v>
      </c>
      <c r="G1425" s="17">
        <v>3</v>
      </c>
      <c r="H1425" s="17">
        <v>10722</v>
      </c>
      <c r="I1425" s="17">
        <v>32166</v>
      </c>
      <c r="J1425" s="17">
        <v>2117</v>
      </c>
      <c r="K1425" s="17">
        <v>30049</v>
      </c>
      <c r="L1425" s="17">
        <v>5663.3428590000003</v>
      </c>
      <c r="M1425" s="17">
        <v>2025</v>
      </c>
      <c r="N1425" s="17" t="s">
        <v>169</v>
      </c>
    </row>
    <row r="1426" spans="1:14" ht="14.25" customHeight="1">
      <c r="A1426" s="17">
        <v>11425</v>
      </c>
      <c r="B1426" s="18">
        <v>45692</v>
      </c>
      <c r="C1426" s="17" t="s">
        <v>39</v>
      </c>
      <c r="D1426" s="17" t="s">
        <v>111</v>
      </c>
      <c r="E1426" s="17" t="s">
        <v>168</v>
      </c>
      <c r="F1426" s="17" t="s">
        <v>172</v>
      </c>
      <c r="G1426" s="17">
        <v>4</v>
      </c>
      <c r="H1426" s="17">
        <v>54874</v>
      </c>
      <c r="I1426" s="17">
        <v>219496</v>
      </c>
      <c r="J1426" s="17">
        <v>2680</v>
      </c>
      <c r="K1426" s="17">
        <v>216816</v>
      </c>
      <c r="L1426" s="17">
        <v>30376.633409999999</v>
      </c>
      <c r="M1426" s="17">
        <v>2025</v>
      </c>
      <c r="N1426" s="17" t="s">
        <v>175</v>
      </c>
    </row>
    <row r="1427" spans="1:14" ht="14.25" customHeight="1">
      <c r="A1427" s="17">
        <v>11426</v>
      </c>
      <c r="B1427" s="18">
        <v>45377</v>
      </c>
      <c r="C1427" s="17" t="s">
        <v>39</v>
      </c>
      <c r="D1427" s="17" t="s">
        <v>170</v>
      </c>
      <c r="E1427" s="17" t="s">
        <v>165</v>
      </c>
      <c r="F1427" s="17" t="s">
        <v>166</v>
      </c>
      <c r="G1427" s="17">
        <v>8</v>
      </c>
      <c r="H1427" s="17">
        <v>5841</v>
      </c>
      <c r="I1427" s="17">
        <v>46728</v>
      </c>
      <c r="J1427" s="17">
        <v>2848</v>
      </c>
      <c r="K1427" s="17">
        <v>43880</v>
      </c>
      <c r="L1427" s="17">
        <v>6624.1454940000003</v>
      </c>
      <c r="M1427" s="17">
        <v>2024</v>
      </c>
      <c r="N1427" s="17" t="s">
        <v>112</v>
      </c>
    </row>
    <row r="1428" spans="1:14" ht="14.25" customHeight="1">
      <c r="A1428" s="17">
        <v>11427</v>
      </c>
      <c r="B1428" s="18">
        <v>45541</v>
      </c>
      <c r="C1428" s="17" t="s">
        <v>167</v>
      </c>
      <c r="D1428" s="17" t="s">
        <v>170</v>
      </c>
      <c r="E1428" s="17" t="s">
        <v>168</v>
      </c>
      <c r="F1428" s="17" t="s">
        <v>163</v>
      </c>
      <c r="G1428" s="17">
        <v>9</v>
      </c>
      <c r="H1428" s="17">
        <v>23731</v>
      </c>
      <c r="I1428" s="17">
        <v>213579</v>
      </c>
      <c r="J1428" s="17">
        <v>4688</v>
      </c>
      <c r="K1428" s="17">
        <v>208891</v>
      </c>
      <c r="L1428" s="17">
        <v>21454.674370000001</v>
      </c>
      <c r="M1428" s="17">
        <v>2024</v>
      </c>
      <c r="N1428" s="17" t="s">
        <v>129</v>
      </c>
    </row>
    <row r="1429" spans="1:14" ht="14.25" customHeight="1">
      <c r="A1429" s="17">
        <v>11428</v>
      </c>
      <c r="B1429" s="18">
        <v>45682</v>
      </c>
      <c r="C1429" s="17" t="s">
        <v>167</v>
      </c>
      <c r="D1429" s="17" t="s">
        <v>86</v>
      </c>
      <c r="E1429" s="17" t="s">
        <v>165</v>
      </c>
      <c r="F1429" s="17" t="s">
        <v>164</v>
      </c>
      <c r="G1429" s="17">
        <v>8</v>
      </c>
      <c r="H1429" s="17">
        <v>5645</v>
      </c>
      <c r="I1429" s="17">
        <v>45160</v>
      </c>
      <c r="J1429" s="17">
        <v>4662</v>
      </c>
      <c r="K1429" s="17">
        <v>40498</v>
      </c>
      <c r="L1429" s="17">
        <v>9226.4102370000001</v>
      </c>
      <c r="M1429" s="17">
        <v>2025</v>
      </c>
      <c r="N1429" s="17" t="s">
        <v>171</v>
      </c>
    </row>
    <row r="1430" spans="1:14" ht="14.25" customHeight="1">
      <c r="A1430" s="17">
        <v>11429</v>
      </c>
      <c r="B1430" s="18">
        <v>45626</v>
      </c>
      <c r="C1430" s="17" t="s">
        <v>50</v>
      </c>
      <c r="D1430" s="17" t="s">
        <v>86</v>
      </c>
      <c r="E1430" s="17" t="s">
        <v>165</v>
      </c>
      <c r="F1430" s="17" t="s">
        <v>163</v>
      </c>
      <c r="G1430" s="17">
        <v>2</v>
      </c>
      <c r="H1430" s="17">
        <v>37116</v>
      </c>
      <c r="I1430" s="17">
        <v>74232</v>
      </c>
      <c r="J1430" s="17">
        <v>4786</v>
      </c>
      <c r="K1430" s="17">
        <v>69446</v>
      </c>
      <c r="L1430" s="17">
        <v>14819.60082</v>
      </c>
      <c r="M1430" s="17">
        <v>2024</v>
      </c>
      <c r="N1430" s="17" t="s">
        <v>173</v>
      </c>
    </row>
    <row r="1431" spans="1:14" ht="14.25" customHeight="1">
      <c r="A1431" s="17">
        <v>11430</v>
      </c>
      <c r="B1431" s="18">
        <v>45920</v>
      </c>
      <c r="C1431" s="17" t="s">
        <v>58</v>
      </c>
      <c r="D1431" s="17" t="s">
        <v>111</v>
      </c>
      <c r="E1431" s="17" t="s">
        <v>165</v>
      </c>
      <c r="F1431" s="17" t="s">
        <v>163</v>
      </c>
      <c r="G1431" s="17">
        <v>4</v>
      </c>
      <c r="H1431" s="17">
        <v>45983</v>
      </c>
      <c r="I1431" s="17">
        <v>183932</v>
      </c>
      <c r="J1431" s="17">
        <v>3681</v>
      </c>
      <c r="K1431" s="17">
        <v>180251</v>
      </c>
      <c r="L1431" s="17">
        <v>22987.332160000002</v>
      </c>
      <c r="M1431" s="17">
        <v>2025</v>
      </c>
      <c r="N1431" s="17" t="s">
        <v>129</v>
      </c>
    </row>
    <row r="1432" spans="1:14" ht="14.25" customHeight="1">
      <c r="A1432" s="17">
        <v>11431</v>
      </c>
      <c r="B1432" s="18">
        <v>45810</v>
      </c>
      <c r="C1432" s="17" t="s">
        <v>39</v>
      </c>
      <c r="D1432" s="17" t="s">
        <v>86</v>
      </c>
      <c r="E1432" s="17" t="s">
        <v>162</v>
      </c>
      <c r="F1432" s="17" t="s">
        <v>166</v>
      </c>
      <c r="G1432" s="17">
        <v>4</v>
      </c>
      <c r="H1432" s="17">
        <v>34402</v>
      </c>
      <c r="I1432" s="17">
        <v>137608</v>
      </c>
      <c r="J1432" s="17">
        <v>3495</v>
      </c>
      <c r="K1432" s="17">
        <v>134113</v>
      </c>
      <c r="L1432" s="17">
        <v>20694.610570000001</v>
      </c>
      <c r="M1432" s="17">
        <v>2025</v>
      </c>
      <c r="N1432" s="17" t="s">
        <v>120</v>
      </c>
    </row>
    <row r="1433" spans="1:14" ht="14.25" customHeight="1">
      <c r="A1433" s="17">
        <v>11432</v>
      </c>
      <c r="B1433" s="18">
        <v>45428</v>
      </c>
      <c r="C1433" s="17" t="s">
        <v>167</v>
      </c>
      <c r="D1433" s="17" t="s">
        <v>89</v>
      </c>
      <c r="E1433" s="17" t="s">
        <v>165</v>
      </c>
      <c r="F1433" s="17" t="s">
        <v>163</v>
      </c>
      <c r="G1433" s="17">
        <v>2</v>
      </c>
      <c r="H1433" s="17">
        <v>54158</v>
      </c>
      <c r="I1433" s="17">
        <v>108316</v>
      </c>
      <c r="J1433" s="17">
        <v>664</v>
      </c>
      <c r="K1433" s="17">
        <v>107652</v>
      </c>
      <c r="L1433" s="17">
        <v>17564.5458</v>
      </c>
      <c r="M1433" s="17">
        <v>2024</v>
      </c>
      <c r="N1433" s="17" t="s">
        <v>117</v>
      </c>
    </row>
    <row r="1434" spans="1:14" ht="14.25" customHeight="1">
      <c r="A1434" s="17">
        <v>11433</v>
      </c>
      <c r="B1434" s="18">
        <v>45979</v>
      </c>
      <c r="C1434" s="17" t="s">
        <v>39</v>
      </c>
      <c r="D1434" s="17" t="s">
        <v>89</v>
      </c>
      <c r="E1434" s="17" t="s">
        <v>168</v>
      </c>
      <c r="F1434" s="17" t="s">
        <v>163</v>
      </c>
      <c r="G1434" s="17">
        <v>8</v>
      </c>
      <c r="H1434" s="17">
        <v>41469</v>
      </c>
      <c r="I1434" s="17">
        <v>331752</v>
      </c>
      <c r="J1434" s="17">
        <v>4501</v>
      </c>
      <c r="K1434" s="17">
        <v>327251</v>
      </c>
      <c r="L1434" s="17">
        <v>49138.964200000002</v>
      </c>
      <c r="M1434" s="17">
        <v>2025</v>
      </c>
      <c r="N1434" s="17" t="s">
        <v>173</v>
      </c>
    </row>
    <row r="1435" spans="1:14" ht="14.25" customHeight="1">
      <c r="A1435" s="17">
        <v>11434</v>
      </c>
      <c r="B1435" s="18">
        <v>45789</v>
      </c>
      <c r="C1435" s="17" t="s">
        <v>167</v>
      </c>
      <c r="D1435" s="17" t="s">
        <v>89</v>
      </c>
      <c r="E1435" s="17" t="s">
        <v>162</v>
      </c>
      <c r="F1435" s="17" t="s">
        <v>163</v>
      </c>
      <c r="G1435" s="17">
        <v>3</v>
      </c>
      <c r="H1435" s="17">
        <v>65576</v>
      </c>
      <c r="I1435" s="17">
        <v>196728</v>
      </c>
      <c r="J1435" s="17">
        <v>3162</v>
      </c>
      <c r="K1435" s="17">
        <v>193566</v>
      </c>
      <c r="L1435" s="17">
        <v>42533.500070000002</v>
      </c>
      <c r="M1435" s="17">
        <v>2025</v>
      </c>
      <c r="N1435" s="17" t="s">
        <v>117</v>
      </c>
    </row>
    <row r="1436" spans="1:14" ht="14.25" customHeight="1">
      <c r="A1436" s="17">
        <v>11435</v>
      </c>
      <c r="B1436" s="18">
        <v>46018</v>
      </c>
      <c r="C1436" s="17" t="s">
        <v>45</v>
      </c>
      <c r="D1436" s="17" t="s">
        <v>89</v>
      </c>
      <c r="E1436" s="17" t="s">
        <v>168</v>
      </c>
      <c r="F1436" s="17" t="s">
        <v>166</v>
      </c>
      <c r="G1436" s="17">
        <v>2</v>
      </c>
      <c r="H1436" s="17">
        <v>18908</v>
      </c>
      <c r="I1436" s="17">
        <v>37816</v>
      </c>
      <c r="J1436" s="17">
        <v>3365</v>
      </c>
      <c r="K1436" s="17">
        <v>34451</v>
      </c>
      <c r="L1436" s="17">
        <v>7193.8203119999998</v>
      </c>
      <c r="M1436" s="17">
        <v>2025</v>
      </c>
      <c r="N1436" s="17" t="s">
        <v>169</v>
      </c>
    </row>
    <row r="1437" spans="1:14" ht="14.25" customHeight="1">
      <c r="A1437" s="17">
        <v>11436</v>
      </c>
      <c r="B1437" s="18">
        <v>45768</v>
      </c>
      <c r="C1437" s="17" t="s">
        <v>39</v>
      </c>
      <c r="D1437" s="17" t="s">
        <v>111</v>
      </c>
      <c r="E1437" s="17" t="s">
        <v>165</v>
      </c>
      <c r="F1437" s="17" t="s">
        <v>172</v>
      </c>
      <c r="G1437" s="17">
        <v>7</v>
      </c>
      <c r="H1437" s="17">
        <v>65269</v>
      </c>
      <c r="I1437" s="17">
        <v>456883</v>
      </c>
      <c r="J1437" s="17">
        <v>1416</v>
      </c>
      <c r="K1437" s="17">
        <v>455467</v>
      </c>
      <c r="L1437" s="17">
        <v>97959.022800000006</v>
      </c>
      <c r="M1437" s="17">
        <v>2025</v>
      </c>
      <c r="N1437" s="17" t="s">
        <v>114</v>
      </c>
    </row>
    <row r="1438" spans="1:14" ht="14.25" customHeight="1">
      <c r="A1438" s="17">
        <v>11437</v>
      </c>
      <c r="B1438" s="18">
        <v>45885</v>
      </c>
      <c r="C1438" s="17" t="s">
        <v>45</v>
      </c>
      <c r="D1438" s="17" t="s">
        <v>170</v>
      </c>
      <c r="E1438" s="17" t="s">
        <v>165</v>
      </c>
      <c r="F1438" s="17" t="s">
        <v>164</v>
      </c>
      <c r="G1438" s="17">
        <v>1</v>
      </c>
      <c r="H1438" s="17">
        <v>47231</v>
      </c>
      <c r="I1438" s="17">
        <v>47231</v>
      </c>
      <c r="J1438" s="17">
        <v>3108</v>
      </c>
      <c r="K1438" s="17">
        <v>44123</v>
      </c>
      <c r="L1438" s="17">
        <v>10396.23954</v>
      </c>
      <c r="M1438" s="17">
        <v>2025</v>
      </c>
      <c r="N1438" s="17" t="s">
        <v>126</v>
      </c>
    </row>
    <row r="1439" spans="1:14" ht="14.25" customHeight="1">
      <c r="A1439" s="17">
        <v>11438</v>
      </c>
      <c r="B1439" s="18">
        <v>45514</v>
      </c>
      <c r="C1439" s="17" t="s">
        <v>39</v>
      </c>
      <c r="D1439" s="17" t="s">
        <v>89</v>
      </c>
      <c r="E1439" s="17" t="s">
        <v>168</v>
      </c>
      <c r="F1439" s="17" t="s">
        <v>164</v>
      </c>
      <c r="G1439" s="17">
        <v>6</v>
      </c>
      <c r="H1439" s="17">
        <v>50221</v>
      </c>
      <c r="I1439" s="17">
        <v>301326</v>
      </c>
      <c r="J1439" s="17">
        <v>516</v>
      </c>
      <c r="K1439" s="17">
        <v>300810</v>
      </c>
      <c r="L1439" s="17">
        <v>56935.117389999999</v>
      </c>
      <c r="M1439" s="17">
        <v>2024</v>
      </c>
      <c r="N1439" s="17" t="s">
        <v>126</v>
      </c>
    </row>
    <row r="1440" spans="1:14" ht="14.25" customHeight="1">
      <c r="A1440" s="17">
        <v>11439</v>
      </c>
      <c r="B1440" s="18">
        <v>45663</v>
      </c>
      <c r="C1440" s="17" t="s">
        <v>58</v>
      </c>
      <c r="D1440" s="17" t="s">
        <v>86</v>
      </c>
      <c r="E1440" s="17" t="s">
        <v>162</v>
      </c>
      <c r="F1440" s="17" t="s">
        <v>172</v>
      </c>
      <c r="G1440" s="17">
        <v>3</v>
      </c>
      <c r="H1440" s="17">
        <v>17715</v>
      </c>
      <c r="I1440" s="17">
        <v>53145</v>
      </c>
      <c r="J1440" s="17">
        <v>849</v>
      </c>
      <c r="K1440" s="17">
        <v>52296</v>
      </c>
      <c r="L1440" s="17">
        <v>10050.25309</v>
      </c>
      <c r="M1440" s="17">
        <v>2025</v>
      </c>
      <c r="N1440" s="17" t="s">
        <v>171</v>
      </c>
    </row>
    <row r="1441" spans="1:14" ht="14.25" customHeight="1">
      <c r="A1441" s="17">
        <v>11440</v>
      </c>
      <c r="B1441" s="18">
        <v>45693</v>
      </c>
      <c r="C1441" s="17" t="s">
        <v>50</v>
      </c>
      <c r="D1441" s="17" t="s">
        <v>89</v>
      </c>
      <c r="E1441" s="17" t="s">
        <v>168</v>
      </c>
      <c r="F1441" s="17" t="s">
        <v>172</v>
      </c>
      <c r="G1441" s="17">
        <v>3</v>
      </c>
      <c r="H1441" s="17">
        <v>43398</v>
      </c>
      <c r="I1441" s="17">
        <v>130194</v>
      </c>
      <c r="J1441" s="17">
        <v>1901</v>
      </c>
      <c r="K1441" s="17">
        <v>128293</v>
      </c>
      <c r="L1441" s="17">
        <v>26722.164100000002</v>
      </c>
      <c r="M1441" s="17">
        <v>2025</v>
      </c>
      <c r="N1441" s="17" t="s">
        <v>175</v>
      </c>
    </row>
    <row r="1442" spans="1:14" ht="14.25" customHeight="1">
      <c r="A1442" s="17">
        <v>11441</v>
      </c>
      <c r="B1442" s="18">
        <v>45734</v>
      </c>
      <c r="C1442" s="17" t="s">
        <v>45</v>
      </c>
      <c r="D1442" s="17" t="s">
        <v>111</v>
      </c>
      <c r="E1442" s="17" t="s">
        <v>165</v>
      </c>
      <c r="F1442" s="17" t="s">
        <v>163</v>
      </c>
      <c r="G1442" s="17">
        <v>5</v>
      </c>
      <c r="H1442" s="17">
        <v>67372</v>
      </c>
      <c r="I1442" s="17">
        <v>336860</v>
      </c>
      <c r="J1442" s="17">
        <v>907</v>
      </c>
      <c r="K1442" s="17">
        <v>335953</v>
      </c>
      <c r="L1442" s="17">
        <v>67924.620079999993</v>
      </c>
      <c r="M1442" s="17">
        <v>2025</v>
      </c>
      <c r="N1442" s="17" t="s">
        <v>112</v>
      </c>
    </row>
    <row r="1443" spans="1:14" ht="14.25" customHeight="1">
      <c r="A1443" s="17">
        <v>11442</v>
      </c>
      <c r="B1443" s="18">
        <v>45781</v>
      </c>
      <c r="C1443" s="17" t="s">
        <v>167</v>
      </c>
      <c r="D1443" s="17" t="s">
        <v>86</v>
      </c>
      <c r="E1443" s="17" t="s">
        <v>162</v>
      </c>
      <c r="F1443" s="17" t="s">
        <v>164</v>
      </c>
      <c r="G1443" s="17">
        <v>3</v>
      </c>
      <c r="H1443" s="17">
        <v>40324</v>
      </c>
      <c r="I1443" s="17">
        <v>120972</v>
      </c>
      <c r="J1443" s="17">
        <v>315</v>
      </c>
      <c r="K1443" s="17">
        <v>120657</v>
      </c>
      <c r="L1443" s="17">
        <v>27808.054400000001</v>
      </c>
      <c r="M1443" s="17">
        <v>2025</v>
      </c>
      <c r="N1443" s="17" t="s">
        <v>117</v>
      </c>
    </row>
    <row r="1444" spans="1:14" ht="14.25" customHeight="1">
      <c r="A1444" s="17">
        <v>11443</v>
      </c>
      <c r="B1444" s="18">
        <v>45906</v>
      </c>
      <c r="C1444" s="17" t="s">
        <v>58</v>
      </c>
      <c r="D1444" s="17" t="s">
        <v>89</v>
      </c>
      <c r="E1444" s="17" t="s">
        <v>165</v>
      </c>
      <c r="F1444" s="17" t="s">
        <v>172</v>
      </c>
      <c r="G1444" s="17">
        <v>4</v>
      </c>
      <c r="H1444" s="17">
        <v>24338</v>
      </c>
      <c r="I1444" s="17">
        <v>97352</v>
      </c>
      <c r="J1444" s="17">
        <v>3243</v>
      </c>
      <c r="K1444" s="17">
        <v>94109</v>
      </c>
      <c r="L1444" s="17">
        <v>20283.28744</v>
      </c>
      <c r="M1444" s="17">
        <v>2025</v>
      </c>
      <c r="N1444" s="17" t="s">
        <v>129</v>
      </c>
    </row>
    <row r="1445" spans="1:14" ht="14.25" customHeight="1">
      <c r="A1445" s="17">
        <v>11444</v>
      </c>
      <c r="B1445" s="18">
        <v>45564</v>
      </c>
      <c r="C1445" s="17" t="s">
        <v>39</v>
      </c>
      <c r="D1445" s="17" t="s">
        <v>170</v>
      </c>
      <c r="E1445" s="17" t="s">
        <v>165</v>
      </c>
      <c r="F1445" s="17" t="s">
        <v>163</v>
      </c>
      <c r="G1445" s="17">
        <v>3</v>
      </c>
      <c r="H1445" s="17">
        <v>12387</v>
      </c>
      <c r="I1445" s="17">
        <v>37161</v>
      </c>
      <c r="J1445" s="17">
        <v>1507</v>
      </c>
      <c r="K1445" s="17">
        <v>35654</v>
      </c>
      <c r="L1445" s="17">
        <v>4209.6247270000003</v>
      </c>
      <c r="M1445" s="17">
        <v>2024</v>
      </c>
      <c r="N1445" s="17" t="s">
        <v>129</v>
      </c>
    </row>
    <row r="1446" spans="1:14" ht="14.25" customHeight="1">
      <c r="A1446" s="17">
        <v>11445</v>
      </c>
      <c r="B1446" s="18">
        <v>45817</v>
      </c>
      <c r="C1446" s="17" t="s">
        <v>45</v>
      </c>
      <c r="D1446" s="17" t="s">
        <v>86</v>
      </c>
      <c r="E1446" s="17" t="s">
        <v>168</v>
      </c>
      <c r="F1446" s="17" t="s">
        <v>164</v>
      </c>
      <c r="G1446" s="17">
        <v>7</v>
      </c>
      <c r="H1446" s="17">
        <v>31175</v>
      </c>
      <c r="I1446" s="17">
        <v>218225</v>
      </c>
      <c r="J1446" s="17">
        <v>4122</v>
      </c>
      <c r="K1446" s="17">
        <v>214103</v>
      </c>
      <c r="L1446" s="17">
        <v>51224.954700000002</v>
      </c>
      <c r="M1446" s="17">
        <v>2025</v>
      </c>
      <c r="N1446" s="17" t="s">
        <v>120</v>
      </c>
    </row>
    <row r="1447" spans="1:14" ht="14.25" customHeight="1">
      <c r="A1447" s="17">
        <v>11446</v>
      </c>
      <c r="B1447" s="18">
        <v>45450</v>
      </c>
      <c r="C1447" s="17" t="s">
        <v>39</v>
      </c>
      <c r="D1447" s="17" t="s">
        <v>86</v>
      </c>
      <c r="E1447" s="17" t="s">
        <v>165</v>
      </c>
      <c r="F1447" s="17" t="s">
        <v>166</v>
      </c>
      <c r="G1447" s="17">
        <v>3</v>
      </c>
      <c r="H1447" s="17">
        <v>35795</v>
      </c>
      <c r="I1447" s="17">
        <v>107385</v>
      </c>
      <c r="J1447" s="17">
        <v>1518</v>
      </c>
      <c r="K1447" s="17">
        <v>105867</v>
      </c>
      <c r="L1447" s="17">
        <v>21434.350880000002</v>
      </c>
      <c r="M1447" s="17">
        <v>2024</v>
      </c>
      <c r="N1447" s="17" t="s">
        <v>120</v>
      </c>
    </row>
    <row r="1448" spans="1:14" ht="14.25" customHeight="1">
      <c r="A1448" s="17">
        <v>11447</v>
      </c>
      <c r="B1448" s="18">
        <v>45443</v>
      </c>
      <c r="C1448" s="17" t="s">
        <v>39</v>
      </c>
      <c r="D1448" s="17" t="s">
        <v>170</v>
      </c>
      <c r="E1448" s="17" t="s">
        <v>168</v>
      </c>
      <c r="F1448" s="17" t="s">
        <v>166</v>
      </c>
      <c r="G1448" s="17">
        <v>4</v>
      </c>
      <c r="H1448" s="17">
        <v>42429</v>
      </c>
      <c r="I1448" s="17">
        <v>169716</v>
      </c>
      <c r="J1448" s="17">
        <v>4150</v>
      </c>
      <c r="K1448" s="17">
        <v>165566</v>
      </c>
      <c r="L1448" s="17">
        <v>19714.25635</v>
      </c>
      <c r="M1448" s="17">
        <v>2024</v>
      </c>
      <c r="N1448" s="17" t="s">
        <v>117</v>
      </c>
    </row>
    <row r="1449" spans="1:14" ht="14.25" customHeight="1">
      <c r="A1449" s="17">
        <v>11448</v>
      </c>
      <c r="B1449" s="18">
        <v>45911</v>
      </c>
      <c r="C1449" s="17" t="s">
        <v>39</v>
      </c>
      <c r="D1449" s="17" t="s">
        <v>86</v>
      </c>
      <c r="E1449" s="17" t="s">
        <v>162</v>
      </c>
      <c r="F1449" s="17" t="s">
        <v>164</v>
      </c>
      <c r="G1449" s="17">
        <v>2</v>
      </c>
      <c r="H1449" s="17">
        <v>68105</v>
      </c>
      <c r="I1449" s="17">
        <v>136210</v>
      </c>
      <c r="J1449" s="17">
        <v>1934</v>
      </c>
      <c r="K1449" s="17">
        <v>134276</v>
      </c>
      <c r="L1449" s="17">
        <v>28976.231800000001</v>
      </c>
      <c r="M1449" s="17">
        <v>2025</v>
      </c>
      <c r="N1449" s="17" t="s">
        <v>129</v>
      </c>
    </row>
    <row r="1450" spans="1:14" ht="14.25" customHeight="1">
      <c r="A1450" s="17">
        <v>11449</v>
      </c>
      <c r="B1450" s="18">
        <v>45479</v>
      </c>
      <c r="C1450" s="17" t="s">
        <v>50</v>
      </c>
      <c r="D1450" s="17" t="s">
        <v>89</v>
      </c>
      <c r="E1450" s="17" t="s">
        <v>165</v>
      </c>
      <c r="F1450" s="17" t="s">
        <v>164</v>
      </c>
      <c r="G1450" s="17">
        <v>2</v>
      </c>
      <c r="H1450" s="17">
        <v>8801</v>
      </c>
      <c r="I1450" s="17">
        <v>17602</v>
      </c>
      <c r="J1450" s="17">
        <v>4344</v>
      </c>
      <c r="K1450" s="17">
        <v>13258</v>
      </c>
      <c r="L1450" s="17">
        <v>2038.5749980000001</v>
      </c>
      <c r="M1450" s="17">
        <v>2024</v>
      </c>
      <c r="N1450" s="17" t="s">
        <v>123</v>
      </c>
    </row>
    <row r="1451" spans="1:14" ht="14.25" customHeight="1">
      <c r="A1451" s="17">
        <v>11450</v>
      </c>
      <c r="B1451" s="18">
        <v>45389</v>
      </c>
      <c r="C1451" s="17" t="s">
        <v>50</v>
      </c>
      <c r="D1451" s="17" t="s">
        <v>86</v>
      </c>
      <c r="E1451" s="17" t="s">
        <v>165</v>
      </c>
      <c r="F1451" s="17" t="s">
        <v>166</v>
      </c>
      <c r="G1451" s="17">
        <v>9</v>
      </c>
      <c r="H1451" s="17">
        <v>12413</v>
      </c>
      <c r="I1451" s="17">
        <v>111717</v>
      </c>
      <c r="J1451" s="17">
        <v>1801</v>
      </c>
      <c r="K1451" s="17">
        <v>109916</v>
      </c>
      <c r="L1451" s="17">
        <v>24280.08023</v>
      </c>
      <c r="M1451" s="17">
        <v>2024</v>
      </c>
      <c r="N1451" s="17" t="s">
        <v>114</v>
      </c>
    </row>
    <row r="1452" spans="1:14" ht="14.25" customHeight="1">
      <c r="A1452" s="17">
        <v>11451</v>
      </c>
      <c r="B1452" s="18">
        <v>45422</v>
      </c>
      <c r="C1452" s="17" t="s">
        <v>167</v>
      </c>
      <c r="D1452" s="17" t="s">
        <v>89</v>
      </c>
      <c r="E1452" s="17" t="s">
        <v>162</v>
      </c>
      <c r="F1452" s="17" t="s">
        <v>166</v>
      </c>
      <c r="G1452" s="17">
        <v>1</v>
      </c>
      <c r="H1452" s="17">
        <v>22665</v>
      </c>
      <c r="I1452" s="17">
        <v>22665</v>
      </c>
      <c r="J1452" s="17">
        <v>2622</v>
      </c>
      <c r="K1452" s="17">
        <v>20043</v>
      </c>
      <c r="L1452" s="17">
        <v>4876.6801969999997</v>
      </c>
      <c r="M1452" s="17">
        <v>2024</v>
      </c>
      <c r="N1452" s="17" t="s">
        <v>117</v>
      </c>
    </row>
    <row r="1453" spans="1:14" ht="14.25" customHeight="1">
      <c r="A1453" s="17">
        <v>11452</v>
      </c>
      <c r="B1453" s="18">
        <v>45462</v>
      </c>
      <c r="C1453" s="17" t="s">
        <v>45</v>
      </c>
      <c r="D1453" s="17" t="s">
        <v>170</v>
      </c>
      <c r="E1453" s="17" t="s">
        <v>168</v>
      </c>
      <c r="F1453" s="17" t="s">
        <v>164</v>
      </c>
      <c r="G1453" s="17">
        <v>1</v>
      </c>
      <c r="H1453" s="17">
        <v>13187</v>
      </c>
      <c r="I1453" s="17">
        <v>13187</v>
      </c>
      <c r="J1453" s="17">
        <v>856</v>
      </c>
      <c r="K1453" s="17">
        <v>12331</v>
      </c>
      <c r="L1453" s="17">
        <v>1705.2084319999999</v>
      </c>
      <c r="M1453" s="17">
        <v>2024</v>
      </c>
      <c r="N1453" s="17" t="s">
        <v>120</v>
      </c>
    </row>
    <row r="1454" spans="1:14" ht="14.25" customHeight="1">
      <c r="A1454" s="17">
        <v>11453</v>
      </c>
      <c r="B1454" s="18">
        <v>45474</v>
      </c>
      <c r="C1454" s="17" t="s">
        <v>58</v>
      </c>
      <c r="D1454" s="17" t="s">
        <v>83</v>
      </c>
      <c r="E1454" s="17" t="s">
        <v>165</v>
      </c>
      <c r="F1454" s="17" t="s">
        <v>163</v>
      </c>
      <c r="G1454" s="17">
        <v>1</v>
      </c>
      <c r="H1454" s="17">
        <v>69989</v>
      </c>
      <c r="I1454" s="17">
        <v>69989</v>
      </c>
      <c r="J1454" s="17">
        <v>1876</v>
      </c>
      <c r="K1454" s="17">
        <v>68113</v>
      </c>
      <c r="L1454" s="17">
        <v>15571.425789999999</v>
      </c>
      <c r="M1454" s="17">
        <v>2024</v>
      </c>
      <c r="N1454" s="17" t="s">
        <v>123</v>
      </c>
    </row>
    <row r="1455" spans="1:14" ht="14.25" customHeight="1">
      <c r="A1455" s="17">
        <v>11454</v>
      </c>
      <c r="B1455" s="18">
        <v>45655</v>
      </c>
      <c r="C1455" s="17" t="s">
        <v>58</v>
      </c>
      <c r="D1455" s="17" t="s">
        <v>170</v>
      </c>
      <c r="E1455" s="17" t="s">
        <v>162</v>
      </c>
      <c r="F1455" s="17" t="s">
        <v>172</v>
      </c>
      <c r="G1455" s="17">
        <v>3</v>
      </c>
      <c r="H1455" s="17">
        <v>30784</v>
      </c>
      <c r="I1455" s="17">
        <v>92352</v>
      </c>
      <c r="J1455" s="17">
        <v>1525</v>
      </c>
      <c r="K1455" s="17">
        <v>90827</v>
      </c>
      <c r="L1455" s="17">
        <v>19621.73878</v>
      </c>
      <c r="M1455" s="17">
        <v>2024</v>
      </c>
      <c r="N1455" s="17" t="s">
        <v>169</v>
      </c>
    </row>
    <row r="1456" spans="1:14" ht="14.25" customHeight="1">
      <c r="A1456" s="17">
        <v>11455</v>
      </c>
      <c r="B1456" s="18">
        <v>45330</v>
      </c>
      <c r="C1456" s="17" t="s">
        <v>58</v>
      </c>
      <c r="D1456" s="17" t="s">
        <v>89</v>
      </c>
      <c r="E1456" s="17" t="s">
        <v>165</v>
      </c>
      <c r="F1456" s="17" t="s">
        <v>172</v>
      </c>
      <c r="G1456" s="17">
        <v>2</v>
      </c>
      <c r="H1456" s="17">
        <v>54454</v>
      </c>
      <c r="I1456" s="17">
        <v>108908</v>
      </c>
      <c r="J1456" s="17">
        <v>1416</v>
      </c>
      <c r="K1456" s="17">
        <v>107492</v>
      </c>
      <c r="L1456" s="17">
        <v>21571.251090000002</v>
      </c>
      <c r="M1456" s="17">
        <v>2024</v>
      </c>
      <c r="N1456" s="17" t="s">
        <v>175</v>
      </c>
    </row>
    <row r="1457" spans="1:14" ht="14.25" customHeight="1">
      <c r="A1457" s="17">
        <v>11456</v>
      </c>
      <c r="B1457" s="18">
        <v>45818</v>
      </c>
      <c r="C1457" s="17" t="s">
        <v>39</v>
      </c>
      <c r="D1457" s="17" t="s">
        <v>111</v>
      </c>
      <c r="E1457" s="17" t="s">
        <v>168</v>
      </c>
      <c r="F1457" s="17" t="s">
        <v>164</v>
      </c>
      <c r="G1457" s="17">
        <v>3</v>
      </c>
      <c r="H1457" s="17">
        <v>18805</v>
      </c>
      <c r="I1457" s="17">
        <v>56415</v>
      </c>
      <c r="J1457" s="17">
        <v>3479</v>
      </c>
      <c r="K1457" s="17">
        <v>52936</v>
      </c>
      <c r="L1457" s="17">
        <v>8350.0230919999995</v>
      </c>
      <c r="M1457" s="17">
        <v>2025</v>
      </c>
      <c r="N1457" s="17" t="s">
        <v>120</v>
      </c>
    </row>
    <row r="1458" spans="1:14" ht="14.25" customHeight="1">
      <c r="A1458" s="17">
        <v>11457</v>
      </c>
      <c r="B1458" s="18">
        <v>45788</v>
      </c>
      <c r="C1458" s="17" t="s">
        <v>50</v>
      </c>
      <c r="D1458" s="17" t="s">
        <v>170</v>
      </c>
      <c r="E1458" s="17" t="s">
        <v>168</v>
      </c>
      <c r="F1458" s="17" t="s">
        <v>172</v>
      </c>
      <c r="G1458" s="17">
        <v>5</v>
      </c>
      <c r="H1458" s="17">
        <v>46715</v>
      </c>
      <c r="I1458" s="17">
        <v>233575</v>
      </c>
      <c r="J1458" s="17">
        <v>3871</v>
      </c>
      <c r="K1458" s="17">
        <v>229704</v>
      </c>
      <c r="L1458" s="17">
        <v>26755.76442</v>
      </c>
      <c r="M1458" s="17">
        <v>2025</v>
      </c>
      <c r="N1458" s="17" t="s">
        <v>117</v>
      </c>
    </row>
    <row r="1459" spans="1:14" ht="14.25" customHeight="1">
      <c r="A1459" s="17">
        <v>11458</v>
      </c>
      <c r="B1459" s="18">
        <v>45807</v>
      </c>
      <c r="C1459" s="17" t="s">
        <v>45</v>
      </c>
      <c r="D1459" s="17" t="s">
        <v>111</v>
      </c>
      <c r="E1459" s="17" t="s">
        <v>168</v>
      </c>
      <c r="F1459" s="17" t="s">
        <v>166</v>
      </c>
      <c r="G1459" s="17">
        <v>9</v>
      </c>
      <c r="H1459" s="17">
        <v>58411</v>
      </c>
      <c r="I1459" s="17">
        <v>525699</v>
      </c>
      <c r="J1459" s="17">
        <v>1794</v>
      </c>
      <c r="K1459" s="17">
        <v>523905</v>
      </c>
      <c r="L1459" s="17">
        <v>90417.895139999993</v>
      </c>
      <c r="M1459" s="17">
        <v>2025</v>
      </c>
      <c r="N1459" s="17" t="s">
        <v>117</v>
      </c>
    </row>
    <row r="1460" spans="1:14" ht="14.25" customHeight="1">
      <c r="A1460" s="17">
        <v>11459</v>
      </c>
      <c r="B1460" s="18">
        <v>45640</v>
      </c>
      <c r="C1460" s="17" t="s">
        <v>39</v>
      </c>
      <c r="D1460" s="17" t="s">
        <v>111</v>
      </c>
      <c r="E1460" s="17" t="s">
        <v>168</v>
      </c>
      <c r="F1460" s="17" t="s">
        <v>166</v>
      </c>
      <c r="G1460" s="17">
        <v>2</v>
      </c>
      <c r="H1460" s="17">
        <v>47186</v>
      </c>
      <c r="I1460" s="17">
        <v>94372</v>
      </c>
      <c r="J1460" s="17">
        <v>3065</v>
      </c>
      <c r="K1460" s="17">
        <v>91307</v>
      </c>
      <c r="L1460" s="17">
        <v>10577.915440000001</v>
      </c>
      <c r="M1460" s="17">
        <v>2024</v>
      </c>
      <c r="N1460" s="17" t="s">
        <v>169</v>
      </c>
    </row>
    <row r="1461" spans="1:14" ht="14.25" customHeight="1">
      <c r="A1461" s="17">
        <v>11460</v>
      </c>
      <c r="B1461" s="18">
        <v>45688</v>
      </c>
      <c r="C1461" s="17" t="s">
        <v>50</v>
      </c>
      <c r="D1461" s="17" t="s">
        <v>89</v>
      </c>
      <c r="E1461" s="17" t="s">
        <v>162</v>
      </c>
      <c r="F1461" s="17" t="s">
        <v>172</v>
      </c>
      <c r="G1461" s="17">
        <v>1</v>
      </c>
      <c r="H1461" s="17">
        <v>78111</v>
      </c>
      <c r="I1461" s="17">
        <v>78111</v>
      </c>
      <c r="J1461" s="17">
        <v>2720</v>
      </c>
      <c r="K1461" s="17">
        <v>75391</v>
      </c>
      <c r="L1461" s="17">
        <v>13195.08994</v>
      </c>
      <c r="M1461" s="17">
        <v>2025</v>
      </c>
      <c r="N1461" s="17" t="s">
        <v>171</v>
      </c>
    </row>
    <row r="1462" spans="1:14" ht="14.25" customHeight="1">
      <c r="A1462" s="17">
        <v>11461</v>
      </c>
      <c r="B1462" s="18">
        <v>46013</v>
      </c>
      <c r="C1462" s="17" t="s">
        <v>50</v>
      </c>
      <c r="D1462" s="17" t="s">
        <v>89</v>
      </c>
      <c r="E1462" s="17" t="s">
        <v>165</v>
      </c>
      <c r="F1462" s="17" t="s">
        <v>164</v>
      </c>
      <c r="G1462" s="17">
        <v>6</v>
      </c>
      <c r="H1462" s="17">
        <v>33093</v>
      </c>
      <c r="I1462" s="17">
        <v>198558</v>
      </c>
      <c r="J1462" s="17">
        <v>4204</v>
      </c>
      <c r="K1462" s="17">
        <v>194354</v>
      </c>
      <c r="L1462" s="17">
        <v>43349.491750000001</v>
      </c>
      <c r="M1462" s="17">
        <v>2025</v>
      </c>
      <c r="N1462" s="17" t="s">
        <v>169</v>
      </c>
    </row>
    <row r="1463" spans="1:14" ht="14.25" customHeight="1">
      <c r="A1463" s="17">
        <v>11462</v>
      </c>
      <c r="B1463" s="18">
        <v>45452</v>
      </c>
      <c r="C1463" s="17" t="s">
        <v>45</v>
      </c>
      <c r="D1463" s="17" t="s">
        <v>83</v>
      </c>
      <c r="E1463" s="17" t="s">
        <v>162</v>
      </c>
      <c r="F1463" s="17" t="s">
        <v>166</v>
      </c>
      <c r="G1463" s="17">
        <v>3</v>
      </c>
      <c r="H1463" s="17">
        <v>79625</v>
      </c>
      <c r="I1463" s="17">
        <v>238875</v>
      </c>
      <c r="J1463" s="17">
        <v>3676</v>
      </c>
      <c r="K1463" s="17">
        <v>235199</v>
      </c>
      <c r="L1463" s="17">
        <v>58716.423739999998</v>
      </c>
      <c r="M1463" s="17">
        <v>2024</v>
      </c>
      <c r="N1463" s="17" t="s">
        <v>120</v>
      </c>
    </row>
    <row r="1464" spans="1:14" ht="14.25" customHeight="1">
      <c r="A1464" s="17">
        <v>11463</v>
      </c>
      <c r="B1464" s="18">
        <v>45307</v>
      </c>
      <c r="C1464" s="17" t="s">
        <v>45</v>
      </c>
      <c r="D1464" s="17" t="s">
        <v>86</v>
      </c>
      <c r="E1464" s="17" t="s">
        <v>168</v>
      </c>
      <c r="F1464" s="17" t="s">
        <v>163</v>
      </c>
      <c r="G1464" s="17">
        <v>7</v>
      </c>
      <c r="H1464" s="17">
        <v>27474</v>
      </c>
      <c r="I1464" s="17">
        <v>192318</v>
      </c>
      <c r="J1464" s="17">
        <v>352</v>
      </c>
      <c r="K1464" s="17">
        <v>191966</v>
      </c>
      <c r="L1464" s="17">
        <v>24898.241050000001</v>
      </c>
      <c r="M1464" s="17">
        <v>2024</v>
      </c>
      <c r="N1464" s="17" t="s">
        <v>171</v>
      </c>
    </row>
    <row r="1465" spans="1:14" ht="14.25" customHeight="1">
      <c r="A1465" s="17">
        <v>11464</v>
      </c>
      <c r="B1465" s="18">
        <v>45784</v>
      </c>
      <c r="C1465" s="17" t="s">
        <v>45</v>
      </c>
      <c r="D1465" s="17" t="s">
        <v>170</v>
      </c>
      <c r="E1465" s="17" t="s">
        <v>168</v>
      </c>
      <c r="F1465" s="17" t="s">
        <v>163</v>
      </c>
      <c r="G1465" s="17">
        <v>6</v>
      </c>
      <c r="H1465" s="17">
        <v>13154</v>
      </c>
      <c r="I1465" s="17">
        <v>78924</v>
      </c>
      <c r="J1465" s="17">
        <v>3231</v>
      </c>
      <c r="K1465" s="17">
        <v>75693</v>
      </c>
      <c r="L1465" s="17">
        <v>9929.3098200000004</v>
      </c>
      <c r="M1465" s="17">
        <v>2025</v>
      </c>
      <c r="N1465" s="17" t="s">
        <v>117</v>
      </c>
    </row>
    <row r="1466" spans="1:14" ht="14.25" customHeight="1">
      <c r="A1466" s="17">
        <v>11465</v>
      </c>
      <c r="B1466" s="18">
        <v>45717</v>
      </c>
      <c r="C1466" s="17" t="s">
        <v>39</v>
      </c>
      <c r="D1466" s="17" t="s">
        <v>89</v>
      </c>
      <c r="E1466" s="17" t="s">
        <v>168</v>
      </c>
      <c r="F1466" s="17" t="s">
        <v>166</v>
      </c>
      <c r="G1466" s="17">
        <v>7</v>
      </c>
      <c r="H1466" s="17">
        <v>27064</v>
      </c>
      <c r="I1466" s="17">
        <v>189448</v>
      </c>
      <c r="J1466" s="17">
        <v>1427</v>
      </c>
      <c r="K1466" s="17">
        <v>188021</v>
      </c>
      <c r="L1466" s="17">
        <v>41671.56424</v>
      </c>
      <c r="M1466" s="17">
        <v>2025</v>
      </c>
      <c r="N1466" s="17" t="s">
        <v>112</v>
      </c>
    </row>
    <row r="1467" spans="1:14" ht="14.25" customHeight="1">
      <c r="A1467" s="17">
        <v>11466</v>
      </c>
      <c r="B1467" s="18">
        <v>45399</v>
      </c>
      <c r="C1467" s="17" t="s">
        <v>167</v>
      </c>
      <c r="D1467" s="17" t="s">
        <v>170</v>
      </c>
      <c r="E1467" s="17" t="s">
        <v>168</v>
      </c>
      <c r="F1467" s="17" t="s">
        <v>166</v>
      </c>
      <c r="G1467" s="17">
        <v>5</v>
      </c>
      <c r="H1467" s="17">
        <v>34398</v>
      </c>
      <c r="I1467" s="17">
        <v>171990</v>
      </c>
      <c r="J1467" s="17">
        <v>2192</v>
      </c>
      <c r="K1467" s="17">
        <v>169798</v>
      </c>
      <c r="L1467" s="17">
        <v>28926.58265</v>
      </c>
      <c r="M1467" s="17">
        <v>2024</v>
      </c>
      <c r="N1467" s="17" t="s">
        <v>114</v>
      </c>
    </row>
    <row r="1468" spans="1:14" ht="14.25" customHeight="1">
      <c r="A1468" s="17">
        <v>11467</v>
      </c>
      <c r="B1468" s="18">
        <v>45741</v>
      </c>
      <c r="C1468" s="17" t="s">
        <v>45</v>
      </c>
      <c r="D1468" s="17" t="s">
        <v>111</v>
      </c>
      <c r="E1468" s="17" t="s">
        <v>165</v>
      </c>
      <c r="F1468" s="17" t="s">
        <v>172</v>
      </c>
      <c r="G1468" s="17">
        <v>1</v>
      </c>
      <c r="H1468" s="17">
        <v>48869</v>
      </c>
      <c r="I1468" s="17">
        <v>48869</v>
      </c>
      <c r="J1468" s="17">
        <v>1777</v>
      </c>
      <c r="K1468" s="17">
        <v>47092</v>
      </c>
      <c r="L1468" s="17">
        <v>11178.26051</v>
      </c>
      <c r="M1468" s="17">
        <v>2025</v>
      </c>
      <c r="N1468" s="17" t="s">
        <v>112</v>
      </c>
    </row>
    <row r="1469" spans="1:14" ht="14.25" customHeight="1">
      <c r="A1469" s="17">
        <v>11468</v>
      </c>
      <c r="B1469" s="18">
        <v>45602</v>
      </c>
      <c r="C1469" s="17" t="s">
        <v>167</v>
      </c>
      <c r="D1469" s="17" t="s">
        <v>86</v>
      </c>
      <c r="E1469" s="17" t="s">
        <v>168</v>
      </c>
      <c r="F1469" s="17" t="s">
        <v>164</v>
      </c>
      <c r="G1469" s="17">
        <v>3</v>
      </c>
      <c r="H1469" s="17">
        <v>14646</v>
      </c>
      <c r="I1469" s="17">
        <v>43938</v>
      </c>
      <c r="J1469" s="17">
        <v>3536</v>
      </c>
      <c r="K1469" s="17">
        <v>40402</v>
      </c>
      <c r="L1469" s="17">
        <v>8700.5478989999992</v>
      </c>
      <c r="M1469" s="17">
        <v>2024</v>
      </c>
      <c r="N1469" s="17" t="s">
        <v>173</v>
      </c>
    </row>
    <row r="1470" spans="1:14" ht="14.25" customHeight="1">
      <c r="A1470" s="17">
        <v>11469</v>
      </c>
      <c r="B1470" s="18">
        <v>45461</v>
      </c>
      <c r="C1470" s="17" t="s">
        <v>39</v>
      </c>
      <c r="D1470" s="17" t="s">
        <v>83</v>
      </c>
      <c r="E1470" s="17" t="s">
        <v>165</v>
      </c>
      <c r="F1470" s="17" t="s">
        <v>172</v>
      </c>
      <c r="G1470" s="17">
        <v>3</v>
      </c>
      <c r="H1470" s="17">
        <v>64671</v>
      </c>
      <c r="I1470" s="17">
        <v>194013</v>
      </c>
      <c r="J1470" s="17">
        <v>1116</v>
      </c>
      <c r="K1470" s="17">
        <v>192897</v>
      </c>
      <c r="L1470" s="17">
        <v>40597.905980000003</v>
      </c>
      <c r="M1470" s="17">
        <v>2024</v>
      </c>
      <c r="N1470" s="17" t="s">
        <v>120</v>
      </c>
    </row>
    <row r="1471" spans="1:14" ht="14.25" customHeight="1">
      <c r="A1471" s="17">
        <v>11470</v>
      </c>
      <c r="B1471" s="18">
        <v>45837</v>
      </c>
      <c r="C1471" s="17" t="s">
        <v>167</v>
      </c>
      <c r="D1471" s="17" t="s">
        <v>170</v>
      </c>
      <c r="E1471" s="17" t="s">
        <v>168</v>
      </c>
      <c r="F1471" s="17" t="s">
        <v>164</v>
      </c>
      <c r="G1471" s="17">
        <v>7</v>
      </c>
      <c r="H1471" s="17">
        <v>64707</v>
      </c>
      <c r="I1471" s="17">
        <v>452949</v>
      </c>
      <c r="J1471" s="17">
        <v>2320</v>
      </c>
      <c r="K1471" s="17">
        <v>450629</v>
      </c>
      <c r="L1471" s="17">
        <v>51954.394670000001</v>
      </c>
      <c r="M1471" s="17">
        <v>2025</v>
      </c>
      <c r="N1471" s="17" t="s">
        <v>120</v>
      </c>
    </row>
    <row r="1472" spans="1:14" ht="14.25" customHeight="1">
      <c r="A1472" s="17">
        <v>11471</v>
      </c>
      <c r="B1472" s="18">
        <v>45705</v>
      </c>
      <c r="C1472" s="17" t="s">
        <v>58</v>
      </c>
      <c r="D1472" s="17" t="s">
        <v>86</v>
      </c>
      <c r="E1472" s="17" t="s">
        <v>165</v>
      </c>
      <c r="F1472" s="17" t="s">
        <v>163</v>
      </c>
      <c r="G1472" s="17">
        <v>3</v>
      </c>
      <c r="H1472" s="17">
        <v>30391</v>
      </c>
      <c r="I1472" s="17">
        <v>91173</v>
      </c>
      <c r="J1472" s="17">
        <v>533</v>
      </c>
      <c r="K1472" s="17">
        <v>90640</v>
      </c>
      <c r="L1472" s="17">
        <v>9551.7641839999997</v>
      </c>
      <c r="M1472" s="17">
        <v>2025</v>
      </c>
      <c r="N1472" s="17" t="s">
        <v>175</v>
      </c>
    </row>
    <row r="1473" spans="1:14" ht="14.25" customHeight="1">
      <c r="A1473" s="17">
        <v>11472</v>
      </c>
      <c r="B1473" s="18">
        <v>45542</v>
      </c>
      <c r="C1473" s="17" t="s">
        <v>167</v>
      </c>
      <c r="D1473" s="17" t="s">
        <v>83</v>
      </c>
      <c r="E1473" s="17" t="s">
        <v>165</v>
      </c>
      <c r="F1473" s="17" t="s">
        <v>163</v>
      </c>
      <c r="G1473" s="17">
        <v>5</v>
      </c>
      <c r="H1473" s="17">
        <v>33822</v>
      </c>
      <c r="I1473" s="17">
        <v>169110</v>
      </c>
      <c r="J1473" s="17">
        <v>1217</v>
      </c>
      <c r="K1473" s="17">
        <v>167893</v>
      </c>
      <c r="L1473" s="17">
        <v>24766.639009999999</v>
      </c>
      <c r="M1473" s="17">
        <v>2024</v>
      </c>
      <c r="N1473" s="17" t="s">
        <v>129</v>
      </c>
    </row>
    <row r="1474" spans="1:14" ht="14.25" customHeight="1">
      <c r="A1474" s="17">
        <v>11473</v>
      </c>
      <c r="B1474" s="18">
        <v>45432</v>
      </c>
      <c r="C1474" s="17" t="s">
        <v>45</v>
      </c>
      <c r="D1474" s="17" t="s">
        <v>170</v>
      </c>
      <c r="E1474" s="17" t="s">
        <v>168</v>
      </c>
      <c r="F1474" s="17" t="s">
        <v>164</v>
      </c>
      <c r="G1474" s="17">
        <v>4</v>
      </c>
      <c r="H1474" s="17">
        <v>42872</v>
      </c>
      <c r="I1474" s="17">
        <v>171488</v>
      </c>
      <c r="J1474" s="17">
        <v>2988</v>
      </c>
      <c r="K1474" s="17">
        <v>168500</v>
      </c>
      <c r="L1474" s="17">
        <v>22342.216069999999</v>
      </c>
      <c r="M1474" s="17">
        <v>2024</v>
      </c>
      <c r="N1474" s="17" t="s">
        <v>117</v>
      </c>
    </row>
    <row r="1475" spans="1:14" ht="14.25" customHeight="1">
      <c r="A1475" s="17">
        <v>11474</v>
      </c>
      <c r="B1475" s="18">
        <v>45565</v>
      </c>
      <c r="C1475" s="17" t="s">
        <v>39</v>
      </c>
      <c r="D1475" s="17" t="s">
        <v>86</v>
      </c>
      <c r="E1475" s="17" t="s">
        <v>162</v>
      </c>
      <c r="F1475" s="17" t="s">
        <v>172</v>
      </c>
      <c r="G1475" s="17">
        <v>4</v>
      </c>
      <c r="H1475" s="17">
        <v>34340</v>
      </c>
      <c r="I1475" s="17">
        <v>137360</v>
      </c>
      <c r="J1475" s="17">
        <v>2228</v>
      </c>
      <c r="K1475" s="17">
        <v>135132</v>
      </c>
      <c r="L1475" s="17">
        <v>27951.558659999999</v>
      </c>
      <c r="M1475" s="17">
        <v>2024</v>
      </c>
      <c r="N1475" s="17" t="s">
        <v>129</v>
      </c>
    </row>
    <row r="1476" spans="1:14" ht="14.25" customHeight="1">
      <c r="A1476" s="17">
        <v>11475</v>
      </c>
      <c r="B1476" s="18">
        <v>45707</v>
      </c>
      <c r="C1476" s="17" t="s">
        <v>45</v>
      </c>
      <c r="D1476" s="17" t="s">
        <v>89</v>
      </c>
      <c r="E1476" s="17" t="s">
        <v>162</v>
      </c>
      <c r="F1476" s="17" t="s">
        <v>166</v>
      </c>
      <c r="G1476" s="17">
        <v>7</v>
      </c>
      <c r="H1476" s="17">
        <v>9502</v>
      </c>
      <c r="I1476" s="17">
        <v>66514</v>
      </c>
      <c r="J1476" s="17">
        <v>1979</v>
      </c>
      <c r="K1476" s="17">
        <v>64535</v>
      </c>
      <c r="L1476" s="17">
        <v>10816.71513</v>
      </c>
      <c r="M1476" s="17">
        <v>2025</v>
      </c>
      <c r="N1476" s="17" t="s">
        <v>175</v>
      </c>
    </row>
    <row r="1477" spans="1:14" ht="14.25" customHeight="1">
      <c r="A1477" s="17">
        <v>11476</v>
      </c>
      <c r="B1477" s="18">
        <v>45899</v>
      </c>
      <c r="C1477" s="17" t="s">
        <v>58</v>
      </c>
      <c r="D1477" s="17" t="s">
        <v>170</v>
      </c>
      <c r="E1477" s="17" t="s">
        <v>162</v>
      </c>
      <c r="F1477" s="17" t="s">
        <v>164</v>
      </c>
      <c r="G1477" s="17">
        <v>1</v>
      </c>
      <c r="H1477" s="17">
        <v>53020</v>
      </c>
      <c r="I1477" s="17">
        <v>53020</v>
      </c>
      <c r="J1477" s="17">
        <v>2076</v>
      </c>
      <c r="K1477" s="17">
        <v>50944</v>
      </c>
      <c r="L1477" s="17">
        <v>9092.0753359999999</v>
      </c>
      <c r="M1477" s="17">
        <v>2025</v>
      </c>
      <c r="N1477" s="17" t="s">
        <v>126</v>
      </c>
    </row>
    <row r="1478" spans="1:14" ht="14.25" customHeight="1">
      <c r="A1478" s="17">
        <v>11477</v>
      </c>
      <c r="B1478" s="18">
        <v>45330</v>
      </c>
      <c r="C1478" s="17" t="s">
        <v>45</v>
      </c>
      <c r="D1478" s="17" t="s">
        <v>86</v>
      </c>
      <c r="E1478" s="17" t="s">
        <v>162</v>
      </c>
      <c r="F1478" s="17" t="s">
        <v>172</v>
      </c>
      <c r="G1478" s="17">
        <v>7</v>
      </c>
      <c r="H1478" s="17">
        <v>25971</v>
      </c>
      <c r="I1478" s="17">
        <v>181797</v>
      </c>
      <c r="J1478" s="17">
        <v>531</v>
      </c>
      <c r="K1478" s="17">
        <v>181266</v>
      </c>
      <c r="L1478" s="17">
        <v>40252.149550000002</v>
      </c>
      <c r="M1478" s="17">
        <v>2024</v>
      </c>
      <c r="N1478" s="17" t="s">
        <v>175</v>
      </c>
    </row>
    <row r="1479" spans="1:14" ht="14.25" customHeight="1">
      <c r="A1479" s="17">
        <v>11478</v>
      </c>
      <c r="B1479" s="18">
        <v>45320</v>
      </c>
      <c r="C1479" s="17" t="s">
        <v>45</v>
      </c>
      <c r="D1479" s="17" t="s">
        <v>83</v>
      </c>
      <c r="E1479" s="17" t="s">
        <v>162</v>
      </c>
      <c r="F1479" s="17" t="s">
        <v>163</v>
      </c>
      <c r="G1479" s="17">
        <v>8</v>
      </c>
      <c r="H1479" s="17">
        <v>63376</v>
      </c>
      <c r="I1479" s="17">
        <v>507008</v>
      </c>
      <c r="J1479" s="17">
        <v>3076</v>
      </c>
      <c r="K1479" s="17">
        <v>503932</v>
      </c>
      <c r="L1479" s="17">
        <v>86563.273190000007</v>
      </c>
      <c r="M1479" s="17">
        <v>2024</v>
      </c>
      <c r="N1479" s="17" t="s">
        <v>171</v>
      </c>
    </row>
    <row r="1480" spans="1:14" ht="14.25" customHeight="1">
      <c r="A1480" s="17">
        <v>11479</v>
      </c>
      <c r="B1480" s="18">
        <v>45768</v>
      </c>
      <c r="C1480" s="17" t="s">
        <v>45</v>
      </c>
      <c r="D1480" s="17" t="s">
        <v>86</v>
      </c>
      <c r="E1480" s="17" t="s">
        <v>168</v>
      </c>
      <c r="F1480" s="17" t="s">
        <v>166</v>
      </c>
      <c r="G1480" s="17">
        <v>3</v>
      </c>
      <c r="H1480" s="17">
        <v>11037</v>
      </c>
      <c r="I1480" s="17">
        <v>33111</v>
      </c>
      <c r="J1480" s="17">
        <v>1944</v>
      </c>
      <c r="K1480" s="17">
        <v>31167</v>
      </c>
      <c r="L1480" s="17">
        <v>5664.2577959999999</v>
      </c>
      <c r="M1480" s="17">
        <v>2025</v>
      </c>
      <c r="N1480" s="17" t="s">
        <v>114</v>
      </c>
    </row>
    <row r="1481" spans="1:14" ht="14.25" customHeight="1">
      <c r="A1481" s="17">
        <v>11480</v>
      </c>
      <c r="B1481" s="18">
        <v>45609</v>
      </c>
      <c r="C1481" s="17" t="s">
        <v>50</v>
      </c>
      <c r="D1481" s="17" t="s">
        <v>89</v>
      </c>
      <c r="E1481" s="17" t="s">
        <v>168</v>
      </c>
      <c r="F1481" s="17" t="s">
        <v>163</v>
      </c>
      <c r="G1481" s="17">
        <v>3</v>
      </c>
      <c r="H1481" s="17">
        <v>55307</v>
      </c>
      <c r="I1481" s="17">
        <v>165921</v>
      </c>
      <c r="J1481" s="17">
        <v>4235</v>
      </c>
      <c r="K1481" s="17">
        <v>161686</v>
      </c>
      <c r="L1481" s="17">
        <v>36597.30919</v>
      </c>
      <c r="M1481" s="17">
        <v>2024</v>
      </c>
      <c r="N1481" s="17" t="s">
        <v>173</v>
      </c>
    </row>
    <row r="1482" spans="1:14" ht="14.25" customHeight="1">
      <c r="A1482" s="17">
        <v>11481</v>
      </c>
      <c r="B1482" s="18">
        <v>45536</v>
      </c>
      <c r="C1482" s="17" t="s">
        <v>58</v>
      </c>
      <c r="D1482" s="17" t="s">
        <v>170</v>
      </c>
      <c r="E1482" s="17" t="s">
        <v>168</v>
      </c>
      <c r="F1482" s="17" t="s">
        <v>164</v>
      </c>
      <c r="G1482" s="17">
        <v>4</v>
      </c>
      <c r="H1482" s="17">
        <v>32361</v>
      </c>
      <c r="I1482" s="17">
        <v>129444</v>
      </c>
      <c r="J1482" s="17">
        <v>3099</v>
      </c>
      <c r="K1482" s="17">
        <v>126345</v>
      </c>
      <c r="L1482" s="17">
        <v>20809.06842</v>
      </c>
      <c r="M1482" s="17">
        <v>2024</v>
      </c>
      <c r="N1482" s="17" t="s">
        <v>129</v>
      </c>
    </row>
    <row r="1483" spans="1:14" ht="14.25" customHeight="1">
      <c r="A1483" s="17">
        <v>11482</v>
      </c>
      <c r="B1483" s="18">
        <v>45988</v>
      </c>
      <c r="C1483" s="17" t="s">
        <v>45</v>
      </c>
      <c r="D1483" s="17" t="s">
        <v>170</v>
      </c>
      <c r="E1483" s="17" t="s">
        <v>168</v>
      </c>
      <c r="F1483" s="17" t="s">
        <v>163</v>
      </c>
      <c r="G1483" s="17">
        <v>6</v>
      </c>
      <c r="H1483" s="17">
        <v>19466</v>
      </c>
      <c r="I1483" s="17">
        <v>116796</v>
      </c>
      <c r="J1483" s="17">
        <v>4357</v>
      </c>
      <c r="K1483" s="17">
        <v>112439</v>
      </c>
      <c r="L1483" s="17">
        <v>12645.90259</v>
      </c>
      <c r="M1483" s="17">
        <v>2025</v>
      </c>
      <c r="N1483" s="17" t="s">
        <v>173</v>
      </c>
    </row>
    <row r="1484" spans="1:14" ht="14.25" customHeight="1">
      <c r="A1484" s="17">
        <v>11483</v>
      </c>
      <c r="B1484" s="18">
        <v>45563</v>
      </c>
      <c r="C1484" s="17" t="s">
        <v>45</v>
      </c>
      <c r="D1484" s="17" t="s">
        <v>170</v>
      </c>
      <c r="E1484" s="17" t="s">
        <v>168</v>
      </c>
      <c r="F1484" s="17" t="s">
        <v>163</v>
      </c>
      <c r="G1484" s="17">
        <v>7</v>
      </c>
      <c r="H1484" s="17">
        <v>14627</v>
      </c>
      <c r="I1484" s="17">
        <v>102389</v>
      </c>
      <c r="J1484" s="17">
        <v>3829</v>
      </c>
      <c r="K1484" s="17">
        <v>98560</v>
      </c>
      <c r="L1484" s="17">
        <v>17568.88982</v>
      </c>
      <c r="M1484" s="17">
        <v>2024</v>
      </c>
      <c r="N1484" s="17" t="s">
        <v>129</v>
      </c>
    </row>
    <row r="1485" spans="1:14" ht="14.25" customHeight="1">
      <c r="A1485" s="17">
        <v>11484</v>
      </c>
      <c r="B1485" s="18">
        <v>45731</v>
      </c>
      <c r="C1485" s="17" t="s">
        <v>45</v>
      </c>
      <c r="D1485" s="17" t="s">
        <v>89</v>
      </c>
      <c r="E1485" s="17" t="s">
        <v>168</v>
      </c>
      <c r="F1485" s="17" t="s">
        <v>164</v>
      </c>
      <c r="G1485" s="17">
        <v>1</v>
      </c>
      <c r="H1485" s="17">
        <v>26593</v>
      </c>
      <c r="I1485" s="17">
        <v>26593</v>
      </c>
      <c r="J1485" s="17">
        <v>4114</v>
      </c>
      <c r="K1485" s="17">
        <v>22479</v>
      </c>
      <c r="L1485" s="17">
        <v>4201.4206949999998</v>
      </c>
      <c r="M1485" s="17">
        <v>2025</v>
      </c>
      <c r="N1485" s="17" t="s">
        <v>112</v>
      </c>
    </row>
    <row r="1486" spans="1:14" ht="14.25" customHeight="1">
      <c r="A1486" s="17">
        <v>11485</v>
      </c>
      <c r="B1486" s="18">
        <v>45530</v>
      </c>
      <c r="C1486" s="17" t="s">
        <v>39</v>
      </c>
      <c r="D1486" s="17" t="s">
        <v>83</v>
      </c>
      <c r="E1486" s="17" t="s">
        <v>165</v>
      </c>
      <c r="F1486" s="17" t="s">
        <v>166</v>
      </c>
      <c r="G1486" s="17">
        <v>4</v>
      </c>
      <c r="H1486" s="17">
        <v>56697</v>
      </c>
      <c r="I1486" s="17">
        <v>226788</v>
      </c>
      <c r="J1486" s="17">
        <v>2584</v>
      </c>
      <c r="K1486" s="17">
        <v>224204</v>
      </c>
      <c r="L1486" s="17">
        <v>39632.43361</v>
      </c>
      <c r="M1486" s="17">
        <v>2024</v>
      </c>
      <c r="N1486" s="17" t="s">
        <v>126</v>
      </c>
    </row>
    <row r="1487" spans="1:14" ht="14.25" customHeight="1">
      <c r="A1487" s="17">
        <v>11486</v>
      </c>
      <c r="B1487" s="18">
        <v>45668</v>
      </c>
      <c r="C1487" s="17" t="s">
        <v>50</v>
      </c>
      <c r="D1487" s="17" t="s">
        <v>170</v>
      </c>
      <c r="E1487" s="17" t="s">
        <v>165</v>
      </c>
      <c r="F1487" s="17" t="s">
        <v>164</v>
      </c>
      <c r="G1487" s="17">
        <v>7</v>
      </c>
      <c r="H1487" s="17">
        <v>28149</v>
      </c>
      <c r="I1487" s="17">
        <v>197043</v>
      </c>
      <c r="J1487" s="17">
        <v>1548</v>
      </c>
      <c r="K1487" s="17">
        <v>195495</v>
      </c>
      <c r="L1487" s="17">
        <v>27116.608560000001</v>
      </c>
      <c r="M1487" s="17">
        <v>2025</v>
      </c>
      <c r="N1487" s="17" t="s">
        <v>171</v>
      </c>
    </row>
    <row r="1488" spans="1:14" ht="14.25" customHeight="1">
      <c r="A1488" s="17">
        <v>11487</v>
      </c>
      <c r="B1488" s="18">
        <v>45557</v>
      </c>
      <c r="C1488" s="17" t="s">
        <v>39</v>
      </c>
      <c r="D1488" s="17" t="s">
        <v>83</v>
      </c>
      <c r="E1488" s="17" t="s">
        <v>168</v>
      </c>
      <c r="F1488" s="17" t="s">
        <v>172</v>
      </c>
      <c r="G1488" s="17">
        <v>2</v>
      </c>
      <c r="H1488" s="17">
        <v>21737</v>
      </c>
      <c r="I1488" s="17">
        <v>43474</v>
      </c>
      <c r="J1488" s="17">
        <v>1488</v>
      </c>
      <c r="K1488" s="17">
        <v>41986</v>
      </c>
      <c r="L1488" s="17">
        <v>5607.3776809999999</v>
      </c>
      <c r="M1488" s="17">
        <v>2024</v>
      </c>
      <c r="N1488" s="17" t="s">
        <v>129</v>
      </c>
    </row>
    <row r="1489" spans="1:14" ht="14.25" customHeight="1">
      <c r="A1489" s="17">
        <v>11488</v>
      </c>
      <c r="B1489" s="18">
        <v>45650</v>
      </c>
      <c r="C1489" s="17" t="s">
        <v>50</v>
      </c>
      <c r="D1489" s="17" t="s">
        <v>86</v>
      </c>
      <c r="E1489" s="17" t="s">
        <v>168</v>
      </c>
      <c r="F1489" s="17" t="s">
        <v>164</v>
      </c>
      <c r="G1489" s="17">
        <v>1</v>
      </c>
      <c r="H1489" s="17">
        <v>72854</v>
      </c>
      <c r="I1489" s="17">
        <v>72854</v>
      </c>
      <c r="J1489" s="17">
        <v>3659</v>
      </c>
      <c r="K1489" s="17">
        <v>69195</v>
      </c>
      <c r="L1489" s="17">
        <v>10757.293820000001</v>
      </c>
      <c r="M1489" s="17">
        <v>2024</v>
      </c>
      <c r="N1489" s="17" t="s">
        <v>169</v>
      </c>
    </row>
    <row r="1490" spans="1:14" ht="14.25" customHeight="1">
      <c r="A1490" s="17">
        <v>11489</v>
      </c>
      <c r="B1490" s="18">
        <v>45631</v>
      </c>
      <c r="C1490" s="17" t="s">
        <v>45</v>
      </c>
      <c r="D1490" s="17" t="s">
        <v>83</v>
      </c>
      <c r="E1490" s="17" t="s">
        <v>165</v>
      </c>
      <c r="F1490" s="17" t="s">
        <v>164</v>
      </c>
      <c r="G1490" s="17">
        <v>1</v>
      </c>
      <c r="H1490" s="17">
        <v>50487</v>
      </c>
      <c r="I1490" s="17">
        <v>50487</v>
      </c>
      <c r="J1490" s="17">
        <v>227</v>
      </c>
      <c r="K1490" s="17">
        <v>50260</v>
      </c>
      <c r="L1490" s="17">
        <v>6279.1984599999996</v>
      </c>
      <c r="M1490" s="17">
        <v>2024</v>
      </c>
      <c r="N1490" s="17" t="s">
        <v>169</v>
      </c>
    </row>
    <row r="1491" spans="1:14" ht="14.25" customHeight="1">
      <c r="A1491" s="17">
        <v>11490</v>
      </c>
      <c r="B1491" s="18">
        <v>45680</v>
      </c>
      <c r="C1491" s="17" t="s">
        <v>58</v>
      </c>
      <c r="D1491" s="17" t="s">
        <v>83</v>
      </c>
      <c r="E1491" s="17" t="s">
        <v>165</v>
      </c>
      <c r="F1491" s="17" t="s">
        <v>166</v>
      </c>
      <c r="G1491" s="17">
        <v>6</v>
      </c>
      <c r="H1491" s="17">
        <v>30314</v>
      </c>
      <c r="I1491" s="17">
        <v>181884</v>
      </c>
      <c r="J1491" s="17">
        <v>4471</v>
      </c>
      <c r="K1491" s="17">
        <v>177413</v>
      </c>
      <c r="L1491" s="17">
        <v>35465.488850000002</v>
      </c>
      <c r="M1491" s="17">
        <v>2025</v>
      </c>
      <c r="N1491" s="17" t="s">
        <v>171</v>
      </c>
    </row>
    <row r="1492" spans="1:14" ht="14.25" customHeight="1">
      <c r="A1492" s="17">
        <v>11491</v>
      </c>
      <c r="B1492" s="18">
        <v>45868</v>
      </c>
      <c r="C1492" s="17" t="s">
        <v>167</v>
      </c>
      <c r="D1492" s="17" t="s">
        <v>170</v>
      </c>
      <c r="E1492" s="17" t="s">
        <v>168</v>
      </c>
      <c r="F1492" s="17" t="s">
        <v>172</v>
      </c>
      <c r="G1492" s="17">
        <v>5</v>
      </c>
      <c r="H1492" s="17">
        <v>40287</v>
      </c>
      <c r="I1492" s="17">
        <v>201435</v>
      </c>
      <c r="J1492" s="17">
        <v>4831</v>
      </c>
      <c r="K1492" s="17">
        <v>196604</v>
      </c>
      <c r="L1492" s="17">
        <v>37787.531640000001</v>
      </c>
      <c r="M1492" s="17">
        <v>2025</v>
      </c>
      <c r="N1492" s="17" t="s">
        <v>123</v>
      </c>
    </row>
    <row r="1493" spans="1:14" ht="14.25" customHeight="1">
      <c r="A1493" s="17">
        <v>11492</v>
      </c>
      <c r="B1493" s="18">
        <v>45980</v>
      </c>
      <c r="C1493" s="17" t="s">
        <v>167</v>
      </c>
      <c r="D1493" s="17" t="s">
        <v>111</v>
      </c>
      <c r="E1493" s="17" t="s">
        <v>165</v>
      </c>
      <c r="F1493" s="17" t="s">
        <v>163</v>
      </c>
      <c r="G1493" s="17">
        <v>1</v>
      </c>
      <c r="H1493" s="17">
        <v>35451</v>
      </c>
      <c r="I1493" s="17">
        <v>35451</v>
      </c>
      <c r="J1493" s="17">
        <v>4352</v>
      </c>
      <c r="K1493" s="17">
        <v>31099</v>
      </c>
      <c r="L1493" s="17">
        <v>6059.9306880000004</v>
      </c>
      <c r="M1493" s="17">
        <v>2025</v>
      </c>
      <c r="N1493" s="17" t="s">
        <v>173</v>
      </c>
    </row>
    <row r="1494" spans="1:14" ht="14.25" customHeight="1">
      <c r="A1494" s="17">
        <v>11493</v>
      </c>
      <c r="B1494" s="18">
        <v>45294</v>
      </c>
      <c r="C1494" s="17" t="s">
        <v>45</v>
      </c>
      <c r="D1494" s="17" t="s">
        <v>111</v>
      </c>
      <c r="E1494" s="17" t="s">
        <v>162</v>
      </c>
      <c r="F1494" s="17" t="s">
        <v>163</v>
      </c>
      <c r="G1494" s="17">
        <v>3</v>
      </c>
      <c r="H1494" s="17">
        <v>75963</v>
      </c>
      <c r="I1494" s="17">
        <v>227889</v>
      </c>
      <c r="J1494" s="17">
        <v>4928</v>
      </c>
      <c r="K1494" s="17">
        <v>222961</v>
      </c>
      <c r="L1494" s="17">
        <v>29814.26108</v>
      </c>
      <c r="M1494" s="17">
        <v>2024</v>
      </c>
      <c r="N1494" s="17" t="s">
        <v>171</v>
      </c>
    </row>
    <row r="1495" spans="1:14" ht="14.25" customHeight="1">
      <c r="A1495" s="17">
        <v>11494</v>
      </c>
      <c r="B1495" s="18">
        <v>45720</v>
      </c>
      <c r="C1495" s="17" t="s">
        <v>39</v>
      </c>
      <c r="D1495" s="17" t="s">
        <v>89</v>
      </c>
      <c r="E1495" s="17" t="s">
        <v>162</v>
      </c>
      <c r="F1495" s="17" t="s">
        <v>163</v>
      </c>
      <c r="G1495" s="17">
        <v>7</v>
      </c>
      <c r="H1495" s="17">
        <v>42371</v>
      </c>
      <c r="I1495" s="17">
        <v>296597</v>
      </c>
      <c r="J1495" s="17">
        <v>4796</v>
      </c>
      <c r="K1495" s="17">
        <v>291801</v>
      </c>
      <c r="L1495" s="17">
        <v>39970.711929999998</v>
      </c>
      <c r="M1495" s="17">
        <v>2025</v>
      </c>
      <c r="N1495" s="17" t="s">
        <v>112</v>
      </c>
    </row>
    <row r="1496" spans="1:14" ht="14.25" customHeight="1">
      <c r="A1496" s="17">
        <v>11495</v>
      </c>
      <c r="B1496" s="18">
        <v>45433</v>
      </c>
      <c r="C1496" s="17" t="s">
        <v>58</v>
      </c>
      <c r="D1496" s="17" t="s">
        <v>89</v>
      </c>
      <c r="E1496" s="17" t="s">
        <v>162</v>
      </c>
      <c r="F1496" s="17" t="s">
        <v>163</v>
      </c>
      <c r="G1496" s="17">
        <v>9</v>
      </c>
      <c r="H1496" s="17">
        <v>29630</v>
      </c>
      <c r="I1496" s="17">
        <v>266670</v>
      </c>
      <c r="J1496" s="17">
        <v>698</v>
      </c>
      <c r="K1496" s="17">
        <v>265972</v>
      </c>
      <c r="L1496" s="17">
        <v>58010.764300000003</v>
      </c>
      <c r="M1496" s="17">
        <v>2024</v>
      </c>
      <c r="N1496" s="17" t="s">
        <v>117</v>
      </c>
    </row>
    <row r="1497" spans="1:14" ht="14.25" customHeight="1">
      <c r="A1497" s="17">
        <v>11496</v>
      </c>
      <c r="B1497" s="18">
        <v>45667</v>
      </c>
      <c r="C1497" s="17" t="s">
        <v>50</v>
      </c>
      <c r="D1497" s="17" t="s">
        <v>111</v>
      </c>
      <c r="E1497" s="17" t="s">
        <v>165</v>
      </c>
      <c r="F1497" s="17" t="s">
        <v>166</v>
      </c>
      <c r="G1497" s="17">
        <v>9</v>
      </c>
      <c r="H1497" s="17">
        <v>56236</v>
      </c>
      <c r="I1497" s="17">
        <v>506124</v>
      </c>
      <c r="J1497" s="17">
        <v>437</v>
      </c>
      <c r="K1497" s="17">
        <v>505687</v>
      </c>
      <c r="L1497" s="17">
        <v>102915.7828</v>
      </c>
      <c r="M1497" s="17">
        <v>2025</v>
      </c>
      <c r="N1497" s="17" t="s">
        <v>171</v>
      </c>
    </row>
    <row r="1498" spans="1:14" ht="14.25" customHeight="1">
      <c r="A1498" s="17">
        <v>11497</v>
      </c>
      <c r="B1498" s="18">
        <v>45961</v>
      </c>
      <c r="C1498" s="17" t="s">
        <v>45</v>
      </c>
      <c r="D1498" s="17" t="s">
        <v>86</v>
      </c>
      <c r="E1498" s="17" t="s">
        <v>168</v>
      </c>
      <c r="F1498" s="17" t="s">
        <v>172</v>
      </c>
      <c r="G1498" s="17">
        <v>6</v>
      </c>
      <c r="H1498" s="17">
        <v>38667</v>
      </c>
      <c r="I1498" s="17">
        <v>232002</v>
      </c>
      <c r="J1498" s="17">
        <v>1684</v>
      </c>
      <c r="K1498" s="17">
        <v>230318</v>
      </c>
      <c r="L1498" s="17">
        <v>53267.25088</v>
      </c>
      <c r="M1498" s="17">
        <v>2025</v>
      </c>
      <c r="N1498" s="17" t="s">
        <v>174</v>
      </c>
    </row>
    <row r="1499" spans="1:14" ht="14.25" customHeight="1">
      <c r="A1499" s="17">
        <v>11498</v>
      </c>
      <c r="B1499" s="18">
        <v>45615</v>
      </c>
      <c r="C1499" s="17" t="s">
        <v>58</v>
      </c>
      <c r="D1499" s="17" t="s">
        <v>170</v>
      </c>
      <c r="E1499" s="17" t="s">
        <v>168</v>
      </c>
      <c r="F1499" s="17" t="s">
        <v>166</v>
      </c>
      <c r="G1499" s="17">
        <v>3</v>
      </c>
      <c r="H1499" s="17">
        <v>30099</v>
      </c>
      <c r="I1499" s="17">
        <v>90297</v>
      </c>
      <c r="J1499" s="17">
        <v>2153</v>
      </c>
      <c r="K1499" s="17">
        <v>88144</v>
      </c>
      <c r="L1499" s="17">
        <v>14149.3912</v>
      </c>
      <c r="M1499" s="17">
        <v>2024</v>
      </c>
      <c r="N1499" s="17" t="s">
        <v>173</v>
      </c>
    </row>
    <row r="1500" spans="1:14" ht="14.25" customHeight="1">
      <c r="A1500" s="17">
        <v>11499</v>
      </c>
      <c r="B1500" s="18">
        <v>45437</v>
      </c>
      <c r="C1500" s="17" t="s">
        <v>58</v>
      </c>
      <c r="D1500" s="17" t="s">
        <v>170</v>
      </c>
      <c r="E1500" s="17" t="s">
        <v>168</v>
      </c>
      <c r="F1500" s="17" t="s">
        <v>164</v>
      </c>
      <c r="G1500" s="17">
        <v>1</v>
      </c>
      <c r="H1500" s="17">
        <v>43098</v>
      </c>
      <c r="I1500" s="17">
        <v>43098</v>
      </c>
      <c r="J1500" s="17">
        <v>4710</v>
      </c>
      <c r="K1500" s="17">
        <v>38388</v>
      </c>
      <c r="L1500" s="17">
        <v>6990.4231229999996</v>
      </c>
      <c r="M1500" s="17">
        <v>2024</v>
      </c>
      <c r="N1500" s="17" t="s">
        <v>117</v>
      </c>
    </row>
    <row r="1501" spans="1:14" ht="14.25" customHeight="1">
      <c r="A1501" s="17">
        <v>11500</v>
      </c>
      <c r="B1501" s="18">
        <v>45584</v>
      </c>
      <c r="C1501" s="17" t="s">
        <v>50</v>
      </c>
      <c r="D1501" s="17" t="s">
        <v>86</v>
      </c>
      <c r="E1501" s="17" t="s">
        <v>165</v>
      </c>
      <c r="F1501" s="17" t="s">
        <v>172</v>
      </c>
      <c r="G1501" s="17">
        <v>3</v>
      </c>
      <c r="H1501" s="17">
        <v>32873</v>
      </c>
      <c r="I1501" s="17">
        <v>98619</v>
      </c>
      <c r="J1501" s="17">
        <v>2914</v>
      </c>
      <c r="K1501" s="17">
        <v>95705</v>
      </c>
      <c r="L1501" s="17">
        <v>20176.208050000001</v>
      </c>
      <c r="M1501" s="17">
        <v>2024</v>
      </c>
      <c r="N1501" s="17" t="s">
        <v>174</v>
      </c>
    </row>
    <row r="1502" spans="1:14" ht="14.25" customHeight="1">
      <c r="A1502" s="17">
        <v>11501</v>
      </c>
      <c r="B1502" s="18">
        <v>45956</v>
      </c>
      <c r="C1502" s="17" t="s">
        <v>58</v>
      </c>
      <c r="D1502" s="17" t="s">
        <v>86</v>
      </c>
      <c r="E1502" s="17" t="s">
        <v>165</v>
      </c>
      <c r="F1502" s="17" t="s">
        <v>172</v>
      </c>
      <c r="G1502" s="17">
        <v>2</v>
      </c>
      <c r="H1502" s="17">
        <v>28558</v>
      </c>
      <c r="I1502" s="17">
        <v>57116</v>
      </c>
      <c r="J1502" s="17">
        <v>3217</v>
      </c>
      <c r="K1502" s="17">
        <v>53899</v>
      </c>
      <c r="L1502" s="17">
        <v>13265.7968</v>
      </c>
      <c r="M1502" s="17">
        <v>2025</v>
      </c>
      <c r="N1502" s="17" t="s">
        <v>174</v>
      </c>
    </row>
    <row r="1503" spans="1:14" ht="14.25" customHeight="1">
      <c r="A1503" s="17">
        <v>11502</v>
      </c>
      <c r="B1503" s="18">
        <v>45723</v>
      </c>
      <c r="C1503" s="17" t="s">
        <v>39</v>
      </c>
      <c r="D1503" s="17" t="s">
        <v>111</v>
      </c>
      <c r="E1503" s="17" t="s">
        <v>162</v>
      </c>
      <c r="F1503" s="17" t="s">
        <v>163</v>
      </c>
      <c r="G1503" s="17">
        <v>5</v>
      </c>
      <c r="H1503" s="17">
        <v>65123</v>
      </c>
      <c r="I1503" s="17">
        <v>325615</v>
      </c>
      <c r="J1503" s="17">
        <v>959</v>
      </c>
      <c r="K1503" s="17">
        <v>324656</v>
      </c>
      <c r="L1503" s="17">
        <v>80659.085869999995</v>
      </c>
      <c r="M1503" s="17">
        <v>2025</v>
      </c>
      <c r="N1503" s="17" t="s">
        <v>112</v>
      </c>
    </row>
    <row r="1504" spans="1:14" ht="14.25" customHeight="1">
      <c r="A1504" s="17">
        <v>11503</v>
      </c>
      <c r="B1504" s="18">
        <v>45996</v>
      </c>
      <c r="C1504" s="17" t="s">
        <v>39</v>
      </c>
      <c r="D1504" s="17" t="s">
        <v>89</v>
      </c>
      <c r="E1504" s="17" t="s">
        <v>165</v>
      </c>
      <c r="F1504" s="17" t="s">
        <v>163</v>
      </c>
      <c r="G1504" s="17">
        <v>8</v>
      </c>
      <c r="H1504" s="17">
        <v>35518</v>
      </c>
      <c r="I1504" s="17">
        <v>284144</v>
      </c>
      <c r="J1504" s="17">
        <v>1839</v>
      </c>
      <c r="K1504" s="17">
        <v>282305</v>
      </c>
      <c r="L1504" s="17">
        <v>70541.332219999997</v>
      </c>
      <c r="M1504" s="17">
        <v>2025</v>
      </c>
      <c r="N1504" s="17" t="s">
        <v>169</v>
      </c>
    </row>
    <row r="1505" spans="1:14" ht="14.25" customHeight="1">
      <c r="A1505" s="17">
        <v>11504</v>
      </c>
      <c r="B1505" s="18">
        <v>45876</v>
      </c>
      <c r="C1505" s="17" t="s">
        <v>39</v>
      </c>
      <c r="D1505" s="17" t="s">
        <v>86</v>
      </c>
      <c r="E1505" s="17" t="s">
        <v>162</v>
      </c>
      <c r="F1505" s="17" t="s">
        <v>163</v>
      </c>
      <c r="G1505" s="17">
        <v>5</v>
      </c>
      <c r="H1505" s="17">
        <v>57763</v>
      </c>
      <c r="I1505" s="17">
        <v>288815</v>
      </c>
      <c r="J1505" s="17">
        <v>277</v>
      </c>
      <c r="K1505" s="17">
        <v>288538</v>
      </c>
      <c r="L1505" s="17">
        <v>67396.40956</v>
      </c>
      <c r="M1505" s="17">
        <v>2025</v>
      </c>
      <c r="N1505" s="17" t="s">
        <v>126</v>
      </c>
    </row>
    <row r="1506" spans="1:14" ht="14.25" customHeight="1">
      <c r="A1506" s="17">
        <v>11505</v>
      </c>
      <c r="B1506" s="18">
        <v>45690</v>
      </c>
      <c r="C1506" s="17" t="s">
        <v>58</v>
      </c>
      <c r="D1506" s="17" t="s">
        <v>89</v>
      </c>
      <c r="E1506" s="17" t="s">
        <v>162</v>
      </c>
      <c r="F1506" s="17" t="s">
        <v>163</v>
      </c>
      <c r="G1506" s="17">
        <v>1</v>
      </c>
      <c r="H1506" s="17">
        <v>79716</v>
      </c>
      <c r="I1506" s="17">
        <v>79716</v>
      </c>
      <c r="J1506" s="17">
        <v>4220</v>
      </c>
      <c r="K1506" s="17">
        <v>75496</v>
      </c>
      <c r="L1506" s="17">
        <v>14793.26174</v>
      </c>
      <c r="M1506" s="17">
        <v>2025</v>
      </c>
      <c r="N1506" s="17" t="s">
        <v>175</v>
      </c>
    </row>
    <row r="1507" spans="1:14" ht="14.25" customHeight="1">
      <c r="A1507" s="17">
        <v>11506</v>
      </c>
      <c r="B1507" s="18">
        <v>45635</v>
      </c>
      <c r="C1507" s="17" t="s">
        <v>39</v>
      </c>
      <c r="D1507" s="17" t="s">
        <v>83</v>
      </c>
      <c r="E1507" s="17" t="s">
        <v>168</v>
      </c>
      <c r="F1507" s="17" t="s">
        <v>164</v>
      </c>
      <c r="G1507" s="17">
        <v>3</v>
      </c>
      <c r="H1507" s="17">
        <v>64172</v>
      </c>
      <c r="I1507" s="17">
        <v>192516</v>
      </c>
      <c r="J1507" s="17">
        <v>3756</v>
      </c>
      <c r="K1507" s="17">
        <v>188760</v>
      </c>
      <c r="L1507" s="17">
        <v>19073.375499999998</v>
      </c>
      <c r="M1507" s="17">
        <v>2024</v>
      </c>
      <c r="N1507" s="17" t="s">
        <v>169</v>
      </c>
    </row>
    <row r="1508" spans="1:14" ht="14.25" customHeight="1">
      <c r="A1508" s="17">
        <v>11507</v>
      </c>
      <c r="B1508" s="18">
        <v>45431</v>
      </c>
      <c r="C1508" s="17" t="s">
        <v>50</v>
      </c>
      <c r="D1508" s="17" t="s">
        <v>170</v>
      </c>
      <c r="E1508" s="17" t="s">
        <v>165</v>
      </c>
      <c r="F1508" s="17" t="s">
        <v>163</v>
      </c>
      <c r="G1508" s="17">
        <v>5</v>
      </c>
      <c r="H1508" s="17">
        <v>8750</v>
      </c>
      <c r="I1508" s="17">
        <v>43750</v>
      </c>
      <c r="J1508" s="17">
        <v>1343</v>
      </c>
      <c r="K1508" s="17">
        <v>42407</v>
      </c>
      <c r="L1508" s="17">
        <v>8690.5328549999995</v>
      </c>
      <c r="M1508" s="17">
        <v>2024</v>
      </c>
      <c r="N1508" s="17" t="s">
        <v>117</v>
      </c>
    </row>
    <row r="1509" spans="1:14" ht="14.25" customHeight="1">
      <c r="A1509" s="17">
        <v>11508</v>
      </c>
      <c r="B1509" s="18">
        <v>45478</v>
      </c>
      <c r="C1509" s="17" t="s">
        <v>58</v>
      </c>
      <c r="D1509" s="17" t="s">
        <v>111</v>
      </c>
      <c r="E1509" s="17" t="s">
        <v>168</v>
      </c>
      <c r="F1509" s="17" t="s">
        <v>166</v>
      </c>
      <c r="G1509" s="17">
        <v>7</v>
      </c>
      <c r="H1509" s="17">
        <v>16881</v>
      </c>
      <c r="I1509" s="17">
        <v>118167</v>
      </c>
      <c r="J1509" s="17">
        <v>4770</v>
      </c>
      <c r="K1509" s="17">
        <v>113397</v>
      </c>
      <c r="L1509" s="17">
        <v>15398.170400000001</v>
      </c>
      <c r="M1509" s="17">
        <v>2024</v>
      </c>
      <c r="N1509" s="17" t="s">
        <v>123</v>
      </c>
    </row>
    <row r="1510" spans="1:14" ht="14.25" customHeight="1">
      <c r="A1510" s="17">
        <v>11509</v>
      </c>
      <c r="B1510" s="18">
        <v>45352</v>
      </c>
      <c r="C1510" s="17" t="s">
        <v>167</v>
      </c>
      <c r="D1510" s="17" t="s">
        <v>170</v>
      </c>
      <c r="E1510" s="17" t="s">
        <v>168</v>
      </c>
      <c r="F1510" s="17" t="s">
        <v>172</v>
      </c>
      <c r="G1510" s="17">
        <v>5</v>
      </c>
      <c r="H1510" s="17">
        <v>24606</v>
      </c>
      <c r="I1510" s="17">
        <v>123030</v>
      </c>
      <c r="J1510" s="17">
        <v>714</v>
      </c>
      <c r="K1510" s="17">
        <v>122316</v>
      </c>
      <c r="L1510" s="17">
        <v>13280.46852</v>
      </c>
      <c r="M1510" s="17">
        <v>2024</v>
      </c>
      <c r="N1510" s="17" t="s">
        <v>112</v>
      </c>
    </row>
    <row r="1511" spans="1:14" ht="14.25" customHeight="1">
      <c r="A1511" s="17">
        <v>11510</v>
      </c>
      <c r="B1511" s="18">
        <v>45671</v>
      </c>
      <c r="C1511" s="17" t="s">
        <v>58</v>
      </c>
      <c r="D1511" s="17" t="s">
        <v>111</v>
      </c>
      <c r="E1511" s="17" t="s">
        <v>165</v>
      </c>
      <c r="F1511" s="17" t="s">
        <v>164</v>
      </c>
      <c r="G1511" s="17">
        <v>5</v>
      </c>
      <c r="H1511" s="17">
        <v>21819</v>
      </c>
      <c r="I1511" s="17">
        <v>109095</v>
      </c>
      <c r="J1511" s="17">
        <v>1505</v>
      </c>
      <c r="K1511" s="17">
        <v>107590</v>
      </c>
      <c r="L1511" s="17">
        <v>22010.510910000001</v>
      </c>
      <c r="M1511" s="17">
        <v>2025</v>
      </c>
      <c r="N1511" s="17" t="s">
        <v>171</v>
      </c>
    </row>
    <row r="1512" spans="1:14" ht="14.25" customHeight="1">
      <c r="A1512" s="17">
        <v>11511</v>
      </c>
      <c r="B1512" s="18">
        <v>46001</v>
      </c>
      <c r="C1512" s="17" t="s">
        <v>50</v>
      </c>
      <c r="D1512" s="17" t="s">
        <v>83</v>
      </c>
      <c r="E1512" s="17" t="s">
        <v>165</v>
      </c>
      <c r="F1512" s="17" t="s">
        <v>164</v>
      </c>
      <c r="G1512" s="17">
        <v>7</v>
      </c>
      <c r="H1512" s="17">
        <v>33755</v>
      </c>
      <c r="I1512" s="17">
        <v>236285</v>
      </c>
      <c r="J1512" s="17">
        <v>3921</v>
      </c>
      <c r="K1512" s="17">
        <v>232364</v>
      </c>
      <c r="L1512" s="17">
        <v>49586.858460000003</v>
      </c>
      <c r="M1512" s="17">
        <v>2025</v>
      </c>
      <c r="N1512" s="17" t="s">
        <v>169</v>
      </c>
    </row>
    <row r="1513" spans="1:14" ht="14.25" customHeight="1">
      <c r="A1513" s="17">
        <v>11512</v>
      </c>
      <c r="B1513" s="18">
        <v>45731</v>
      </c>
      <c r="C1513" s="17" t="s">
        <v>167</v>
      </c>
      <c r="D1513" s="17" t="s">
        <v>170</v>
      </c>
      <c r="E1513" s="17" t="s">
        <v>162</v>
      </c>
      <c r="F1513" s="17" t="s">
        <v>172</v>
      </c>
      <c r="G1513" s="17">
        <v>8</v>
      </c>
      <c r="H1513" s="17">
        <v>30811</v>
      </c>
      <c r="I1513" s="17">
        <v>246488</v>
      </c>
      <c r="J1513" s="17">
        <v>2714</v>
      </c>
      <c r="K1513" s="17">
        <v>243774</v>
      </c>
      <c r="L1513" s="17">
        <v>48490.297420000003</v>
      </c>
      <c r="M1513" s="17">
        <v>2025</v>
      </c>
      <c r="N1513" s="17" t="s">
        <v>112</v>
      </c>
    </row>
    <row r="1514" spans="1:14" ht="14.25" customHeight="1">
      <c r="A1514" s="17">
        <v>11513</v>
      </c>
      <c r="B1514" s="18">
        <v>45610</v>
      </c>
      <c r="C1514" s="17" t="s">
        <v>58</v>
      </c>
      <c r="D1514" s="17" t="s">
        <v>83</v>
      </c>
      <c r="E1514" s="17" t="s">
        <v>162</v>
      </c>
      <c r="F1514" s="17" t="s">
        <v>172</v>
      </c>
      <c r="G1514" s="17">
        <v>8</v>
      </c>
      <c r="H1514" s="17">
        <v>63122</v>
      </c>
      <c r="I1514" s="17">
        <v>504976</v>
      </c>
      <c r="J1514" s="17">
        <v>1347</v>
      </c>
      <c r="K1514" s="17">
        <v>503629</v>
      </c>
      <c r="L1514" s="17">
        <v>77949.413960000005</v>
      </c>
      <c r="M1514" s="17">
        <v>2024</v>
      </c>
      <c r="N1514" s="17" t="s">
        <v>173</v>
      </c>
    </row>
    <row r="1515" spans="1:14" ht="14.25" customHeight="1">
      <c r="A1515" s="17">
        <v>11514</v>
      </c>
      <c r="B1515" s="18">
        <v>45593</v>
      </c>
      <c r="C1515" s="17" t="s">
        <v>39</v>
      </c>
      <c r="D1515" s="17" t="s">
        <v>111</v>
      </c>
      <c r="E1515" s="17" t="s">
        <v>162</v>
      </c>
      <c r="F1515" s="17" t="s">
        <v>172</v>
      </c>
      <c r="G1515" s="17">
        <v>7</v>
      </c>
      <c r="H1515" s="17">
        <v>42697</v>
      </c>
      <c r="I1515" s="17">
        <v>298879</v>
      </c>
      <c r="J1515" s="17">
        <v>2442</v>
      </c>
      <c r="K1515" s="17">
        <v>296437</v>
      </c>
      <c r="L1515" s="17">
        <v>52365.779430000002</v>
      </c>
      <c r="M1515" s="17">
        <v>2024</v>
      </c>
      <c r="N1515" s="17" t="s">
        <v>174</v>
      </c>
    </row>
    <row r="1516" spans="1:14" ht="14.25" customHeight="1">
      <c r="A1516" s="17">
        <v>11515</v>
      </c>
      <c r="B1516" s="18">
        <v>45635</v>
      </c>
      <c r="C1516" s="17" t="s">
        <v>45</v>
      </c>
      <c r="D1516" s="17" t="s">
        <v>86</v>
      </c>
      <c r="E1516" s="17" t="s">
        <v>162</v>
      </c>
      <c r="F1516" s="17" t="s">
        <v>164</v>
      </c>
      <c r="G1516" s="17">
        <v>3</v>
      </c>
      <c r="H1516" s="17">
        <v>66196</v>
      </c>
      <c r="I1516" s="17">
        <v>198588</v>
      </c>
      <c r="J1516" s="17">
        <v>4868</v>
      </c>
      <c r="K1516" s="17">
        <v>193720</v>
      </c>
      <c r="L1516" s="17">
        <v>46539.708149999999</v>
      </c>
      <c r="M1516" s="17">
        <v>2024</v>
      </c>
      <c r="N1516" s="17" t="s">
        <v>169</v>
      </c>
    </row>
    <row r="1517" spans="1:14" ht="14.25" customHeight="1">
      <c r="A1517" s="17">
        <v>11516</v>
      </c>
      <c r="B1517" s="18">
        <v>45302</v>
      </c>
      <c r="C1517" s="17" t="s">
        <v>45</v>
      </c>
      <c r="D1517" s="17" t="s">
        <v>170</v>
      </c>
      <c r="E1517" s="17" t="s">
        <v>168</v>
      </c>
      <c r="F1517" s="17" t="s">
        <v>166</v>
      </c>
      <c r="G1517" s="17">
        <v>2</v>
      </c>
      <c r="H1517" s="17">
        <v>23344</v>
      </c>
      <c r="I1517" s="17">
        <v>46688</v>
      </c>
      <c r="J1517" s="17">
        <v>3960</v>
      </c>
      <c r="K1517" s="17">
        <v>42728</v>
      </c>
      <c r="L1517" s="17">
        <v>8949.0226029999994</v>
      </c>
      <c r="M1517" s="17">
        <v>2024</v>
      </c>
      <c r="N1517" s="17" t="s">
        <v>171</v>
      </c>
    </row>
    <row r="1518" spans="1:14" ht="14.25" customHeight="1">
      <c r="A1518" s="17">
        <v>11517</v>
      </c>
      <c r="B1518" s="18">
        <v>45353</v>
      </c>
      <c r="C1518" s="17" t="s">
        <v>39</v>
      </c>
      <c r="D1518" s="17" t="s">
        <v>83</v>
      </c>
      <c r="E1518" s="17" t="s">
        <v>168</v>
      </c>
      <c r="F1518" s="17" t="s">
        <v>166</v>
      </c>
      <c r="G1518" s="17">
        <v>1</v>
      </c>
      <c r="H1518" s="17">
        <v>25656</v>
      </c>
      <c r="I1518" s="17">
        <v>25656</v>
      </c>
      <c r="J1518" s="17">
        <v>1752</v>
      </c>
      <c r="K1518" s="17">
        <v>23904</v>
      </c>
      <c r="L1518" s="17">
        <v>4199.9957880000002</v>
      </c>
      <c r="M1518" s="17">
        <v>2024</v>
      </c>
      <c r="N1518" s="17" t="s">
        <v>112</v>
      </c>
    </row>
    <row r="1519" spans="1:14" ht="14.25" customHeight="1">
      <c r="A1519" s="17">
        <v>11518</v>
      </c>
      <c r="B1519" s="18">
        <v>45517</v>
      </c>
      <c r="C1519" s="17" t="s">
        <v>45</v>
      </c>
      <c r="D1519" s="17" t="s">
        <v>170</v>
      </c>
      <c r="E1519" s="17" t="s">
        <v>165</v>
      </c>
      <c r="F1519" s="17" t="s">
        <v>172</v>
      </c>
      <c r="G1519" s="17">
        <v>6</v>
      </c>
      <c r="H1519" s="17">
        <v>31382</v>
      </c>
      <c r="I1519" s="17">
        <v>188292</v>
      </c>
      <c r="J1519" s="17">
        <v>2505</v>
      </c>
      <c r="K1519" s="17">
        <v>185787</v>
      </c>
      <c r="L1519" s="17">
        <v>35116.97064</v>
      </c>
      <c r="M1519" s="17">
        <v>2024</v>
      </c>
      <c r="N1519" s="17" t="s">
        <v>126</v>
      </c>
    </row>
    <row r="1520" spans="1:14" ht="14.25" customHeight="1">
      <c r="A1520" s="17">
        <v>11519</v>
      </c>
      <c r="B1520" s="18">
        <v>45444</v>
      </c>
      <c r="C1520" s="17" t="s">
        <v>45</v>
      </c>
      <c r="D1520" s="17" t="s">
        <v>170</v>
      </c>
      <c r="E1520" s="17" t="s">
        <v>162</v>
      </c>
      <c r="F1520" s="17" t="s">
        <v>164</v>
      </c>
      <c r="G1520" s="17">
        <v>9</v>
      </c>
      <c r="H1520" s="17">
        <v>36031</v>
      </c>
      <c r="I1520" s="17">
        <v>324279</v>
      </c>
      <c r="J1520" s="17">
        <v>1737</v>
      </c>
      <c r="K1520" s="17">
        <v>322542</v>
      </c>
      <c r="L1520" s="17">
        <v>77136.73848</v>
      </c>
      <c r="M1520" s="17">
        <v>2024</v>
      </c>
      <c r="N1520" s="17" t="s">
        <v>120</v>
      </c>
    </row>
    <row r="1521" spans="1:14" ht="14.25" customHeight="1">
      <c r="A1521" s="17">
        <v>11520</v>
      </c>
      <c r="B1521" s="18">
        <v>46002</v>
      </c>
      <c r="C1521" s="17" t="s">
        <v>39</v>
      </c>
      <c r="D1521" s="17" t="s">
        <v>170</v>
      </c>
      <c r="E1521" s="17" t="s">
        <v>162</v>
      </c>
      <c r="F1521" s="17" t="s">
        <v>163</v>
      </c>
      <c r="G1521" s="17">
        <v>3</v>
      </c>
      <c r="H1521" s="17">
        <v>76349</v>
      </c>
      <c r="I1521" s="17">
        <v>229047</v>
      </c>
      <c r="J1521" s="17">
        <v>4169</v>
      </c>
      <c r="K1521" s="17">
        <v>224878</v>
      </c>
      <c r="L1521" s="17">
        <v>35770.753909999999</v>
      </c>
      <c r="M1521" s="17">
        <v>2025</v>
      </c>
      <c r="N1521" s="17" t="s">
        <v>169</v>
      </c>
    </row>
    <row r="1522" spans="1:14" ht="14.25" customHeight="1">
      <c r="A1522" s="17">
        <v>11521</v>
      </c>
      <c r="B1522" s="18">
        <v>45855</v>
      </c>
      <c r="C1522" s="17" t="s">
        <v>39</v>
      </c>
      <c r="D1522" s="17" t="s">
        <v>89</v>
      </c>
      <c r="E1522" s="17" t="s">
        <v>162</v>
      </c>
      <c r="F1522" s="17" t="s">
        <v>164</v>
      </c>
      <c r="G1522" s="17">
        <v>5</v>
      </c>
      <c r="H1522" s="17">
        <v>65574</v>
      </c>
      <c r="I1522" s="17">
        <v>327870</v>
      </c>
      <c r="J1522" s="17">
        <v>1108</v>
      </c>
      <c r="K1522" s="17">
        <v>326762</v>
      </c>
      <c r="L1522" s="17">
        <v>37667.998420000004</v>
      </c>
      <c r="M1522" s="17">
        <v>2025</v>
      </c>
      <c r="N1522" s="17" t="s">
        <v>123</v>
      </c>
    </row>
    <row r="1523" spans="1:14" ht="14.25" customHeight="1">
      <c r="A1523" s="17">
        <v>11522</v>
      </c>
      <c r="B1523" s="18">
        <v>45862</v>
      </c>
      <c r="C1523" s="17" t="s">
        <v>58</v>
      </c>
      <c r="D1523" s="17" t="s">
        <v>83</v>
      </c>
      <c r="E1523" s="17" t="s">
        <v>168</v>
      </c>
      <c r="F1523" s="17" t="s">
        <v>172</v>
      </c>
      <c r="G1523" s="17">
        <v>9</v>
      </c>
      <c r="H1523" s="17">
        <v>72260</v>
      </c>
      <c r="I1523" s="17">
        <v>650340</v>
      </c>
      <c r="J1523" s="17">
        <v>2679</v>
      </c>
      <c r="K1523" s="17">
        <v>647661</v>
      </c>
      <c r="L1523" s="17">
        <v>96419.842430000004</v>
      </c>
      <c r="M1523" s="17">
        <v>2025</v>
      </c>
      <c r="N1523" s="17" t="s">
        <v>123</v>
      </c>
    </row>
    <row r="1524" spans="1:14" ht="14.25" customHeight="1">
      <c r="A1524" s="17">
        <v>11523</v>
      </c>
      <c r="B1524" s="18">
        <v>45875</v>
      </c>
      <c r="C1524" s="17" t="s">
        <v>58</v>
      </c>
      <c r="D1524" s="17" t="s">
        <v>83</v>
      </c>
      <c r="E1524" s="17" t="s">
        <v>165</v>
      </c>
      <c r="F1524" s="17" t="s">
        <v>164</v>
      </c>
      <c r="G1524" s="17">
        <v>9</v>
      </c>
      <c r="H1524" s="17">
        <v>62529</v>
      </c>
      <c r="I1524" s="17">
        <v>562761</v>
      </c>
      <c r="J1524" s="17">
        <v>1037</v>
      </c>
      <c r="K1524" s="17">
        <v>561724</v>
      </c>
      <c r="L1524" s="17">
        <v>91156.588810000001</v>
      </c>
      <c r="M1524" s="17">
        <v>2025</v>
      </c>
      <c r="N1524" s="17" t="s">
        <v>126</v>
      </c>
    </row>
    <row r="1525" spans="1:14" ht="14.25" customHeight="1">
      <c r="A1525" s="17">
        <v>11524</v>
      </c>
      <c r="B1525" s="18">
        <v>45951</v>
      </c>
      <c r="C1525" s="17" t="s">
        <v>39</v>
      </c>
      <c r="D1525" s="17" t="s">
        <v>170</v>
      </c>
      <c r="E1525" s="17" t="s">
        <v>168</v>
      </c>
      <c r="F1525" s="17" t="s">
        <v>164</v>
      </c>
      <c r="G1525" s="17">
        <v>7</v>
      </c>
      <c r="H1525" s="17">
        <v>6494</v>
      </c>
      <c r="I1525" s="17">
        <v>45458</v>
      </c>
      <c r="J1525" s="17">
        <v>911</v>
      </c>
      <c r="K1525" s="17">
        <v>44547</v>
      </c>
      <c r="L1525" s="17">
        <v>6278.6582269999999</v>
      </c>
      <c r="M1525" s="17">
        <v>2025</v>
      </c>
      <c r="N1525" s="17" t="s">
        <v>174</v>
      </c>
    </row>
    <row r="1526" spans="1:14" ht="14.25" customHeight="1">
      <c r="A1526" s="17">
        <v>11525</v>
      </c>
      <c r="B1526" s="18">
        <v>45866</v>
      </c>
      <c r="C1526" s="17" t="s">
        <v>50</v>
      </c>
      <c r="D1526" s="17" t="s">
        <v>86</v>
      </c>
      <c r="E1526" s="17" t="s">
        <v>165</v>
      </c>
      <c r="F1526" s="17" t="s">
        <v>164</v>
      </c>
      <c r="G1526" s="17">
        <v>4</v>
      </c>
      <c r="H1526" s="17">
        <v>23363</v>
      </c>
      <c r="I1526" s="17">
        <v>93452</v>
      </c>
      <c r="J1526" s="17">
        <v>4889</v>
      </c>
      <c r="K1526" s="17">
        <v>88563</v>
      </c>
      <c r="L1526" s="17">
        <v>15883.40747</v>
      </c>
      <c r="M1526" s="17">
        <v>2025</v>
      </c>
      <c r="N1526" s="17" t="s">
        <v>123</v>
      </c>
    </row>
    <row r="1527" spans="1:14" ht="14.25" customHeight="1">
      <c r="A1527" s="17">
        <v>11526</v>
      </c>
      <c r="B1527" s="18">
        <v>45601</v>
      </c>
      <c r="C1527" s="17" t="s">
        <v>45</v>
      </c>
      <c r="D1527" s="17" t="s">
        <v>170</v>
      </c>
      <c r="E1527" s="17" t="s">
        <v>165</v>
      </c>
      <c r="F1527" s="17" t="s">
        <v>163</v>
      </c>
      <c r="G1527" s="17">
        <v>2</v>
      </c>
      <c r="H1527" s="17">
        <v>26812</v>
      </c>
      <c r="I1527" s="17">
        <v>53624</v>
      </c>
      <c r="J1527" s="17">
        <v>2096</v>
      </c>
      <c r="K1527" s="17">
        <v>51528</v>
      </c>
      <c r="L1527" s="17">
        <v>7509.107489</v>
      </c>
      <c r="M1527" s="17">
        <v>2024</v>
      </c>
      <c r="N1527" s="17" t="s">
        <v>173</v>
      </c>
    </row>
    <row r="1528" spans="1:14" ht="14.25" customHeight="1">
      <c r="A1528" s="17">
        <v>11527</v>
      </c>
      <c r="B1528" s="18">
        <v>45534</v>
      </c>
      <c r="C1528" s="17" t="s">
        <v>58</v>
      </c>
      <c r="D1528" s="17" t="s">
        <v>89</v>
      </c>
      <c r="E1528" s="17" t="s">
        <v>168</v>
      </c>
      <c r="F1528" s="17" t="s">
        <v>172</v>
      </c>
      <c r="G1528" s="17">
        <v>2</v>
      </c>
      <c r="H1528" s="17">
        <v>25437</v>
      </c>
      <c r="I1528" s="17">
        <v>50874</v>
      </c>
      <c r="J1528" s="17">
        <v>3013</v>
      </c>
      <c r="K1528" s="17">
        <v>47861</v>
      </c>
      <c r="L1528" s="17">
        <v>5526.8417200000004</v>
      </c>
      <c r="M1528" s="17">
        <v>2024</v>
      </c>
      <c r="N1528" s="17" t="s">
        <v>126</v>
      </c>
    </row>
    <row r="1529" spans="1:14" ht="14.25" customHeight="1">
      <c r="A1529" s="17">
        <v>11528</v>
      </c>
      <c r="B1529" s="18">
        <v>45784</v>
      </c>
      <c r="C1529" s="17" t="s">
        <v>45</v>
      </c>
      <c r="D1529" s="17" t="s">
        <v>111</v>
      </c>
      <c r="E1529" s="17" t="s">
        <v>168</v>
      </c>
      <c r="F1529" s="17" t="s">
        <v>172</v>
      </c>
      <c r="G1529" s="17">
        <v>4</v>
      </c>
      <c r="H1529" s="17">
        <v>12160</v>
      </c>
      <c r="I1529" s="17">
        <v>48640</v>
      </c>
      <c r="J1529" s="17">
        <v>358</v>
      </c>
      <c r="K1529" s="17">
        <v>48282</v>
      </c>
      <c r="L1529" s="17">
        <v>6190.2485960000004</v>
      </c>
      <c r="M1529" s="17">
        <v>2025</v>
      </c>
      <c r="N1529" s="17" t="s">
        <v>117</v>
      </c>
    </row>
    <row r="1530" spans="1:14" ht="14.25" customHeight="1">
      <c r="A1530" s="17">
        <v>11529</v>
      </c>
      <c r="B1530" s="18">
        <v>45657</v>
      </c>
      <c r="C1530" s="17" t="s">
        <v>167</v>
      </c>
      <c r="D1530" s="17" t="s">
        <v>89</v>
      </c>
      <c r="E1530" s="17" t="s">
        <v>165</v>
      </c>
      <c r="F1530" s="17" t="s">
        <v>172</v>
      </c>
      <c r="G1530" s="17">
        <v>1</v>
      </c>
      <c r="H1530" s="17">
        <v>46343</v>
      </c>
      <c r="I1530" s="17">
        <v>46343</v>
      </c>
      <c r="J1530" s="17">
        <v>1076</v>
      </c>
      <c r="K1530" s="17">
        <v>45267</v>
      </c>
      <c r="L1530" s="17">
        <v>10761.02571</v>
      </c>
      <c r="M1530" s="17">
        <v>2024</v>
      </c>
      <c r="N1530" s="17" t="s">
        <v>169</v>
      </c>
    </row>
    <row r="1531" spans="1:14" ht="14.25" customHeight="1">
      <c r="A1531" s="17">
        <v>11530</v>
      </c>
      <c r="B1531" s="18">
        <v>45621</v>
      </c>
      <c r="C1531" s="17" t="s">
        <v>39</v>
      </c>
      <c r="D1531" s="17" t="s">
        <v>86</v>
      </c>
      <c r="E1531" s="17" t="s">
        <v>168</v>
      </c>
      <c r="F1531" s="17" t="s">
        <v>166</v>
      </c>
      <c r="G1531" s="17">
        <v>4</v>
      </c>
      <c r="H1531" s="17">
        <v>28593</v>
      </c>
      <c r="I1531" s="17">
        <v>114372</v>
      </c>
      <c r="J1531" s="17">
        <v>2103</v>
      </c>
      <c r="K1531" s="17">
        <v>112269</v>
      </c>
      <c r="L1531" s="17">
        <v>21829.510750000001</v>
      </c>
      <c r="M1531" s="17">
        <v>2024</v>
      </c>
      <c r="N1531" s="17" t="s">
        <v>173</v>
      </c>
    </row>
    <row r="1532" spans="1:14" ht="14.25" customHeight="1">
      <c r="A1532" s="17">
        <v>11531</v>
      </c>
      <c r="B1532" s="18">
        <v>45398</v>
      </c>
      <c r="C1532" s="17" t="s">
        <v>50</v>
      </c>
      <c r="D1532" s="17" t="s">
        <v>170</v>
      </c>
      <c r="E1532" s="17" t="s">
        <v>168</v>
      </c>
      <c r="F1532" s="17" t="s">
        <v>166</v>
      </c>
      <c r="G1532" s="17">
        <v>6</v>
      </c>
      <c r="H1532" s="17">
        <v>5284</v>
      </c>
      <c r="I1532" s="17">
        <v>31704</v>
      </c>
      <c r="J1532" s="17">
        <v>4974</v>
      </c>
      <c r="K1532" s="17">
        <v>26730</v>
      </c>
      <c r="L1532" s="17">
        <v>3933.2207840000001</v>
      </c>
      <c r="M1532" s="17">
        <v>2024</v>
      </c>
      <c r="N1532" s="17" t="s">
        <v>114</v>
      </c>
    </row>
    <row r="1533" spans="1:14" ht="14.25" customHeight="1">
      <c r="A1533" s="17">
        <v>11532</v>
      </c>
      <c r="B1533" s="18">
        <v>45517</v>
      </c>
      <c r="C1533" s="17" t="s">
        <v>167</v>
      </c>
      <c r="D1533" s="17" t="s">
        <v>83</v>
      </c>
      <c r="E1533" s="17" t="s">
        <v>165</v>
      </c>
      <c r="F1533" s="17" t="s">
        <v>172</v>
      </c>
      <c r="G1533" s="17">
        <v>6</v>
      </c>
      <c r="H1533" s="17">
        <v>53083</v>
      </c>
      <c r="I1533" s="17">
        <v>318498</v>
      </c>
      <c r="J1533" s="17">
        <v>3527</v>
      </c>
      <c r="K1533" s="17">
        <v>314971</v>
      </c>
      <c r="L1533" s="17">
        <v>48832.375269999997</v>
      </c>
      <c r="M1533" s="17">
        <v>2024</v>
      </c>
      <c r="N1533" s="17" t="s">
        <v>126</v>
      </c>
    </row>
    <row r="1534" spans="1:14" ht="14.25" customHeight="1">
      <c r="A1534" s="17">
        <v>11533</v>
      </c>
      <c r="B1534" s="18">
        <v>45509</v>
      </c>
      <c r="C1534" s="17" t="s">
        <v>167</v>
      </c>
      <c r="D1534" s="17" t="s">
        <v>170</v>
      </c>
      <c r="E1534" s="17" t="s">
        <v>165</v>
      </c>
      <c r="F1534" s="17" t="s">
        <v>164</v>
      </c>
      <c r="G1534" s="17">
        <v>7</v>
      </c>
      <c r="H1534" s="17">
        <v>42851</v>
      </c>
      <c r="I1534" s="17">
        <v>299957</v>
      </c>
      <c r="J1534" s="17">
        <v>2302</v>
      </c>
      <c r="K1534" s="17">
        <v>297655</v>
      </c>
      <c r="L1534" s="17">
        <v>51794.195180000002</v>
      </c>
      <c r="M1534" s="17">
        <v>2024</v>
      </c>
      <c r="N1534" s="17" t="s">
        <v>126</v>
      </c>
    </row>
    <row r="1535" spans="1:14" ht="14.25" customHeight="1">
      <c r="A1535" s="17">
        <v>11534</v>
      </c>
      <c r="B1535" s="18">
        <v>45797</v>
      </c>
      <c r="C1535" s="17" t="s">
        <v>167</v>
      </c>
      <c r="D1535" s="17" t="s">
        <v>86</v>
      </c>
      <c r="E1535" s="17" t="s">
        <v>162</v>
      </c>
      <c r="F1535" s="17" t="s">
        <v>164</v>
      </c>
      <c r="G1535" s="17">
        <v>5</v>
      </c>
      <c r="H1535" s="17">
        <v>25378</v>
      </c>
      <c r="I1535" s="17">
        <v>126890</v>
      </c>
      <c r="J1535" s="17">
        <v>4100</v>
      </c>
      <c r="K1535" s="17">
        <v>122790</v>
      </c>
      <c r="L1535" s="17">
        <v>24677.04552</v>
      </c>
      <c r="M1535" s="17">
        <v>2025</v>
      </c>
      <c r="N1535" s="17" t="s">
        <v>117</v>
      </c>
    </row>
    <row r="1536" spans="1:14" ht="14.25" customHeight="1">
      <c r="A1536" s="17">
        <v>11535</v>
      </c>
      <c r="B1536" s="18">
        <v>45550</v>
      </c>
      <c r="C1536" s="17" t="s">
        <v>39</v>
      </c>
      <c r="D1536" s="17" t="s">
        <v>83</v>
      </c>
      <c r="E1536" s="17" t="s">
        <v>168</v>
      </c>
      <c r="F1536" s="17" t="s">
        <v>172</v>
      </c>
      <c r="G1536" s="17">
        <v>9</v>
      </c>
      <c r="H1536" s="17">
        <v>13491</v>
      </c>
      <c r="I1536" s="17">
        <v>121419</v>
      </c>
      <c r="J1536" s="17">
        <v>1604</v>
      </c>
      <c r="K1536" s="17">
        <v>119815</v>
      </c>
      <c r="L1536" s="17">
        <v>22444.58253</v>
      </c>
      <c r="M1536" s="17">
        <v>2024</v>
      </c>
      <c r="N1536" s="17" t="s">
        <v>129</v>
      </c>
    </row>
    <row r="1537" spans="1:14" ht="14.25" customHeight="1">
      <c r="A1537" s="17">
        <v>11536</v>
      </c>
      <c r="B1537" s="18">
        <v>45808</v>
      </c>
      <c r="C1537" s="17" t="s">
        <v>58</v>
      </c>
      <c r="D1537" s="17" t="s">
        <v>89</v>
      </c>
      <c r="E1537" s="17" t="s">
        <v>165</v>
      </c>
      <c r="F1537" s="17" t="s">
        <v>163</v>
      </c>
      <c r="G1537" s="17">
        <v>2</v>
      </c>
      <c r="H1537" s="17">
        <v>70500</v>
      </c>
      <c r="I1537" s="17">
        <v>141000</v>
      </c>
      <c r="J1537" s="17">
        <v>1075</v>
      </c>
      <c r="K1537" s="17">
        <v>139925</v>
      </c>
      <c r="L1537" s="17">
        <v>33568.667759999997</v>
      </c>
      <c r="M1537" s="17">
        <v>2025</v>
      </c>
      <c r="N1537" s="17" t="s">
        <v>117</v>
      </c>
    </row>
    <row r="1538" spans="1:14" ht="14.25" customHeight="1">
      <c r="A1538" s="17">
        <v>11537</v>
      </c>
      <c r="B1538" s="18">
        <v>45345</v>
      </c>
      <c r="C1538" s="17" t="s">
        <v>39</v>
      </c>
      <c r="D1538" s="17" t="s">
        <v>111</v>
      </c>
      <c r="E1538" s="17" t="s">
        <v>168</v>
      </c>
      <c r="F1538" s="17" t="s">
        <v>163</v>
      </c>
      <c r="G1538" s="17">
        <v>2</v>
      </c>
      <c r="H1538" s="17">
        <v>71436</v>
      </c>
      <c r="I1538" s="17">
        <v>142872</v>
      </c>
      <c r="J1538" s="17">
        <v>4048</v>
      </c>
      <c r="K1538" s="17">
        <v>138824</v>
      </c>
      <c r="L1538" s="17">
        <v>26912.743269999999</v>
      </c>
      <c r="M1538" s="17">
        <v>2024</v>
      </c>
      <c r="N1538" s="17" t="s">
        <v>175</v>
      </c>
    </row>
    <row r="1539" spans="1:14" ht="14.25" customHeight="1">
      <c r="A1539" s="17">
        <v>11538</v>
      </c>
      <c r="B1539" s="18">
        <v>45338</v>
      </c>
      <c r="C1539" s="17" t="s">
        <v>58</v>
      </c>
      <c r="D1539" s="17" t="s">
        <v>111</v>
      </c>
      <c r="E1539" s="17" t="s">
        <v>168</v>
      </c>
      <c r="F1539" s="17" t="s">
        <v>164</v>
      </c>
      <c r="G1539" s="17">
        <v>4</v>
      </c>
      <c r="H1539" s="17">
        <v>6459</v>
      </c>
      <c r="I1539" s="17">
        <v>25836</v>
      </c>
      <c r="J1539" s="17">
        <v>328</v>
      </c>
      <c r="K1539" s="17">
        <v>25508</v>
      </c>
      <c r="L1539" s="17">
        <v>6035.6722719999998</v>
      </c>
      <c r="M1539" s="17">
        <v>2024</v>
      </c>
      <c r="N1539" s="17" t="s">
        <v>175</v>
      </c>
    </row>
    <row r="1540" spans="1:14" ht="14.25" customHeight="1">
      <c r="A1540" s="17">
        <v>11539</v>
      </c>
      <c r="B1540" s="18">
        <v>46018</v>
      </c>
      <c r="C1540" s="17" t="s">
        <v>167</v>
      </c>
      <c r="D1540" s="17" t="s">
        <v>170</v>
      </c>
      <c r="E1540" s="17" t="s">
        <v>165</v>
      </c>
      <c r="F1540" s="17" t="s">
        <v>164</v>
      </c>
      <c r="G1540" s="17">
        <v>4</v>
      </c>
      <c r="H1540" s="17">
        <v>18680</v>
      </c>
      <c r="I1540" s="17">
        <v>74720</v>
      </c>
      <c r="J1540" s="17">
        <v>3232</v>
      </c>
      <c r="K1540" s="17">
        <v>71488</v>
      </c>
      <c r="L1540" s="17">
        <v>7207.0286829999995</v>
      </c>
      <c r="M1540" s="17">
        <v>2025</v>
      </c>
      <c r="N1540" s="17" t="s">
        <v>169</v>
      </c>
    </row>
    <row r="1541" spans="1:14" ht="14.25" customHeight="1">
      <c r="A1541" s="17">
        <v>11540</v>
      </c>
      <c r="B1541" s="18">
        <v>45980</v>
      </c>
      <c r="C1541" s="17" t="s">
        <v>167</v>
      </c>
      <c r="D1541" s="17" t="s">
        <v>89</v>
      </c>
      <c r="E1541" s="17" t="s">
        <v>162</v>
      </c>
      <c r="F1541" s="17" t="s">
        <v>166</v>
      </c>
      <c r="G1541" s="17">
        <v>4</v>
      </c>
      <c r="H1541" s="17">
        <v>24305</v>
      </c>
      <c r="I1541" s="17">
        <v>97220</v>
      </c>
      <c r="J1541" s="17">
        <v>3477</v>
      </c>
      <c r="K1541" s="17">
        <v>93743</v>
      </c>
      <c r="L1541" s="17">
        <v>21896.857489999999</v>
      </c>
      <c r="M1541" s="17">
        <v>2025</v>
      </c>
      <c r="N1541" s="17" t="s">
        <v>173</v>
      </c>
    </row>
    <row r="1542" spans="1:14" ht="14.25" customHeight="1">
      <c r="A1542" s="17">
        <v>11541</v>
      </c>
      <c r="B1542" s="18">
        <v>45812</v>
      </c>
      <c r="C1542" s="17" t="s">
        <v>50</v>
      </c>
      <c r="D1542" s="17" t="s">
        <v>86</v>
      </c>
      <c r="E1542" s="17" t="s">
        <v>165</v>
      </c>
      <c r="F1542" s="17" t="s">
        <v>163</v>
      </c>
      <c r="G1542" s="17">
        <v>1</v>
      </c>
      <c r="H1542" s="17">
        <v>40301</v>
      </c>
      <c r="I1542" s="17">
        <v>40301</v>
      </c>
      <c r="J1542" s="17">
        <v>1002</v>
      </c>
      <c r="K1542" s="17">
        <v>39299</v>
      </c>
      <c r="L1542" s="17">
        <v>8182.7901570000004</v>
      </c>
      <c r="M1542" s="17">
        <v>2025</v>
      </c>
      <c r="N1542" s="17" t="s">
        <v>120</v>
      </c>
    </row>
    <row r="1543" spans="1:14" ht="14.25" customHeight="1">
      <c r="A1543" s="17">
        <v>11542</v>
      </c>
      <c r="B1543" s="18">
        <v>45390</v>
      </c>
      <c r="C1543" s="17" t="s">
        <v>58</v>
      </c>
      <c r="D1543" s="17" t="s">
        <v>111</v>
      </c>
      <c r="E1543" s="17" t="s">
        <v>165</v>
      </c>
      <c r="F1543" s="17" t="s">
        <v>164</v>
      </c>
      <c r="G1543" s="17">
        <v>4</v>
      </c>
      <c r="H1543" s="17">
        <v>37692</v>
      </c>
      <c r="I1543" s="17">
        <v>150768</v>
      </c>
      <c r="J1543" s="17">
        <v>4878</v>
      </c>
      <c r="K1543" s="17">
        <v>145890</v>
      </c>
      <c r="L1543" s="17">
        <v>18357.195449999999</v>
      </c>
      <c r="M1543" s="17">
        <v>2024</v>
      </c>
      <c r="N1543" s="17" t="s">
        <v>114</v>
      </c>
    </row>
    <row r="1544" spans="1:14" ht="14.25" customHeight="1">
      <c r="A1544" s="17">
        <v>11543</v>
      </c>
      <c r="B1544" s="18">
        <v>45311</v>
      </c>
      <c r="C1544" s="17" t="s">
        <v>167</v>
      </c>
      <c r="D1544" s="17" t="s">
        <v>89</v>
      </c>
      <c r="E1544" s="17" t="s">
        <v>168</v>
      </c>
      <c r="F1544" s="17" t="s">
        <v>164</v>
      </c>
      <c r="G1544" s="17">
        <v>5</v>
      </c>
      <c r="H1544" s="17">
        <v>44347</v>
      </c>
      <c r="I1544" s="17">
        <v>221735</v>
      </c>
      <c r="J1544" s="17">
        <v>576</v>
      </c>
      <c r="K1544" s="17">
        <v>221159</v>
      </c>
      <c r="L1544" s="17">
        <v>30841.88379</v>
      </c>
      <c r="M1544" s="17">
        <v>2024</v>
      </c>
      <c r="N1544" s="17" t="s">
        <v>171</v>
      </c>
    </row>
    <row r="1545" spans="1:14" ht="14.25" customHeight="1">
      <c r="A1545" s="17">
        <v>11544</v>
      </c>
      <c r="B1545" s="18">
        <v>45864</v>
      </c>
      <c r="C1545" s="17" t="s">
        <v>45</v>
      </c>
      <c r="D1545" s="17" t="s">
        <v>170</v>
      </c>
      <c r="E1545" s="17" t="s">
        <v>162</v>
      </c>
      <c r="F1545" s="17" t="s">
        <v>172</v>
      </c>
      <c r="G1545" s="17">
        <v>9</v>
      </c>
      <c r="H1545" s="17">
        <v>22189</v>
      </c>
      <c r="I1545" s="17">
        <v>199701</v>
      </c>
      <c r="J1545" s="17">
        <v>326</v>
      </c>
      <c r="K1545" s="17">
        <v>199375</v>
      </c>
      <c r="L1545" s="17">
        <v>36170.911540000001</v>
      </c>
      <c r="M1545" s="17">
        <v>2025</v>
      </c>
      <c r="N1545" s="17" t="s">
        <v>123</v>
      </c>
    </row>
    <row r="1546" spans="1:14" ht="14.25" customHeight="1">
      <c r="A1546" s="17">
        <v>11545</v>
      </c>
      <c r="B1546" s="18">
        <v>45781</v>
      </c>
      <c r="C1546" s="17" t="s">
        <v>50</v>
      </c>
      <c r="D1546" s="17" t="s">
        <v>83</v>
      </c>
      <c r="E1546" s="17" t="s">
        <v>165</v>
      </c>
      <c r="F1546" s="17" t="s">
        <v>166</v>
      </c>
      <c r="G1546" s="17">
        <v>3</v>
      </c>
      <c r="H1546" s="17">
        <v>12595</v>
      </c>
      <c r="I1546" s="17">
        <v>37785</v>
      </c>
      <c r="J1546" s="17">
        <v>1527</v>
      </c>
      <c r="K1546" s="17">
        <v>36258</v>
      </c>
      <c r="L1546" s="17">
        <v>4305.3011459999998</v>
      </c>
      <c r="M1546" s="17">
        <v>2025</v>
      </c>
      <c r="N1546" s="17" t="s">
        <v>117</v>
      </c>
    </row>
    <row r="1547" spans="1:14" ht="14.25" customHeight="1">
      <c r="A1547" s="17">
        <v>11546</v>
      </c>
      <c r="B1547" s="18">
        <v>45710</v>
      </c>
      <c r="C1547" s="17" t="s">
        <v>39</v>
      </c>
      <c r="D1547" s="17" t="s">
        <v>170</v>
      </c>
      <c r="E1547" s="17" t="s">
        <v>168</v>
      </c>
      <c r="F1547" s="17" t="s">
        <v>163</v>
      </c>
      <c r="G1547" s="17">
        <v>3</v>
      </c>
      <c r="H1547" s="17">
        <v>69370</v>
      </c>
      <c r="I1547" s="17">
        <v>208110</v>
      </c>
      <c r="J1547" s="17">
        <v>2821</v>
      </c>
      <c r="K1547" s="17">
        <v>205289</v>
      </c>
      <c r="L1547" s="17">
        <v>44713.019990000001</v>
      </c>
      <c r="M1547" s="17">
        <v>2025</v>
      </c>
      <c r="N1547" s="17" t="s">
        <v>175</v>
      </c>
    </row>
    <row r="1548" spans="1:14" ht="14.25" customHeight="1">
      <c r="A1548" s="17">
        <v>11547</v>
      </c>
      <c r="B1548" s="18">
        <v>45981</v>
      </c>
      <c r="C1548" s="17" t="s">
        <v>50</v>
      </c>
      <c r="D1548" s="17" t="s">
        <v>170</v>
      </c>
      <c r="E1548" s="17" t="s">
        <v>165</v>
      </c>
      <c r="F1548" s="17" t="s">
        <v>163</v>
      </c>
      <c r="G1548" s="17">
        <v>5</v>
      </c>
      <c r="H1548" s="17">
        <v>6921</v>
      </c>
      <c r="I1548" s="17">
        <v>34605</v>
      </c>
      <c r="J1548" s="17">
        <v>1465</v>
      </c>
      <c r="K1548" s="17">
        <v>33140</v>
      </c>
      <c r="L1548" s="17">
        <v>7246.9252889999998</v>
      </c>
      <c r="M1548" s="17">
        <v>2025</v>
      </c>
      <c r="N1548" s="17" t="s">
        <v>173</v>
      </c>
    </row>
    <row r="1549" spans="1:14" ht="14.25" customHeight="1">
      <c r="A1549" s="17">
        <v>11548</v>
      </c>
      <c r="B1549" s="18">
        <v>45353</v>
      </c>
      <c r="C1549" s="17" t="s">
        <v>45</v>
      </c>
      <c r="D1549" s="17" t="s">
        <v>89</v>
      </c>
      <c r="E1549" s="17" t="s">
        <v>168</v>
      </c>
      <c r="F1549" s="17" t="s">
        <v>166</v>
      </c>
      <c r="G1549" s="17">
        <v>6</v>
      </c>
      <c r="H1549" s="17">
        <v>7387</v>
      </c>
      <c r="I1549" s="17">
        <v>44322</v>
      </c>
      <c r="J1549" s="17">
        <v>3225</v>
      </c>
      <c r="K1549" s="17">
        <v>41097</v>
      </c>
      <c r="L1549" s="17">
        <v>5964.9150879999997</v>
      </c>
      <c r="M1549" s="17">
        <v>2024</v>
      </c>
      <c r="N1549" s="17" t="s">
        <v>112</v>
      </c>
    </row>
    <row r="1550" spans="1:14" ht="14.25" customHeight="1">
      <c r="A1550" s="17">
        <v>11549</v>
      </c>
      <c r="B1550" s="18">
        <v>45436</v>
      </c>
      <c r="C1550" s="17" t="s">
        <v>58</v>
      </c>
      <c r="D1550" s="17" t="s">
        <v>111</v>
      </c>
      <c r="E1550" s="17" t="s">
        <v>165</v>
      </c>
      <c r="F1550" s="17" t="s">
        <v>164</v>
      </c>
      <c r="G1550" s="17">
        <v>3</v>
      </c>
      <c r="H1550" s="17">
        <v>9825</v>
      </c>
      <c r="I1550" s="17">
        <v>29475</v>
      </c>
      <c r="J1550" s="17">
        <v>2281</v>
      </c>
      <c r="K1550" s="17">
        <v>27194</v>
      </c>
      <c r="L1550" s="17">
        <v>3004.1905449999999</v>
      </c>
      <c r="M1550" s="17">
        <v>2024</v>
      </c>
      <c r="N1550" s="17" t="s">
        <v>117</v>
      </c>
    </row>
    <row r="1551" spans="1:14" ht="14.25" customHeight="1">
      <c r="A1551" s="17">
        <v>11550</v>
      </c>
      <c r="B1551" s="18">
        <v>45507</v>
      </c>
      <c r="C1551" s="17" t="s">
        <v>39</v>
      </c>
      <c r="D1551" s="17" t="s">
        <v>89</v>
      </c>
      <c r="E1551" s="17" t="s">
        <v>162</v>
      </c>
      <c r="F1551" s="17" t="s">
        <v>163</v>
      </c>
      <c r="G1551" s="17">
        <v>1</v>
      </c>
      <c r="H1551" s="17">
        <v>10282</v>
      </c>
      <c r="I1551" s="17">
        <v>10282</v>
      </c>
      <c r="J1551" s="17">
        <v>4747</v>
      </c>
      <c r="K1551" s="17">
        <v>5535</v>
      </c>
      <c r="L1551" s="17">
        <v>1374.490603</v>
      </c>
      <c r="M1551" s="17">
        <v>2024</v>
      </c>
      <c r="N1551" s="17" t="s">
        <v>126</v>
      </c>
    </row>
    <row r="1552" spans="1:14" ht="14.25" customHeight="1">
      <c r="A1552" s="17">
        <v>11551</v>
      </c>
      <c r="B1552" s="18">
        <v>45294</v>
      </c>
      <c r="C1552" s="17" t="s">
        <v>39</v>
      </c>
      <c r="D1552" s="17" t="s">
        <v>83</v>
      </c>
      <c r="E1552" s="17" t="s">
        <v>165</v>
      </c>
      <c r="F1552" s="17" t="s">
        <v>163</v>
      </c>
      <c r="G1552" s="17">
        <v>8</v>
      </c>
      <c r="H1552" s="17">
        <v>18869</v>
      </c>
      <c r="I1552" s="17">
        <v>150952</v>
      </c>
      <c r="J1552" s="17">
        <v>2380</v>
      </c>
      <c r="K1552" s="17">
        <v>148572</v>
      </c>
      <c r="L1552" s="17">
        <v>20444.893660000002</v>
      </c>
      <c r="M1552" s="17">
        <v>2024</v>
      </c>
      <c r="N1552" s="17" t="s">
        <v>171</v>
      </c>
    </row>
    <row r="1553" spans="1:14" ht="14.25" customHeight="1">
      <c r="A1553" s="17">
        <v>11552</v>
      </c>
      <c r="B1553" s="18">
        <v>45451</v>
      </c>
      <c r="C1553" s="17" t="s">
        <v>58</v>
      </c>
      <c r="D1553" s="17" t="s">
        <v>89</v>
      </c>
      <c r="E1553" s="17" t="s">
        <v>168</v>
      </c>
      <c r="F1553" s="17" t="s">
        <v>163</v>
      </c>
      <c r="G1553" s="17">
        <v>1</v>
      </c>
      <c r="H1553" s="17">
        <v>20451</v>
      </c>
      <c r="I1553" s="17">
        <v>20451</v>
      </c>
      <c r="J1553" s="17">
        <v>494</v>
      </c>
      <c r="K1553" s="17">
        <v>19957</v>
      </c>
      <c r="L1553" s="17">
        <v>2197.9402009999999</v>
      </c>
      <c r="M1553" s="17">
        <v>2024</v>
      </c>
      <c r="N1553" s="17" t="s">
        <v>120</v>
      </c>
    </row>
    <row r="1554" spans="1:14" ht="14.25" customHeight="1">
      <c r="A1554" s="17">
        <v>11553</v>
      </c>
      <c r="B1554" s="18">
        <v>45411</v>
      </c>
      <c r="C1554" s="17" t="s">
        <v>50</v>
      </c>
      <c r="D1554" s="17" t="s">
        <v>86</v>
      </c>
      <c r="E1554" s="17" t="s">
        <v>165</v>
      </c>
      <c r="F1554" s="17" t="s">
        <v>172</v>
      </c>
      <c r="G1554" s="17">
        <v>2</v>
      </c>
      <c r="H1554" s="17">
        <v>22905</v>
      </c>
      <c r="I1554" s="17">
        <v>45810</v>
      </c>
      <c r="J1554" s="17">
        <v>1138</v>
      </c>
      <c r="K1554" s="17">
        <v>44672</v>
      </c>
      <c r="L1554" s="17">
        <v>6678.2291999999998</v>
      </c>
      <c r="M1554" s="17">
        <v>2024</v>
      </c>
      <c r="N1554" s="17" t="s">
        <v>114</v>
      </c>
    </row>
    <row r="1555" spans="1:14" ht="14.25" customHeight="1">
      <c r="A1555" s="17">
        <v>11554</v>
      </c>
      <c r="B1555" s="18">
        <v>45380</v>
      </c>
      <c r="C1555" s="17" t="s">
        <v>167</v>
      </c>
      <c r="D1555" s="17" t="s">
        <v>170</v>
      </c>
      <c r="E1555" s="17" t="s">
        <v>162</v>
      </c>
      <c r="F1555" s="17" t="s">
        <v>166</v>
      </c>
      <c r="G1555" s="17">
        <v>3</v>
      </c>
      <c r="H1555" s="17">
        <v>7698</v>
      </c>
      <c r="I1555" s="17">
        <v>23094</v>
      </c>
      <c r="J1555" s="17">
        <v>2416</v>
      </c>
      <c r="K1555" s="17">
        <v>20678</v>
      </c>
      <c r="L1555" s="17">
        <v>5073.3574179999996</v>
      </c>
      <c r="M1555" s="17">
        <v>2024</v>
      </c>
      <c r="N1555" s="17" t="s">
        <v>112</v>
      </c>
    </row>
    <row r="1556" spans="1:14" ht="14.25" customHeight="1">
      <c r="A1556" s="17">
        <v>11555</v>
      </c>
      <c r="B1556" s="18">
        <v>45620</v>
      </c>
      <c r="C1556" s="17" t="s">
        <v>50</v>
      </c>
      <c r="D1556" s="17" t="s">
        <v>111</v>
      </c>
      <c r="E1556" s="17" t="s">
        <v>162</v>
      </c>
      <c r="F1556" s="17" t="s">
        <v>163</v>
      </c>
      <c r="G1556" s="17">
        <v>6</v>
      </c>
      <c r="H1556" s="17">
        <v>24996</v>
      </c>
      <c r="I1556" s="17">
        <v>149976</v>
      </c>
      <c r="J1556" s="17">
        <v>1356</v>
      </c>
      <c r="K1556" s="17">
        <v>148620</v>
      </c>
      <c r="L1556" s="17">
        <v>32538.735270000001</v>
      </c>
      <c r="M1556" s="17">
        <v>2024</v>
      </c>
      <c r="N1556" s="17" t="s">
        <v>173</v>
      </c>
    </row>
    <row r="1557" spans="1:14" ht="14.25" customHeight="1">
      <c r="A1557" s="17">
        <v>11556</v>
      </c>
      <c r="B1557" s="18">
        <v>45871</v>
      </c>
      <c r="C1557" s="17" t="s">
        <v>45</v>
      </c>
      <c r="D1557" s="17" t="s">
        <v>83</v>
      </c>
      <c r="E1557" s="17" t="s">
        <v>162</v>
      </c>
      <c r="F1557" s="17" t="s">
        <v>166</v>
      </c>
      <c r="G1557" s="17">
        <v>4</v>
      </c>
      <c r="H1557" s="17">
        <v>21892</v>
      </c>
      <c r="I1557" s="17">
        <v>87568</v>
      </c>
      <c r="J1557" s="17">
        <v>1153</v>
      </c>
      <c r="K1557" s="17">
        <v>86415</v>
      </c>
      <c r="L1557" s="17">
        <v>14867.697459999999</v>
      </c>
      <c r="M1557" s="17">
        <v>2025</v>
      </c>
      <c r="N1557" s="17" t="s">
        <v>126</v>
      </c>
    </row>
    <row r="1558" spans="1:14" ht="14.25" customHeight="1">
      <c r="A1558" s="17">
        <v>11557</v>
      </c>
      <c r="B1558" s="18">
        <v>45648</v>
      </c>
      <c r="C1558" s="17" t="s">
        <v>167</v>
      </c>
      <c r="D1558" s="17" t="s">
        <v>170</v>
      </c>
      <c r="E1558" s="17" t="s">
        <v>162</v>
      </c>
      <c r="F1558" s="17" t="s">
        <v>164</v>
      </c>
      <c r="G1558" s="17">
        <v>4</v>
      </c>
      <c r="H1558" s="17">
        <v>53068</v>
      </c>
      <c r="I1558" s="17">
        <v>212272</v>
      </c>
      <c r="J1558" s="17">
        <v>3249</v>
      </c>
      <c r="K1558" s="17">
        <v>209023</v>
      </c>
      <c r="L1558" s="17">
        <v>30475.46211</v>
      </c>
      <c r="M1558" s="17">
        <v>2024</v>
      </c>
      <c r="N1558" s="17" t="s">
        <v>169</v>
      </c>
    </row>
    <row r="1559" spans="1:14" ht="14.25" customHeight="1">
      <c r="A1559" s="17">
        <v>11558</v>
      </c>
      <c r="B1559" s="18">
        <v>45901</v>
      </c>
      <c r="C1559" s="17" t="s">
        <v>50</v>
      </c>
      <c r="D1559" s="17" t="s">
        <v>89</v>
      </c>
      <c r="E1559" s="17" t="s">
        <v>168</v>
      </c>
      <c r="F1559" s="17" t="s">
        <v>166</v>
      </c>
      <c r="G1559" s="17">
        <v>9</v>
      </c>
      <c r="H1559" s="17">
        <v>76726</v>
      </c>
      <c r="I1559" s="17">
        <v>690534</v>
      </c>
      <c r="J1559" s="17">
        <v>2142</v>
      </c>
      <c r="K1559" s="17">
        <v>688392</v>
      </c>
      <c r="L1559" s="17">
        <v>112549.2798</v>
      </c>
      <c r="M1559" s="17">
        <v>2025</v>
      </c>
      <c r="N1559" s="17" t="s">
        <v>129</v>
      </c>
    </row>
    <row r="1560" spans="1:14" ht="14.25" customHeight="1">
      <c r="A1560" s="17">
        <v>11559</v>
      </c>
      <c r="B1560" s="18">
        <v>45558</v>
      </c>
      <c r="C1560" s="17" t="s">
        <v>58</v>
      </c>
      <c r="D1560" s="17" t="s">
        <v>86</v>
      </c>
      <c r="E1560" s="17" t="s">
        <v>165</v>
      </c>
      <c r="F1560" s="17" t="s">
        <v>172</v>
      </c>
      <c r="G1560" s="17">
        <v>6</v>
      </c>
      <c r="H1560" s="17">
        <v>34689</v>
      </c>
      <c r="I1560" s="17">
        <v>208134</v>
      </c>
      <c r="J1560" s="17">
        <v>3388</v>
      </c>
      <c r="K1560" s="17">
        <v>204746</v>
      </c>
      <c r="L1560" s="17">
        <v>21007.930820000001</v>
      </c>
      <c r="M1560" s="17">
        <v>2024</v>
      </c>
      <c r="N1560" s="17" t="s">
        <v>129</v>
      </c>
    </row>
    <row r="1561" spans="1:14" ht="14.25" customHeight="1">
      <c r="A1561" s="17">
        <v>11560</v>
      </c>
      <c r="B1561" s="18">
        <v>45908</v>
      </c>
      <c r="C1561" s="17" t="s">
        <v>45</v>
      </c>
      <c r="D1561" s="17" t="s">
        <v>89</v>
      </c>
      <c r="E1561" s="17" t="s">
        <v>162</v>
      </c>
      <c r="F1561" s="17" t="s">
        <v>172</v>
      </c>
      <c r="G1561" s="17">
        <v>2</v>
      </c>
      <c r="H1561" s="17">
        <v>36604</v>
      </c>
      <c r="I1561" s="17">
        <v>73208</v>
      </c>
      <c r="J1561" s="17">
        <v>1124</v>
      </c>
      <c r="K1561" s="17">
        <v>72084</v>
      </c>
      <c r="L1561" s="17">
        <v>14975.85267</v>
      </c>
      <c r="M1561" s="17">
        <v>2025</v>
      </c>
      <c r="N1561" s="17" t="s">
        <v>129</v>
      </c>
    </row>
    <row r="1562" spans="1:14" ht="14.25" customHeight="1">
      <c r="A1562" s="17">
        <v>11561</v>
      </c>
      <c r="B1562" s="18">
        <v>45614</v>
      </c>
      <c r="C1562" s="17" t="s">
        <v>45</v>
      </c>
      <c r="D1562" s="17" t="s">
        <v>170</v>
      </c>
      <c r="E1562" s="17" t="s">
        <v>165</v>
      </c>
      <c r="F1562" s="17" t="s">
        <v>166</v>
      </c>
      <c r="G1562" s="17">
        <v>7</v>
      </c>
      <c r="H1562" s="17">
        <v>74457</v>
      </c>
      <c r="I1562" s="17">
        <v>521199</v>
      </c>
      <c r="J1562" s="17">
        <v>801</v>
      </c>
      <c r="K1562" s="17">
        <v>520398</v>
      </c>
      <c r="L1562" s="17">
        <v>59818.001940000002</v>
      </c>
      <c r="M1562" s="17">
        <v>2024</v>
      </c>
      <c r="N1562" s="17" t="s">
        <v>173</v>
      </c>
    </row>
    <row r="1563" spans="1:14" ht="14.25" customHeight="1">
      <c r="A1563" s="17">
        <v>11562</v>
      </c>
      <c r="B1563" s="18">
        <v>45926</v>
      </c>
      <c r="C1563" s="17" t="s">
        <v>45</v>
      </c>
      <c r="D1563" s="17" t="s">
        <v>83</v>
      </c>
      <c r="E1563" s="17" t="s">
        <v>168</v>
      </c>
      <c r="F1563" s="17" t="s">
        <v>172</v>
      </c>
      <c r="G1563" s="17">
        <v>3</v>
      </c>
      <c r="H1563" s="17">
        <v>22243</v>
      </c>
      <c r="I1563" s="17">
        <v>66729</v>
      </c>
      <c r="J1563" s="17">
        <v>2042</v>
      </c>
      <c r="K1563" s="17">
        <v>64687</v>
      </c>
      <c r="L1563" s="17">
        <v>11504.947560000001</v>
      </c>
      <c r="M1563" s="17">
        <v>2025</v>
      </c>
      <c r="N1563" s="17" t="s">
        <v>129</v>
      </c>
    </row>
    <row r="1564" spans="1:14" ht="14.25" customHeight="1">
      <c r="A1564" s="17">
        <v>11563</v>
      </c>
      <c r="B1564" s="18">
        <v>45832</v>
      </c>
      <c r="C1564" s="17" t="s">
        <v>167</v>
      </c>
      <c r="D1564" s="17" t="s">
        <v>111</v>
      </c>
      <c r="E1564" s="17" t="s">
        <v>165</v>
      </c>
      <c r="F1564" s="17" t="s">
        <v>163</v>
      </c>
      <c r="G1564" s="17">
        <v>9</v>
      </c>
      <c r="H1564" s="17">
        <v>48787</v>
      </c>
      <c r="I1564" s="17">
        <v>439083</v>
      </c>
      <c r="J1564" s="17">
        <v>207</v>
      </c>
      <c r="K1564" s="17">
        <v>438876</v>
      </c>
      <c r="L1564" s="17">
        <v>81137.972009999998</v>
      </c>
      <c r="M1564" s="17">
        <v>2025</v>
      </c>
      <c r="N1564" s="17" t="s">
        <v>120</v>
      </c>
    </row>
    <row r="1565" spans="1:14" ht="14.25" customHeight="1">
      <c r="A1565" s="17">
        <v>11564</v>
      </c>
      <c r="B1565" s="18">
        <v>45940</v>
      </c>
      <c r="C1565" s="17" t="s">
        <v>39</v>
      </c>
      <c r="D1565" s="17" t="s">
        <v>170</v>
      </c>
      <c r="E1565" s="17" t="s">
        <v>165</v>
      </c>
      <c r="F1565" s="17" t="s">
        <v>172</v>
      </c>
      <c r="G1565" s="17">
        <v>6</v>
      </c>
      <c r="H1565" s="17">
        <v>39315</v>
      </c>
      <c r="I1565" s="17">
        <v>235890</v>
      </c>
      <c r="J1565" s="17">
        <v>2654</v>
      </c>
      <c r="K1565" s="17">
        <v>233236</v>
      </c>
      <c r="L1565" s="17">
        <v>23382.717430000001</v>
      </c>
      <c r="M1565" s="17">
        <v>2025</v>
      </c>
      <c r="N1565" s="17" t="s">
        <v>174</v>
      </c>
    </row>
    <row r="1566" spans="1:14" ht="14.25" customHeight="1">
      <c r="A1566" s="17">
        <v>11565</v>
      </c>
      <c r="B1566" s="18">
        <v>45486</v>
      </c>
      <c r="C1566" s="17" t="s">
        <v>167</v>
      </c>
      <c r="D1566" s="17" t="s">
        <v>83</v>
      </c>
      <c r="E1566" s="17" t="s">
        <v>162</v>
      </c>
      <c r="F1566" s="17" t="s">
        <v>164</v>
      </c>
      <c r="G1566" s="17">
        <v>8</v>
      </c>
      <c r="H1566" s="17">
        <v>37035</v>
      </c>
      <c r="I1566" s="17">
        <v>296280</v>
      </c>
      <c r="J1566" s="17">
        <v>472</v>
      </c>
      <c r="K1566" s="17">
        <v>295808</v>
      </c>
      <c r="L1566" s="17">
        <v>73059.190489999994</v>
      </c>
      <c r="M1566" s="17">
        <v>2024</v>
      </c>
      <c r="N1566" s="17" t="s">
        <v>123</v>
      </c>
    </row>
    <row r="1567" spans="1:14" ht="14.25" customHeight="1">
      <c r="A1567" s="17">
        <v>11566</v>
      </c>
      <c r="B1567" s="18">
        <v>45623</v>
      </c>
      <c r="C1567" s="17" t="s">
        <v>50</v>
      </c>
      <c r="D1567" s="17" t="s">
        <v>170</v>
      </c>
      <c r="E1567" s="17" t="s">
        <v>162</v>
      </c>
      <c r="F1567" s="17" t="s">
        <v>166</v>
      </c>
      <c r="G1567" s="17">
        <v>1</v>
      </c>
      <c r="H1567" s="17">
        <v>39844</v>
      </c>
      <c r="I1567" s="17">
        <v>39844</v>
      </c>
      <c r="J1567" s="17">
        <v>1638</v>
      </c>
      <c r="K1567" s="17">
        <v>38206</v>
      </c>
      <c r="L1567" s="17">
        <v>5552.1286110000001</v>
      </c>
      <c r="M1567" s="17">
        <v>2024</v>
      </c>
      <c r="N1567" s="17" t="s">
        <v>173</v>
      </c>
    </row>
    <row r="1568" spans="1:14" ht="14.25" customHeight="1">
      <c r="A1568" s="17">
        <v>11567</v>
      </c>
      <c r="B1568" s="18">
        <v>45461</v>
      </c>
      <c r="C1568" s="17" t="s">
        <v>39</v>
      </c>
      <c r="D1568" s="17" t="s">
        <v>86</v>
      </c>
      <c r="E1568" s="17" t="s">
        <v>168</v>
      </c>
      <c r="F1568" s="17" t="s">
        <v>166</v>
      </c>
      <c r="G1568" s="17">
        <v>2</v>
      </c>
      <c r="H1568" s="17">
        <v>21820</v>
      </c>
      <c r="I1568" s="17">
        <v>43640</v>
      </c>
      <c r="J1568" s="17">
        <v>135</v>
      </c>
      <c r="K1568" s="17">
        <v>43505</v>
      </c>
      <c r="L1568" s="17">
        <v>4854.446156</v>
      </c>
      <c r="M1568" s="17">
        <v>2024</v>
      </c>
      <c r="N1568" s="17" t="s">
        <v>120</v>
      </c>
    </row>
    <row r="1569" spans="1:14" ht="14.25" customHeight="1">
      <c r="A1569" s="17">
        <v>11568</v>
      </c>
      <c r="B1569" s="18">
        <v>45812</v>
      </c>
      <c r="C1569" s="17" t="s">
        <v>50</v>
      </c>
      <c r="D1569" s="17" t="s">
        <v>89</v>
      </c>
      <c r="E1569" s="17" t="s">
        <v>165</v>
      </c>
      <c r="F1569" s="17" t="s">
        <v>164</v>
      </c>
      <c r="G1569" s="17">
        <v>6</v>
      </c>
      <c r="H1569" s="17">
        <v>51676</v>
      </c>
      <c r="I1569" s="17">
        <v>310056</v>
      </c>
      <c r="J1569" s="17">
        <v>4356</v>
      </c>
      <c r="K1569" s="17">
        <v>305700</v>
      </c>
      <c r="L1569" s="17">
        <v>69747.987340000007</v>
      </c>
      <c r="M1569" s="17">
        <v>2025</v>
      </c>
      <c r="N1569" s="17" t="s">
        <v>120</v>
      </c>
    </row>
    <row r="1570" spans="1:14" ht="14.25" customHeight="1">
      <c r="A1570" s="17">
        <v>11569</v>
      </c>
      <c r="B1570" s="18">
        <v>45754</v>
      </c>
      <c r="C1570" s="17" t="s">
        <v>39</v>
      </c>
      <c r="D1570" s="17" t="s">
        <v>111</v>
      </c>
      <c r="E1570" s="17" t="s">
        <v>168</v>
      </c>
      <c r="F1570" s="17" t="s">
        <v>164</v>
      </c>
      <c r="G1570" s="17">
        <v>3</v>
      </c>
      <c r="H1570" s="17">
        <v>54914</v>
      </c>
      <c r="I1570" s="17">
        <v>164742</v>
      </c>
      <c r="J1570" s="17">
        <v>1170</v>
      </c>
      <c r="K1570" s="17">
        <v>163572</v>
      </c>
      <c r="L1570" s="17">
        <v>20085.4787</v>
      </c>
      <c r="M1570" s="17">
        <v>2025</v>
      </c>
      <c r="N1570" s="17" t="s">
        <v>114</v>
      </c>
    </row>
    <row r="1571" spans="1:14" ht="14.25" customHeight="1">
      <c r="A1571" s="17">
        <v>11570</v>
      </c>
      <c r="B1571" s="18">
        <v>45331</v>
      </c>
      <c r="C1571" s="17" t="s">
        <v>167</v>
      </c>
      <c r="D1571" s="17" t="s">
        <v>83</v>
      </c>
      <c r="E1571" s="17" t="s">
        <v>168</v>
      </c>
      <c r="F1571" s="17" t="s">
        <v>164</v>
      </c>
      <c r="G1571" s="17">
        <v>1</v>
      </c>
      <c r="H1571" s="17">
        <v>5735</v>
      </c>
      <c r="I1571" s="17">
        <v>5735</v>
      </c>
      <c r="J1571" s="17">
        <v>457</v>
      </c>
      <c r="K1571" s="17">
        <v>5278</v>
      </c>
      <c r="L1571" s="17">
        <v>547.55698129999996</v>
      </c>
      <c r="M1571" s="17">
        <v>2024</v>
      </c>
      <c r="N1571" s="17" t="s">
        <v>175</v>
      </c>
    </row>
    <row r="1572" spans="1:14" ht="14.25" customHeight="1">
      <c r="A1572" s="17">
        <v>11571</v>
      </c>
      <c r="B1572" s="18">
        <v>45828</v>
      </c>
      <c r="C1572" s="17" t="s">
        <v>45</v>
      </c>
      <c r="D1572" s="17" t="s">
        <v>111</v>
      </c>
      <c r="E1572" s="17" t="s">
        <v>168</v>
      </c>
      <c r="F1572" s="17" t="s">
        <v>164</v>
      </c>
      <c r="G1572" s="17">
        <v>6</v>
      </c>
      <c r="H1572" s="17">
        <v>77750</v>
      </c>
      <c r="I1572" s="17">
        <v>466500</v>
      </c>
      <c r="J1572" s="17">
        <v>1436</v>
      </c>
      <c r="K1572" s="17">
        <v>465064</v>
      </c>
      <c r="L1572" s="17">
        <v>81015.823929999999</v>
      </c>
      <c r="M1572" s="17">
        <v>2025</v>
      </c>
      <c r="N1572" s="17" t="s">
        <v>120</v>
      </c>
    </row>
    <row r="1573" spans="1:14" ht="14.25" customHeight="1">
      <c r="A1573" s="17">
        <v>11572</v>
      </c>
      <c r="B1573" s="18">
        <v>45552</v>
      </c>
      <c r="C1573" s="17" t="s">
        <v>58</v>
      </c>
      <c r="D1573" s="17" t="s">
        <v>111</v>
      </c>
      <c r="E1573" s="17" t="s">
        <v>162</v>
      </c>
      <c r="F1573" s="17" t="s">
        <v>163</v>
      </c>
      <c r="G1573" s="17">
        <v>5</v>
      </c>
      <c r="H1573" s="17">
        <v>28968</v>
      </c>
      <c r="I1573" s="17">
        <v>144840</v>
      </c>
      <c r="J1573" s="17">
        <v>3571</v>
      </c>
      <c r="K1573" s="17">
        <v>141269</v>
      </c>
      <c r="L1573" s="17">
        <v>16879.886399999999</v>
      </c>
      <c r="M1573" s="17">
        <v>2024</v>
      </c>
      <c r="N1573" s="17" t="s">
        <v>129</v>
      </c>
    </row>
    <row r="1574" spans="1:14" ht="14.25" customHeight="1">
      <c r="A1574" s="17">
        <v>11573</v>
      </c>
      <c r="B1574" s="18">
        <v>45686</v>
      </c>
      <c r="C1574" s="17" t="s">
        <v>45</v>
      </c>
      <c r="D1574" s="17" t="s">
        <v>111</v>
      </c>
      <c r="E1574" s="17" t="s">
        <v>162</v>
      </c>
      <c r="F1574" s="17" t="s">
        <v>172</v>
      </c>
      <c r="G1574" s="17">
        <v>9</v>
      </c>
      <c r="H1574" s="17">
        <v>49624</v>
      </c>
      <c r="I1574" s="17">
        <v>446616</v>
      </c>
      <c r="J1574" s="17">
        <v>2148</v>
      </c>
      <c r="K1574" s="17">
        <v>444468</v>
      </c>
      <c r="L1574" s="17">
        <v>109945.14230000001</v>
      </c>
      <c r="M1574" s="17">
        <v>2025</v>
      </c>
      <c r="N1574" s="17" t="s">
        <v>171</v>
      </c>
    </row>
    <row r="1575" spans="1:14" ht="14.25" customHeight="1">
      <c r="A1575" s="17">
        <v>11574</v>
      </c>
      <c r="B1575" s="18">
        <v>45517</v>
      </c>
      <c r="C1575" s="17" t="s">
        <v>167</v>
      </c>
      <c r="D1575" s="17" t="s">
        <v>83</v>
      </c>
      <c r="E1575" s="17" t="s">
        <v>165</v>
      </c>
      <c r="F1575" s="17" t="s">
        <v>172</v>
      </c>
      <c r="G1575" s="17">
        <v>6</v>
      </c>
      <c r="H1575" s="17">
        <v>60746</v>
      </c>
      <c r="I1575" s="17">
        <v>364476</v>
      </c>
      <c r="J1575" s="17">
        <v>4242</v>
      </c>
      <c r="K1575" s="17">
        <v>360234</v>
      </c>
      <c r="L1575" s="17">
        <v>36585.958700000003</v>
      </c>
      <c r="M1575" s="17">
        <v>2024</v>
      </c>
      <c r="N1575" s="17" t="s">
        <v>126</v>
      </c>
    </row>
    <row r="1576" spans="1:14" ht="14.25" customHeight="1">
      <c r="A1576" s="17">
        <v>11575</v>
      </c>
      <c r="B1576" s="18">
        <v>45415</v>
      </c>
      <c r="C1576" s="17" t="s">
        <v>39</v>
      </c>
      <c r="D1576" s="17" t="s">
        <v>83</v>
      </c>
      <c r="E1576" s="17" t="s">
        <v>165</v>
      </c>
      <c r="F1576" s="17" t="s">
        <v>163</v>
      </c>
      <c r="G1576" s="17">
        <v>5</v>
      </c>
      <c r="H1576" s="17">
        <v>75264</v>
      </c>
      <c r="I1576" s="17">
        <v>376320</v>
      </c>
      <c r="J1576" s="17">
        <v>4812</v>
      </c>
      <c r="K1576" s="17">
        <v>371508</v>
      </c>
      <c r="L1576" s="17">
        <v>40003.833440000002</v>
      </c>
      <c r="M1576" s="17">
        <v>2024</v>
      </c>
      <c r="N1576" s="17" t="s">
        <v>117</v>
      </c>
    </row>
    <row r="1577" spans="1:14" ht="14.25" customHeight="1">
      <c r="A1577" s="17">
        <v>11576</v>
      </c>
      <c r="B1577" s="18">
        <v>45329</v>
      </c>
      <c r="C1577" s="17" t="s">
        <v>45</v>
      </c>
      <c r="D1577" s="17" t="s">
        <v>111</v>
      </c>
      <c r="E1577" s="17" t="s">
        <v>165</v>
      </c>
      <c r="F1577" s="17" t="s">
        <v>164</v>
      </c>
      <c r="G1577" s="17">
        <v>1</v>
      </c>
      <c r="H1577" s="17">
        <v>41497</v>
      </c>
      <c r="I1577" s="17">
        <v>41497</v>
      </c>
      <c r="J1577" s="17">
        <v>506</v>
      </c>
      <c r="K1577" s="17">
        <v>40991</v>
      </c>
      <c r="L1577" s="17">
        <v>9222.6714599999996</v>
      </c>
      <c r="M1577" s="17">
        <v>2024</v>
      </c>
      <c r="N1577" s="17" t="s">
        <v>175</v>
      </c>
    </row>
    <row r="1578" spans="1:14" ht="14.25" customHeight="1">
      <c r="A1578" s="17">
        <v>11577</v>
      </c>
      <c r="B1578" s="18">
        <v>45619</v>
      </c>
      <c r="C1578" s="17" t="s">
        <v>167</v>
      </c>
      <c r="D1578" s="17" t="s">
        <v>89</v>
      </c>
      <c r="E1578" s="17" t="s">
        <v>162</v>
      </c>
      <c r="F1578" s="17" t="s">
        <v>166</v>
      </c>
      <c r="G1578" s="17">
        <v>1</v>
      </c>
      <c r="H1578" s="17">
        <v>12241</v>
      </c>
      <c r="I1578" s="17">
        <v>12241</v>
      </c>
      <c r="J1578" s="17">
        <v>2605</v>
      </c>
      <c r="K1578" s="17">
        <v>9636</v>
      </c>
      <c r="L1578" s="17">
        <v>1310.137101</v>
      </c>
      <c r="M1578" s="17">
        <v>2024</v>
      </c>
      <c r="N1578" s="17" t="s">
        <v>173</v>
      </c>
    </row>
    <row r="1579" spans="1:14" ht="14.25" customHeight="1">
      <c r="A1579" s="17">
        <v>11578</v>
      </c>
      <c r="B1579" s="18">
        <v>45542</v>
      </c>
      <c r="C1579" s="17" t="s">
        <v>50</v>
      </c>
      <c r="D1579" s="17" t="s">
        <v>170</v>
      </c>
      <c r="E1579" s="17" t="s">
        <v>162</v>
      </c>
      <c r="F1579" s="17" t="s">
        <v>166</v>
      </c>
      <c r="G1579" s="17">
        <v>1</v>
      </c>
      <c r="H1579" s="17">
        <v>66639</v>
      </c>
      <c r="I1579" s="17">
        <v>66639</v>
      </c>
      <c r="J1579" s="17">
        <v>2383</v>
      </c>
      <c r="K1579" s="17">
        <v>64256</v>
      </c>
      <c r="L1579" s="17">
        <v>15211.934149999999</v>
      </c>
      <c r="M1579" s="17">
        <v>2024</v>
      </c>
      <c r="N1579" s="17" t="s">
        <v>129</v>
      </c>
    </row>
    <row r="1580" spans="1:14" ht="14.25" customHeight="1">
      <c r="A1580" s="17">
        <v>11579</v>
      </c>
      <c r="B1580" s="18">
        <v>45467</v>
      </c>
      <c r="C1580" s="17" t="s">
        <v>58</v>
      </c>
      <c r="D1580" s="17" t="s">
        <v>111</v>
      </c>
      <c r="E1580" s="17" t="s">
        <v>168</v>
      </c>
      <c r="F1580" s="17" t="s">
        <v>166</v>
      </c>
      <c r="G1580" s="17">
        <v>7</v>
      </c>
      <c r="H1580" s="17">
        <v>22057</v>
      </c>
      <c r="I1580" s="17">
        <v>154399</v>
      </c>
      <c r="J1580" s="17">
        <v>445</v>
      </c>
      <c r="K1580" s="17">
        <v>153954</v>
      </c>
      <c r="L1580" s="17">
        <v>22580.519090000002</v>
      </c>
      <c r="M1580" s="17">
        <v>2024</v>
      </c>
      <c r="N1580" s="17" t="s">
        <v>120</v>
      </c>
    </row>
    <row r="1581" spans="1:14" ht="14.25" customHeight="1">
      <c r="A1581" s="17">
        <v>11580</v>
      </c>
      <c r="B1581" s="18">
        <v>45893</v>
      </c>
      <c r="C1581" s="17" t="s">
        <v>45</v>
      </c>
      <c r="D1581" s="17" t="s">
        <v>86</v>
      </c>
      <c r="E1581" s="17" t="s">
        <v>162</v>
      </c>
      <c r="F1581" s="17" t="s">
        <v>164</v>
      </c>
      <c r="G1581" s="17">
        <v>6</v>
      </c>
      <c r="H1581" s="17">
        <v>54700</v>
      </c>
      <c r="I1581" s="17">
        <v>328200</v>
      </c>
      <c r="J1581" s="17">
        <v>2781</v>
      </c>
      <c r="K1581" s="17">
        <v>325419</v>
      </c>
      <c r="L1581" s="17">
        <v>35948.190089999996</v>
      </c>
      <c r="M1581" s="17">
        <v>2025</v>
      </c>
      <c r="N1581" s="17" t="s">
        <v>126</v>
      </c>
    </row>
    <row r="1582" spans="1:14" ht="14.25" customHeight="1">
      <c r="A1582" s="17">
        <v>11581</v>
      </c>
      <c r="B1582" s="18">
        <v>45745</v>
      </c>
      <c r="C1582" s="17" t="s">
        <v>39</v>
      </c>
      <c r="D1582" s="17" t="s">
        <v>111</v>
      </c>
      <c r="E1582" s="17" t="s">
        <v>168</v>
      </c>
      <c r="F1582" s="17" t="s">
        <v>163</v>
      </c>
      <c r="G1582" s="17">
        <v>5</v>
      </c>
      <c r="H1582" s="17">
        <v>19432</v>
      </c>
      <c r="I1582" s="17">
        <v>97160</v>
      </c>
      <c r="J1582" s="17">
        <v>443</v>
      </c>
      <c r="K1582" s="17">
        <v>96717</v>
      </c>
      <c r="L1582" s="17">
        <v>9825.3610540000009</v>
      </c>
      <c r="M1582" s="17">
        <v>2025</v>
      </c>
      <c r="N1582" s="17" t="s">
        <v>112</v>
      </c>
    </row>
    <row r="1583" spans="1:14" ht="14.25" customHeight="1">
      <c r="A1583" s="17">
        <v>11582</v>
      </c>
      <c r="B1583" s="18">
        <v>45328</v>
      </c>
      <c r="C1583" s="17" t="s">
        <v>50</v>
      </c>
      <c r="D1583" s="17" t="s">
        <v>83</v>
      </c>
      <c r="E1583" s="17" t="s">
        <v>168</v>
      </c>
      <c r="F1583" s="17" t="s">
        <v>163</v>
      </c>
      <c r="G1583" s="17">
        <v>4</v>
      </c>
      <c r="H1583" s="17">
        <v>66488</v>
      </c>
      <c r="I1583" s="17">
        <v>265952</v>
      </c>
      <c r="J1583" s="17">
        <v>117</v>
      </c>
      <c r="K1583" s="17">
        <v>265835</v>
      </c>
      <c r="L1583" s="17">
        <v>37850.94081</v>
      </c>
      <c r="M1583" s="17">
        <v>2024</v>
      </c>
      <c r="N1583" s="17" t="s">
        <v>175</v>
      </c>
    </row>
    <row r="1584" spans="1:14" ht="14.25" customHeight="1">
      <c r="A1584" s="17">
        <v>11583</v>
      </c>
      <c r="B1584" s="18">
        <v>45607</v>
      </c>
      <c r="C1584" s="17" t="s">
        <v>167</v>
      </c>
      <c r="D1584" s="17" t="s">
        <v>170</v>
      </c>
      <c r="E1584" s="17" t="s">
        <v>162</v>
      </c>
      <c r="F1584" s="17" t="s">
        <v>163</v>
      </c>
      <c r="G1584" s="17">
        <v>8</v>
      </c>
      <c r="H1584" s="17">
        <v>23953</v>
      </c>
      <c r="I1584" s="17">
        <v>191624</v>
      </c>
      <c r="J1584" s="17">
        <v>1540</v>
      </c>
      <c r="K1584" s="17">
        <v>190084</v>
      </c>
      <c r="L1584" s="17">
        <v>32515.690409999999</v>
      </c>
      <c r="M1584" s="17">
        <v>2024</v>
      </c>
      <c r="N1584" s="17" t="s">
        <v>173</v>
      </c>
    </row>
    <row r="1585" spans="1:14" ht="14.25" customHeight="1">
      <c r="A1585" s="17">
        <v>11584</v>
      </c>
      <c r="B1585" s="18">
        <v>45979</v>
      </c>
      <c r="C1585" s="17" t="s">
        <v>58</v>
      </c>
      <c r="D1585" s="17" t="s">
        <v>86</v>
      </c>
      <c r="E1585" s="17" t="s">
        <v>168</v>
      </c>
      <c r="F1585" s="17" t="s">
        <v>172</v>
      </c>
      <c r="G1585" s="17">
        <v>8</v>
      </c>
      <c r="H1585" s="17">
        <v>77232</v>
      </c>
      <c r="I1585" s="17">
        <v>617856</v>
      </c>
      <c r="J1585" s="17">
        <v>2770</v>
      </c>
      <c r="K1585" s="17">
        <v>615086</v>
      </c>
      <c r="L1585" s="17">
        <v>61602.349340000001</v>
      </c>
      <c r="M1585" s="17">
        <v>2025</v>
      </c>
      <c r="N1585" s="17" t="s">
        <v>173</v>
      </c>
    </row>
    <row r="1586" spans="1:14" ht="14.25" customHeight="1">
      <c r="A1586" s="17">
        <v>11585</v>
      </c>
      <c r="B1586" s="18">
        <v>45884</v>
      </c>
      <c r="C1586" s="17" t="s">
        <v>39</v>
      </c>
      <c r="D1586" s="17" t="s">
        <v>170</v>
      </c>
      <c r="E1586" s="17" t="s">
        <v>168</v>
      </c>
      <c r="F1586" s="17" t="s">
        <v>172</v>
      </c>
      <c r="G1586" s="17">
        <v>5</v>
      </c>
      <c r="H1586" s="17">
        <v>34347</v>
      </c>
      <c r="I1586" s="17">
        <v>171735</v>
      </c>
      <c r="J1586" s="17">
        <v>566</v>
      </c>
      <c r="K1586" s="17">
        <v>171169</v>
      </c>
      <c r="L1586" s="17">
        <v>32037.03081</v>
      </c>
      <c r="M1586" s="17">
        <v>2025</v>
      </c>
      <c r="N1586" s="17" t="s">
        <v>126</v>
      </c>
    </row>
    <row r="1587" spans="1:14" ht="14.25" customHeight="1">
      <c r="A1587" s="17">
        <v>11586</v>
      </c>
      <c r="B1587" s="18">
        <v>45405</v>
      </c>
      <c r="C1587" s="17" t="s">
        <v>167</v>
      </c>
      <c r="D1587" s="17" t="s">
        <v>170</v>
      </c>
      <c r="E1587" s="17" t="s">
        <v>165</v>
      </c>
      <c r="F1587" s="17" t="s">
        <v>172</v>
      </c>
      <c r="G1587" s="17">
        <v>4</v>
      </c>
      <c r="H1587" s="17">
        <v>26249</v>
      </c>
      <c r="I1587" s="17">
        <v>104996</v>
      </c>
      <c r="J1587" s="17">
        <v>3602</v>
      </c>
      <c r="K1587" s="17">
        <v>101394</v>
      </c>
      <c r="L1587" s="17">
        <v>15214.09201</v>
      </c>
      <c r="M1587" s="17">
        <v>2024</v>
      </c>
      <c r="N1587" s="17" t="s">
        <v>114</v>
      </c>
    </row>
    <row r="1588" spans="1:14" ht="14.25" customHeight="1">
      <c r="A1588" s="17">
        <v>11587</v>
      </c>
      <c r="B1588" s="18">
        <v>45331</v>
      </c>
      <c r="C1588" s="17" t="s">
        <v>167</v>
      </c>
      <c r="D1588" s="17" t="s">
        <v>86</v>
      </c>
      <c r="E1588" s="17" t="s">
        <v>168</v>
      </c>
      <c r="F1588" s="17" t="s">
        <v>172</v>
      </c>
      <c r="G1588" s="17">
        <v>2</v>
      </c>
      <c r="H1588" s="17">
        <v>58458</v>
      </c>
      <c r="I1588" s="17">
        <v>116916</v>
      </c>
      <c r="J1588" s="17">
        <v>1936</v>
      </c>
      <c r="K1588" s="17">
        <v>114980</v>
      </c>
      <c r="L1588" s="17">
        <v>18226.977920000001</v>
      </c>
      <c r="M1588" s="17">
        <v>2024</v>
      </c>
      <c r="N1588" s="17" t="s">
        <v>175</v>
      </c>
    </row>
    <row r="1589" spans="1:14" ht="14.25" customHeight="1">
      <c r="A1589" s="17">
        <v>11588</v>
      </c>
      <c r="B1589" s="18">
        <v>45592</v>
      </c>
      <c r="C1589" s="17" t="s">
        <v>45</v>
      </c>
      <c r="D1589" s="17" t="s">
        <v>111</v>
      </c>
      <c r="E1589" s="17" t="s">
        <v>162</v>
      </c>
      <c r="F1589" s="17" t="s">
        <v>166</v>
      </c>
      <c r="G1589" s="17">
        <v>7</v>
      </c>
      <c r="H1589" s="17">
        <v>52668</v>
      </c>
      <c r="I1589" s="17">
        <v>368676</v>
      </c>
      <c r="J1589" s="17">
        <v>4183</v>
      </c>
      <c r="K1589" s="17">
        <v>364493</v>
      </c>
      <c r="L1589" s="17">
        <v>50741.669110000003</v>
      </c>
      <c r="M1589" s="17">
        <v>2024</v>
      </c>
      <c r="N1589" s="17" t="s">
        <v>174</v>
      </c>
    </row>
    <row r="1590" spans="1:14" ht="14.25" customHeight="1">
      <c r="A1590" s="17">
        <v>11589</v>
      </c>
      <c r="B1590" s="18">
        <v>45515</v>
      </c>
      <c r="C1590" s="17" t="s">
        <v>45</v>
      </c>
      <c r="D1590" s="17" t="s">
        <v>111</v>
      </c>
      <c r="E1590" s="17" t="s">
        <v>162</v>
      </c>
      <c r="F1590" s="17" t="s">
        <v>166</v>
      </c>
      <c r="G1590" s="17">
        <v>5</v>
      </c>
      <c r="H1590" s="17">
        <v>7802</v>
      </c>
      <c r="I1590" s="17">
        <v>39010</v>
      </c>
      <c r="J1590" s="17">
        <v>1652</v>
      </c>
      <c r="K1590" s="17">
        <v>37358</v>
      </c>
      <c r="L1590" s="17">
        <v>6700.4106179999999</v>
      </c>
      <c r="M1590" s="17">
        <v>2024</v>
      </c>
      <c r="N1590" s="17" t="s">
        <v>126</v>
      </c>
    </row>
    <row r="1591" spans="1:14" ht="14.25" customHeight="1">
      <c r="A1591" s="17">
        <v>11590</v>
      </c>
      <c r="B1591" s="18">
        <v>45609</v>
      </c>
      <c r="C1591" s="17" t="s">
        <v>39</v>
      </c>
      <c r="D1591" s="17" t="s">
        <v>111</v>
      </c>
      <c r="E1591" s="17" t="s">
        <v>168</v>
      </c>
      <c r="F1591" s="17" t="s">
        <v>163</v>
      </c>
      <c r="G1591" s="17">
        <v>3</v>
      </c>
      <c r="H1591" s="17">
        <v>23033</v>
      </c>
      <c r="I1591" s="17">
        <v>69099</v>
      </c>
      <c r="J1591" s="17">
        <v>4571</v>
      </c>
      <c r="K1591" s="17">
        <v>64528</v>
      </c>
      <c r="L1591" s="17">
        <v>8680.2028829999999</v>
      </c>
      <c r="M1591" s="17">
        <v>2024</v>
      </c>
      <c r="N1591" s="17" t="s">
        <v>173</v>
      </c>
    </row>
    <row r="1592" spans="1:14" ht="14.25" customHeight="1">
      <c r="A1592" s="17">
        <v>11591</v>
      </c>
      <c r="B1592" s="18">
        <v>45640</v>
      </c>
      <c r="C1592" s="17" t="s">
        <v>167</v>
      </c>
      <c r="D1592" s="17" t="s">
        <v>89</v>
      </c>
      <c r="E1592" s="17" t="s">
        <v>165</v>
      </c>
      <c r="F1592" s="17" t="s">
        <v>172</v>
      </c>
      <c r="G1592" s="17">
        <v>9</v>
      </c>
      <c r="H1592" s="17">
        <v>40088</v>
      </c>
      <c r="I1592" s="17">
        <v>360792</v>
      </c>
      <c r="J1592" s="17">
        <v>4390</v>
      </c>
      <c r="K1592" s="17">
        <v>356402</v>
      </c>
      <c r="L1592" s="17">
        <v>42847.829169999997</v>
      </c>
      <c r="M1592" s="17">
        <v>2024</v>
      </c>
      <c r="N1592" s="17" t="s">
        <v>169</v>
      </c>
    </row>
    <row r="1593" spans="1:14" ht="14.25" customHeight="1">
      <c r="A1593" s="17">
        <v>11592</v>
      </c>
      <c r="B1593" s="18">
        <v>45406</v>
      </c>
      <c r="C1593" s="17" t="s">
        <v>45</v>
      </c>
      <c r="D1593" s="17" t="s">
        <v>111</v>
      </c>
      <c r="E1593" s="17" t="s">
        <v>162</v>
      </c>
      <c r="F1593" s="17" t="s">
        <v>163</v>
      </c>
      <c r="G1593" s="17">
        <v>9</v>
      </c>
      <c r="H1593" s="17">
        <v>22527</v>
      </c>
      <c r="I1593" s="17">
        <v>202743</v>
      </c>
      <c r="J1593" s="17">
        <v>4815</v>
      </c>
      <c r="K1593" s="17">
        <v>197928</v>
      </c>
      <c r="L1593" s="17">
        <v>46235.39935</v>
      </c>
      <c r="M1593" s="17">
        <v>2024</v>
      </c>
      <c r="N1593" s="17" t="s">
        <v>114</v>
      </c>
    </row>
    <row r="1594" spans="1:14" ht="14.25" customHeight="1">
      <c r="A1594" s="17">
        <v>11593</v>
      </c>
      <c r="B1594" s="18">
        <v>45989</v>
      </c>
      <c r="C1594" s="17" t="s">
        <v>58</v>
      </c>
      <c r="D1594" s="17" t="s">
        <v>86</v>
      </c>
      <c r="E1594" s="17" t="s">
        <v>162</v>
      </c>
      <c r="F1594" s="17" t="s">
        <v>164</v>
      </c>
      <c r="G1594" s="17">
        <v>8</v>
      </c>
      <c r="H1594" s="17">
        <v>16964</v>
      </c>
      <c r="I1594" s="17">
        <v>135712</v>
      </c>
      <c r="J1594" s="17">
        <v>4781</v>
      </c>
      <c r="K1594" s="17">
        <v>130931</v>
      </c>
      <c r="L1594" s="17">
        <v>20763.463169999999</v>
      </c>
      <c r="M1594" s="17">
        <v>2025</v>
      </c>
      <c r="N1594" s="17" t="s">
        <v>173</v>
      </c>
    </row>
    <row r="1595" spans="1:14" ht="14.25" customHeight="1">
      <c r="A1595" s="17">
        <v>11594</v>
      </c>
      <c r="B1595" s="18">
        <v>45614</v>
      </c>
      <c r="C1595" s="17" t="s">
        <v>58</v>
      </c>
      <c r="D1595" s="17" t="s">
        <v>89</v>
      </c>
      <c r="E1595" s="17" t="s">
        <v>165</v>
      </c>
      <c r="F1595" s="17" t="s">
        <v>172</v>
      </c>
      <c r="G1595" s="17">
        <v>1</v>
      </c>
      <c r="H1595" s="17">
        <v>46005</v>
      </c>
      <c r="I1595" s="17">
        <v>46005</v>
      </c>
      <c r="J1595" s="17">
        <v>2686</v>
      </c>
      <c r="K1595" s="17">
        <v>43319</v>
      </c>
      <c r="L1595" s="17">
        <v>4831.781876</v>
      </c>
      <c r="M1595" s="17">
        <v>2024</v>
      </c>
      <c r="N1595" s="17" t="s">
        <v>173</v>
      </c>
    </row>
    <row r="1596" spans="1:14" ht="14.25" customHeight="1">
      <c r="A1596" s="17">
        <v>11595</v>
      </c>
      <c r="B1596" s="18">
        <v>45859</v>
      </c>
      <c r="C1596" s="17" t="s">
        <v>167</v>
      </c>
      <c r="D1596" s="17" t="s">
        <v>111</v>
      </c>
      <c r="E1596" s="17" t="s">
        <v>168</v>
      </c>
      <c r="F1596" s="17" t="s">
        <v>172</v>
      </c>
      <c r="G1596" s="17">
        <v>3</v>
      </c>
      <c r="H1596" s="17">
        <v>9406</v>
      </c>
      <c r="I1596" s="17">
        <v>28218</v>
      </c>
      <c r="J1596" s="17">
        <v>1203</v>
      </c>
      <c r="K1596" s="17">
        <v>27015</v>
      </c>
      <c r="L1596" s="17">
        <v>3634.825382</v>
      </c>
      <c r="M1596" s="17">
        <v>2025</v>
      </c>
      <c r="N1596" s="17" t="s">
        <v>123</v>
      </c>
    </row>
    <row r="1597" spans="1:14" ht="14.25" customHeight="1">
      <c r="A1597" s="17">
        <v>11596</v>
      </c>
      <c r="B1597" s="18">
        <v>45331</v>
      </c>
      <c r="C1597" s="17" t="s">
        <v>45</v>
      </c>
      <c r="D1597" s="17" t="s">
        <v>89</v>
      </c>
      <c r="E1597" s="17" t="s">
        <v>162</v>
      </c>
      <c r="F1597" s="17" t="s">
        <v>163</v>
      </c>
      <c r="G1597" s="17">
        <v>2</v>
      </c>
      <c r="H1597" s="17">
        <v>56761</v>
      </c>
      <c r="I1597" s="17">
        <v>113522</v>
      </c>
      <c r="J1597" s="17">
        <v>2937</v>
      </c>
      <c r="K1597" s="17">
        <v>110585</v>
      </c>
      <c r="L1597" s="17">
        <v>16199.75614</v>
      </c>
      <c r="M1597" s="17">
        <v>2024</v>
      </c>
      <c r="N1597" s="17" t="s">
        <v>175</v>
      </c>
    </row>
    <row r="1598" spans="1:14" ht="14.25" customHeight="1">
      <c r="A1598" s="17">
        <v>11597</v>
      </c>
      <c r="B1598" s="18">
        <v>45331</v>
      </c>
      <c r="C1598" s="17" t="s">
        <v>39</v>
      </c>
      <c r="D1598" s="17" t="s">
        <v>86</v>
      </c>
      <c r="E1598" s="17" t="s">
        <v>168</v>
      </c>
      <c r="F1598" s="17" t="s">
        <v>163</v>
      </c>
      <c r="G1598" s="17">
        <v>4</v>
      </c>
      <c r="H1598" s="17">
        <v>67347</v>
      </c>
      <c r="I1598" s="17">
        <v>269388</v>
      </c>
      <c r="J1598" s="17">
        <v>405</v>
      </c>
      <c r="K1598" s="17">
        <v>268983</v>
      </c>
      <c r="L1598" s="17">
        <v>57951.565979999999</v>
      </c>
      <c r="M1598" s="17">
        <v>2024</v>
      </c>
      <c r="N1598" s="17" t="s">
        <v>175</v>
      </c>
    </row>
    <row r="1599" spans="1:14" ht="14.25" customHeight="1">
      <c r="A1599" s="17">
        <v>11598</v>
      </c>
      <c r="B1599" s="18">
        <v>45580</v>
      </c>
      <c r="C1599" s="17" t="s">
        <v>39</v>
      </c>
      <c r="D1599" s="17" t="s">
        <v>111</v>
      </c>
      <c r="E1599" s="17" t="s">
        <v>168</v>
      </c>
      <c r="F1599" s="17" t="s">
        <v>164</v>
      </c>
      <c r="G1599" s="17">
        <v>2</v>
      </c>
      <c r="H1599" s="17">
        <v>78127</v>
      </c>
      <c r="I1599" s="17">
        <v>156254</v>
      </c>
      <c r="J1599" s="17">
        <v>3907</v>
      </c>
      <c r="K1599" s="17">
        <v>152347</v>
      </c>
      <c r="L1599" s="17">
        <v>15743.283670000001</v>
      </c>
      <c r="M1599" s="17">
        <v>2024</v>
      </c>
      <c r="N1599" s="17" t="s">
        <v>174</v>
      </c>
    </row>
    <row r="1600" spans="1:14" ht="14.25" customHeight="1">
      <c r="A1600" s="17">
        <v>11599</v>
      </c>
      <c r="B1600" s="18">
        <v>45553</v>
      </c>
      <c r="C1600" s="17" t="s">
        <v>39</v>
      </c>
      <c r="D1600" s="17" t="s">
        <v>83</v>
      </c>
      <c r="E1600" s="17" t="s">
        <v>168</v>
      </c>
      <c r="F1600" s="17" t="s">
        <v>163</v>
      </c>
      <c r="G1600" s="17">
        <v>8</v>
      </c>
      <c r="H1600" s="17">
        <v>8119</v>
      </c>
      <c r="I1600" s="17">
        <v>64952</v>
      </c>
      <c r="J1600" s="17">
        <v>4214</v>
      </c>
      <c r="K1600" s="17">
        <v>60738</v>
      </c>
      <c r="L1600" s="17">
        <v>10430.98761</v>
      </c>
      <c r="M1600" s="17">
        <v>2024</v>
      </c>
      <c r="N1600" s="17" t="s">
        <v>129</v>
      </c>
    </row>
    <row r="1601" spans="1:14" ht="14.25" customHeight="1">
      <c r="A1601" s="17">
        <v>11600</v>
      </c>
      <c r="B1601" s="18">
        <v>45507</v>
      </c>
      <c r="C1601" s="17" t="s">
        <v>58</v>
      </c>
      <c r="D1601" s="17" t="s">
        <v>86</v>
      </c>
      <c r="E1601" s="17" t="s">
        <v>168</v>
      </c>
      <c r="F1601" s="17" t="s">
        <v>172</v>
      </c>
      <c r="G1601" s="17">
        <v>1</v>
      </c>
      <c r="H1601" s="17">
        <v>63935</v>
      </c>
      <c r="I1601" s="17">
        <v>63935</v>
      </c>
      <c r="J1601" s="17">
        <v>4079</v>
      </c>
      <c r="K1601" s="17">
        <v>59856</v>
      </c>
      <c r="L1601" s="17">
        <v>9646.0262110000003</v>
      </c>
      <c r="M1601" s="17">
        <v>2024</v>
      </c>
      <c r="N1601" s="17" t="s">
        <v>126</v>
      </c>
    </row>
    <row r="1602" spans="1:14" ht="14.25" customHeight="1">
      <c r="A1602" s="17">
        <v>11601</v>
      </c>
      <c r="B1602" s="18">
        <v>45438</v>
      </c>
      <c r="C1602" s="17" t="s">
        <v>45</v>
      </c>
      <c r="D1602" s="17" t="s">
        <v>170</v>
      </c>
      <c r="E1602" s="17" t="s">
        <v>162</v>
      </c>
      <c r="F1602" s="17" t="s">
        <v>166</v>
      </c>
      <c r="G1602" s="17">
        <v>4</v>
      </c>
      <c r="H1602" s="17">
        <v>63327</v>
      </c>
      <c r="I1602" s="17">
        <v>253308</v>
      </c>
      <c r="J1602" s="17">
        <v>312</v>
      </c>
      <c r="K1602" s="17">
        <v>252996</v>
      </c>
      <c r="L1602" s="17">
        <v>62049.814200000001</v>
      </c>
      <c r="M1602" s="17">
        <v>2024</v>
      </c>
      <c r="N1602" s="17" t="s">
        <v>117</v>
      </c>
    </row>
    <row r="1603" spans="1:14" ht="14.25" customHeight="1">
      <c r="A1603" s="17">
        <v>11602</v>
      </c>
      <c r="B1603" s="18">
        <v>45627</v>
      </c>
      <c r="C1603" s="17" t="s">
        <v>45</v>
      </c>
      <c r="D1603" s="17" t="s">
        <v>170</v>
      </c>
      <c r="E1603" s="17" t="s">
        <v>165</v>
      </c>
      <c r="F1603" s="17" t="s">
        <v>164</v>
      </c>
      <c r="G1603" s="17">
        <v>5</v>
      </c>
      <c r="H1603" s="17">
        <v>57749</v>
      </c>
      <c r="I1603" s="17">
        <v>288745</v>
      </c>
      <c r="J1603" s="17">
        <v>162</v>
      </c>
      <c r="K1603" s="17">
        <v>288583</v>
      </c>
      <c r="L1603" s="17">
        <v>36653.288090000002</v>
      </c>
      <c r="M1603" s="17">
        <v>2024</v>
      </c>
      <c r="N1603" s="17" t="s">
        <v>169</v>
      </c>
    </row>
    <row r="1604" spans="1:14" ht="14.25" customHeight="1">
      <c r="A1604" s="17">
        <v>11603</v>
      </c>
      <c r="B1604" s="18">
        <v>45459</v>
      </c>
      <c r="C1604" s="17" t="s">
        <v>58</v>
      </c>
      <c r="D1604" s="17" t="s">
        <v>86</v>
      </c>
      <c r="E1604" s="17" t="s">
        <v>162</v>
      </c>
      <c r="F1604" s="17" t="s">
        <v>164</v>
      </c>
      <c r="G1604" s="17">
        <v>4</v>
      </c>
      <c r="H1604" s="17">
        <v>64094</v>
      </c>
      <c r="I1604" s="17">
        <v>256376</v>
      </c>
      <c r="J1604" s="17">
        <v>1528</v>
      </c>
      <c r="K1604" s="17">
        <v>254848</v>
      </c>
      <c r="L1604" s="17">
        <v>49486.540589999997</v>
      </c>
      <c r="M1604" s="17">
        <v>2024</v>
      </c>
      <c r="N1604" s="17" t="s">
        <v>120</v>
      </c>
    </row>
    <row r="1605" spans="1:14" ht="14.25" customHeight="1">
      <c r="A1605" s="17">
        <v>11604</v>
      </c>
      <c r="B1605" s="18">
        <v>45383</v>
      </c>
      <c r="C1605" s="17" t="s">
        <v>39</v>
      </c>
      <c r="D1605" s="17" t="s">
        <v>170</v>
      </c>
      <c r="E1605" s="17" t="s">
        <v>165</v>
      </c>
      <c r="F1605" s="17" t="s">
        <v>172</v>
      </c>
      <c r="G1605" s="17">
        <v>8</v>
      </c>
      <c r="H1605" s="17">
        <v>12651</v>
      </c>
      <c r="I1605" s="17">
        <v>101208</v>
      </c>
      <c r="J1605" s="17">
        <v>4388</v>
      </c>
      <c r="K1605" s="17">
        <v>96820</v>
      </c>
      <c r="L1605" s="17">
        <v>12618.505359999999</v>
      </c>
      <c r="M1605" s="17">
        <v>2024</v>
      </c>
      <c r="N1605" s="17" t="s">
        <v>114</v>
      </c>
    </row>
    <row r="1606" spans="1:14" ht="14.25" customHeight="1">
      <c r="A1606" s="17">
        <v>11605</v>
      </c>
      <c r="B1606" s="18">
        <v>45644</v>
      </c>
      <c r="C1606" s="17" t="s">
        <v>39</v>
      </c>
      <c r="D1606" s="17" t="s">
        <v>86</v>
      </c>
      <c r="E1606" s="17" t="s">
        <v>168</v>
      </c>
      <c r="F1606" s="17" t="s">
        <v>166</v>
      </c>
      <c r="G1606" s="17">
        <v>2</v>
      </c>
      <c r="H1606" s="17">
        <v>31896</v>
      </c>
      <c r="I1606" s="17">
        <v>63792</v>
      </c>
      <c r="J1606" s="17">
        <v>4785</v>
      </c>
      <c r="K1606" s="17">
        <v>59007</v>
      </c>
      <c r="L1606" s="17">
        <v>10754.811019999999</v>
      </c>
      <c r="M1606" s="17">
        <v>2024</v>
      </c>
      <c r="N1606" s="17" t="s">
        <v>169</v>
      </c>
    </row>
    <row r="1607" spans="1:14" ht="14.25" customHeight="1">
      <c r="A1607" s="17">
        <v>11606</v>
      </c>
      <c r="B1607" s="18">
        <v>45862</v>
      </c>
      <c r="C1607" s="17" t="s">
        <v>167</v>
      </c>
      <c r="D1607" s="17" t="s">
        <v>83</v>
      </c>
      <c r="E1607" s="17" t="s">
        <v>165</v>
      </c>
      <c r="F1607" s="17" t="s">
        <v>163</v>
      </c>
      <c r="G1607" s="17">
        <v>9</v>
      </c>
      <c r="H1607" s="17">
        <v>15370</v>
      </c>
      <c r="I1607" s="17">
        <v>138330</v>
      </c>
      <c r="J1607" s="17">
        <v>1565</v>
      </c>
      <c r="K1607" s="17">
        <v>136765</v>
      </c>
      <c r="L1607" s="17">
        <v>25063.48345</v>
      </c>
      <c r="M1607" s="17">
        <v>2025</v>
      </c>
      <c r="N1607" s="17" t="s">
        <v>123</v>
      </c>
    </row>
    <row r="1608" spans="1:14" ht="14.25" customHeight="1">
      <c r="A1608" s="17">
        <v>11607</v>
      </c>
      <c r="B1608" s="18">
        <v>45862</v>
      </c>
      <c r="C1608" s="17" t="s">
        <v>50</v>
      </c>
      <c r="D1608" s="17" t="s">
        <v>86</v>
      </c>
      <c r="E1608" s="17" t="s">
        <v>168</v>
      </c>
      <c r="F1608" s="17" t="s">
        <v>163</v>
      </c>
      <c r="G1608" s="17">
        <v>2</v>
      </c>
      <c r="H1608" s="17">
        <v>49552</v>
      </c>
      <c r="I1608" s="17">
        <v>99104</v>
      </c>
      <c r="J1608" s="17">
        <v>4768</v>
      </c>
      <c r="K1608" s="17">
        <v>94336</v>
      </c>
      <c r="L1608" s="17">
        <v>10499.78637</v>
      </c>
      <c r="M1608" s="17">
        <v>2025</v>
      </c>
      <c r="N1608" s="17" t="s">
        <v>123</v>
      </c>
    </row>
    <row r="1609" spans="1:14" ht="14.25" customHeight="1">
      <c r="A1609" s="17">
        <v>11608</v>
      </c>
      <c r="B1609" s="18">
        <v>45972</v>
      </c>
      <c r="C1609" s="17" t="s">
        <v>45</v>
      </c>
      <c r="D1609" s="17" t="s">
        <v>111</v>
      </c>
      <c r="E1609" s="17" t="s">
        <v>162</v>
      </c>
      <c r="F1609" s="17" t="s">
        <v>166</v>
      </c>
      <c r="G1609" s="17">
        <v>2</v>
      </c>
      <c r="H1609" s="17">
        <v>11777</v>
      </c>
      <c r="I1609" s="17">
        <v>23554</v>
      </c>
      <c r="J1609" s="17">
        <v>398</v>
      </c>
      <c r="K1609" s="17">
        <v>23156</v>
      </c>
      <c r="L1609" s="17">
        <v>3901.0379250000001</v>
      </c>
      <c r="M1609" s="17">
        <v>2025</v>
      </c>
      <c r="N1609" s="17" t="s">
        <v>173</v>
      </c>
    </row>
    <row r="1610" spans="1:14" ht="14.25" customHeight="1">
      <c r="A1610" s="17">
        <v>11609</v>
      </c>
      <c r="B1610" s="18">
        <v>45654</v>
      </c>
      <c r="C1610" s="17" t="s">
        <v>45</v>
      </c>
      <c r="D1610" s="17" t="s">
        <v>111</v>
      </c>
      <c r="E1610" s="17" t="s">
        <v>162</v>
      </c>
      <c r="F1610" s="17" t="s">
        <v>166</v>
      </c>
      <c r="G1610" s="17">
        <v>2</v>
      </c>
      <c r="H1610" s="17">
        <v>5113</v>
      </c>
      <c r="I1610" s="17">
        <v>10226</v>
      </c>
      <c r="J1610" s="17">
        <v>3586</v>
      </c>
      <c r="K1610" s="17">
        <v>6640</v>
      </c>
      <c r="L1610" s="17">
        <v>1123.3114840000001</v>
      </c>
      <c r="M1610" s="17">
        <v>2024</v>
      </c>
      <c r="N1610" s="17" t="s">
        <v>169</v>
      </c>
    </row>
    <row r="1611" spans="1:14" ht="14.25" customHeight="1">
      <c r="A1611" s="17">
        <v>11610</v>
      </c>
      <c r="B1611" s="18">
        <v>45848</v>
      </c>
      <c r="C1611" s="17" t="s">
        <v>45</v>
      </c>
      <c r="D1611" s="17" t="s">
        <v>89</v>
      </c>
      <c r="E1611" s="17" t="s">
        <v>165</v>
      </c>
      <c r="F1611" s="17" t="s">
        <v>172</v>
      </c>
      <c r="G1611" s="17">
        <v>8</v>
      </c>
      <c r="H1611" s="17">
        <v>5531</v>
      </c>
      <c r="I1611" s="17">
        <v>44248</v>
      </c>
      <c r="J1611" s="17">
        <v>1047</v>
      </c>
      <c r="K1611" s="17">
        <v>43201</v>
      </c>
      <c r="L1611" s="17">
        <v>6388.1535190000004</v>
      </c>
      <c r="M1611" s="17">
        <v>2025</v>
      </c>
      <c r="N1611" s="17" t="s">
        <v>123</v>
      </c>
    </row>
    <row r="1612" spans="1:14" ht="14.25" customHeight="1">
      <c r="A1612" s="17">
        <v>11611</v>
      </c>
      <c r="B1612" s="18">
        <v>45636</v>
      </c>
      <c r="C1612" s="17" t="s">
        <v>50</v>
      </c>
      <c r="D1612" s="17" t="s">
        <v>170</v>
      </c>
      <c r="E1612" s="17" t="s">
        <v>168</v>
      </c>
      <c r="F1612" s="17" t="s">
        <v>163</v>
      </c>
      <c r="G1612" s="17">
        <v>3</v>
      </c>
      <c r="H1612" s="17">
        <v>14714</v>
      </c>
      <c r="I1612" s="17">
        <v>44142</v>
      </c>
      <c r="J1612" s="17">
        <v>1942</v>
      </c>
      <c r="K1612" s="17">
        <v>42200</v>
      </c>
      <c r="L1612" s="17">
        <v>5974.4136449999996</v>
      </c>
      <c r="M1612" s="17">
        <v>2024</v>
      </c>
      <c r="N1612" s="17" t="s">
        <v>169</v>
      </c>
    </row>
    <row r="1613" spans="1:14" ht="14.25" customHeight="1">
      <c r="A1613" s="17">
        <v>11612</v>
      </c>
      <c r="B1613" s="18">
        <v>45984</v>
      </c>
      <c r="C1613" s="17" t="s">
        <v>167</v>
      </c>
      <c r="D1613" s="17" t="s">
        <v>170</v>
      </c>
      <c r="E1613" s="17" t="s">
        <v>168</v>
      </c>
      <c r="F1613" s="17" t="s">
        <v>172</v>
      </c>
      <c r="G1613" s="17">
        <v>8</v>
      </c>
      <c r="H1613" s="17">
        <v>8410</v>
      </c>
      <c r="I1613" s="17">
        <v>67280</v>
      </c>
      <c r="J1613" s="17">
        <v>3130</v>
      </c>
      <c r="K1613" s="17">
        <v>64150</v>
      </c>
      <c r="L1613" s="17">
        <v>8573.3072560000001</v>
      </c>
      <c r="M1613" s="17">
        <v>2025</v>
      </c>
      <c r="N1613" s="17" t="s">
        <v>173</v>
      </c>
    </row>
    <row r="1614" spans="1:14" ht="14.25" customHeight="1">
      <c r="A1614" s="17">
        <v>11613</v>
      </c>
      <c r="B1614" s="18">
        <v>45461</v>
      </c>
      <c r="C1614" s="17" t="s">
        <v>50</v>
      </c>
      <c r="D1614" s="17" t="s">
        <v>86</v>
      </c>
      <c r="E1614" s="17" t="s">
        <v>165</v>
      </c>
      <c r="F1614" s="17" t="s">
        <v>163</v>
      </c>
      <c r="G1614" s="17">
        <v>7</v>
      </c>
      <c r="H1614" s="17">
        <v>79772</v>
      </c>
      <c r="I1614" s="17">
        <v>558404</v>
      </c>
      <c r="J1614" s="17">
        <v>2796</v>
      </c>
      <c r="K1614" s="17">
        <v>555608</v>
      </c>
      <c r="L1614" s="17">
        <v>56055.93606</v>
      </c>
      <c r="M1614" s="17">
        <v>2024</v>
      </c>
      <c r="N1614" s="17" t="s">
        <v>120</v>
      </c>
    </row>
    <row r="1615" spans="1:14" ht="14.25" customHeight="1">
      <c r="A1615" s="17">
        <v>11614</v>
      </c>
      <c r="B1615" s="18">
        <v>45647</v>
      </c>
      <c r="C1615" s="17" t="s">
        <v>39</v>
      </c>
      <c r="D1615" s="17" t="s">
        <v>170</v>
      </c>
      <c r="E1615" s="17" t="s">
        <v>168</v>
      </c>
      <c r="F1615" s="17" t="s">
        <v>163</v>
      </c>
      <c r="G1615" s="17">
        <v>4</v>
      </c>
      <c r="H1615" s="17">
        <v>29608</v>
      </c>
      <c r="I1615" s="17">
        <v>118432</v>
      </c>
      <c r="J1615" s="17">
        <v>239</v>
      </c>
      <c r="K1615" s="17">
        <v>118193</v>
      </c>
      <c r="L1615" s="17">
        <v>11851.500819999999</v>
      </c>
      <c r="M1615" s="17">
        <v>2024</v>
      </c>
      <c r="N1615" s="17" t="s">
        <v>169</v>
      </c>
    </row>
    <row r="1616" spans="1:14" ht="14.25" customHeight="1">
      <c r="A1616" s="17">
        <v>11615</v>
      </c>
      <c r="B1616" s="18">
        <v>45482</v>
      </c>
      <c r="C1616" s="17" t="s">
        <v>39</v>
      </c>
      <c r="D1616" s="17" t="s">
        <v>111</v>
      </c>
      <c r="E1616" s="17" t="s">
        <v>168</v>
      </c>
      <c r="F1616" s="17" t="s">
        <v>166</v>
      </c>
      <c r="G1616" s="17">
        <v>7</v>
      </c>
      <c r="H1616" s="17">
        <v>13324</v>
      </c>
      <c r="I1616" s="17">
        <v>93268</v>
      </c>
      <c r="J1616" s="17">
        <v>2358</v>
      </c>
      <c r="K1616" s="17">
        <v>90910</v>
      </c>
      <c r="L1616" s="17">
        <v>17133.633300000001</v>
      </c>
      <c r="M1616" s="17">
        <v>2024</v>
      </c>
      <c r="N1616" s="17" t="s">
        <v>123</v>
      </c>
    </row>
    <row r="1617" spans="1:14" ht="14.25" customHeight="1">
      <c r="A1617" s="17">
        <v>11616</v>
      </c>
      <c r="B1617" s="18">
        <v>45958</v>
      </c>
      <c r="C1617" s="17" t="s">
        <v>45</v>
      </c>
      <c r="D1617" s="17" t="s">
        <v>83</v>
      </c>
      <c r="E1617" s="17" t="s">
        <v>168</v>
      </c>
      <c r="F1617" s="17" t="s">
        <v>172</v>
      </c>
      <c r="G1617" s="17">
        <v>8</v>
      </c>
      <c r="H1617" s="17">
        <v>39494</v>
      </c>
      <c r="I1617" s="17">
        <v>315952</v>
      </c>
      <c r="J1617" s="17">
        <v>671</v>
      </c>
      <c r="K1617" s="17">
        <v>315281</v>
      </c>
      <c r="L1617" s="17">
        <v>45312.055009999996</v>
      </c>
      <c r="M1617" s="17">
        <v>2025</v>
      </c>
      <c r="N1617" s="17" t="s">
        <v>174</v>
      </c>
    </row>
    <row r="1618" spans="1:14" ht="14.25" customHeight="1">
      <c r="A1618" s="17">
        <v>11617</v>
      </c>
      <c r="B1618" s="18">
        <v>45713</v>
      </c>
      <c r="C1618" s="17" t="s">
        <v>58</v>
      </c>
      <c r="D1618" s="17" t="s">
        <v>86</v>
      </c>
      <c r="E1618" s="17" t="s">
        <v>162</v>
      </c>
      <c r="F1618" s="17" t="s">
        <v>166</v>
      </c>
      <c r="G1618" s="17">
        <v>6</v>
      </c>
      <c r="H1618" s="17">
        <v>59222</v>
      </c>
      <c r="I1618" s="17">
        <v>355332</v>
      </c>
      <c r="J1618" s="17">
        <v>2619</v>
      </c>
      <c r="K1618" s="17">
        <v>352713</v>
      </c>
      <c r="L1618" s="17">
        <v>44153.776720000002</v>
      </c>
      <c r="M1618" s="17">
        <v>2025</v>
      </c>
      <c r="N1618" s="17" t="s">
        <v>175</v>
      </c>
    </row>
    <row r="1619" spans="1:14" ht="14.25" customHeight="1">
      <c r="A1619" s="17">
        <v>11618</v>
      </c>
      <c r="B1619" s="18">
        <v>45991</v>
      </c>
      <c r="C1619" s="17" t="s">
        <v>45</v>
      </c>
      <c r="D1619" s="17" t="s">
        <v>170</v>
      </c>
      <c r="E1619" s="17" t="s">
        <v>162</v>
      </c>
      <c r="F1619" s="17" t="s">
        <v>172</v>
      </c>
      <c r="G1619" s="17">
        <v>6</v>
      </c>
      <c r="H1619" s="17">
        <v>45985</v>
      </c>
      <c r="I1619" s="17">
        <v>275910</v>
      </c>
      <c r="J1619" s="17">
        <v>2461</v>
      </c>
      <c r="K1619" s="17">
        <v>273449</v>
      </c>
      <c r="L1619" s="17">
        <v>55430.923580000002</v>
      </c>
      <c r="M1619" s="17">
        <v>2025</v>
      </c>
      <c r="N1619" s="17" t="s">
        <v>173</v>
      </c>
    </row>
    <row r="1620" spans="1:14" ht="14.25" customHeight="1">
      <c r="A1620" s="17">
        <v>11619</v>
      </c>
      <c r="B1620" s="18">
        <v>45298</v>
      </c>
      <c r="C1620" s="17" t="s">
        <v>58</v>
      </c>
      <c r="D1620" s="17" t="s">
        <v>111</v>
      </c>
      <c r="E1620" s="17" t="s">
        <v>162</v>
      </c>
      <c r="F1620" s="17" t="s">
        <v>163</v>
      </c>
      <c r="G1620" s="17">
        <v>3</v>
      </c>
      <c r="H1620" s="17">
        <v>40416</v>
      </c>
      <c r="I1620" s="17">
        <v>121248</v>
      </c>
      <c r="J1620" s="17">
        <v>3393</v>
      </c>
      <c r="K1620" s="17">
        <v>117855</v>
      </c>
      <c r="L1620" s="17">
        <v>21135.607209999998</v>
      </c>
      <c r="M1620" s="17">
        <v>2024</v>
      </c>
      <c r="N1620" s="17" t="s">
        <v>171</v>
      </c>
    </row>
    <row r="1621" spans="1:14" ht="14.25" customHeight="1">
      <c r="A1621" s="17">
        <v>11620</v>
      </c>
      <c r="B1621" s="18">
        <v>45424</v>
      </c>
      <c r="C1621" s="17" t="s">
        <v>50</v>
      </c>
      <c r="D1621" s="17" t="s">
        <v>89</v>
      </c>
      <c r="E1621" s="17" t="s">
        <v>168</v>
      </c>
      <c r="F1621" s="17" t="s">
        <v>164</v>
      </c>
      <c r="G1621" s="17">
        <v>5</v>
      </c>
      <c r="H1621" s="17">
        <v>50600</v>
      </c>
      <c r="I1621" s="17">
        <v>253000</v>
      </c>
      <c r="J1621" s="17">
        <v>401</v>
      </c>
      <c r="K1621" s="17">
        <v>252599</v>
      </c>
      <c r="L1621" s="17">
        <v>59927.531869999999</v>
      </c>
      <c r="M1621" s="17">
        <v>2024</v>
      </c>
      <c r="N1621" s="17" t="s">
        <v>117</v>
      </c>
    </row>
    <row r="1622" spans="1:14" ht="14.25" customHeight="1">
      <c r="A1622" s="17">
        <v>11621</v>
      </c>
      <c r="B1622" s="18">
        <v>45848</v>
      </c>
      <c r="C1622" s="17" t="s">
        <v>39</v>
      </c>
      <c r="D1622" s="17" t="s">
        <v>170</v>
      </c>
      <c r="E1622" s="17" t="s">
        <v>162</v>
      </c>
      <c r="F1622" s="17" t="s">
        <v>164</v>
      </c>
      <c r="G1622" s="17">
        <v>2</v>
      </c>
      <c r="H1622" s="17">
        <v>14453</v>
      </c>
      <c r="I1622" s="17">
        <v>28906</v>
      </c>
      <c r="J1622" s="17">
        <v>2106</v>
      </c>
      <c r="K1622" s="17">
        <v>26800</v>
      </c>
      <c r="L1622" s="17">
        <v>6020.6880870000005</v>
      </c>
      <c r="M1622" s="17">
        <v>2025</v>
      </c>
      <c r="N1622" s="17" t="s">
        <v>123</v>
      </c>
    </row>
    <row r="1623" spans="1:14" ht="14.25" customHeight="1">
      <c r="A1623" s="17">
        <v>11622</v>
      </c>
      <c r="B1623" s="18">
        <v>45322</v>
      </c>
      <c r="C1623" s="17" t="s">
        <v>58</v>
      </c>
      <c r="D1623" s="17" t="s">
        <v>83</v>
      </c>
      <c r="E1623" s="17" t="s">
        <v>168</v>
      </c>
      <c r="F1623" s="17" t="s">
        <v>172</v>
      </c>
      <c r="G1623" s="17">
        <v>5</v>
      </c>
      <c r="H1623" s="17">
        <v>32921</v>
      </c>
      <c r="I1623" s="17">
        <v>164605</v>
      </c>
      <c r="J1623" s="17">
        <v>4148</v>
      </c>
      <c r="K1623" s="17">
        <v>160457</v>
      </c>
      <c r="L1623" s="17">
        <v>33537.017870000003</v>
      </c>
      <c r="M1623" s="17">
        <v>2024</v>
      </c>
      <c r="N1623" s="17" t="s">
        <v>171</v>
      </c>
    </row>
    <row r="1624" spans="1:14" ht="14.25" customHeight="1">
      <c r="A1624" s="17">
        <v>11623</v>
      </c>
      <c r="B1624" s="18">
        <v>45826</v>
      </c>
      <c r="C1624" s="17" t="s">
        <v>50</v>
      </c>
      <c r="D1624" s="17" t="s">
        <v>83</v>
      </c>
      <c r="E1624" s="17" t="s">
        <v>168</v>
      </c>
      <c r="F1624" s="17" t="s">
        <v>172</v>
      </c>
      <c r="G1624" s="17">
        <v>5</v>
      </c>
      <c r="H1624" s="17">
        <v>71469</v>
      </c>
      <c r="I1624" s="17">
        <v>357345</v>
      </c>
      <c r="J1624" s="17">
        <v>1087</v>
      </c>
      <c r="K1624" s="17">
        <v>356258</v>
      </c>
      <c r="L1624" s="17">
        <v>42390.175239999997</v>
      </c>
      <c r="M1624" s="17">
        <v>2025</v>
      </c>
      <c r="N1624" s="17" t="s">
        <v>120</v>
      </c>
    </row>
    <row r="1625" spans="1:14" ht="14.25" customHeight="1">
      <c r="A1625" s="17">
        <v>11624</v>
      </c>
      <c r="B1625" s="18">
        <v>45717</v>
      </c>
      <c r="C1625" s="17" t="s">
        <v>39</v>
      </c>
      <c r="D1625" s="17" t="s">
        <v>170</v>
      </c>
      <c r="E1625" s="17" t="s">
        <v>165</v>
      </c>
      <c r="F1625" s="17" t="s">
        <v>166</v>
      </c>
      <c r="G1625" s="17">
        <v>7</v>
      </c>
      <c r="H1625" s="17">
        <v>71586</v>
      </c>
      <c r="I1625" s="17">
        <v>501102</v>
      </c>
      <c r="J1625" s="17">
        <v>1142</v>
      </c>
      <c r="K1625" s="17">
        <v>499960</v>
      </c>
      <c r="L1625" s="17">
        <v>99948.658890000006</v>
      </c>
      <c r="M1625" s="17">
        <v>2025</v>
      </c>
      <c r="N1625" s="17" t="s">
        <v>112</v>
      </c>
    </row>
    <row r="1626" spans="1:14" ht="14.25" customHeight="1">
      <c r="A1626" s="17">
        <v>11625</v>
      </c>
      <c r="B1626" s="18">
        <v>45685</v>
      </c>
      <c r="C1626" s="17" t="s">
        <v>58</v>
      </c>
      <c r="D1626" s="17" t="s">
        <v>170</v>
      </c>
      <c r="E1626" s="17" t="s">
        <v>168</v>
      </c>
      <c r="F1626" s="17" t="s">
        <v>163</v>
      </c>
      <c r="G1626" s="17">
        <v>4</v>
      </c>
      <c r="H1626" s="17">
        <v>30392</v>
      </c>
      <c r="I1626" s="17">
        <v>121568</v>
      </c>
      <c r="J1626" s="17">
        <v>4381</v>
      </c>
      <c r="K1626" s="17">
        <v>117187</v>
      </c>
      <c r="L1626" s="17">
        <v>23916.573710000001</v>
      </c>
      <c r="M1626" s="17">
        <v>2025</v>
      </c>
      <c r="N1626" s="17" t="s">
        <v>171</v>
      </c>
    </row>
    <row r="1627" spans="1:14" ht="14.25" customHeight="1">
      <c r="A1627" s="17">
        <v>11626</v>
      </c>
      <c r="B1627" s="18">
        <v>45963</v>
      </c>
      <c r="C1627" s="17" t="s">
        <v>45</v>
      </c>
      <c r="D1627" s="17" t="s">
        <v>111</v>
      </c>
      <c r="E1627" s="17" t="s">
        <v>162</v>
      </c>
      <c r="F1627" s="17" t="s">
        <v>164</v>
      </c>
      <c r="G1627" s="17">
        <v>6</v>
      </c>
      <c r="H1627" s="17">
        <v>37177</v>
      </c>
      <c r="I1627" s="17">
        <v>223062</v>
      </c>
      <c r="J1627" s="17">
        <v>2065</v>
      </c>
      <c r="K1627" s="17">
        <v>220997</v>
      </c>
      <c r="L1627" s="17">
        <v>47403.831859999998</v>
      </c>
      <c r="M1627" s="17">
        <v>2025</v>
      </c>
      <c r="N1627" s="17" t="s">
        <v>173</v>
      </c>
    </row>
    <row r="1628" spans="1:14" ht="14.25" customHeight="1">
      <c r="A1628" s="17">
        <v>11627</v>
      </c>
      <c r="B1628" s="18">
        <v>45654</v>
      </c>
      <c r="C1628" s="17" t="s">
        <v>45</v>
      </c>
      <c r="D1628" s="17" t="s">
        <v>170</v>
      </c>
      <c r="E1628" s="17" t="s">
        <v>162</v>
      </c>
      <c r="F1628" s="17" t="s">
        <v>166</v>
      </c>
      <c r="G1628" s="17">
        <v>9</v>
      </c>
      <c r="H1628" s="17">
        <v>60182</v>
      </c>
      <c r="I1628" s="17">
        <v>541638</v>
      </c>
      <c r="J1628" s="17">
        <v>3908</v>
      </c>
      <c r="K1628" s="17">
        <v>537730</v>
      </c>
      <c r="L1628" s="17">
        <v>74997.15393</v>
      </c>
      <c r="M1628" s="17">
        <v>2024</v>
      </c>
      <c r="N1628" s="17" t="s">
        <v>169</v>
      </c>
    </row>
    <row r="1629" spans="1:14" ht="14.25" customHeight="1">
      <c r="A1629" s="17">
        <v>11628</v>
      </c>
      <c r="B1629" s="18">
        <v>45728</v>
      </c>
      <c r="C1629" s="17" t="s">
        <v>45</v>
      </c>
      <c r="D1629" s="17" t="s">
        <v>89</v>
      </c>
      <c r="E1629" s="17" t="s">
        <v>168</v>
      </c>
      <c r="F1629" s="17" t="s">
        <v>172</v>
      </c>
      <c r="G1629" s="17">
        <v>4</v>
      </c>
      <c r="H1629" s="17">
        <v>63081</v>
      </c>
      <c r="I1629" s="17">
        <v>252324</v>
      </c>
      <c r="J1629" s="17">
        <v>4255</v>
      </c>
      <c r="K1629" s="17">
        <v>248069</v>
      </c>
      <c r="L1629" s="17">
        <v>48632.594219999999</v>
      </c>
      <c r="M1629" s="17">
        <v>2025</v>
      </c>
      <c r="N1629" s="17" t="s">
        <v>112</v>
      </c>
    </row>
    <row r="1630" spans="1:14" ht="14.25" customHeight="1">
      <c r="A1630" s="17">
        <v>11629</v>
      </c>
      <c r="B1630" s="18">
        <v>45961</v>
      </c>
      <c r="C1630" s="17" t="s">
        <v>50</v>
      </c>
      <c r="D1630" s="17" t="s">
        <v>111</v>
      </c>
      <c r="E1630" s="17" t="s">
        <v>162</v>
      </c>
      <c r="F1630" s="17" t="s">
        <v>163</v>
      </c>
      <c r="G1630" s="17">
        <v>6</v>
      </c>
      <c r="H1630" s="17">
        <v>16106</v>
      </c>
      <c r="I1630" s="17">
        <v>96636</v>
      </c>
      <c r="J1630" s="17">
        <v>3959</v>
      </c>
      <c r="K1630" s="17">
        <v>92677</v>
      </c>
      <c r="L1630" s="17">
        <v>17862.728899999998</v>
      </c>
      <c r="M1630" s="17">
        <v>2025</v>
      </c>
      <c r="N1630" s="17" t="s">
        <v>174</v>
      </c>
    </row>
    <row r="1631" spans="1:14" ht="14.25" customHeight="1">
      <c r="A1631" s="17">
        <v>11630</v>
      </c>
      <c r="B1631" s="18">
        <v>45842</v>
      </c>
      <c r="C1631" s="17" t="s">
        <v>45</v>
      </c>
      <c r="D1631" s="17" t="s">
        <v>86</v>
      </c>
      <c r="E1631" s="17" t="s">
        <v>168</v>
      </c>
      <c r="F1631" s="17" t="s">
        <v>166</v>
      </c>
      <c r="G1631" s="17">
        <v>9</v>
      </c>
      <c r="H1631" s="17">
        <v>57754</v>
      </c>
      <c r="I1631" s="17">
        <v>519786</v>
      </c>
      <c r="J1631" s="17">
        <v>141</v>
      </c>
      <c r="K1631" s="17">
        <v>519645</v>
      </c>
      <c r="L1631" s="17">
        <v>81998.166129999998</v>
      </c>
      <c r="M1631" s="17">
        <v>2025</v>
      </c>
      <c r="N1631" s="17" t="s">
        <v>123</v>
      </c>
    </row>
    <row r="1632" spans="1:14" ht="14.25" customHeight="1">
      <c r="A1632" s="17">
        <v>11631</v>
      </c>
      <c r="B1632" s="18">
        <v>45373</v>
      </c>
      <c r="C1632" s="17" t="s">
        <v>167</v>
      </c>
      <c r="D1632" s="17" t="s">
        <v>89</v>
      </c>
      <c r="E1632" s="17" t="s">
        <v>165</v>
      </c>
      <c r="F1632" s="17" t="s">
        <v>166</v>
      </c>
      <c r="G1632" s="17">
        <v>1</v>
      </c>
      <c r="H1632" s="17">
        <v>11878</v>
      </c>
      <c r="I1632" s="17">
        <v>11878</v>
      </c>
      <c r="J1632" s="17">
        <v>396</v>
      </c>
      <c r="K1632" s="17">
        <v>11482</v>
      </c>
      <c r="L1632" s="17">
        <v>2290.9580719999999</v>
      </c>
      <c r="M1632" s="17">
        <v>2024</v>
      </c>
      <c r="N1632" s="17" t="s">
        <v>112</v>
      </c>
    </row>
    <row r="1633" spans="1:14" ht="14.25" customHeight="1">
      <c r="A1633" s="17">
        <v>11632</v>
      </c>
      <c r="B1633" s="18">
        <v>45647</v>
      </c>
      <c r="C1633" s="17" t="s">
        <v>39</v>
      </c>
      <c r="D1633" s="17" t="s">
        <v>111</v>
      </c>
      <c r="E1633" s="17" t="s">
        <v>168</v>
      </c>
      <c r="F1633" s="17" t="s">
        <v>172</v>
      </c>
      <c r="G1633" s="17">
        <v>8</v>
      </c>
      <c r="H1633" s="17">
        <v>5792</v>
      </c>
      <c r="I1633" s="17">
        <v>46336</v>
      </c>
      <c r="J1633" s="17">
        <v>2627</v>
      </c>
      <c r="K1633" s="17">
        <v>43709</v>
      </c>
      <c r="L1633" s="17">
        <v>4939.3064430000004</v>
      </c>
      <c r="M1633" s="17">
        <v>2024</v>
      </c>
      <c r="N1633" s="17" t="s">
        <v>169</v>
      </c>
    </row>
    <row r="1634" spans="1:14" ht="14.25" customHeight="1">
      <c r="A1634" s="17">
        <v>11633</v>
      </c>
      <c r="B1634" s="18">
        <v>45549</v>
      </c>
      <c r="C1634" s="17" t="s">
        <v>50</v>
      </c>
      <c r="D1634" s="17" t="s">
        <v>111</v>
      </c>
      <c r="E1634" s="17" t="s">
        <v>168</v>
      </c>
      <c r="F1634" s="17" t="s">
        <v>163</v>
      </c>
      <c r="G1634" s="17">
        <v>1</v>
      </c>
      <c r="H1634" s="17">
        <v>16367</v>
      </c>
      <c r="I1634" s="17">
        <v>16367</v>
      </c>
      <c r="J1634" s="17">
        <v>4629</v>
      </c>
      <c r="K1634" s="17">
        <v>11738</v>
      </c>
      <c r="L1634" s="17">
        <v>2306.8192909999998</v>
      </c>
      <c r="M1634" s="17">
        <v>2024</v>
      </c>
      <c r="N1634" s="17" t="s">
        <v>129</v>
      </c>
    </row>
    <row r="1635" spans="1:14" ht="14.25" customHeight="1">
      <c r="A1635" s="17">
        <v>11634</v>
      </c>
      <c r="B1635" s="18">
        <v>46009</v>
      </c>
      <c r="C1635" s="17" t="s">
        <v>45</v>
      </c>
      <c r="D1635" s="17" t="s">
        <v>83</v>
      </c>
      <c r="E1635" s="17" t="s">
        <v>165</v>
      </c>
      <c r="F1635" s="17" t="s">
        <v>164</v>
      </c>
      <c r="G1635" s="17">
        <v>4</v>
      </c>
      <c r="H1635" s="17">
        <v>43731</v>
      </c>
      <c r="I1635" s="17">
        <v>174924</v>
      </c>
      <c r="J1635" s="17">
        <v>1555</v>
      </c>
      <c r="K1635" s="17">
        <v>173369</v>
      </c>
      <c r="L1635" s="17">
        <v>33096.54737</v>
      </c>
      <c r="M1635" s="17">
        <v>2025</v>
      </c>
      <c r="N1635" s="17" t="s">
        <v>169</v>
      </c>
    </row>
    <row r="1636" spans="1:14" ht="14.25" customHeight="1">
      <c r="A1636" s="17">
        <v>11635</v>
      </c>
      <c r="B1636" s="18">
        <v>45880</v>
      </c>
      <c r="C1636" s="17" t="s">
        <v>39</v>
      </c>
      <c r="D1636" s="17" t="s">
        <v>111</v>
      </c>
      <c r="E1636" s="17" t="s">
        <v>162</v>
      </c>
      <c r="F1636" s="17" t="s">
        <v>166</v>
      </c>
      <c r="G1636" s="17">
        <v>3</v>
      </c>
      <c r="H1636" s="17">
        <v>14547</v>
      </c>
      <c r="I1636" s="17">
        <v>43641</v>
      </c>
      <c r="J1636" s="17">
        <v>2508</v>
      </c>
      <c r="K1636" s="17">
        <v>41133</v>
      </c>
      <c r="L1636" s="17">
        <v>5412.8420619999997</v>
      </c>
      <c r="M1636" s="17">
        <v>2025</v>
      </c>
      <c r="N1636" s="17" t="s">
        <v>126</v>
      </c>
    </row>
    <row r="1637" spans="1:14" ht="14.25" customHeight="1">
      <c r="A1637" s="17">
        <v>11636</v>
      </c>
      <c r="B1637" s="18">
        <v>45815</v>
      </c>
      <c r="C1637" s="17" t="s">
        <v>58</v>
      </c>
      <c r="D1637" s="17" t="s">
        <v>89</v>
      </c>
      <c r="E1637" s="17" t="s">
        <v>165</v>
      </c>
      <c r="F1637" s="17" t="s">
        <v>172</v>
      </c>
      <c r="G1637" s="17">
        <v>4</v>
      </c>
      <c r="H1637" s="17">
        <v>33568</v>
      </c>
      <c r="I1637" s="17">
        <v>134272</v>
      </c>
      <c r="J1637" s="17">
        <v>4381</v>
      </c>
      <c r="K1637" s="17">
        <v>129891</v>
      </c>
      <c r="L1637" s="17">
        <v>28930.887790000001</v>
      </c>
      <c r="M1637" s="17">
        <v>2025</v>
      </c>
      <c r="N1637" s="17" t="s">
        <v>120</v>
      </c>
    </row>
    <row r="1638" spans="1:14" ht="14.25" customHeight="1">
      <c r="A1638" s="17">
        <v>11637</v>
      </c>
      <c r="B1638" s="18">
        <v>45586</v>
      </c>
      <c r="C1638" s="17" t="s">
        <v>45</v>
      </c>
      <c r="D1638" s="17" t="s">
        <v>170</v>
      </c>
      <c r="E1638" s="17" t="s">
        <v>165</v>
      </c>
      <c r="F1638" s="17" t="s">
        <v>166</v>
      </c>
      <c r="G1638" s="17">
        <v>7</v>
      </c>
      <c r="H1638" s="17">
        <v>67907</v>
      </c>
      <c r="I1638" s="17">
        <v>475349</v>
      </c>
      <c r="J1638" s="17">
        <v>1028</v>
      </c>
      <c r="K1638" s="17">
        <v>474321</v>
      </c>
      <c r="L1638" s="17">
        <v>109645.0385</v>
      </c>
      <c r="M1638" s="17">
        <v>2024</v>
      </c>
      <c r="N1638" s="17" t="s">
        <v>174</v>
      </c>
    </row>
    <row r="1639" spans="1:14" ht="14.25" customHeight="1">
      <c r="A1639" s="17">
        <v>11638</v>
      </c>
      <c r="B1639" s="18">
        <v>45515</v>
      </c>
      <c r="C1639" s="17" t="s">
        <v>39</v>
      </c>
      <c r="D1639" s="17" t="s">
        <v>89</v>
      </c>
      <c r="E1639" s="17" t="s">
        <v>168</v>
      </c>
      <c r="F1639" s="17" t="s">
        <v>172</v>
      </c>
      <c r="G1639" s="17">
        <v>9</v>
      </c>
      <c r="H1639" s="17">
        <v>55212</v>
      </c>
      <c r="I1639" s="17">
        <v>496908</v>
      </c>
      <c r="J1639" s="17">
        <v>2176</v>
      </c>
      <c r="K1639" s="17">
        <v>494732</v>
      </c>
      <c r="L1639" s="17">
        <v>65093.171629999997</v>
      </c>
      <c r="M1639" s="17">
        <v>2024</v>
      </c>
      <c r="N1639" s="17" t="s">
        <v>126</v>
      </c>
    </row>
    <row r="1640" spans="1:14" ht="14.25" customHeight="1">
      <c r="A1640" s="17">
        <v>11639</v>
      </c>
      <c r="B1640" s="18">
        <v>45816</v>
      </c>
      <c r="C1640" s="17" t="s">
        <v>167</v>
      </c>
      <c r="D1640" s="17" t="s">
        <v>86</v>
      </c>
      <c r="E1640" s="17" t="s">
        <v>168</v>
      </c>
      <c r="F1640" s="17" t="s">
        <v>172</v>
      </c>
      <c r="G1640" s="17">
        <v>9</v>
      </c>
      <c r="H1640" s="17">
        <v>47331</v>
      </c>
      <c r="I1640" s="17">
        <v>425979</v>
      </c>
      <c r="J1640" s="17">
        <v>670</v>
      </c>
      <c r="K1640" s="17">
        <v>425309</v>
      </c>
      <c r="L1640" s="17">
        <v>47376.939919999997</v>
      </c>
      <c r="M1640" s="17">
        <v>2025</v>
      </c>
      <c r="N1640" s="17" t="s">
        <v>120</v>
      </c>
    </row>
    <row r="1641" spans="1:14" ht="14.25" customHeight="1">
      <c r="A1641" s="17">
        <v>11640</v>
      </c>
      <c r="B1641" s="18">
        <v>45337</v>
      </c>
      <c r="C1641" s="17" t="s">
        <v>58</v>
      </c>
      <c r="D1641" s="17" t="s">
        <v>111</v>
      </c>
      <c r="E1641" s="17" t="s">
        <v>165</v>
      </c>
      <c r="F1641" s="17" t="s">
        <v>172</v>
      </c>
      <c r="G1641" s="17">
        <v>1</v>
      </c>
      <c r="H1641" s="17">
        <v>69379</v>
      </c>
      <c r="I1641" s="17">
        <v>69379</v>
      </c>
      <c r="J1641" s="17">
        <v>4594</v>
      </c>
      <c r="K1641" s="17">
        <v>64785</v>
      </c>
      <c r="L1641" s="17">
        <v>12343.89546</v>
      </c>
      <c r="M1641" s="17">
        <v>2024</v>
      </c>
      <c r="N1641" s="17" t="s">
        <v>175</v>
      </c>
    </row>
    <row r="1642" spans="1:14" ht="14.25" customHeight="1">
      <c r="A1642" s="17">
        <v>11641</v>
      </c>
      <c r="B1642" s="18">
        <v>45958</v>
      </c>
      <c r="C1642" s="17" t="s">
        <v>167</v>
      </c>
      <c r="D1642" s="17" t="s">
        <v>111</v>
      </c>
      <c r="E1642" s="17" t="s">
        <v>162</v>
      </c>
      <c r="F1642" s="17" t="s">
        <v>163</v>
      </c>
      <c r="G1642" s="17">
        <v>1</v>
      </c>
      <c r="H1642" s="17">
        <v>9138</v>
      </c>
      <c r="I1642" s="17">
        <v>9138</v>
      </c>
      <c r="J1642" s="17">
        <v>1855</v>
      </c>
      <c r="K1642" s="17">
        <v>7283</v>
      </c>
      <c r="L1642" s="17">
        <v>1252.585902</v>
      </c>
      <c r="M1642" s="17">
        <v>2025</v>
      </c>
      <c r="N1642" s="17" t="s">
        <v>174</v>
      </c>
    </row>
    <row r="1643" spans="1:14" ht="14.25" customHeight="1">
      <c r="A1643" s="17">
        <v>11642</v>
      </c>
      <c r="B1643" s="18">
        <v>45404</v>
      </c>
      <c r="C1643" s="17" t="s">
        <v>39</v>
      </c>
      <c r="D1643" s="17" t="s">
        <v>111</v>
      </c>
      <c r="E1643" s="17" t="s">
        <v>165</v>
      </c>
      <c r="F1643" s="17" t="s">
        <v>164</v>
      </c>
      <c r="G1643" s="17">
        <v>9</v>
      </c>
      <c r="H1643" s="17">
        <v>52112</v>
      </c>
      <c r="I1643" s="17">
        <v>469008</v>
      </c>
      <c r="J1643" s="17">
        <v>3429</v>
      </c>
      <c r="K1643" s="17">
        <v>465579</v>
      </c>
      <c r="L1643" s="17">
        <v>76419.734049999999</v>
      </c>
      <c r="M1643" s="17">
        <v>2024</v>
      </c>
      <c r="N1643" s="17" t="s">
        <v>114</v>
      </c>
    </row>
    <row r="1644" spans="1:14" ht="14.25" customHeight="1">
      <c r="A1644" s="17">
        <v>11643</v>
      </c>
      <c r="B1644" s="18">
        <v>45524</v>
      </c>
      <c r="C1644" s="17" t="s">
        <v>167</v>
      </c>
      <c r="D1644" s="17" t="s">
        <v>111</v>
      </c>
      <c r="E1644" s="17" t="s">
        <v>162</v>
      </c>
      <c r="F1644" s="17" t="s">
        <v>163</v>
      </c>
      <c r="G1644" s="17">
        <v>4</v>
      </c>
      <c r="H1644" s="17">
        <v>78229</v>
      </c>
      <c r="I1644" s="17">
        <v>312916</v>
      </c>
      <c r="J1644" s="17">
        <v>2078</v>
      </c>
      <c r="K1644" s="17">
        <v>310838</v>
      </c>
      <c r="L1644" s="17">
        <v>66566.346090000006</v>
      </c>
      <c r="M1644" s="17">
        <v>2024</v>
      </c>
      <c r="N1644" s="17" t="s">
        <v>126</v>
      </c>
    </row>
    <row r="1645" spans="1:14" ht="14.25" customHeight="1">
      <c r="A1645" s="17">
        <v>11644</v>
      </c>
      <c r="B1645" s="18">
        <v>45308</v>
      </c>
      <c r="C1645" s="17" t="s">
        <v>39</v>
      </c>
      <c r="D1645" s="17" t="s">
        <v>83</v>
      </c>
      <c r="E1645" s="17" t="s">
        <v>165</v>
      </c>
      <c r="F1645" s="17" t="s">
        <v>164</v>
      </c>
      <c r="G1645" s="17">
        <v>3</v>
      </c>
      <c r="H1645" s="17">
        <v>16394</v>
      </c>
      <c r="I1645" s="17">
        <v>49182</v>
      </c>
      <c r="J1645" s="17">
        <v>2006</v>
      </c>
      <c r="K1645" s="17">
        <v>47176</v>
      </c>
      <c r="L1645" s="17">
        <v>11579.3207</v>
      </c>
      <c r="M1645" s="17">
        <v>2024</v>
      </c>
      <c r="N1645" s="17" t="s">
        <v>171</v>
      </c>
    </row>
    <row r="1646" spans="1:14" ht="14.25" customHeight="1">
      <c r="A1646" s="17">
        <v>11645</v>
      </c>
      <c r="B1646" s="18">
        <v>45651</v>
      </c>
      <c r="C1646" s="17" t="s">
        <v>39</v>
      </c>
      <c r="D1646" s="17" t="s">
        <v>83</v>
      </c>
      <c r="E1646" s="17" t="s">
        <v>165</v>
      </c>
      <c r="F1646" s="17" t="s">
        <v>172</v>
      </c>
      <c r="G1646" s="17">
        <v>9</v>
      </c>
      <c r="H1646" s="17">
        <v>44095</v>
      </c>
      <c r="I1646" s="17">
        <v>396855</v>
      </c>
      <c r="J1646" s="17">
        <v>1688</v>
      </c>
      <c r="K1646" s="17">
        <v>395167</v>
      </c>
      <c r="L1646" s="17">
        <v>67830.240850000002</v>
      </c>
      <c r="M1646" s="17">
        <v>2024</v>
      </c>
      <c r="N1646" s="17" t="s">
        <v>169</v>
      </c>
    </row>
    <row r="1647" spans="1:14" ht="14.25" customHeight="1">
      <c r="A1647" s="17">
        <v>11646</v>
      </c>
      <c r="B1647" s="18">
        <v>45514</v>
      </c>
      <c r="C1647" s="17" t="s">
        <v>167</v>
      </c>
      <c r="D1647" s="17" t="s">
        <v>170</v>
      </c>
      <c r="E1647" s="17" t="s">
        <v>162</v>
      </c>
      <c r="F1647" s="17" t="s">
        <v>164</v>
      </c>
      <c r="G1647" s="17">
        <v>5</v>
      </c>
      <c r="H1647" s="17">
        <v>8353</v>
      </c>
      <c r="I1647" s="17">
        <v>41765</v>
      </c>
      <c r="J1647" s="17">
        <v>4431</v>
      </c>
      <c r="K1647" s="17">
        <v>37334</v>
      </c>
      <c r="L1647" s="17">
        <v>3767.8690569999999</v>
      </c>
      <c r="M1647" s="17">
        <v>2024</v>
      </c>
      <c r="N1647" s="17" t="s">
        <v>126</v>
      </c>
    </row>
    <row r="1648" spans="1:14" ht="14.25" customHeight="1">
      <c r="A1648" s="17">
        <v>11647</v>
      </c>
      <c r="B1648" s="18">
        <v>45991</v>
      </c>
      <c r="C1648" s="17" t="s">
        <v>39</v>
      </c>
      <c r="D1648" s="17" t="s">
        <v>111</v>
      </c>
      <c r="E1648" s="17" t="s">
        <v>165</v>
      </c>
      <c r="F1648" s="17" t="s">
        <v>163</v>
      </c>
      <c r="G1648" s="17">
        <v>6</v>
      </c>
      <c r="H1648" s="17">
        <v>51132</v>
      </c>
      <c r="I1648" s="17">
        <v>306792</v>
      </c>
      <c r="J1648" s="17">
        <v>569</v>
      </c>
      <c r="K1648" s="17">
        <v>306223</v>
      </c>
      <c r="L1648" s="17">
        <v>58010.906609999998</v>
      </c>
      <c r="M1648" s="17">
        <v>2025</v>
      </c>
      <c r="N1648" s="17" t="s">
        <v>173</v>
      </c>
    </row>
    <row r="1649" spans="1:14" ht="14.25" customHeight="1">
      <c r="A1649" s="17">
        <v>11648</v>
      </c>
      <c r="B1649" s="18">
        <v>45739</v>
      </c>
      <c r="C1649" s="17" t="s">
        <v>45</v>
      </c>
      <c r="D1649" s="17" t="s">
        <v>86</v>
      </c>
      <c r="E1649" s="17" t="s">
        <v>168</v>
      </c>
      <c r="F1649" s="17" t="s">
        <v>166</v>
      </c>
      <c r="G1649" s="17">
        <v>1</v>
      </c>
      <c r="H1649" s="17">
        <v>70064</v>
      </c>
      <c r="I1649" s="17">
        <v>70064</v>
      </c>
      <c r="J1649" s="17">
        <v>4694</v>
      </c>
      <c r="K1649" s="17">
        <v>65370</v>
      </c>
      <c r="L1649" s="17">
        <v>12949.46236</v>
      </c>
      <c r="M1649" s="17">
        <v>2025</v>
      </c>
      <c r="N1649" s="17" t="s">
        <v>112</v>
      </c>
    </row>
    <row r="1650" spans="1:14" ht="14.25" customHeight="1">
      <c r="A1650" s="17">
        <v>11649</v>
      </c>
      <c r="B1650" s="18">
        <v>45656</v>
      </c>
      <c r="C1650" s="17" t="s">
        <v>39</v>
      </c>
      <c r="D1650" s="17" t="s">
        <v>170</v>
      </c>
      <c r="E1650" s="17" t="s">
        <v>165</v>
      </c>
      <c r="F1650" s="17" t="s">
        <v>163</v>
      </c>
      <c r="G1650" s="17">
        <v>1</v>
      </c>
      <c r="H1650" s="17">
        <v>60121</v>
      </c>
      <c r="I1650" s="17">
        <v>60121</v>
      </c>
      <c r="J1650" s="17">
        <v>1146</v>
      </c>
      <c r="K1650" s="17">
        <v>58975</v>
      </c>
      <c r="L1650" s="17">
        <v>13222.35694</v>
      </c>
      <c r="M1650" s="17">
        <v>2024</v>
      </c>
      <c r="N1650" s="17" t="s">
        <v>169</v>
      </c>
    </row>
    <row r="1651" spans="1:14" ht="14.25" customHeight="1">
      <c r="A1651" s="17">
        <v>11650</v>
      </c>
      <c r="B1651" s="18">
        <v>45966</v>
      </c>
      <c r="C1651" s="17" t="s">
        <v>50</v>
      </c>
      <c r="D1651" s="17" t="s">
        <v>111</v>
      </c>
      <c r="E1651" s="17" t="s">
        <v>168</v>
      </c>
      <c r="F1651" s="17" t="s">
        <v>163</v>
      </c>
      <c r="G1651" s="17">
        <v>7</v>
      </c>
      <c r="H1651" s="17">
        <v>20205</v>
      </c>
      <c r="I1651" s="17">
        <v>141435</v>
      </c>
      <c r="J1651" s="17">
        <v>3774</v>
      </c>
      <c r="K1651" s="17">
        <v>137661</v>
      </c>
      <c r="L1651" s="17">
        <v>17883.684659999999</v>
      </c>
      <c r="M1651" s="17">
        <v>2025</v>
      </c>
      <c r="N1651" s="17" t="s">
        <v>173</v>
      </c>
    </row>
    <row r="1652" spans="1:14" ht="14.25" customHeight="1">
      <c r="A1652" s="17">
        <v>11651</v>
      </c>
      <c r="B1652" s="18">
        <v>45617</v>
      </c>
      <c r="C1652" s="17" t="s">
        <v>39</v>
      </c>
      <c r="D1652" s="17" t="s">
        <v>83</v>
      </c>
      <c r="E1652" s="17" t="s">
        <v>162</v>
      </c>
      <c r="F1652" s="17" t="s">
        <v>163</v>
      </c>
      <c r="G1652" s="17">
        <v>8</v>
      </c>
      <c r="H1652" s="17">
        <v>9628</v>
      </c>
      <c r="I1652" s="17">
        <v>77024</v>
      </c>
      <c r="J1652" s="17">
        <v>864</v>
      </c>
      <c r="K1652" s="17">
        <v>76160</v>
      </c>
      <c r="L1652" s="17">
        <v>13605.918890000001</v>
      </c>
      <c r="M1652" s="17">
        <v>2024</v>
      </c>
      <c r="N1652" s="17" t="s">
        <v>173</v>
      </c>
    </row>
    <row r="1653" spans="1:14" ht="14.25" customHeight="1">
      <c r="A1653" s="17">
        <v>11652</v>
      </c>
      <c r="B1653" s="18">
        <v>45758</v>
      </c>
      <c r="C1653" s="17" t="s">
        <v>50</v>
      </c>
      <c r="D1653" s="17" t="s">
        <v>86</v>
      </c>
      <c r="E1653" s="17" t="s">
        <v>162</v>
      </c>
      <c r="F1653" s="17" t="s">
        <v>163</v>
      </c>
      <c r="G1653" s="17">
        <v>8</v>
      </c>
      <c r="H1653" s="17">
        <v>57600</v>
      </c>
      <c r="I1653" s="17">
        <v>460800</v>
      </c>
      <c r="J1653" s="17">
        <v>4900</v>
      </c>
      <c r="K1653" s="17">
        <v>455900</v>
      </c>
      <c r="L1653" s="17">
        <v>76167.087650000001</v>
      </c>
      <c r="M1653" s="17">
        <v>2025</v>
      </c>
      <c r="N1653" s="17" t="s">
        <v>114</v>
      </c>
    </row>
    <row r="1654" spans="1:14" ht="14.25" customHeight="1">
      <c r="A1654" s="17">
        <v>11653</v>
      </c>
      <c r="B1654" s="18">
        <v>45705</v>
      </c>
      <c r="C1654" s="17" t="s">
        <v>39</v>
      </c>
      <c r="D1654" s="17" t="s">
        <v>170</v>
      </c>
      <c r="E1654" s="17" t="s">
        <v>168</v>
      </c>
      <c r="F1654" s="17" t="s">
        <v>163</v>
      </c>
      <c r="G1654" s="17">
        <v>7</v>
      </c>
      <c r="H1654" s="17">
        <v>43095</v>
      </c>
      <c r="I1654" s="17">
        <v>301665</v>
      </c>
      <c r="J1654" s="17">
        <v>4409</v>
      </c>
      <c r="K1654" s="17">
        <v>297256</v>
      </c>
      <c r="L1654" s="17">
        <v>59351.937059999997</v>
      </c>
      <c r="M1654" s="17">
        <v>2025</v>
      </c>
      <c r="N1654" s="17" t="s">
        <v>175</v>
      </c>
    </row>
    <row r="1655" spans="1:14" ht="14.25" customHeight="1">
      <c r="A1655" s="17">
        <v>11654</v>
      </c>
      <c r="B1655" s="18">
        <v>45746</v>
      </c>
      <c r="C1655" s="17" t="s">
        <v>39</v>
      </c>
      <c r="D1655" s="17" t="s">
        <v>86</v>
      </c>
      <c r="E1655" s="17" t="s">
        <v>165</v>
      </c>
      <c r="F1655" s="17" t="s">
        <v>164</v>
      </c>
      <c r="G1655" s="17">
        <v>9</v>
      </c>
      <c r="H1655" s="17">
        <v>63844</v>
      </c>
      <c r="I1655" s="17">
        <v>574596</v>
      </c>
      <c r="J1655" s="17">
        <v>27</v>
      </c>
      <c r="K1655" s="17">
        <v>574569</v>
      </c>
      <c r="L1655" s="17">
        <v>62967.855329999999</v>
      </c>
      <c r="M1655" s="17">
        <v>2025</v>
      </c>
      <c r="N1655" s="17" t="s">
        <v>112</v>
      </c>
    </row>
    <row r="1656" spans="1:14" ht="14.25" customHeight="1">
      <c r="A1656" s="17">
        <v>11655</v>
      </c>
      <c r="B1656" s="18">
        <v>45877</v>
      </c>
      <c r="C1656" s="17" t="s">
        <v>167</v>
      </c>
      <c r="D1656" s="17" t="s">
        <v>111</v>
      </c>
      <c r="E1656" s="17" t="s">
        <v>168</v>
      </c>
      <c r="F1656" s="17" t="s">
        <v>164</v>
      </c>
      <c r="G1656" s="17">
        <v>1</v>
      </c>
      <c r="H1656" s="17">
        <v>52049</v>
      </c>
      <c r="I1656" s="17">
        <v>52049</v>
      </c>
      <c r="J1656" s="17">
        <v>1029</v>
      </c>
      <c r="K1656" s="17">
        <v>51020</v>
      </c>
      <c r="L1656" s="17">
        <v>11867.35097</v>
      </c>
      <c r="M1656" s="17">
        <v>2025</v>
      </c>
      <c r="N1656" s="17" t="s">
        <v>126</v>
      </c>
    </row>
    <row r="1657" spans="1:14" ht="14.25" customHeight="1">
      <c r="A1657" s="17">
        <v>11656</v>
      </c>
      <c r="B1657" s="18">
        <v>45524</v>
      </c>
      <c r="C1657" s="17" t="s">
        <v>45</v>
      </c>
      <c r="D1657" s="17" t="s">
        <v>89</v>
      </c>
      <c r="E1657" s="17" t="s">
        <v>168</v>
      </c>
      <c r="F1657" s="17" t="s">
        <v>166</v>
      </c>
      <c r="G1657" s="17">
        <v>2</v>
      </c>
      <c r="H1657" s="17">
        <v>26433</v>
      </c>
      <c r="I1657" s="17">
        <v>52866</v>
      </c>
      <c r="J1657" s="17">
        <v>1996</v>
      </c>
      <c r="K1657" s="17">
        <v>50870</v>
      </c>
      <c r="L1657" s="17">
        <v>8987.3865729999998</v>
      </c>
      <c r="M1657" s="17">
        <v>2024</v>
      </c>
      <c r="N1657" s="17" t="s">
        <v>126</v>
      </c>
    </row>
    <row r="1658" spans="1:14" ht="14.25" customHeight="1">
      <c r="A1658" s="17">
        <v>11657</v>
      </c>
      <c r="B1658" s="18">
        <v>45515</v>
      </c>
      <c r="C1658" s="17" t="s">
        <v>45</v>
      </c>
      <c r="D1658" s="17" t="s">
        <v>86</v>
      </c>
      <c r="E1658" s="17" t="s">
        <v>162</v>
      </c>
      <c r="F1658" s="17" t="s">
        <v>163</v>
      </c>
      <c r="G1658" s="17">
        <v>3</v>
      </c>
      <c r="H1658" s="17">
        <v>17093</v>
      </c>
      <c r="I1658" s="17">
        <v>51279</v>
      </c>
      <c r="J1658" s="17">
        <v>1341</v>
      </c>
      <c r="K1658" s="17">
        <v>49938</v>
      </c>
      <c r="L1658" s="17">
        <v>11563.48431</v>
      </c>
      <c r="M1658" s="17">
        <v>2024</v>
      </c>
      <c r="N1658" s="17" t="s">
        <v>126</v>
      </c>
    </row>
    <row r="1659" spans="1:14" ht="14.25" customHeight="1">
      <c r="A1659" s="17">
        <v>11658</v>
      </c>
      <c r="B1659" s="18">
        <v>45703</v>
      </c>
      <c r="C1659" s="17" t="s">
        <v>58</v>
      </c>
      <c r="D1659" s="17" t="s">
        <v>86</v>
      </c>
      <c r="E1659" s="17" t="s">
        <v>168</v>
      </c>
      <c r="F1659" s="17" t="s">
        <v>163</v>
      </c>
      <c r="G1659" s="17">
        <v>5</v>
      </c>
      <c r="H1659" s="17">
        <v>21684</v>
      </c>
      <c r="I1659" s="17">
        <v>108420</v>
      </c>
      <c r="J1659" s="17">
        <v>1248</v>
      </c>
      <c r="K1659" s="17">
        <v>107172</v>
      </c>
      <c r="L1659" s="17">
        <v>16186.784079999999</v>
      </c>
      <c r="M1659" s="17">
        <v>2025</v>
      </c>
      <c r="N1659" s="17" t="s">
        <v>175</v>
      </c>
    </row>
    <row r="1660" spans="1:14" ht="14.25" customHeight="1">
      <c r="A1660" s="17">
        <v>11659</v>
      </c>
      <c r="B1660" s="18">
        <v>45863</v>
      </c>
      <c r="C1660" s="17" t="s">
        <v>167</v>
      </c>
      <c r="D1660" s="17" t="s">
        <v>83</v>
      </c>
      <c r="E1660" s="17" t="s">
        <v>165</v>
      </c>
      <c r="F1660" s="17" t="s">
        <v>166</v>
      </c>
      <c r="G1660" s="17">
        <v>4</v>
      </c>
      <c r="H1660" s="17">
        <v>65321</v>
      </c>
      <c r="I1660" s="17">
        <v>261284</v>
      </c>
      <c r="J1660" s="17">
        <v>2136</v>
      </c>
      <c r="K1660" s="17">
        <v>259148</v>
      </c>
      <c r="L1660" s="17">
        <v>51318.646229999998</v>
      </c>
      <c r="M1660" s="17">
        <v>2025</v>
      </c>
      <c r="N1660" s="17" t="s">
        <v>123</v>
      </c>
    </row>
    <row r="1661" spans="1:14" ht="14.25" customHeight="1">
      <c r="A1661" s="17">
        <v>11660</v>
      </c>
      <c r="B1661" s="18">
        <v>45626</v>
      </c>
      <c r="C1661" s="17" t="s">
        <v>167</v>
      </c>
      <c r="D1661" s="17" t="s">
        <v>111</v>
      </c>
      <c r="E1661" s="17" t="s">
        <v>168</v>
      </c>
      <c r="F1661" s="17" t="s">
        <v>166</v>
      </c>
      <c r="G1661" s="17">
        <v>4</v>
      </c>
      <c r="H1661" s="17">
        <v>56305</v>
      </c>
      <c r="I1661" s="17">
        <v>225220</v>
      </c>
      <c r="J1661" s="17">
        <v>2087</v>
      </c>
      <c r="K1661" s="17">
        <v>223133</v>
      </c>
      <c r="L1661" s="17">
        <v>54334.842909999999</v>
      </c>
      <c r="M1661" s="17">
        <v>2024</v>
      </c>
      <c r="N1661" s="17" t="s">
        <v>173</v>
      </c>
    </row>
    <row r="1662" spans="1:14" ht="14.25" customHeight="1">
      <c r="A1662" s="17">
        <v>11661</v>
      </c>
      <c r="B1662" s="18">
        <v>45513</v>
      </c>
      <c r="C1662" s="17" t="s">
        <v>45</v>
      </c>
      <c r="D1662" s="17" t="s">
        <v>86</v>
      </c>
      <c r="E1662" s="17" t="s">
        <v>162</v>
      </c>
      <c r="F1662" s="17" t="s">
        <v>172</v>
      </c>
      <c r="G1662" s="17">
        <v>8</v>
      </c>
      <c r="H1662" s="17">
        <v>67025</v>
      </c>
      <c r="I1662" s="17">
        <v>536200</v>
      </c>
      <c r="J1662" s="17">
        <v>680</v>
      </c>
      <c r="K1662" s="17">
        <v>535520</v>
      </c>
      <c r="L1662" s="17">
        <v>129331.76360000001</v>
      </c>
      <c r="M1662" s="17">
        <v>2024</v>
      </c>
      <c r="N1662" s="17" t="s">
        <v>126</v>
      </c>
    </row>
    <row r="1663" spans="1:14" ht="14.25" customHeight="1">
      <c r="A1663" s="17">
        <v>11662</v>
      </c>
      <c r="B1663" s="18">
        <v>45328</v>
      </c>
      <c r="C1663" s="17" t="s">
        <v>167</v>
      </c>
      <c r="D1663" s="17" t="s">
        <v>111</v>
      </c>
      <c r="E1663" s="17" t="s">
        <v>165</v>
      </c>
      <c r="F1663" s="17" t="s">
        <v>166</v>
      </c>
      <c r="G1663" s="17">
        <v>8</v>
      </c>
      <c r="H1663" s="17">
        <v>19907</v>
      </c>
      <c r="I1663" s="17">
        <v>159256</v>
      </c>
      <c r="J1663" s="17">
        <v>374</v>
      </c>
      <c r="K1663" s="17">
        <v>158882</v>
      </c>
      <c r="L1663" s="17">
        <v>38388.340080000002</v>
      </c>
      <c r="M1663" s="17">
        <v>2024</v>
      </c>
      <c r="N1663" s="17" t="s">
        <v>175</v>
      </c>
    </row>
    <row r="1664" spans="1:14" ht="14.25" customHeight="1">
      <c r="A1664" s="17">
        <v>11663</v>
      </c>
      <c r="B1664" s="18">
        <v>45569</v>
      </c>
      <c r="C1664" s="17" t="s">
        <v>45</v>
      </c>
      <c r="D1664" s="17" t="s">
        <v>83</v>
      </c>
      <c r="E1664" s="17" t="s">
        <v>162</v>
      </c>
      <c r="F1664" s="17" t="s">
        <v>166</v>
      </c>
      <c r="G1664" s="17">
        <v>7</v>
      </c>
      <c r="H1664" s="17">
        <v>59057</v>
      </c>
      <c r="I1664" s="17">
        <v>413399</v>
      </c>
      <c r="J1664" s="17">
        <v>3369</v>
      </c>
      <c r="K1664" s="17">
        <v>410030</v>
      </c>
      <c r="L1664" s="17">
        <v>43644.423949999997</v>
      </c>
      <c r="M1664" s="17">
        <v>2024</v>
      </c>
      <c r="N1664" s="17" t="s">
        <v>174</v>
      </c>
    </row>
    <row r="1665" spans="1:14" ht="14.25" customHeight="1">
      <c r="A1665" s="17">
        <v>11664</v>
      </c>
      <c r="B1665" s="18">
        <v>45487</v>
      </c>
      <c r="C1665" s="17" t="s">
        <v>167</v>
      </c>
      <c r="D1665" s="17" t="s">
        <v>111</v>
      </c>
      <c r="E1665" s="17" t="s">
        <v>168</v>
      </c>
      <c r="F1665" s="17" t="s">
        <v>166</v>
      </c>
      <c r="G1665" s="17">
        <v>1</v>
      </c>
      <c r="H1665" s="17">
        <v>17921</v>
      </c>
      <c r="I1665" s="17">
        <v>17921</v>
      </c>
      <c r="J1665" s="17">
        <v>3045</v>
      </c>
      <c r="K1665" s="17">
        <v>14876</v>
      </c>
      <c r="L1665" s="17">
        <v>2386.889905</v>
      </c>
      <c r="M1665" s="17">
        <v>2024</v>
      </c>
      <c r="N1665" s="17" t="s">
        <v>123</v>
      </c>
    </row>
    <row r="1666" spans="1:14" ht="14.25" customHeight="1">
      <c r="A1666" s="17">
        <v>11665</v>
      </c>
      <c r="B1666" s="18">
        <v>45775</v>
      </c>
      <c r="C1666" s="17" t="s">
        <v>39</v>
      </c>
      <c r="D1666" s="17" t="s">
        <v>83</v>
      </c>
      <c r="E1666" s="17" t="s">
        <v>168</v>
      </c>
      <c r="F1666" s="17" t="s">
        <v>172</v>
      </c>
      <c r="G1666" s="17">
        <v>4</v>
      </c>
      <c r="H1666" s="17">
        <v>51794</v>
      </c>
      <c r="I1666" s="17">
        <v>207176</v>
      </c>
      <c r="J1666" s="17">
        <v>2337</v>
      </c>
      <c r="K1666" s="17">
        <v>204839</v>
      </c>
      <c r="L1666" s="17">
        <v>22351.4558</v>
      </c>
      <c r="M1666" s="17">
        <v>2025</v>
      </c>
      <c r="N1666" s="17" t="s">
        <v>114</v>
      </c>
    </row>
    <row r="1667" spans="1:14" ht="14.25" customHeight="1">
      <c r="A1667" s="17">
        <v>11666</v>
      </c>
      <c r="B1667" s="18">
        <v>45533</v>
      </c>
      <c r="C1667" s="17" t="s">
        <v>45</v>
      </c>
      <c r="D1667" s="17" t="s">
        <v>83</v>
      </c>
      <c r="E1667" s="17" t="s">
        <v>162</v>
      </c>
      <c r="F1667" s="17" t="s">
        <v>164</v>
      </c>
      <c r="G1667" s="17">
        <v>1</v>
      </c>
      <c r="H1667" s="17">
        <v>73618</v>
      </c>
      <c r="I1667" s="17">
        <v>73618</v>
      </c>
      <c r="J1667" s="17">
        <v>805</v>
      </c>
      <c r="K1667" s="17">
        <v>72813</v>
      </c>
      <c r="L1667" s="17">
        <v>10661.392470000001</v>
      </c>
      <c r="M1667" s="17">
        <v>2024</v>
      </c>
      <c r="N1667" s="17" t="s">
        <v>126</v>
      </c>
    </row>
    <row r="1668" spans="1:14" ht="14.25" customHeight="1">
      <c r="A1668" s="17">
        <v>11667</v>
      </c>
      <c r="B1668" s="18">
        <v>45615</v>
      </c>
      <c r="C1668" s="17" t="s">
        <v>45</v>
      </c>
      <c r="D1668" s="17" t="s">
        <v>170</v>
      </c>
      <c r="E1668" s="17" t="s">
        <v>162</v>
      </c>
      <c r="F1668" s="17" t="s">
        <v>172</v>
      </c>
      <c r="G1668" s="17">
        <v>5</v>
      </c>
      <c r="H1668" s="17">
        <v>77610</v>
      </c>
      <c r="I1668" s="17">
        <v>388050</v>
      </c>
      <c r="J1668" s="17">
        <v>3039</v>
      </c>
      <c r="K1668" s="17">
        <v>385011</v>
      </c>
      <c r="L1668" s="17">
        <v>48583.273050000003</v>
      </c>
      <c r="M1668" s="17">
        <v>2024</v>
      </c>
      <c r="N1668" s="17" t="s">
        <v>173</v>
      </c>
    </row>
    <row r="1669" spans="1:14" ht="14.25" customHeight="1">
      <c r="A1669" s="17">
        <v>11668</v>
      </c>
      <c r="B1669" s="18">
        <v>46022</v>
      </c>
      <c r="C1669" s="17" t="s">
        <v>50</v>
      </c>
      <c r="D1669" s="17" t="s">
        <v>111</v>
      </c>
      <c r="E1669" s="17" t="s">
        <v>165</v>
      </c>
      <c r="F1669" s="17" t="s">
        <v>164</v>
      </c>
      <c r="G1669" s="17">
        <v>3</v>
      </c>
      <c r="H1669" s="17">
        <v>34330</v>
      </c>
      <c r="I1669" s="17">
        <v>102990</v>
      </c>
      <c r="J1669" s="17">
        <v>278</v>
      </c>
      <c r="K1669" s="17">
        <v>102712</v>
      </c>
      <c r="L1669" s="17">
        <v>19825.53327</v>
      </c>
      <c r="M1669" s="17">
        <v>2025</v>
      </c>
      <c r="N1669" s="17" t="s">
        <v>169</v>
      </c>
    </row>
    <row r="1670" spans="1:14" ht="14.25" customHeight="1">
      <c r="A1670" s="17">
        <v>11669</v>
      </c>
      <c r="B1670" s="18">
        <v>45483</v>
      </c>
      <c r="C1670" s="17" t="s">
        <v>167</v>
      </c>
      <c r="D1670" s="17" t="s">
        <v>89</v>
      </c>
      <c r="E1670" s="17" t="s">
        <v>162</v>
      </c>
      <c r="F1670" s="17" t="s">
        <v>166</v>
      </c>
      <c r="G1670" s="17">
        <v>3</v>
      </c>
      <c r="H1670" s="17">
        <v>22623</v>
      </c>
      <c r="I1670" s="17">
        <v>67869</v>
      </c>
      <c r="J1670" s="17">
        <v>1405</v>
      </c>
      <c r="K1670" s="17">
        <v>66464</v>
      </c>
      <c r="L1670" s="17">
        <v>14430.126829999999</v>
      </c>
      <c r="M1670" s="17">
        <v>2024</v>
      </c>
      <c r="N1670" s="17" t="s">
        <v>123</v>
      </c>
    </row>
    <row r="1671" spans="1:14" ht="14.25" customHeight="1">
      <c r="A1671" s="17">
        <v>11670</v>
      </c>
      <c r="B1671" s="18">
        <v>45308</v>
      </c>
      <c r="C1671" s="17" t="s">
        <v>167</v>
      </c>
      <c r="D1671" s="17" t="s">
        <v>170</v>
      </c>
      <c r="E1671" s="17" t="s">
        <v>162</v>
      </c>
      <c r="F1671" s="17" t="s">
        <v>172</v>
      </c>
      <c r="G1671" s="17">
        <v>4</v>
      </c>
      <c r="H1671" s="17">
        <v>65277</v>
      </c>
      <c r="I1671" s="17">
        <v>261108</v>
      </c>
      <c r="J1671" s="17">
        <v>787</v>
      </c>
      <c r="K1671" s="17">
        <v>260321</v>
      </c>
      <c r="L1671" s="17">
        <v>46077.349300000002</v>
      </c>
      <c r="M1671" s="17">
        <v>2024</v>
      </c>
      <c r="N1671" s="17" t="s">
        <v>171</v>
      </c>
    </row>
    <row r="1672" spans="1:14" ht="14.25" customHeight="1">
      <c r="A1672" s="17">
        <v>11671</v>
      </c>
      <c r="B1672" s="18">
        <v>45815</v>
      </c>
      <c r="C1672" s="17" t="s">
        <v>45</v>
      </c>
      <c r="D1672" s="17" t="s">
        <v>83</v>
      </c>
      <c r="E1672" s="17" t="s">
        <v>168</v>
      </c>
      <c r="F1672" s="17" t="s">
        <v>172</v>
      </c>
      <c r="G1672" s="17">
        <v>2</v>
      </c>
      <c r="H1672" s="17">
        <v>5459</v>
      </c>
      <c r="I1672" s="17">
        <v>10918</v>
      </c>
      <c r="J1672" s="17">
        <v>1332</v>
      </c>
      <c r="K1672" s="17">
        <v>9586</v>
      </c>
      <c r="L1672" s="17">
        <v>2102.4107319999998</v>
      </c>
      <c r="M1672" s="17">
        <v>2025</v>
      </c>
      <c r="N1672" s="17" t="s">
        <v>120</v>
      </c>
    </row>
    <row r="1673" spans="1:14" ht="14.25" customHeight="1">
      <c r="A1673" s="17">
        <v>11672</v>
      </c>
      <c r="B1673" s="18">
        <v>45692</v>
      </c>
      <c r="C1673" s="17" t="s">
        <v>39</v>
      </c>
      <c r="D1673" s="17" t="s">
        <v>89</v>
      </c>
      <c r="E1673" s="17" t="s">
        <v>168</v>
      </c>
      <c r="F1673" s="17" t="s">
        <v>164</v>
      </c>
      <c r="G1673" s="17">
        <v>7</v>
      </c>
      <c r="H1673" s="17">
        <v>70037</v>
      </c>
      <c r="I1673" s="17">
        <v>490259</v>
      </c>
      <c r="J1673" s="17">
        <v>4372</v>
      </c>
      <c r="K1673" s="17">
        <v>485887</v>
      </c>
      <c r="L1673" s="17">
        <v>49522.572139999997</v>
      </c>
      <c r="M1673" s="17">
        <v>2025</v>
      </c>
      <c r="N1673" s="17" t="s">
        <v>175</v>
      </c>
    </row>
    <row r="1674" spans="1:14" ht="14.25" customHeight="1">
      <c r="A1674" s="17">
        <v>11673</v>
      </c>
      <c r="B1674" s="18">
        <v>45996</v>
      </c>
      <c r="C1674" s="17" t="s">
        <v>39</v>
      </c>
      <c r="D1674" s="17" t="s">
        <v>86</v>
      </c>
      <c r="E1674" s="17" t="s">
        <v>162</v>
      </c>
      <c r="F1674" s="17" t="s">
        <v>172</v>
      </c>
      <c r="G1674" s="17">
        <v>4</v>
      </c>
      <c r="H1674" s="17">
        <v>57915</v>
      </c>
      <c r="I1674" s="17">
        <v>231660</v>
      </c>
      <c r="J1674" s="17">
        <v>3147</v>
      </c>
      <c r="K1674" s="17">
        <v>228513</v>
      </c>
      <c r="L1674" s="17">
        <v>50974.727330000002</v>
      </c>
      <c r="M1674" s="17">
        <v>2025</v>
      </c>
      <c r="N1674" s="17" t="s">
        <v>169</v>
      </c>
    </row>
    <row r="1675" spans="1:14" ht="14.25" customHeight="1">
      <c r="A1675" s="17">
        <v>11674</v>
      </c>
      <c r="B1675" s="18">
        <v>45313</v>
      </c>
      <c r="C1675" s="17" t="s">
        <v>39</v>
      </c>
      <c r="D1675" s="17" t="s">
        <v>86</v>
      </c>
      <c r="E1675" s="17" t="s">
        <v>162</v>
      </c>
      <c r="F1675" s="17" t="s">
        <v>172</v>
      </c>
      <c r="G1675" s="17">
        <v>5</v>
      </c>
      <c r="H1675" s="17">
        <v>61172</v>
      </c>
      <c r="I1675" s="17">
        <v>305860</v>
      </c>
      <c r="J1675" s="17">
        <v>2345</v>
      </c>
      <c r="K1675" s="17">
        <v>303515</v>
      </c>
      <c r="L1675" s="17">
        <v>38471.750540000001</v>
      </c>
      <c r="M1675" s="17">
        <v>2024</v>
      </c>
      <c r="N1675" s="17" t="s">
        <v>171</v>
      </c>
    </row>
    <row r="1676" spans="1:14" ht="14.25" customHeight="1">
      <c r="A1676" s="17">
        <v>11675</v>
      </c>
      <c r="B1676" s="18">
        <v>45765</v>
      </c>
      <c r="C1676" s="17" t="s">
        <v>167</v>
      </c>
      <c r="D1676" s="17" t="s">
        <v>170</v>
      </c>
      <c r="E1676" s="17" t="s">
        <v>168</v>
      </c>
      <c r="F1676" s="17" t="s">
        <v>163</v>
      </c>
      <c r="G1676" s="17">
        <v>2</v>
      </c>
      <c r="H1676" s="17">
        <v>73337</v>
      </c>
      <c r="I1676" s="17">
        <v>146674</v>
      </c>
      <c r="J1676" s="17">
        <v>3449</v>
      </c>
      <c r="K1676" s="17">
        <v>143225</v>
      </c>
      <c r="L1676" s="17">
        <v>24225.131669999999</v>
      </c>
      <c r="M1676" s="17">
        <v>2025</v>
      </c>
      <c r="N1676" s="17" t="s">
        <v>114</v>
      </c>
    </row>
    <row r="1677" spans="1:14" ht="14.25" customHeight="1">
      <c r="A1677" s="17">
        <v>11676</v>
      </c>
      <c r="B1677" s="18">
        <v>45411</v>
      </c>
      <c r="C1677" s="17" t="s">
        <v>50</v>
      </c>
      <c r="D1677" s="17" t="s">
        <v>89</v>
      </c>
      <c r="E1677" s="17" t="s">
        <v>165</v>
      </c>
      <c r="F1677" s="17" t="s">
        <v>164</v>
      </c>
      <c r="G1677" s="17">
        <v>6</v>
      </c>
      <c r="H1677" s="17">
        <v>33831</v>
      </c>
      <c r="I1677" s="17">
        <v>202986</v>
      </c>
      <c r="J1677" s="17">
        <v>432</v>
      </c>
      <c r="K1677" s="17">
        <v>202554</v>
      </c>
      <c r="L1677" s="17">
        <v>33702.523029999997</v>
      </c>
      <c r="M1677" s="17">
        <v>2024</v>
      </c>
      <c r="N1677" s="17" t="s">
        <v>114</v>
      </c>
    </row>
    <row r="1678" spans="1:14" ht="14.25" customHeight="1">
      <c r="A1678" s="17">
        <v>11677</v>
      </c>
      <c r="B1678" s="18">
        <v>45501</v>
      </c>
      <c r="C1678" s="17" t="s">
        <v>45</v>
      </c>
      <c r="D1678" s="17" t="s">
        <v>111</v>
      </c>
      <c r="E1678" s="17" t="s">
        <v>165</v>
      </c>
      <c r="F1678" s="17" t="s">
        <v>172</v>
      </c>
      <c r="G1678" s="17">
        <v>9</v>
      </c>
      <c r="H1678" s="17">
        <v>21847</v>
      </c>
      <c r="I1678" s="17">
        <v>196623</v>
      </c>
      <c r="J1678" s="17">
        <v>1009</v>
      </c>
      <c r="K1678" s="17">
        <v>195614</v>
      </c>
      <c r="L1678" s="17">
        <v>45181.616849999999</v>
      </c>
      <c r="M1678" s="17">
        <v>2024</v>
      </c>
      <c r="N1678" s="17" t="s">
        <v>123</v>
      </c>
    </row>
    <row r="1679" spans="1:14" ht="14.25" customHeight="1">
      <c r="A1679" s="17">
        <v>11678</v>
      </c>
      <c r="B1679" s="18">
        <v>45597</v>
      </c>
      <c r="C1679" s="17" t="s">
        <v>58</v>
      </c>
      <c r="D1679" s="17" t="s">
        <v>89</v>
      </c>
      <c r="E1679" s="17" t="s">
        <v>165</v>
      </c>
      <c r="F1679" s="17" t="s">
        <v>172</v>
      </c>
      <c r="G1679" s="17">
        <v>8</v>
      </c>
      <c r="H1679" s="17">
        <v>5997</v>
      </c>
      <c r="I1679" s="17">
        <v>47976</v>
      </c>
      <c r="J1679" s="17">
        <v>3849</v>
      </c>
      <c r="K1679" s="17">
        <v>44127</v>
      </c>
      <c r="L1679" s="17">
        <v>10806.564270000001</v>
      </c>
      <c r="M1679" s="17">
        <v>2024</v>
      </c>
      <c r="N1679" s="17" t="s">
        <v>173</v>
      </c>
    </row>
    <row r="1680" spans="1:14" ht="14.25" customHeight="1">
      <c r="A1680" s="17">
        <v>11679</v>
      </c>
      <c r="B1680" s="18">
        <v>45561</v>
      </c>
      <c r="C1680" s="17" t="s">
        <v>50</v>
      </c>
      <c r="D1680" s="17" t="s">
        <v>170</v>
      </c>
      <c r="E1680" s="17" t="s">
        <v>165</v>
      </c>
      <c r="F1680" s="17" t="s">
        <v>166</v>
      </c>
      <c r="G1680" s="17">
        <v>8</v>
      </c>
      <c r="H1680" s="17">
        <v>27025</v>
      </c>
      <c r="I1680" s="17">
        <v>216200</v>
      </c>
      <c r="J1680" s="17">
        <v>316</v>
      </c>
      <c r="K1680" s="17">
        <v>215884</v>
      </c>
      <c r="L1680" s="17">
        <v>29849.880209999999</v>
      </c>
      <c r="M1680" s="17">
        <v>2024</v>
      </c>
      <c r="N1680" s="17" t="s">
        <v>129</v>
      </c>
    </row>
    <row r="1681" spans="1:14" ht="14.25" customHeight="1">
      <c r="A1681" s="17">
        <v>11680</v>
      </c>
      <c r="B1681" s="18">
        <v>45995</v>
      </c>
      <c r="C1681" s="17" t="s">
        <v>58</v>
      </c>
      <c r="D1681" s="17" t="s">
        <v>111</v>
      </c>
      <c r="E1681" s="17" t="s">
        <v>168</v>
      </c>
      <c r="F1681" s="17" t="s">
        <v>163</v>
      </c>
      <c r="G1681" s="17">
        <v>2</v>
      </c>
      <c r="H1681" s="17">
        <v>69784</v>
      </c>
      <c r="I1681" s="17">
        <v>139568</v>
      </c>
      <c r="J1681" s="17">
        <v>4216</v>
      </c>
      <c r="K1681" s="17">
        <v>135352</v>
      </c>
      <c r="L1681" s="17">
        <v>14903.87616</v>
      </c>
      <c r="M1681" s="17">
        <v>2025</v>
      </c>
      <c r="N1681" s="17" t="s">
        <v>169</v>
      </c>
    </row>
    <row r="1682" spans="1:14" ht="14.25" customHeight="1">
      <c r="A1682" s="17">
        <v>11681</v>
      </c>
      <c r="B1682" s="18">
        <v>45978</v>
      </c>
      <c r="C1682" s="17" t="s">
        <v>50</v>
      </c>
      <c r="D1682" s="17" t="s">
        <v>111</v>
      </c>
      <c r="E1682" s="17" t="s">
        <v>162</v>
      </c>
      <c r="F1682" s="17" t="s">
        <v>163</v>
      </c>
      <c r="G1682" s="17">
        <v>4</v>
      </c>
      <c r="H1682" s="17">
        <v>11384</v>
      </c>
      <c r="I1682" s="17">
        <v>45536</v>
      </c>
      <c r="J1682" s="17">
        <v>1365</v>
      </c>
      <c r="K1682" s="17">
        <v>44171</v>
      </c>
      <c r="L1682" s="17">
        <v>8727.2296480000005</v>
      </c>
      <c r="M1682" s="17">
        <v>2025</v>
      </c>
      <c r="N1682" s="17" t="s">
        <v>173</v>
      </c>
    </row>
    <row r="1683" spans="1:14" ht="14.25" customHeight="1">
      <c r="A1683" s="17">
        <v>11682</v>
      </c>
      <c r="B1683" s="18">
        <v>45576</v>
      </c>
      <c r="C1683" s="17" t="s">
        <v>39</v>
      </c>
      <c r="D1683" s="17" t="s">
        <v>86</v>
      </c>
      <c r="E1683" s="17" t="s">
        <v>165</v>
      </c>
      <c r="F1683" s="17" t="s">
        <v>166</v>
      </c>
      <c r="G1683" s="17">
        <v>8</v>
      </c>
      <c r="H1683" s="17">
        <v>53067</v>
      </c>
      <c r="I1683" s="17">
        <v>424536</v>
      </c>
      <c r="J1683" s="17">
        <v>4399</v>
      </c>
      <c r="K1683" s="17">
        <v>420137</v>
      </c>
      <c r="L1683" s="17">
        <v>73702.990340000004</v>
      </c>
      <c r="M1683" s="17">
        <v>2024</v>
      </c>
      <c r="N1683" s="17" t="s">
        <v>174</v>
      </c>
    </row>
    <row r="1684" spans="1:14" ht="14.25" customHeight="1">
      <c r="A1684" s="17">
        <v>11683</v>
      </c>
      <c r="B1684" s="18">
        <v>46007</v>
      </c>
      <c r="C1684" s="17" t="s">
        <v>167</v>
      </c>
      <c r="D1684" s="17" t="s">
        <v>89</v>
      </c>
      <c r="E1684" s="17" t="s">
        <v>168</v>
      </c>
      <c r="F1684" s="17" t="s">
        <v>166</v>
      </c>
      <c r="G1684" s="17">
        <v>1</v>
      </c>
      <c r="H1684" s="17">
        <v>16198</v>
      </c>
      <c r="I1684" s="17">
        <v>16198</v>
      </c>
      <c r="J1684" s="17">
        <v>935</v>
      </c>
      <c r="K1684" s="17">
        <v>15263</v>
      </c>
      <c r="L1684" s="17">
        <v>2821.4536370000001</v>
      </c>
      <c r="M1684" s="17">
        <v>2025</v>
      </c>
      <c r="N1684" s="17" t="s">
        <v>169</v>
      </c>
    </row>
    <row r="1685" spans="1:14" ht="14.25" customHeight="1">
      <c r="A1685" s="17">
        <v>11684</v>
      </c>
      <c r="B1685" s="18">
        <v>45967</v>
      </c>
      <c r="C1685" s="17" t="s">
        <v>58</v>
      </c>
      <c r="D1685" s="17" t="s">
        <v>111</v>
      </c>
      <c r="E1685" s="17" t="s">
        <v>162</v>
      </c>
      <c r="F1685" s="17" t="s">
        <v>166</v>
      </c>
      <c r="G1685" s="17">
        <v>8</v>
      </c>
      <c r="H1685" s="17">
        <v>39446</v>
      </c>
      <c r="I1685" s="17">
        <v>315568</v>
      </c>
      <c r="J1685" s="17">
        <v>3518</v>
      </c>
      <c r="K1685" s="17">
        <v>312050</v>
      </c>
      <c r="L1685" s="17">
        <v>33370.792979999998</v>
      </c>
      <c r="M1685" s="17">
        <v>2025</v>
      </c>
      <c r="N1685" s="17" t="s">
        <v>173</v>
      </c>
    </row>
    <row r="1686" spans="1:14" ht="14.25" customHeight="1">
      <c r="A1686" s="17">
        <v>11685</v>
      </c>
      <c r="B1686" s="18">
        <v>45518</v>
      </c>
      <c r="C1686" s="17" t="s">
        <v>50</v>
      </c>
      <c r="D1686" s="17" t="s">
        <v>170</v>
      </c>
      <c r="E1686" s="17" t="s">
        <v>165</v>
      </c>
      <c r="F1686" s="17" t="s">
        <v>166</v>
      </c>
      <c r="G1686" s="17">
        <v>3</v>
      </c>
      <c r="H1686" s="17">
        <v>14382</v>
      </c>
      <c r="I1686" s="17">
        <v>43146</v>
      </c>
      <c r="J1686" s="17">
        <v>3787</v>
      </c>
      <c r="K1686" s="17">
        <v>39359</v>
      </c>
      <c r="L1686" s="17">
        <v>8513.2128900000007</v>
      </c>
      <c r="M1686" s="17">
        <v>2024</v>
      </c>
      <c r="N1686" s="17" t="s">
        <v>126</v>
      </c>
    </row>
    <row r="1687" spans="1:14" ht="14.25" customHeight="1">
      <c r="A1687" s="17">
        <v>11686</v>
      </c>
      <c r="B1687" s="18">
        <v>45672</v>
      </c>
      <c r="C1687" s="17" t="s">
        <v>167</v>
      </c>
      <c r="D1687" s="17" t="s">
        <v>86</v>
      </c>
      <c r="E1687" s="17" t="s">
        <v>162</v>
      </c>
      <c r="F1687" s="17" t="s">
        <v>163</v>
      </c>
      <c r="G1687" s="17">
        <v>8</v>
      </c>
      <c r="H1687" s="17">
        <v>29120</v>
      </c>
      <c r="I1687" s="17">
        <v>232960</v>
      </c>
      <c r="J1687" s="17">
        <v>2768</v>
      </c>
      <c r="K1687" s="17">
        <v>230192</v>
      </c>
      <c r="L1687" s="17">
        <v>31042.084599999998</v>
      </c>
      <c r="M1687" s="17">
        <v>2025</v>
      </c>
      <c r="N1687" s="17" t="s">
        <v>171</v>
      </c>
    </row>
    <row r="1688" spans="1:14" ht="14.25" customHeight="1">
      <c r="A1688" s="17">
        <v>11687</v>
      </c>
      <c r="B1688" s="18">
        <v>45751</v>
      </c>
      <c r="C1688" s="17" t="s">
        <v>58</v>
      </c>
      <c r="D1688" s="17" t="s">
        <v>111</v>
      </c>
      <c r="E1688" s="17" t="s">
        <v>165</v>
      </c>
      <c r="F1688" s="17" t="s">
        <v>172</v>
      </c>
      <c r="G1688" s="17">
        <v>6</v>
      </c>
      <c r="H1688" s="17">
        <v>40465</v>
      </c>
      <c r="I1688" s="17">
        <v>242790</v>
      </c>
      <c r="J1688" s="17">
        <v>495</v>
      </c>
      <c r="K1688" s="17">
        <v>242295</v>
      </c>
      <c r="L1688" s="17">
        <v>36402.526100000003</v>
      </c>
      <c r="M1688" s="17">
        <v>2025</v>
      </c>
      <c r="N1688" s="17" t="s">
        <v>114</v>
      </c>
    </row>
    <row r="1689" spans="1:14" ht="14.25" customHeight="1">
      <c r="A1689" s="17">
        <v>11688</v>
      </c>
      <c r="B1689" s="18">
        <v>45298</v>
      </c>
      <c r="C1689" s="17" t="s">
        <v>45</v>
      </c>
      <c r="D1689" s="17" t="s">
        <v>89</v>
      </c>
      <c r="E1689" s="17" t="s">
        <v>162</v>
      </c>
      <c r="F1689" s="17" t="s">
        <v>172</v>
      </c>
      <c r="G1689" s="17">
        <v>7</v>
      </c>
      <c r="H1689" s="17">
        <v>31950</v>
      </c>
      <c r="I1689" s="17">
        <v>223650</v>
      </c>
      <c r="J1689" s="17">
        <v>3592</v>
      </c>
      <c r="K1689" s="17">
        <v>220058</v>
      </c>
      <c r="L1689" s="17">
        <v>29543.459190000001</v>
      </c>
      <c r="M1689" s="17">
        <v>2024</v>
      </c>
      <c r="N1689" s="17" t="s">
        <v>171</v>
      </c>
    </row>
    <row r="1690" spans="1:14" ht="14.25" customHeight="1">
      <c r="A1690" s="17">
        <v>11689</v>
      </c>
      <c r="B1690" s="18">
        <v>45320</v>
      </c>
      <c r="C1690" s="17" t="s">
        <v>50</v>
      </c>
      <c r="D1690" s="17" t="s">
        <v>86</v>
      </c>
      <c r="E1690" s="17" t="s">
        <v>165</v>
      </c>
      <c r="F1690" s="17" t="s">
        <v>166</v>
      </c>
      <c r="G1690" s="17">
        <v>2</v>
      </c>
      <c r="H1690" s="17">
        <v>73462</v>
      </c>
      <c r="I1690" s="17">
        <v>146924</v>
      </c>
      <c r="J1690" s="17">
        <v>2232</v>
      </c>
      <c r="K1690" s="17">
        <v>144692</v>
      </c>
      <c r="L1690" s="17">
        <v>34999.791550000002</v>
      </c>
      <c r="M1690" s="17">
        <v>2024</v>
      </c>
      <c r="N1690" s="17" t="s">
        <v>171</v>
      </c>
    </row>
    <row r="1691" spans="1:14" ht="14.25" customHeight="1">
      <c r="A1691" s="17">
        <v>11690</v>
      </c>
      <c r="B1691" s="18">
        <v>45324</v>
      </c>
      <c r="C1691" s="17" t="s">
        <v>45</v>
      </c>
      <c r="D1691" s="17" t="s">
        <v>89</v>
      </c>
      <c r="E1691" s="17" t="s">
        <v>165</v>
      </c>
      <c r="F1691" s="17" t="s">
        <v>164</v>
      </c>
      <c r="G1691" s="17">
        <v>1</v>
      </c>
      <c r="H1691" s="17">
        <v>20735</v>
      </c>
      <c r="I1691" s="17">
        <v>20735</v>
      </c>
      <c r="J1691" s="17">
        <v>4018</v>
      </c>
      <c r="K1691" s="17">
        <v>16717</v>
      </c>
      <c r="L1691" s="17">
        <v>2094.7783909999998</v>
      </c>
      <c r="M1691" s="17">
        <v>2024</v>
      </c>
      <c r="N1691" s="17" t="s">
        <v>175</v>
      </c>
    </row>
    <row r="1692" spans="1:14" ht="14.25" customHeight="1">
      <c r="A1692" s="17">
        <v>11691</v>
      </c>
      <c r="B1692" s="18">
        <v>45937</v>
      </c>
      <c r="C1692" s="17" t="s">
        <v>39</v>
      </c>
      <c r="D1692" s="17" t="s">
        <v>89</v>
      </c>
      <c r="E1692" s="17" t="s">
        <v>162</v>
      </c>
      <c r="F1692" s="17" t="s">
        <v>166</v>
      </c>
      <c r="G1692" s="17">
        <v>6</v>
      </c>
      <c r="H1692" s="17">
        <v>19223</v>
      </c>
      <c r="I1692" s="17">
        <v>115338</v>
      </c>
      <c r="J1692" s="17">
        <v>2935</v>
      </c>
      <c r="K1692" s="17">
        <v>112403</v>
      </c>
      <c r="L1692" s="17">
        <v>23587.52795</v>
      </c>
      <c r="M1692" s="17">
        <v>2025</v>
      </c>
      <c r="N1692" s="17" t="s">
        <v>174</v>
      </c>
    </row>
    <row r="1693" spans="1:14" ht="14.25" customHeight="1">
      <c r="A1693" s="17">
        <v>11692</v>
      </c>
      <c r="B1693" s="18">
        <v>45370</v>
      </c>
      <c r="C1693" s="17" t="s">
        <v>45</v>
      </c>
      <c r="D1693" s="17" t="s">
        <v>89</v>
      </c>
      <c r="E1693" s="17" t="s">
        <v>162</v>
      </c>
      <c r="F1693" s="17" t="s">
        <v>172</v>
      </c>
      <c r="G1693" s="17">
        <v>3</v>
      </c>
      <c r="H1693" s="17">
        <v>20362</v>
      </c>
      <c r="I1693" s="17">
        <v>61086</v>
      </c>
      <c r="J1693" s="17">
        <v>4808</v>
      </c>
      <c r="K1693" s="17">
        <v>56278</v>
      </c>
      <c r="L1693" s="17">
        <v>7702.3249310000001</v>
      </c>
      <c r="M1693" s="17">
        <v>2024</v>
      </c>
      <c r="N1693" s="17" t="s">
        <v>112</v>
      </c>
    </row>
    <row r="1694" spans="1:14" ht="14.25" customHeight="1">
      <c r="A1694" s="17">
        <v>11693</v>
      </c>
      <c r="B1694" s="18">
        <v>45750</v>
      </c>
      <c r="C1694" s="17" t="s">
        <v>45</v>
      </c>
      <c r="D1694" s="17" t="s">
        <v>86</v>
      </c>
      <c r="E1694" s="17" t="s">
        <v>162</v>
      </c>
      <c r="F1694" s="17" t="s">
        <v>164</v>
      </c>
      <c r="G1694" s="17">
        <v>4</v>
      </c>
      <c r="H1694" s="17">
        <v>44986</v>
      </c>
      <c r="I1694" s="17">
        <v>179944</v>
      </c>
      <c r="J1694" s="17">
        <v>4445</v>
      </c>
      <c r="K1694" s="17">
        <v>175499</v>
      </c>
      <c r="L1694" s="17">
        <v>28735.845239999999</v>
      </c>
      <c r="M1694" s="17">
        <v>2025</v>
      </c>
      <c r="N1694" s="17" t="s">
        <v>114</v>
      </c>
    </row>
    <row r="1695" spans="1:14" ht="14.25" customHeight="1">
      <c r="A1695" s="17">
        <v>11694</v>
      </c>
      <c r="B1695" s="18">
        <v>45861</v>
      </c>
      <c r="C1695" s="17" t="s">
        <v>50</v>
      </c>
      <c r="D1695" s="17" t="s">
        <v>111</v>
      </c>
      <c r="E1695" s="17" t="s">
        <v>168</v>
      </c>
      <c r="F1695" s="17" t="s">
        <v>166</v>
      </c>
      <c r="G1695" s="17">
        <v>9</v>
      </c>
      <c r="H1695" s="17">
        <v>28409</v>
      </c>
      <c r="I1695" s="17">
        <v>255681</v>
      </c>
      <c r="J1695" s="17">
        <v>2367</v>
      </c>
      <c r="K1695" s="17">
        <v>253314</v>
      </c>
      <c r="L1695" s="17">
        <v>63178.86275</v>
      </c>
      <c r="M1695" s="17">
        <v>2025</v>
      </c>
      <c r="N1695" s="17" t="s">
        <v>123</v>
      </c>
    </row>
    <row r="1696" spans="1:14" ht="14.25" customHeight="1">
      <c r="A1696" s="17">
        <v>11695</v>
      </c>
      <c r="B1696" s="18">
        <v>45829</v>
      </c>
      <c r="C1696" s="17" t="s">
        <v>39</v>
      </c>
      <c r="D1696" s="17" t="s">
        <v>83</v>
      </c>
      <c r="E1696" s="17" t="s">
        <v>168</v>
      </c>
      <c r="F1696" s="17" t="s">
        <v>164</v>
      </c>
      <c r="G1696" s="17">
        <v>3</v>
      </c>
      <c r="H1696" s="17">
        <v>72933</v>
      </c>
      <c r="I1696" s="17">
        <v>218799</v>
      </c>
      <c r="J1696" s="17">
        <v>2584</v>
      </c>
      <c r="K1696" s="17">
        <v>216215</v>
      </c>
      <c r="L1696" s="17">
        <v>24883.430110000001</v>
      </c>
      <c r="M1696" s="17">
        <v>2025</v>
      </c>
      <c r="N1696" s="17" t="s">
        <v>120</v>
      </c>
    </row>
    <row r="1697" spans="1:14" ht="14.25" customHeight="1">
      <c r="A1697" s="17">
        <v>11696</v>
      </c>
      <c r="B1697" s="18">
        <v>45773</v>
      </c>
      <c r="C1697" s="17" t="s">
        <v>45</v>
      </c>
      <c r="D1697" s="17" t="s">
        <v>111</v>
      </c>
      <c r="E1697" s="17" t="s">
        <v>162</v>
      </c>
      <c r="F1697" s="17" t="s">
        <v>166</v>
      </c>
      <c r="G1697" s="17">
        <v>2</v>
      </c>
      <c r="H1697" s="17">
        <v>10814</v>
      </c>
      <c r="I1697" s="17">
        <v>21628</v>
      </c>
      <c r="J1697" s="17">
        <v>905</v>
      </c>
      <c r="K1697" s="17">
        <v>20723</v>
      </c>
      <c r="L1697" s="17">
        <v>4811.9611020000002</v>
      </c>
      <c r="M1697" s="17">
        <v>2025</v>
      </c>
      <c r="N1697" s="17" t="s">
        <v>114</v>
      </c>
    </row>
    <row r="1698" spans="1:14" ht="14.25" customHeight="1">
      <c r="A1698" s="17">
        <v>11697</v>
      </c>
      <c r="B1698" s="18">
        <v>45721</v>
      </c>
      <c r="C1698" s="17" t="s">
        <v>167</v>
      </c>
      <c r="D1698" s="17" t="s">
        <v>86</v>
      </c>
      <c r="E1698" s="17" t="s">
        <v>168</v>
      </c>
      <c r="F1698" s="17" t="s">
        <v>163</v>
      </c>
      <c r="G1698" s="17">
        <v>2</v>
      </c>
      <c r="H1698" s="17">
        <v>27888</v>
      </c>
      <c r="I1698" s="17">
        <v>55776</v>
      </c>
      <c r="J1698" s="17">
        <v>3227</v>
      </c>
      <c r="K1698" s="17">
        <v>52549</v>
      </c>
      <c r="L1698" s="17">
        <v>12711.9964</v>
      </c>
      <c r="M1698" s="17">
        <v>2025</v>
      </c>
      <c r="N1698" s="17" t="s">
        <v>112</v>
      </c>
    </row>
    <row r="1699" spans="1:14" ht="14.25" customHeight="1">
      <c r="A1699" s="17">
        <v>11698</v>
      </c>
      <c r="B1699" s="18">
        <v>45576</v>
      </c>
      <c r="C1699" s="17" t="s">
        <v>58</v>
      </c>
      <c r="D1699" s="17" t="s">
        <v>83</v>
      </c>
      <c r="E1699" s="17" t="s">
        <v>165</v>
      </c>
      <c r="F1699" s="17" t="s">
        <v>172</v>
      </c>
      <c r="G1699" s="17">
        <v>2</v>
      </c>
      <c r="H1699" s="17">
        <v>78058</v>
      </c>
      <c r="I1699" s="17">
        <v>156116</v>
      </c>
      <c r="J1699" s="17">
        <v>1827</v>
      </c>
      <c r="K1699" s="17">
        <v>154289</v>
      </c>
      <c r="L1699" s="17">
        <v>31588.218669999998</v>
      </c>
      <c r="M1699" s="17">
        <v>2024</v>
      </c>
      <c r="N1699" s="17" t="s">
        <v>174</v>
      </c>
    </row>
    <row r="1700" spans="1:14" ht="14.25" customHeight="1">
      <c r="A1700" s="17">
        <v>11699</v>
      </c>
      <c r="B1700" s="18">
        <v>45807</v>
      </c>
      <c r="C1700" s="17" t="s">
        <v>45</v>
      </c>
      <c r="D1700" s="17" t="s">
        <v>83</v>
      </c>
      <c r="E1700" s="17" t="s">
        <v>162</v>
      </c>
      <c r="F1700" s="17" t="s">
        <v>166</v>
      </c>
      <c r="G1700" s="17">
        <v>6</v>
      </c>
      <c r="H1700" s="17">
        <v>27169</v>
      </c>
      <c r="I1700" s="17">
        <v>163014</v>
      </c>
      <c r="J1700" s="17">
        <v>3722</v>
      </c>
      <c r="K1700" s="17">
        <v>159292</v>
      </c>
      <c r="L1700" s="17">
        <v>16167.234570000001</v>
      </c>
      <c r="M1700" s="17">
        <v>2025</v>
      </c>
      <c r="N1700" s="17" t="s">
        <v>117</v>
      </c>
    </row>
    <row r="1701" spans="1:14" ht="14.25" customHeight="1">
      <c r="A1701" s="17">
        <v>11700</v>
      </c>
      <c r="B1701" s="18">
        <v>45390</v>
      </c>
      <c r="C1701" s="17" t="s">
        <v>39</v>
      </c>
      <c r="D1701" s="17" t="s">
        <v>83</v>
      </c>
      <c r="E1701" s="17" t="s">
        <v>168</v>
      </c>
      <c r="F1701" s="17" t="s">
        <v>164</v>
      </c>
      <c r="G1701" s="17">
        <v>2</v>
      </c>
      <c r="H1701" s="17">
        <v>64126</v>
      </c>
      <c r="I1701" s="17">
        <v>128252</v>
      </c>
      <c r="J1701" s="17">
        <v>2580</v>
      </c>
      <c r="K1701" s="17">
        <v>125672</v>
      </c>
      <c r="L1701" s="17">
        <v>28039.909950000001</v>
      </c>
      <c r="M1701" s="17">
        <v>2024</v>
      </c>
      <c r="N1701" s="17" t="s">
        <v>114</v>
      </c>
    </row>
    <row r="1702" spans="1:14" ht="14.25" customHeight="1">
      <c r="A1702" s="17">
        <v>11701</v>
      </c>
      <c r="B1702" s="18">
        <v>45688</v>
      </c>
      <c r="C1702" s="17" t="s">
        <v>45</v>
      </c>
      <c r="D1702" s="17" t="s">
        <v>170</v>
      </c>
      <c r="E1702" s="17" t="s">
        <v>162</v>
      </c>
      <c r="F1702" s="17" t="s">
        <v>172</v>
      </c>
      <c r="G1702" s="17">
        <v>7</v>
      </c>
      <c r="H1702" s="17">
        <v>50127</v>
      </c>
      <c r="I1702" s="17">
        <v>350889</v>
      </c>
      <c r="J1702" s="17">
        <v>4597</v>
      </c>
      <c r="K1702" s="17">
        <v>346292</v>
      </c>
      <c r="L1702" s="17">
        <v>80457.756550000006</v>
      </c>
      <c r="M1702" s="17">
        <v>2025</v>
      </c>
      <c r="N1702" s="17" t="s">
        <v>171</v>
      </c>
    </row>
    <row r="1703" spans="1:14" ht="14.25" customHeight="1">
      <c r="A1703" s="17">
        <v>11702</v>
      </c>
      <c r="B1703" s="18">
        <v>45780</v>
      </c>
      <c r="C1703" s="17" t="s">
        <v>58</v>
      </c>
      <c r="D1703" s="17" t="s">
        <v>86</v>
      </c>
      <c r="E1703" s="17" t="s">
        <v>165</v>
      </c>
      <c r="F1703" s="17" t="s">
        <v>166</v>
      </c>
      <c r="G1703" s="17">
        <v>7</v>
      </c>
      <c r="H1703" s="17">
        <v>20762</v>
      </c>
      <c r="I1703" s="17">
        <v>145334</v>
      </c>
      <c r="J1703" s="17">
        <v>1515</v>
      </c>
      <c r="K1703" s="17">
        <v>143819</v>
      </c>
      <c r="L1703" s="17">
        <v>35543.44543</v>
      </c>
      <c r="M1703" s="17">
        <v>2025</v>
      </c>
      <c r="N1703" s="17" t="s">
        <v>117</v>
      </c>
    </row>
    <row r="1704" spans="1:14" ht="14.25" customHeight="1">
      <c r="A1704" s="17">
        <v>11703</v>
      </c>
      <c r="B1704" s="18">
        <v>45330</v>
      </c>
      <c r="C1704" s="17" t="s">
        <v>39</v>
      </c>
      <c r="D1704" s="17" t="s">
        <v>170</v>
      </c>
      <c r="E1704" s="17" t="s">
        <v>165</v>
      </c>
      <c r="F1704" s="17" t="s">
        <v>166</v>
      </c>
      <c r="G1704" s="17">
        <v>7</v>
      </c>
      <c r="H1704" s="17">
        <v>20577</v>
      </c>
      <c r="I1704" s="17">
        <v>144039</v>
      </c>
      <c r="J1704" s="17">
        <v>4622</v>
      </c>
      <c r="K1704" s="17">
        <v>139417</v>
      </c>
      <c r="L1704" s="17">
        <v>31493.932540000002</v>
      </c>
      <c r="M1704" s="17">
        <v>2024</v>
      </c>
      <c r="N1704" s="17" t="s">
        <v>175</v>
      </c>
    </row>
    <row r="1705" spans="1:14" ht="14.25" customHeight="1">
      <c r="A1705" s="17">
        <v>11704</v>
      </c>
      <c r="B1705" s="18">
        <v>45562</v>
      </c>
      <c r="C1705" s="17" t="s">
        <v>50</v>
      </c>
      <c r="D1705" s="17" t="s">
        <v>83</v>
      </c>
      <c r="E1705" s="17" t="s">
        <v>168</v>
      </c>
      <c r="F1705" s="17" t="s">
        <v>166</v>
      </c>
      <c r="G1705" s="17">
        <v>2</v>
      </c>
      <c r="H1705" s="17">
        <v>25931</v>
      </c>
      <c r="I1705" s="17">
        <v>51862</v>
      </c>
      <c r="J1705" s="17">
        <v>4806</v>
      </c>
      <c r="K1705" s="17">
        <v>47056</v>
      </c>
      <c r="L1705" s="17">
        <v>7850.7310500000003</v>
      </c>
      <c r="M1705" s="17">
        <v>2024</v>
      </c>
      <c r="N1705" s="17" t="s">
        <v>129</v>
      </c>
    </row>
    <row r="1706" spans="1:14" ht="14.25" customHeight="1">
      <c r="A1706" s="17">
        <v>11705</v>
      </c>
      <c r="B1706" s="18">
        <v>45448</v>
      </c>
      <c r="C1706" s="17" t="s">
        <v>39</v>
      </c>
      <c r="D1706" s="17" t="s">
        <v>170</v>
      </c>
      <c r="E1706" s="17" t="s">
        <v>165</v>
      </c>
      <c r="F1706" s="17" t="s">
        <v>166</v>
      </c>
      <c r="G1706" s="17">
        <v>7</v>
      </c>
      <c r="H1706" s="17">
        <v>65302</v>
      </c>
      <c r="I1706" s="17">
        <v>457114</v>
      </c>
      <c r="J1706" s="17">
        <v>3003</v>
      </c>
      <c r="K1706" s="17">
        <v>454111</v>
      </c>
      <c r="L1706" s="17">
        <v>92319.608999999997</v>
      </c>
      <c r="M1706" s="17">
        <v>2024</v>
      </c>
      <c r="N1706" s="17" t="s">
        <v>120</v>
      </c>
    </row>
    <row r="1707" spans="1:14" ht="14.25" customHeight="1">
      <c r="A1707" s="17">
        <v>11706</v>
      </c>
      <c r="B1707" s="18">
        <v>45366</v>
      </c>
      <c r="C1707" s="17" t="s">
        <v>50</v>
      </c>
      <c r="D1707" s="17" t="s">
        <v>170</v>
      </c>
      <c r="E1707" s="17" t="s">
        <v>162</v>
      </c>
      <c r="F1707" s="17" t="s">
        <v>163</v>
      </c>
      <c r="G1707" s="17">
        <v>8</v>
      </c>
      <c r="H1707" s="17">
        <v>44278</v>
      </c>
      <c r="I1707" s="17">
        <v>354224</v>
      </c>
      <c r="J1707" s="17">
        <v>111</v>
      </c>
      <c r="K1707" s="17">
        <v>354113</v>
      </c>
      <c r="L1707" s="17">
        <v>61179.84691</v>
      </c>
      <c r="M1707" s="17">
        <v>2024</v>
      </c>
      <c r="N1707" s="17" t="s">
        <v>112</v>
      </c>
    </row>
    <row r="1708" spans="1:14" ht="14.25" customHeight="1">
      <c r="A1708" s="17">
        <v>11707</v>
      </c>
      <c r="B1708" s="18">
        <v>45421</v>
      </c>
      <c r="C1708" s="17" t="s">
        <v>39</v>
      </c>
      <c r="D1708" s="17" t="s">
        <v>86</v>
      </c>
      <c r="E1708" s="17" t="s">
        <v>168</v>
      </c>
      <c r="F1708" s="17" t="s">
        <v>172</v>
      </c>
      <c r="G1708" s="17">
        <v>8</v>
      </c>
      <c r="H1708" s="17">
        <v>63169</v>
      </c>
      <c r="I1708" s="17">
        <v>505352</v>
      </c>
      <c r="J1708" s="17">
        <v>1672</v>
      </c>
      <c r="K1708" s="17">
        <v>503680</v>
      </c>
      <c r="L1708" s="17">
        <v>77039.242339999997</v>
      </c>
      <c r="M1708" s="17">
        <v>2024</v>
      </c>
      <c r="N1708" s="17" t="s">
        <v>117</v>
      </c>
    </row>
    <row r="1709" spans="1:14" ht="14.25" customHeight="1">
      <c r="A1709" s="17">
        <v>11708</v>
      </c>
      <c r="B1709" s="18">
        <v>45978</v>
      </c>
      <c r="C1709" s="17" t="s">
        <v>58</v>
      </c>
      <c r="D1709" s="17" t="s">
        <v>89</v>
      </c>
      <c r="E1709" s="17" t="s">
        <v>162</v>
      </c>
      <c r="F1709" s="17" t="s">
        <v>163</v>
      </c>
      <c r="G1709" s="17">
        <v>2</v>
      </c>
      <c r="H1709" s="17">
        <v>67775</v>
      </c>
      <c r="I1709" s="17">
        <v>135550</v>
      </c>
      <c r="J1709" s="17">
        <v>2302</v>
      </c>
      <c r="K1709" s="17">
        <v>133248</v>
      </c>
      <c r="L1709" s="17">
        <v>25845.311600000001</v>
      </c>
      <c r="M1709" s="17">
        <v>2025</v>
      </c>
      <c r="N1709" s="17" t="s">
        <v>173</v>
      </c>
    </row>
    <row r="1710" spans="1:14" ht="14.25" customHeight="1">
      <c r="A1710" s="17">
        <v>11709</v>
      </c>
      <c r="B1710" s="18">
        <v>45375</v>
      </c>
      <c r="C1710" s="17" t="s">
        <v>58</v>
      </c>
      <c r="D1710" s="17" t="s">
        <v>170</v>
      </c>
      <c r="E1710" s="17" t="s">
        <v>162</v>
      </c>
      <c r="F1710" s="17" t="s">
        <v>172</v>
      </c>
      <c r="G1710" s="17">
        <v>5</v>
      </c>
      <c r="H1710" s="17">
        <v>54203</v>
      </c>
      <c r="I1710" s="17">
        <v>271015</v>
      </c>
      <c r="J1710" s="17">
        <v>1650</v>
      </c>
      <c r="K1710" s="17">
        <v>269365</v>
      </c>
      <c r="L1710" s="17">
        <v>58041.387269999999</v>
      </c>
      <c r="M1710" s="17">
        <v>2024</v>
      </c>
      <c r="N1710" s="17" t="s">
        <v>112</v>
      </c>
    </row>
    <row r="1711" spans="1:14" ht="14.25" customHeight="1">
      <c r="A1711" s="17">
        <v>11710</v>
      </c>
      <c r="B1711" s="18">
        <v>45313</v>
      </c>
      <c r="C1711" s="17" t="s">
        <v>39</v>
      </c>
      <c r="D1711" s="17" t="s">
        <v>170</v>
      </c>
      <c r="E1711" s="17" t="s">
        <v>162</v>
      </c>
      <c r="F1711" s="17" t="s">
        <v>166</v>
      </c>
      <c r="G1711" s="17">
        <v>6</v>
      </c>
      <c r="H1711" s="17">
        <v>11058</v>
      </c>
      <c r="I1711" s="17">
        <v>66348</v>
      </c>
      <c r="J1711" s="17">
        <v>4395</v>
      </c>
      <c r="K1711" s="17">
        <v>61953</v>
      </c>
      <c r="L1711" s="17">
        <v>12104.694219999999</v>
      </c>
      <c r="M1711" s="17">
        <v>2024</v>
      </c>
      <c r="N1711" s="17" t="s">
        <v>171</v>
      </c>
    </row>
    <row r="1712" spans="1:14" ht="14.25" customHeight="1">
      <c r="A1712" s="17">
        <v>11711</v>
      </c>
      <c r="B1712" s="18">
        <v>45750</v>
      </c>
      <c r="C1712" s="17" t="s">
        <v>45</v>
      </c>
      <c r="D1712" s="17" t="s">
        <v>83</v>
      </c>
      <c r="E1712" s="17" t="s">
        <v>165</v>
      </c>
      <c r="F1712" s="17" t="s">
        <v>172</v>
      </c>
      <c r="G1712" s="17">
        <v>9</v>
      </c>
      <c r="H1712" s="17">
        <v>74051</v>
      </c>
      <c r="I1712" s="17">
        <v>666459</v>
      </c>
      <c r="J1712" s="17">
        <v>2474</v>
      </c>
      <c r="K1712" s="17">
        <v>663985</v>
      </c>
      <c r="L1712" s="17">
        <v>148723.8456</v>
      </c>
      <c r="M1712" s="17">
        <v>2025</v>
      </c>
      <c r="N1712" s="17" t="s">
        <v>114</v>
      </c>
    </row>
    <row r="1713" spans="1:14" ht="14.25" customHeight="1">
      <c r="A1713" s="17">
        <v>11712</v>
      </c>
      <c r="B1713" s="18">
        <v>45830</v>
      </c>
      <c r="C1713" s="17" t="s">
        <v>58</v>
      </c>
      <c r="D1713" s="17" t="s">
        <v>83</v>
      </c>
      <c r="E1713" s="17" t="s">
        <v>162</v>
      </c>
      <c r="F1713" s="17" t="s">
        <v>164</v>
      </c>
      <c r="G1713" s="17">
        <v>6</v>
      </c>
      <c r="H1713" s="17">
        <v>73866</v>
      </c>
      <c r="I1713" s="17">
        <v>443196</v>
      </c>
      <c r="J1713" s="17">
        <v>3995</v>
      </c>
      <c r="K1713" s="17">
        <v>439201</v>
      </c>
      <c r="L1713" s="17">
        <v>55539.709779999997</v>
      </c>
      <c r="M1713" s="17">
        <v>2025</v>
      </c>
      <c r="N1713" s="17" t="s">
        <v>120</v>
      </c>
    </row>
    <row r="1714" spans="1:14" ht="14.25" customHeight="1">
      <c r="A1714" s="17">
        <v>11713</v>
      </c>
      <c r="B1714" s="18">
        <v>45998</v>
      </c>
      <c r="C1714" s="17" t="s">
        <v>50</v>
      </c>
      <c r="D1714" s="17" t="s">
        <v>83</v>
      </c>
      <c r="E1714" s="17" t="s">
        <v>165</v>
      </c>
      <c r="F1714" s="17" t="s">
        <v>172</v>
      </c>
      <c r="G1714" s="17">
        <v>6</v>
      </c>
      <c r="H1714" s="17">
        <v>60180</v>
      </c>
      <c r="I1714" s="17">
        <v>361080</v>
      </c>
      <c r="J1714" s="17">
        <v>1890</v>
      </c>
      <c r="K1714" s="17">
        <v>359190</v>
      </c>
      <c r="L1714" s="17">
        <v>56053.101900000001</v>
      </c>
      <c r="M1714" s="17">
        <v>2025</v>
      </c>
      <c r="N1714" s="17" t="s">
        <v>169</v>
      </c>
    </row>
    <row r="1715" spans="1:14" ht="14.25" customHeight="1">
      <c r="A1715" s="17">
        <v>11714</v>
      </c>
      <c r="B1715" s="18">
        <v>45673</v>
      </c>
      <c r="C1715" s="17" t="s">
        <v>50</v>
      </c>
      <c r="D1715" s="17" t="s">
        <v>111</v>
      </c>
      <c r="E1715" s="17" t="s">
        <v>162</v>
      </c>
      <c r="F1715" s="17" t="s">
        <v>164</v>
      </c>
      <c r="G1715" s="17">
        <v>6</v>
      </c>
      <c r="H1715" s="17">
        <v>48825</v>
      </c>
      <c r="I1715" s="17">
        <v>292950</v>
      </c>
      <c r="J1715" s="17">
        <v>306</v>
      </c>
      <c r="K1715" s="17">
        <v>292644</v>
      </c>
      <c r="L1715" s="17">
        <v>42985.85439</v>
      </c>
      <c r="M1715" s="17">
        <v>2025</v>
      </c>
      <c r="N1715" s="17" t="s">
        <v>171</v>
      </c>
    </row>
    <row r="1716" spans="1:14" ht="14.25" customHeight="1">
      <c r="A1716" s="17">
        <v>11715</v>
      </c>
      <c r="B1716" s="18">
        <v>45731</v>
      </c>
      <c r="C1716" s="17" t="s">
        <v>167</v>
      </c>
      <c r="D1716" s="17" t="s">
        <v>170</v>
      </c>
      <c r="E1716" s="17" t="s">
        <v>165</v>
      </c>
      <c r="F1716" s="17" t="s">
        <v>164</v>
      </c>
      <c r="G1716" s="17">
        <v>9</v>
      </c>
      <c r="H1716" s="17">
        <v>79514</v>
      </c>
      <c r="I1716" s="17">
        <v>715626</v>
      </c>
      <c r="J1716" s="17">
        <v>120</v>
      </c>
      <c r="K1716" s="17">
        <v>715506</v>
      </c>
      <c r="L1716" s="17">
        <v>92385.469979999994</v>
      </c>
      <c r="M1716" s="17">
        <v>2025</v>
      </c>
      <c r="N1716" s="17" t="s">
        <v>112</v>
      </c>
    </row>
    <row r="1717" spans="1:14" ht="14.25" customHeight="1">
      <c r="A1717" s="17">
        <v>11716</v>
      </c>
      <c r="B1717" s="18">
        <v>45895</v>
      </c>
      <c r="C1717" s="17" t="s">
        <v>50</v>
      </c>
      <c r="D1717" s="17" t="s">
        <v>83</v>
      </c>
      <c r="E1717" s="17" t="s">
        <v>165</v>
      </c>
      <c r="F1717" s="17" t="s">
        <v>163</v>
      </c>
      <c r="G1717" s="17">
        <v>7</v>
      </c>
      <c r="H1717" s="17">
        <v>20264</v>
      </c>
      <c r="I1717" s="17">
        <v>141848</v>
      </c>
      <c r="J1717" s="17">
        <v>3101</v>
      </c>
      <c r="K1717" s="17">
        <v>138747</v>
      </c>
      <c r="L1717" s="17">
        <v>23098.06626</v>
      </c>
      <c r="M1717" s="17">
        <v>2025</v>
      </c>
      <c r="N1717" s="17" t="s">
        <v>126</v>
      </c>
    </row>
    <row r="1718" spans="1:14" ht="14.25" customHeight="1">
      <c r="A1718" s="17">
        <v>11717</v>
      </c>
      <c r="B1718" s="18">
        <v>45312</v>
      </c>
      <c r="C1718" s="17" t="s">
        <v>167</v>
      </c>
      <c r="D1718" s="17" t="s">
        <v>86</v>
      </c>
      <c r="E1718" s="17" t="s">
        <v>165</v>
      </c>
      <c r="F1718" s="17" t="s">
        <v>172</v>
      </c>
      <c r="G1718" s="17">
        <v>1</v>
      </c>
      <c r="H1718" s="17">
        <v>31615</v>
      </c>
      <c r="I1718" s="17">
        <v>31615</v>
      </c>
      <c r="J1718" s="17">
        <v>1277</v>
      </c>
      <c r="K1718" s="17">
        <v>30338</v>
      </c>
      <c r="L1718" s="17">
        <v>7347.2850829999998</v>
      </c>
      <c r="M1718" s="17">
        <v>2024</v>
      </c>
      <c r="N1718" s="17" t="s">
        <v>171</v>
      </c>
    </row>
    <row r="1719" spans="1:14" ht="14.25" customHeight="1">
      <c r="A1719" s="17">
        <v>11718</v>
      </c>
      <c r="B1719" s="18">
        <v>45594</v>
      </c>
      <c r="C1719" s="17" t="s">
        <v>39</v>
      </c>
      <c r="D1719" s="17" t="s">
        <v>111</v>
      </c>
      <c r="E1719" s="17" t="s">
        <v>162</v>
      </c>
      <c r="F1719" s="17" t="s">
        <v>166</v>
      </c>
      <c r="G1719" s="17">
        <v>1</v>
      </c>
      <c r="H1719" s="17">
        <v>37165</v>
      </c>
      <c r="I1719" s="17">
        <v>37165</v>
      </c>
      <c r="J1719" s="17">
        <v>1427</v>
      </c>
      <c r="K1719" s="17">
        <v>35738</v>
      </c>
      <c r="L1719" s="17">
        <v>6457.9010490000001</v>
      </c>
      <c r="M1719" s="17">
        <v>2024</v>
      </c>
      <c r="N1719" s="17" t="s">
        <v>174</v>
      </c>
    </row>
    <row r="1720" spans="1:14" ht="14.25" customHeight="1">
      <c r="A1720" s="17">
        <v>11719</v>
      </c>
      <c r="B1720" s="18">
        <v>45375</v>
      </c>
      <c r="C1720" s="17" t="s">
        <v>39</v>
      </c>
      <c r="D1720" s="17" t="s">
        <v>89</v>
      </c>
      <c r="E1720" s="17" t="s">
        <v>162</v>
      </c>
      <c r="F1720" s="17" t="s">
        <v>172</v>
      </c>
      <c r="G1720" s="17">
        <v>4</v>
      </c>
      <c r="H1720" s="17">
        <v>47722</v>
      </c>
      <c r="I1720" s="17">
        <v>190888</v>
      </c>
      <c r="J1720" s="17">
        <v>3102</v>
      </c>
      <c r="K1720" s="17">
        <v>187786</v>
      </c>
      <c r="L1720" s="17">
        <v>26846.023929999999</v>
      </c>
      <c r="M1720" s="17">
        <v>2024</v>
      </c>
      <c r="N1720" s="17" t="s">
        <v>112</v>
      </c>
    </row>
    <row r="1721" spans="1:14" ht="14.25" customHeight="1">
      <c r="A1721" s="17">
        <v>11720</v>
      </c>
      <c r="B1721" s="18">
        <v>45950</v>
      </c>
      <c r="C1721" s="17" t="s">
        <v>39</v>
      </c>
      <c r="D1721" s="17" t="s">
        <v>170</v>
      </c>
      <c r="E1721" s="17" t="s">
        <v>165</v>
      </c>
      <c r="F1721" s="17" t="s">
        <v>163</v>
      </c>
      <c r="G1721" s="17">
        <v>2</v>
      </c>
      <c r="H1721" s="17">
        <v>39880</v>
      </c>
      <c r="I1721" s="17">
        <v>79760</v>
      </c>
      <c r="J1721" s="17">
        <v>1185</v>
      </c>
      <c r="K1721" s="17">
        <v>78575</v>
      </c>
      <c r="L1721" s="17">
        <v>12030.54696</v>
      </c>
      <c r="M1721" s="17">
        <v>2025</v>
      </c>
      <c r="N1721" s="17" t="s">
        <v>174</v>
      </c>
    </row>
    <row r="1722" spans="1:14" ht="14.25" customHeight="1">
      <c r="A1722" s="17">
        <v>11721</v>
      </c>
      <c r="B1722" s="18">
        <v>45744</v>
      </c>
      <c r="C1722" s="17" t="s">
        <v>45</v>
      </c>
      <c r="D1722" s="17" t="s">
        <v>170</v>
      </c>
      <c r="E1722" s="17" t="s">
        <v>162</v>
      </c>
      <c r="F1722" s="17" t="s">
        <v>164</v>
      </c>
      <c r="G1722" s="17">
        <v>3</v>
      </c>
      <c r="H1722" s="17">
        <v>6701</v>
      </c>
      <c r="I1722" s="17">
        <v>20103</v>
      </c>
      <c r="J1722" s="17">
        <v>1455</v>
      </c>
      <c r="K1722" s="17">
        <v>18648</v>
      </c>
      <c r="L1722" s="17">
        <v>3579.695381</v>
      </c>
      <c r="M1722" s="17">
        <v>2025</v>
      </c>
      <c r="N1722" s="17" t="s">
        <v>112</v>
      </c>
    </row>
    <row r="1723" spans="1:14" ht="14.25" customHeight="1">
      <c r="A1723" s="17">
        <v>11722</v>
      </c>
      <c r="B1723" s="18">
        <v>45678</v>
      </c>
      <c r="C1723" s="17" t="s">
        <v>45</v>
      </c>
      <c r="D1723" s="17" t="s">
        <v>86</v>
      </c>
      <c r="E1723" s="17" t="s">
        <v>165</v>
      </c>
      <c r="F1723" s="17" t="s">
        <v>164</v>
      </c>
      <c r="G1723" s="17">
        <v>7</v>
      </c>
      <c r="H1723" s="17">
        <v>64430</v>
      </c>
      <c r="I1723" s="17">
        <v>451010</v>
      </c>
      <c r="J1723" s="17">
        <v>1179</v>
      </c>
      <c r="K1723" s="17">
        <v>449831</v>
      </c>
      <c r="L1723" s="17">
        <v>68784.562940000003</v>
      </c>
      <c r="M1723" s="17">
        <v>2025</v>
      </c>
      <c r="N1723" s="17" t="s">
        <v>171</v>
      </c>
    </row>
    <row r="1724" spans="1:14" ht="14.25" customHeight="1">
      <c r="A1724" s="17">
        <v>11723</v>
      </c>
      <c r="B1724" s="18">
        <v>45798</v>
      </c>
      <c r="C1724" s="17" t="s">
        <v>167</v>
      </c>
      <c r="D1724" s="17" t="s">
        <v>89</v>
      </c>
      <c r="E1724" s="17" t="s">
        <v>162</v>
      </c>
      <c r="F1724" s="17" t="s">
        <v>163</v>
      </c>
      <c r="G1724" s="17">
        <v>7</v>
      </c>
      <c r="H1724" s="17">
        <v>60615</v>
      </c>
      <c r="I1724" s="17">
        <v>424305</v>
      </c>
      <c r="J1724" s="17">
        <v>1346</v>
      </c>
      <c r="K1724" s="17">
        <v>422959</v>
      </c>
      <c r="L1724" s="17">
        <v>76450.688739999998</v>
      </c>
      <c r="M1724" s="17">
        <v>2025</v>
      </c>
      <c r="N1724" s="17" t="s">
        <v>117</v>
      </c>
    </row>
    <row r="1725" spans="1:14" ht="14.25" customHeight="1">
      <c r="A1725" s="17">
        <v>11724</v>
      </c>
      <c r="B1725" s="18">
        <v>45548</v>
      </c>
      <c r="C1725" s="17" t="s">
        <v>50</v>
      </c>
      <c r="D1725" s="17" t="s">
        <v>89</v>
      </c>
      <c r="E1725" s="17" t="s">
        <v>165</v>
      </c>
      <c r="F1725" s="17" t="s">
        <v>163</v>
      </c>
      <c r="G1725" s="17">
        <v>3</v>
      </c>
      <c r="H1725" s="17">
        <v>44237</v>
      </c>
      <c r="I1725" s="17">
        <v>132711</v>
      </c>
      <c r="J1725" s="17">
        <v>628</v>
      </c>
      <c r="K1725" s="17">
        <v>132083</v>
      </c>
      <c r="L1725" s="17">
        <v>18640.079180000001</v>
      </c>
      <c r="M1725" s="17">
        <v>2024</v>
      </c>
      <c r="N1725" s="17" t="s">
        <v>129</v>
      </c>
    </row>
    <row r="1726" spans="1:14" ht="14.25" customHeight="1">
      <c r="A1726" s="17">
        <v>11725</v>
      </c>
      <c r="B1726" s="18">
        <v>45861</v>
      </c>
      <c r="C1726" s="17" t="s">
        <v>50</v>
      </c>
      <c r="D1726" s="17" t="s">
        <v>111</v>
      </c>
      <c r="E1726" s="17" t="s">
        <v>165</v>
      </c>
      <c r="F1726" s="17" t="s">
        <v>172</v>
      </c>
      <c r="G1726" s="17">
        <v>2</v>
      </c>
      <c r="H1726" s="17">
        <v>39378</v>
      </c>
      <c r="I1726" s="17">
        <v>78756</v>
      </c>
      <c r="J1726" s="17">
        <v>1214</v>
      </c>
      <c r="K1726" s="17">
        <v>77542</v>
      </c>
      <c r="L1726" s="17">
        <v>11777.830389999999</v>
      </c>
      <c r="M1726" s="17">
        <v>2025</v>
      </c>
      <c r="N1726" s="17" t="s">
        <v>123</v>
      </c>
    </row>
    <row r="1727" spans="1:14" ht="14.25" customHeight="1">
      <c r="A1727" s="17">
        <v>11726</v>
      </c>
      <c r="B1727" s="18">
        <v>45818</v>
      </c>
      <c r="C1727" s="17" t="s">
        <v>39</v>
      </c>
      <c r="D1727" s="17" t="s">
        <v>170</v>
      </c>
      <c r="E1727" s="17" t="s">
        <v>168</v>
      </c>
      <c r="F1727" s="17" t="s">
        <v>164</v>
      </c>
      <c r="G1727" s="17">
        <v>1</v>
      </c>
      <c r="H1727" s="17">
        <v>25736</v>
      </c>
      <c r="I1727" s="17">
        <v>25736</v>
      </c>
      <c r="J1727" s="17">
        <v>1961</v>
      </c>
      <c r="K1727" s="17">
        <v>23775</v>
      </c>
      <c r="L1727" s="17">
        <v>4894.3019770000001</v>
      </c>
      <c r="M1727" s="17">
        <v>2025</v>
      </c>
      <c r="N1727" s="17" t="s">
        <v>120</v>
      </c>
    </row>
    <row r="1728" spans="1:14" ht="14.25" customHeight="1">
      <c r="A1728" s="17">
        <v>11727</v>
      </c>
      <c r="B1728" s="18">
        <v>45453</v>
      </c>
      <c r="C1728" s="17" t="s">
        <v>58</v>
      </c>
      <c r="D1728" s="17" t="s">
        <v>83</v>
      </c>
      <c r="E1728" s="17" t="s">
        <v>162</v>
      </c>
      <c r="F1728" s="17" t="s">
        <v>163</v>
      </c>
      <c r="G1728" s="17">
        <v>9</v>
      </c>
      <c r="H1728" s="17">
        <v>11343</v>
      </c>
      <c r="I1728" s="17">
        <v>102087</v>
      </c>
      <c r="J1728" s="17">
        <v>2995</v>
      </c>
      <c r="K1728" s="17">
        <v>99092</v>
      </c>
      <c r="L1728" s="17">
        <v>18598.850259999999</v>
      </c>
      <c r="M1728" s="17">
        <v>2024</v>
      </c>
      <c r="N1728" s="17" t="s">
        <v>120</v>
      </c>
    </row>
    <row r="1729" spans="1:14" ht="14.25" customHeight="1">
      <c r="A1729" s="17">
        <v>11728</v>
      </c>
      <c r="B1729" s="18">
        <v>45454</v>
      </c>
      <c r="C1729" s="17" t="s">
        <v>45</v>
      </c>
      <c r="D1729" s="17" t="s">
        <v>86</v>
      </c>
      <c r="E1729" s="17" t="s">
        <v>162</v>
      </c>
      <c r="F1729" s="17" t="s">
        <v>172</v>
      </c>
      <c r="G1729" s="17">
        <v>3</v>
      </c>
      <c r="H1729" s="17">
        <v>20797</v>
      </c>
      <c r="I1729" s="17">
        <v>62391</v>
      </c>
      <c r="J1729" s="17">
        <v>4612</v>
      </c>
      <c r="K1729" s="17">
        <v>57779</v>
      </c>
      <c r="L1729" s="17">
        <v>6588.1366209999996</v>
      </c>
      <c r="M1729" s="17">
        <v>2024</v>
      </c>
      <c r="N1729" s="17" t="s">
        <v>120</v>
      </c>
    </row>
    <row r="1730" spans="1:14" ht="14.25" customHeight="1">
      <c r="A1730" s="17">
        <v>11729</v>
      </c>
      <c r="B1730" s="18">
        <v>45815</v>
      </c>
      <c r="C1730" s="17" t="s">
        <v>45</v>
      </c>
      <c r="D1730" s="17" t="s">
        <v>86</v>
      </c>
      <c r="E1730" s="17" t="s">
        <v>168</v>
      </c>
      <c r="F1730" s="17" t="s">
        <v>172</v>
      </c>
      <c r="G1730" s="17">
        <v>9</v>
      </c>
      <c r="H1730" s="17">
        <v>58857</v>
      </c>
      <c r="I1730" s="17">
        <v>529713</v>
      </c>
      <c r="J1730" s="17">
        <v>4940</v>
      </c>
      <c r="K1730" s="17">
        <v>524773</v>
      </c>
      <c r="L1730" s="17">
        <v>129082.2865</v>
      </c>
      <c r="M1730" s="17">
        <v>2025</v>
      </c>
      <c r="N1730" s="17" t="s">
        <v>120</v>
      </c>
    </row>
    <row r="1731" spans="1:14" ht="14.25" customHeight="1">
      <c r="A1731" s="17">
        <v>11730</v>
      </c>
      <c r="B1731" s="18">
        <v>45562</v>
      </c>
      <c r="C1731" s="17" t="s">
        <v>39</v>
      </c>
      <c r="D1731" s="17" t="s">
        <v>86</v>
      </c>
      <c r="E1731" s="17" t="s">
        <v>165</v>
      </c>
      <c r="F1731" s="17" t="s">
        <v>166</v>
      </c>
      <c r="G1731" s="17">
        <v>4</v>
      </c>
      <c r="H1731" s="17">
        <v>46864</v>
      </c>
      <c r="I1731" s="17">
        <v>187456</v>
      </c>
      <c r="J1731" s="17">
        <v>1547</v>
      </c>
      <c r="K1731" s="17">
        <v>185909</v>
      </c>
      <c r="L1731" s="17">
        <v>19966.726699999999</v>
      </c>
      <c r="M1731" s="17">
        <v>2024</v>
      </c>
      <c r="N1731" s="17" t="s">
        <v>129</v>
      </c>
    </row>
    <row r="1732" spans="1:14" ht="14.25" customHeight="1">
      <c r="A1732" s="17">
        <v>11731</v>
      </c>
      <c r="B1732" s="18">
        <v>45783</v>
      </c>
      <c r="C1732" s="17" t="s">
        <v>45</v>
      </c>
      <c r="D1732" s="17" t="s">
        <v>86</v>
      </c>
      <c r="E1732" s="17" t="s">
        <v>165</v>
      </c>
      <c r="F1732" s="17" t="s">
        <v>164</v>
      </c>
      <c r="G1732" s="17">
        <v>6</v>
      </c>
      <c r="H1732" s="17">
        <v>46123</v>
      </c>
      <c r="I1732" s="17">
        <v>276738</v>
      </c>
      <c r="J1732" s="17">
        <v>4915</v>
      </c>
      <c r="K1732" s="17">
        <v>271823</v>
      </c>
      <c r="L1732" s="17">
        <v>30564.032500000001</v>
      </c>
      <c r="M1732" s="17">
        <v>2025</v>
      </c>
      <c r="N1732" s="17" t="s">
        <v>117</v>
      </c>
    </row>
    <row r="1733" spans="1:14" ht="14.25" customHeight="1">
      <c r="A1733" s="17">
        <v>11732</v>
      </c>
      <c r="B1733" s="18">
        <v>45499</v>
      </c>
      <c r="C1733" s="17" t="s">
        <v>39</v>
      </c>
      <c r="D1733" s="17" t="s">
        <v>83</v>
      </c>
      <c r="E1733" s="17" t="s">
        <v>168</v>
      </c>
      <c r="F1733" s="17" t="s">
        <v>172</v>
      </c>
      <c r="G1733" s="17">
        <v>7</v>
      </c>
      <c r="H1733" s="17">
        <v>79864</v>
      </c>
      <c r="I1733" s="17">
        <v>559048</v>
      </c>
      <c r="J1733" s="17">
        <v>2858</v>
      </c>
      <c r="K1733" s="17">
        <v>556190</v>
      </c>
      <c r="L1733" s="17">
        <v>114134.586</v>
      </c>
      <c r="M1733" s="17">
        <v>2024</v>
      </c>
      <c r="N1733" s="17" t="s">
        <v>123</v>
      </c>
    </row>
    <row r="1734" spans="1:14" ht="14.25" customHeight="1">
      <c r="A1734" s="17">
        <v>11733</v>
      </c>
      <c r="B1734" s="18">
        <v>45830</v>
      </c>
      <c r="C1734" s="17" t="s">
        <v>167</v>
      </c>
      <c r="D1734" s="17" t="s">
        <v>83</v>
      </c>
      <c r="E1734" s="17" t="s">
        <v>168</v>
      </c>
      <c r="F1734" s="17" t="s">
        <v>163</v>
      </c>
      <c r="G1734" s="17">
        <v>6</v>
      </c>
      <c r="H1734" s="17">
        <v>72561</v>
      </c>
      <c r="I1734" s="17">
        <v>435366</v>
      </c>
      <c r="J1734" s="17">
        <v>761</v>
      </c>
      <c r="K1734" s="17">
        <v>434605</v>
      </c>
      <c r="L1734" s="17">
        <v>89616.733519999994</v>
      </c>
      <c r="M1734" s="17">
        <v>2025</v>
      </c>
      <c r="N1734" s="17" t="s">
        <v>120</v>
      </c>
    </row>
    <row r="1735" spans="1:14" ht="14.25" customHeight="1">
      <c r="A1735" s="17">
        <v>11734</v>
      </c>
      <c r="B1735" s="18">
        <v>45875</v>
      </c>
      <c r="C1735" s="17" t="s">
        <v>50</v>
      </c>
      <c r="D1735" s="17" t="s">
        <v>111</v>
      </c>
      <c r="E1735" s="17" t="s">
        <v>165</v>
      </c>
      <c r="F1735" s="17" t="s">
        <v>164</v>
      </c>
      <c r="G1735" s="17">
        <v>1</v>
      </c>
      <c r="H1735" s="17">
        <v>5105</v>
      </c>
      <c r="I1735" s="17">
        <v>5105</v>
      </c>
      <c r="J1735" s="17">
        <v>2366</v>
      </c>
      <c r="K1735" s="17">
        <v>2739</v>
      </c>
      <c r="L1735" s="17">
        <v>281.67966380000001</v>
      </c>
      <c r="M1735" s="17">
        <v>2025</v>
      </c>
      <c r="N1735" s="17" t="s">
        <v>126</v>
      </c>
    </row>
    <row r="1736" spans="1:14" ht="14.25" customHeight="1">
      <c r="A1736" s="17">
        <v>11735</v>
      </c>
      <c r="B1736" s="18">
        <v>45351</v>
      </c>
      <c r="C1736" s="17" t="s">
        <v>58</v>
      </c>
      <c r="D1736" s="17" t="s">
        <v>170</v>
      </c>
      <c r="E1736" s="17" t="s">
        <v>162</v>
      </c>
      <c r="F1736" s="17" t="s">
        <v>163</v>
      </c>
      <c r="G1736" s="17">
        <v>6</v>
      </c>
      <c r="H1736" s="17">
        <v>24476</v>
      </c>
      <c r="I1736" s="17">
        <v>146856</v>
      </c>
      <c r="J1736" s="17">
        <v>4206</v>
      </c>
      <c r="K1736" s="17">
        <v>142650</v>
      </c>
      <c r="L1736" s="17">
        <v>28018.326560000001</v>
      </c>
      <c r="M1736" s="17">
        <v>2024</v>
      </c>
      <c r="N1736" s="17" t="s">
        <v>175</v>
      </c>
    </row>
    <row r="1737" spans="1:14" ht="14.25" customHeight="1">
      <c r="A1737" s="17">
        <v>11736</v>
      </c>
      <c r="B1737" s="18">
        <v>45721</v>
      </c>
      <c r="C1737" s="17" t="s">
        <v>50</v>
      </c>
      <c r="D1737" s="17" t="s">
        <v>83</v>
      </c>
      <c r="E1737" s="17" t="s">
        <v>168</v>
      </c>
      <c r="F1737" s="17" t="s">
        <v>163</v>
      </c>
      <c r="G1737" s="17">
        <v>6</v>
      </c>
      <c r="H1737" s="17">
        <v>69147</v>
      </c>
      <c r="I1737" s="17">
        <v>414882</v>
      </c>
      <c r="J1737" s="17">
        <v>1841</v>
      </c>
      <c r="K1737" s="17">
        <v>413041</v>
      </c>
      <c r="L1737" s="17">
        <v>43364.762459999998</v>
      </c>
      <c r="M1737" s="17">
        <v>2025</v>
      </c>
      <c r="N1737" s="17" t="s">
        <v>112</v>
      </c>
    </row>
    <row r="1738" spans="1:14" ht="14.25" customHeight="1">
      <c r="A1738" s="17">
        <v>11737</v>
      </c>
      <c r="B1738" s="18">
        <v>45948</v>
      </c>
      <c r="C1738" s="17" t="s">
        <v>50</v>
      </c>
      <c r="D1738" s="17" t="s">
        <v>111</v>
      </c>
      <c r="E1738" s="17" t="s">
        <v>168</v>
      </c>
      <c r="F1738" s="17" t="s">
        <v>172</v>
      </c>
      <c r="G1738" s="17">
        <v>5</v>
      </c>
      <c r="H1738" s="17">
        <v>47112</v>
      </c>
      <c r="I1738" s="17">
        <v>235560</v>
      </c>
      <c r="J1738" s="17">
        <v>4902</v>
      </c>
      <c r="K1738" s="17">
        <v>230658</v>
      </c>
      <c r="L1738" s="17">
        <v>56307.192790000001</v>
      </c>
      <c r="M1738" s="17">
        <v>2025</v>
      </c>
      <c r="N1738" s="17" t="s">
        <v>174</v>
      </c>
    </row>
    <row r="1739" spans="1:14" ht="14.25" customHeight="1">
      <c r="A1739" s="17">
        <v>11738</v>
      </c>
      <c r="B1739" s="18">
        <v>45896</v>
      </c>
      <c r="C1739" s="17" t="s">
        <v>167</v>
      </c>
      <c r="D1739" s="17" t="s">
        <v>89</v>
      </c>
      <c r="E1739" s="17" t="s">
        <v>168</v>
      </c>
      <c r="F1739" s="17" t="s">
        <v>172</v>
      </c>
      <c r="G1739" s="17">
        <v>3</v>
      </c>
      <c r="H1739" s="17">
        <v>53610</v>
      </c>
      <c r="I1739" s="17">
        <v>160830</v>
      </c>
      <c r="J1739" s="17">
        <v>1496</v>
      </c>
      <c r="K1739" s="17">
        <v>159334</v>
      </c>
      <c r="L1739" s="17">
        <v>32571.277610000001</v>
      </c>
      <c r="M1739" s="17">
        <v>2025</v>
      </c>
      <c r="N1739" s="17" t="s">
        <v>126</v>
      </c>
    </row>
    <row r="1740" spans="1:14" ht="14.25" customHeight="1">
      <c r="A1740" s="17">
        <v>11739</v>
      </c>
      <c r="B1740" s="18">
        <v>45600</v>
      </c>
      <c r="C1740" s="17" t="s">
        <v>45</v>
      </c>
      <c r="D1740" s="17" t="s">
        <v>170</v>
      </c>
      <c r="E1740" s="17" t="s">
        <v>168</v>
      </c>
      <c r="F1740" s="17" t="s">
        <v>166</v>
      </c>
      <c r="G1740" s="17">
        <v>3</v>
      </c>
      <c r="H1740" s="17">
        <v>71234</v>
      </c>
      <c r="I1740" s="17">
        <v>213702</v>
      </c>
      <c r="J1740" s="17">
        <v>3919</v>
      </c>
      <c r="K1740" s="17">
        <v>209783</v>
      </c>
      <c r="L1740" s="17">
        <v>26849.43707</v>
      </c>
      <c r="M1740" s="17">
        <v>2024</v>
      </c>
      <c r="N1740" s="17" t="s">
        <v>173</v>
      </c>
    </row>
    <row r="1741" spans="1:14" ht="14.25" customHeight="1">
      <c r="A1741" s="17">
        <v>11740</v>
      </c>
      <c r="B1741" s="18">
        <v>45811</v>
      </c>
      <c r="C1741" s="17" t="s">
        <v>58</v>
      </c>
      <c r="D1741" s="17" t="s">
        <v>83</v>
      </c>
      <c r="E1741" s="17" t="s">
        <v>168</v>
      </c>
      <c r="F1741" s="17" t="s">
        <v>163</v>
      </c>
      <c r="G1741" s="17">
        <v>7</v>
      </c>
      <c r="H1741" s="17">
        <v>49230</v>
      </c>
      <c r="I1741" s="17">
        <v>344610</v>
      </c>
      <c r="J1741" s="17">
        <v>3088</v>
      </c>
      <c r="K1741" s="17">
        <v>341522</v>
      </c>
      <c r="L1741" s="17">
        <v>42251.639519999997</v>
      </c>
      <c r="M1741" s="17">
        <v>2025</v>
      </c>
      <c r="N1741" s="17" t="s">
        <v>120</v>
      </c>
    </row>
    <row r="1742" spans="1:14" ht="14.25" customHeight="1">
      <c r="A1742" s="17">
        <v>11741</v>
      </c>
      <c r="B1742" s="18">
        <v>45882</v>
      </c>
      <c r="C1742" s="17" t="s">
        <v>45</v>
      </c>
      <c r="D1742" s="17" t="s">
        <v>89</v>
      </c>
      <c r="E1742" s="17" t="s">
        <v>168</v>
      </c>
      <c r="F1742" s="17" t="s">
        <v>172</v>
      </c>
      <c r="G1742" s="17">
        <v>8</v>
      </c>
      <c r="H1742" s="17">
        <v>46706</v>
      </c>
      <c r="I1742" s="17">
        <v>373648</v>
      </c>
      <c r="J1742" s="17">
        <v>1243</v>
      </c>
      <c r="K1742" s="17">
        <v>372405</v>
      </c>
      <c r="L1742" s="17">
        <v>69062.263479999994</v>
      </c>
      <c r="M1742" s="17">
        <v>2025</v>
      </c>
      <c r="N1742" s="17" t="s">
        <v>126</v>
      </c>
    </row>
    <row r="1743" spans="1:14" ht="14.25" customHeight="1">
      <c r="A1743" s="17">
        <v>11742</v>
      </c>
      <c r="B1743" s="18">
        <v>45318</v>
      </c>
      <c r="C1743" s="17" t="s">
        <v>50</v>
      </c>
      <c r="D1743" s="17" t="s">
        <v>111</v>
      </c>
      <c r="E1743" s="17" t="s">
        <v>165</v>
      </c>
      <c r="F1743" s="17" t="s">
        <v>166</v>
      </c>
      <c r="G1743" s="17">
        <v>3</v>
      </c>
      <c r="H1743" s="17">
        <v>70032</v>
      </c>
      <c r="I1743" s="17">
        <v>210096</v>
      </c>
      <c r="J1743" s="17">
        <v>4582</v>
      </c>
      <c r="K1743" s="17">
        <v>205514</v>
      </c>
      <c r="L1743" s="17">
        <v>40080.945110000001</v>
      </c>
      <c r="M1743" s="17">
        <v>2024</v>
      </c>
      <c r="N1743" s="17" t="s">
        <v>171</v>
      </c>
    </row>
    <row r="1744" spans="1:14" ht="14.25" customHeight="1">
      <c r="A1744" s="17">
        <v>11743</v>
      </c>
      <c r="B1744" s="18">
        <v>45977</v>
      </c>
      <c r="C1744" s="17" t="s">
        <v>39</v>
      </c>
      <c r="D1744" s="17" t="s">
        <v>83</v>
      </c>
      <c r="E1744" s="17" t="s">
        <v>165</v>
      </c>
      <c r="F1744" s="17" t="s">
        <v>164</v>
      </c>
      <c r="G1744" s="17">
        <v>3</v>
      </c>
      <c r="H1744" s="17">
        <v>46920</v>
      </c>
      <c r="I1744" s="17">
        <v>140760</v>
      </c>
      <c r="J1744" s="17">
        <v>4906</v>
      </c>
      <c r="K1744" s="17">
        <v>135854</v>
      </c>
      <c r="L1744" s="17">
        <v>30524.44355</v>
      </c>
      <c r="M1744" s="17">
        <v>2025</v>
      </c>
      <c r="N1744" s="17" t="s">
        <v>173</v>
      </c>
    </row>
    <row r="1745" spans="1:14" ht="14.25" customHeight="1">
      <c r="A1745" s="17">
        <v>11744</v>
      </c>
      <c r="B1745" s="18">
        <v>45853</v>
      </c>
      <c r="C1745" s="17" t="s">
        <v>50</v>
      </c>
      <c r="D1745" s="17" t="s">
        <v>83</v>
      </c>
      <c r="E1745" s="17" t="s">
        <v>168</v>
      </c>
      <c r="F1745" s="17" t="s">
        <v>166</v>
      </c>
      <c r="G1745" s="17">
        <v>7</v>
      </c>
      <c r="H1745" s="17">
        <v>24875</v>
      </c>
      <c r="I1745" s="17">
        <v>174125</v>
      </c>
      <c r="J1745" s="17">
        <v>2043</v>
      </c>
      <c r="K1745" s="17">
        <v>172082</v>
      </c>
      <c r="L1745" s="17">
        <v>40524.996500000001</v>
      </c>
      <c r="M1745" s="17">
        <v>2025</v>
      </c>
      <c r="N1745" s="17" t="s">
        <v>123</v>
      </c>
    </row>
    <row r="1746" spans="1:14" ht="14.25" customHeight="1">
      <c r="A1746" s="17">
        <v>11745</v>
      </c>
      <c r="B1746" s="18">
        <v>45490</v>
      </c>
      <c r="C1746" s="17" t="s">
        <v>45</v>
      </c>
      <c r="D1746" s="17" t="s">
        <v>89</v>
      </c>
      <c r="E1746" s="17" t="s">
        <v>165</v>
      </c>
      <c r="F1746" s="17" t="s">
        <v>166</v>
      </c>
      <c r="G1746" s="17">
        <v>7</v>
      </c>
      <c r="H1746" s="17">
        <v>73833</v>
      </c>
      <c r="I1746" s="17">
        <v>516831</v>
      </c>
      <c r="J1746" s="17">
        <v>3376</v>
      </c>
      <c r="K1746" s="17">
        <v>513455</v>
      </c>
      <c r="L1746" s="17">
        <v>81577.738930000007</v>
      </c>
      <c r="M1746" s="17">
        <v>2024</v>
      </c>
      <c r="N1746" s="17" t="s">
        <v>123</v>
      </c>
    </row>
    <row r="1747" spans="1:14" ht="14.25" customHeight="1">
      <c r="A1747" s="17">
        <v>11746</v>
      </c>
      <c r="B1747" s="18">
        <v>45678</v>
      </c>
      <c r="C1747" s="17" t="s">
        <v>50</v>
      </c>
      <c r="D1747" s="17" t="s">
        <v>83</v>
      </c>
      <c r="E1747" s="17" t="s">
        <v>162</v>
      </c>
      <c r="F1747" s="17" t="s">
        <v>163</v>
      </c>
      <c r="G1747" s="17">
        <v>9</v>
      </c>
      <c r="H1747" s="17">
        <v>57129</v>
      </c>
      <c r="I1747" s="17">
        <v>514161</v>
      </c>
      <c r="J1747" s="17">
        <v>516</v>
      </c>
      <c r="K1747" s="17">
        <v>513645</v>
      </c>
      <c r="L1747" s="17">
        <v>116398.4938</v>
      </c>
      <c r="M1747" s="17">
        <v>2025</v>
      </c>
      <c r="N1747" s="17" t="s">
        <v>171</v>
      </c>
    </row>
    <row r="1748" spans="1:14" ht="14.25" customHeight="1">
      <c r="A1748" s="17">
        <v>11747</v>
      </c>
      <c r="B1748" s="18">
        <v>45640</v>
      </c>
      <c r="C1748" s="17" t="s">
        <v>39</v>
      </c>
      <c r="D1748" s="17" t="s">
        <v>86</v>
      </c>
      <c r="E1748" s="17" t="s">
        <v>162</v>
      </c>
      <c r="F1748" s="17" t="s">
        <v>164</v>
      </c>
      <c r="G1748" s="17">
        <v>6</v>
      </c>
      <c r="H1748" s="17">
        <v>70744</v>
      </c>
      <c r="I1748" s="17">
        <v>424464</v>
      </c>
      <c r="J1748" s="17">
        <v>834</v>
      </c>
      <c r="K1748" s="17">
        <v>423630</v>
      </c>
      <c r="L1748" s="17">
        <v>76828.268150000004</v>
      </c>
      <c r="M1748" s="17">
        <v>2024</v>
      </c>
      <c r="N1748" s="17" t="s">
        <v>169</v>
      </c>
    </row>
    <row r="1749" spans="1:14" ht="14.25" customHeight="1">
      <c r="A1749" s="17">
        <v>11748</v>
      </c>
      <c r="B1749" s="18">
        <v>45984</v>
      </c>
      <c r="C1749" s="17" t="s">
        <v>167</v>
      </c>
      <c r="D1749" s="17" t="s">
        <v>83</v>
      </c>
      <c r="E1749" s="17" t="s">
        <v>168</v>
      </c>
      <c r="F1749" s="17" t="s">
        <v>163</v>
      </c>
      <c r="G1749" s="17">
        <v>7</v>
      </c>
      <c r="H1749" s="17">
        <v>24700</v>
      </c>
      <c r="I1749" s="17">
        <v>172900</v>
      </c>
      <c r="J1749" s="17">
        <v>623</v>
      </c>
      <c r="K1749" s="17">
        <v>172277</v>
      </c>
      <c r="L1749" s="17">
        <v>29388.271919999999</v>
      </c>
      <c r="M1749" s="17">
        <v>2025</v>
      </c>
      <c r="N1749" s="17" t="s">
        <v>173</v>
      </c>
    </row>
    <row r="1750" spans="1:14" ht="14.25" customHeight="1">
      <c r="A1750" s="17">
        <v>11749</v>
      </c>
      <c r="B1750" s="18">
        <v>45827</v>
      </c>
      <c r="C1750" s="17" t="s">
        <v>45</v>
      </c>
      <c r="D1750" s="17" t="s">
        <v>170</v>
      </c>
      <c r="E1750" s="17" t="s">
        <v>162</v>
      </c>
      <c r="F1750" s="17" t="s">
        <v>163</v>
      </c>
      <c r="G1750" s="17">
        <v>1</v>
      </c>
      <c r="H1750" s="17">
        <v>77769</v>
      </c>
      <c r="I1750" s="17">
        <v>77769</v>
      </c>
      <c r="J1750" s="17">
        <v>1047</v>
      </c>
      <c r="K1750" s="17">
        <v>76722</v>
      </c>
      <c r="L1750" s="17">
        <v>15716.16389</v>
      </c>
      <c r="M1750" s="17">
        <v>2025</v>
      </c>
      <c r="N1750" s="17" t="s">
        <v>120</v>
      </c>
    </row>
    <row r="1751" spans="1:14" ht="14.25" customHeight="1">
      <c r="A1751" s="17">
        <v>11750</v>
      </c>
      <c r="B1751" s="18">
        <v>45669</v>
      </c>
      <c r="C1751" s="17" t="s">
        <v>50</v>
      </c>
      <c r="D1751" s="17" t="s">
        <v>89</v>
      </c>
      <c r="E1751" s="17" t="s">
        <v>162</v>
      </c>
      <c r="F1751" s="17" t="s">
        <v>166</v>
      </c>
      <c r="G1751" s="17">
        <v>7</v>
      </c>
      <c r="H1751" s="17">
        <v>6891</v>
      </c>
      <c r="I1751" s="17">
        <v>48237</v>
      </c>
      <c r="J1751" s="17">
        <v>1564</v>
      </c>
      <c r="K1751" s="17">
        <v>46673</v>
      </c>
      <c r="L1751" s="17">
        <v>5389.7627650000004</v>
      </c>
      <c r="M1751" s="17">
        <v>2025</v>
      </c>
      <c r="N1751" s="17" t="s">
        <v>171</v>
      </c>
    </row>
    <row r="1752" spans="1:14" ht="14.25" customHeight="1">
      <c r="A1752" s="17">
        <v>11751</v>
      </c>
      <c r="B1752" s="18">
        <v>45849</v>
      </c>
      <c r="C1752" s="17" t="s">
        <v>45</v>
      </c>
      <c r="D1752" s="17" t="s">
        <v>170</v>
      </c>
      <c r="E1752" s="17" t="s">
        <v>165</v>
      </c>
      <c r="F1752" s="17" t="s">
        <v>166</v>
      </c>
      <c r="G1752" s="17">
        <v>2</v>
      </c>
      <c r="H1752" s="17">
        <v>63520</v>
      </c>
      <c r="I1752" s="17">
        <v>127040</v>
      </c>
      <c r="J1752" s="17">
        <v>3982</v>
      </c>
      <c r="K1752" s="17">
        <v>123058</v>
      </c>
      <c r="L1752" s="17">
        <v>17204.489890000001</v>
      </c>
      <c r="M1752" s="17">
        <v>2025</v>
      </c>
      <c r="N1752" s="17" t="s">
        <v>123</v>
      </c>
    </row>
    <row r="1753" spans="1:14" ht="14.25" customHeight="1">
      <c r="A1753" s="17">
        <v>11752</v>
      </c>
      <c r="B1753" s="18">
        <v>45818</v>
      </c>
      <c r="C1753" s="17" t="s">
        <v>167</v>
      </c>
      <c r="D1753" s="17" t="s">
        <v>111</v>
      </c>
      <c r="E1753" s="17" t="s">
        <v>165</v>
      </c>
      <c r="F1753" s="17" t="s">
        <v>172</v>
      </c>
      <c r="G1753" s="17">
        <v>7</v>
      </c>
      <c r="H1753" s="17">
        <v>52594</v>
      </c>
      <c r="I1753" s="17">
        <v>368158</v>
      </c>
      <c r="J1753" s="17">
        <v>496</v>
      </c>
      <c r="K1753" s="17">
        <v>367662</v>
      </c>
      <c r="L1753" s="17">
        <v>81810.090370000005</v>
      </c>
      <c r="M1753" s="17">
        <v>2025</v>
      </c>
      <c r="N1753" s="17" t="s">
        <v>120</v>
      </c>
    </row>
    <row r="1754" spans="1:14" ht="14.25" customHeight="1">
      <c r="A1754" s="17">
        <v>11753</v>
      </c>
      <c r="B1754" s="18">
        <v>45444</v>
      </c>
      <c r="C1754" s="17" t="s">
        <v>50</v>
      </c>
      <c r="D1754" s="17" t="s">
        <v>170</v>
      </c>
      <c r="E1754" s="17" t="s">
        <v>165</v>
      </c>
      <c r="F1754" s="17" t="s">
        <v>166</v>
      </c>
      <c r="G1754" s="17">
        <v>3</v>
      </c>
      <c r="H1754" s="17">
        <v>69190</v>
      </c>
      <c r="I1754" s="17">
        <v>207570</v>
      </c>
      <c r="J1754" s="17">
        <v>2429</v>
      </c>
      <c r="K1754" s="17">
        <v>205141</v>
      </c>
      <c r="L1754" s="17">
        <v>36025.185550000002</v>
      </c>
      <c r="M1754" s="17">
        <v>2024</v>
      </c>
      <c r="N1754" s="17" t="s">
        <v>120</v>
      </c>
    </row>
    <row r="1755" spans="1:14" ht="14.25" customHeight="1">
      <c r="A1755" s="17">
        <v>11754</v>
      </c>
      <c r="B1755" s="18">
        <v>45497</v>
      </c>
      <c r="C1755" s="17" t="s">
        <v>50</v>
      </c>
      <c r="D1755" s="17" t="s">
        <v>86</v>
      </c>
      <c r="E1755" s="17" t="s">
        <v>165</v>
      </c>
      <c r="F1755" s="17" t="s">
        <v>172</v>
      </c>
      <c r="G1755" s="17">
        <v>9</v>
      </c>
      <c r="H1755" s="17">
        <v>7039</v>
      </c>
      <c r="I1755" s="17">
        <v>63351</v>
      </c>
      <c r="J1755" s="17">
        <v>2263</v>
      </c>
      <c r="K1755" s="17">
        <v>61088</v>
      </c>
      <c r="L1755" s="17">
        <v>14429.383620000001</v>
      </c>
      <c r="M1755" s="17">
        <v>2024</v>
      </c>
      <c r="N1755" s="17" t="s">
        <v>123</v>
      </c>
    </row>
    <row r="1756" spans="1:14" ht="14.25" customHeight="1">
      <c r="A1756" s="17">
        <v>11755</v>
      </c>
      <c r="B1756" s="18">
        <v>45746</v>
      </c>
      <c r="C1756" s="17" t="s">
        <v>45</v>
      </c>
      <c r="D1756" s="17" t="s">
        <v>86</v>
      </c>
      <c r="E1756" s="17" t="s">
        <v>162</v>
      </c>
      <c r="F1756" s="17" t="s">
        <v>163</v>
      </c>
      <c r="G1756" s="17">
        <v>5</v>
      </c>
      <c r="H1756" s="17">
        <v>24673</v>
      </c>
      <c r="I1756" s="17">
        <v>123365</v>
      </c>
      <c r="J1756" s="17">
        <v>542</v>
      </c>
      <c r="K1756" s="17">
        <v>122823</v>
      </c>
      <c r="L1756" s="17">
        <v>13916.52881</v>
      </c>
      <c r="M1756" s="17">
        <v>2025</v>
      </c>
      <c r="N1756" s="17" t="s">
        <v>112</v>
      </c>
    </row>
    <row r="1757" spans="1:14" ht="14.25" customHeight="1">
      <c r="A1757" s="17">
        <v>11756</v>
      </c>
      <c r="B1757" s="18">
        <v>45564</v>
      </c>
      <c r="C1757" s="17" t="s">
        <v>45</v>
      </c>
      <c r="D1757" s="17" t="s">
        <v>170</v>
      </c>
      <c r="E1757" s="17" t="s">
        <v>168</v>
      </c>
      <c r="F1757" s="17" t="s">
        <v>166</v>
      </c>
      <c r="G1757" s="17">
        <v>7</v>
      </c>
      <c r="H1757" s="17">
        <v>47412</v>
      </c>
      <c r="I1757" s="17">
        <v>331884</v>
      </c>
      <c r="J1757" s="17">
        <v>915</v>
      </c>
      <c r="K1757" s="17">
        <v>330969</v>
      </c>
      <c r="L1757" s="17">
        <v>48656.388700000003</v>
      </c>
      <c r="M1757" s="17">
        <v>2024</v>
      </c>
      <c r="N1757" s="17" t="s">
        <v>129</v>
      </c>
    </row>
    <row r="1758" spans="1:14" ht="14.25" customHeight="1">
      <c r="A1758" s="17">
        <v>11757</v>
      </c>
      <c r="B1758" s="18">
        <v>45527</v>
      </c>
      <c r="C1758" s="17" t="s">
        <v>39</v>
      </c>
      <c r="D1758" s="17" t="s">
        <v>111</v>
      </c>
      <c r="E1758" s="17" t="s">
        <v>165</v>
      </c>
      <c r="F1758" s="17" t="s">
        <v>164</v>
      </c>
      <c r="G1758" s="17">
        <v>8</v>
      </c>
      <c r="H1758" s="17">
        <v>33436</v>
      </c>
      <c r="I1758" s="17">
        <v>267488</v>
      </c>
      <c r="J1758" s="17">
        <v>1801</v>
      </c>
      <c r="K1758" s="17">
        <v>265687</v>
      </c>
      <c r="L1758" s="17">
        <v>40738.447659999998</v>
      </c>
      <c r="M1758" s="17">
        <v>2024</v>
      </c>
      <c r="N1758" s="17" t="s">
        <v>126</v>
      </c>
    </row>
    <row r="1759" spans="1:14" ht="14.25" customHeight="1">
      <c r="A1759" s="17">
        <v>11758</v>
      </c>
      <c r="B1759" s="18">
        <v>45812</v>
      </c>
      <c r="C1759" s="17" t="s">
        <v>167</v>
      </c>
      <c r="D1759" s="17" t="s">
        <v>83</v>
      </c>
      <c r="E1759" s="17" t="s">
        <v>162</v>
      </c>
      <c r="F1759" s="17" t="s">
        <v>164</v>
      </c>
      <c r="G1759" s="17">
        <v>2</v>
      </c>
      <c r="H1759" s="17">
        <v>13186</v>
      </c>
      <c r="I1759" s="17">
        <v>26372</v>
      </c>
      <c r="J1759" s="17">
        <v>3082</v>
      </c>
      <c r="K1759" s="17">
        <v>23290</v>
      </c>
      <c r="L1759" s="17">
        <v>3805.773447</v>
      </c>
      <c r="M1759" s="17">
        <v>2025</v>
      </c>
      <c r="N1759" s="17" t="s">
        <v>120</v>
      </c>
    </row>
    <row r="1760" spans="1:14" ht="14.25" customHeight="1">
      <c r="A1760" s="17">
        <v>11759</v>
      </c>
      <c r="B1760" s="18">
        <v>45969</v>
      </c>
      <c r="C1760" s="17" t="s">
        <v>39</v>
      </c>
      <c r="D1760" s="17" t="s">
        <v>86</v>
      </c>
      <c r="E1760" s="17" t="s">
        <v>165</v>
      </c>
      <c r="F1760" s="17" t="s">
        <v>163</v>
      </c>
      <c r="G1760" s="17">
        <v>1</v>
      </c>
      <c r="H1760" s="17">
        <v>68708</v>
      </c>
      <c r="I1760" s="17">
        <v>68708</v>
      </c>
      <c r="J1760" s="17">
        <v>81</v>
      </c>
      <c r="K1760" s="17">
        <v>68627</v>
      </c>
      <c r="L1760" s="17">
        <v>17021.074949999998</v>
      </c>
      <c r="M1760" s="17">
        <v>2025</v>
      </c>
      <c r="N1760" s="17" t="s">
        <v>173</v>
      </c>
    </row>
    <row r="1761" spans="1:14" ht="14.25" customHeight="1">
      <c r="A1761" s="17">
        <v>11760</v>
      </c>
      <c r="B1761" s="18">
        <v>46017</v>
      </c>
      <c r="C1761" s="17" t="s">
        <v>50</v>
      </c>
      <c r="D1761" s="17" t="s">
        <v>170</v>
      </c>
      <c r="E1761" s="17" t="s">
        <v>162</v>
      </c>
      <c r="F1761" s="17" t="s">
        <v>163</v>
      </c>
      <c r="G1761" s="17">
        <v>7</v>
      </c>
      <c r="H1761" s="17">
        <v>5434</v>
      </c>
      <c r="I1761" s="17">
        <v>38038</v>
      </c>
      <c r="J1761" s="17">
        <v>1179</v>
      </c>
      <c r="K1761" s="17">
        <v>36859</v>
      </c>
      <c r="L1761" s="17">
        <v>5403.5075470000002</v>
      </c>
      <c r="M1761" s="17">
        <v>2025</v>
      </c>
      <c r="N1761" s="17" t="s">
        <v>169</v>
      </c>
    </row>
    <row r="1762" spans="1:14" ht="14.25" customHeight="1">
      <c r="A1762" s="17">
        <v>11761</v>
      </c>
      <c r="B1762" s="18">
        <v>45792</v>
      </c>
      <c r="C1762" s="17" t="s">
        <v>45</v>
      </c>
      <c r="D1762" s="17" t="s">
        <v>170</v>
      </c>
      <c r="E1762" s="17" t="s">
        <v>165</v>
      </c>
      <c r="F1762" s="17" t="s">
        <v>166</v>
      </c>
      <c r="G1762" s="17">
        <v>6</v>
      </c>
      <c r="H1762" s="17">
        <v>15519</v>
      </c>
      <c r="I1762" s="17">
        <v>93114</v>
      </c>
      <c r="J1762" s="17">
        <v>165</v>
      </c>
      <c r="K1762" s="17">
        <v>92949</v>
      </c>
      <c r="L1762" s="17">
        <v>16526.552299999999</v>
      </c>
      <c r="M1762" s="17">
        <v>2025</v>
      </c>
      <c r="N1762" s="17" t="s">
        <v>117</v>
      </c>
    </row>
    <row r="1763" spans="1:14" ht="14.25" customHeight="1">
      <c r="A1763" s="17">
        <v>11762</v>
      </c>
      <c r="B1763" s="18">
        <v>45408</v>
      </c>
      <c r="C1763" s="17" t="s">
        <v>50</v>
      </c>
      <c r="D1763" s="17" t="s">
        <v>170</v>
      </c>
      <c r="E1763" s="17" t="s">
        <v>168</v>
      </c>
      <c r="F1763" s="17" t="s">
        <v>172</v>
      </c>
      <c r="G1763" s="17">
        <v>6</v>
      </c>
      <c r="H1763" s="17">
        <v>23030</v>
      </c>
      <c r="I1763" s="17">
        <v>138180</v>
      </c>
      <c r="J1763" s="17">
        <v>2255</v>
      </c>
      <c r="K1763" s="17">
        <v>135925</v>
      </c>
      <c r="L1763" s="17">
        <v>24522.324199999999</v>
      </c>
      <c r="M1763" s="17">
        <v>2024</v>
      </c>
      <c r="N1763" s="17" t="s">
        <v>114</v>
      </c>
    </row>
    <row r="1764" spans="1:14" ht="14.25" customHeight="1">
      <c r="A1764" s="17">
        <v>11763</v>
      </c>
      <c r="B1764" s="18">
        <v>45677</v>
      </c>
      <c r="C1764" s="17" t="s">
        <v>50</v>
      </c>
      <c r="D1764" s="17" t="s">
        <v>83</v>
      </c>
      <c r="E1764" s="17" t="s">
        <v>165</v>
      </c>
      <c r="F1764" s="17" t="s">
        <v>166</v>
      </c>
      <c r="G1764" s="17">
        <v>2</v>
      </c>
      <c r="H1764" s="17">
        <v>60819</v>
      </c>
      <c r="I1764" s="17">
        <v>121638</v>
      </c>
      <c r="J1764" s="17">
        <v>2071</v>
      </c>
      <c r="K1764" s="17">
        <v>119567</v>
      </c>
      <c r="L1764" s="17">
        <v>25780.99957</v>
      </c>
      <c r="M1764" s="17">
        <v>2025</v>
      </c>
      <c r="N1764" s="17" t="s">
        <v>171</v>
      </c>
    </row>
    <row r="1765" spans="1:14" ht="14.25" customHeight="1">
      <c r="A1765" s="17">
        <v>11764</v>
      </c>
      <c r="B1765" s="18">
        <v>45635</v>
      </c>
      <c r="C1765" s="17" t="s">
        <v>58</v>
      </c>
      <c r="D1765" s="17" t="s">
        <v>89</v>
      </c>
      <c r="E1765" s="17" t="s">
        <v>168</v>
      </c>
      <c r="F1765" s="17" t="s">
        <v>172</v>
      </c>
      <c r="G1765" s="17">
        <v>3</v>
      </c>
      <c r="H1765" s="17">
        <v>10258</v>
      </c>
      <c r="I1765" s="17">
        <v>30774</v>
      </c>
      <c r="J1765" s="17">
        <v>806</v>
      </c>
      <c r="K1765" s="17">
        <v>29968</v>
      </c>
      <c r="L1765" s="17">
        <v>5324.7247020000004</v>
      </c>
      <c r="M1765" s="17">
        <v>2024</v>
      </c>
      <c r="N1765" s="17" t="s">
        <v>169</v>
      </c>
    </row>
    <row r="1766" spans="1:14" ht="14.25" customHeight="1">
      <c r="A1766" s="17">
        <v>11765</v>
      </c>
      <c r="B1766" s="18">
        <v>45875</v>
      </c>
      <c r="C1766" s="17" t="s">
        <v>58</v>
      </c>
      <c r="D1766" s="17" t="s">
        <v>111</v>
      </c>
      <c r="E1766" s="17" t="s">
        <v>165</v>
      </c>
      <c r="F1766" s="17" t="s">
        <v>166</v>
      </c>
      <c r="G1766" s="17">
        <v>4</v>
      </c>
      <c r="H1766" s="17">
        <v>77726</v>
      </c>
      <c r="I1766" s="17">
        <v>310904</v>
      </c>
      <c r="J1766" s="17">
        <v>2738</v>
      </c>
      <c r="K1766" s="17">
        <v>308166</v>
      </c>
      <c r="L1766" s="17">
        <v>58816.750769999999</v>
      </c>
      <c r="M1766" s="17">
        <v>2025</v>
      </c>
      <c r="N1766" s="17" t="s">
        <v>126</v>
      </c>
    </row>
    <row r="1767" spans="1:14" ht="14.25" customHeight="1">
      <c r="A1767" s="17">
        <v>11766</v>
      </c>
      <c r="B1767" s="18">
        <v>45686</v>
      </c>
      <c r="C1767" s="17" t="s">
        <v>50</v>
      </c>
      <c r="D1767" s="17" t="s">
        <v>89</v>
      </c>
      <c r="E1767" s="17" t="s">
        <v>165</v>
      </c>
      <c r="F1767" s="17" t="s">
        <v>164</v>
      </c>
      <c r="G1767" s="17">
        <v>3</v>
      </c>
      <c r="H1767" s="17">
        <v>63277</v>
      </c>
      <c r="I1767" s="17">
        <v>189831</v>
      </c>
      <c r="J1767" s="17">
        <v>331</v>
      </c>
      <c r="K1767" s="17">
        <v>189500</v>
      </c>
      <c r="L1767" s="17">
        <v>40363.349840000003</v>
      </c>
      <c r="M1767" s="17">
        <v>2025</v>
      </c>
      <c r="N1767" s="17" t="s">
        <v>171</v>
      </c>
    </row>
    <row r="1768" spans="1:14" ht="14.25" customHeight="1">
      <c r="A1768" s="17">
        <v>11767</v>
      </c>
      <c r="B1768" s="18">
        <v>45355</v>
      </c>
      <c r="C1768" s="17" t="s">
        <v>45</v>
      </c>
      <c r="D1768" s="17" t="s">
        <v>111</v>
      </c>
      <c r="E1768" s="17" t="s">
        <v>165</v>
      </c>
      <c r="F1768" s="17" t="s">
        <v>164</v>
      </c>
      <c r="G1768" s="17">
        <v>2</v>
      </c>
      <c r="H1768" s="17">
        <v>50238</v>
      </c>
      <c r="I1768" s="17">
        <v>100476</v>
      </c>
      <c r="J1768" s="17">
        <v>3590</v>
      </c>
      <c r="K1768" s="17">
        <v>96886</v>
      </c>
      <c r="L1768" s="17">
        <v>11158.34131</v>
      </c>
      <c r="M1768" s="17">
        <v>2024</v>
      </c>
      <c r="N1768" s="17" t="s">
        <v>112</v>
      </c>
    </row>
    <row r="1769" spans="1:14" ht="14.25" customHeight="1">
      <c r="A1769" s="17">
        <v>11768</v>
      </c>
      <c r="B1769" s="18">
        <v>46008</v>
      </c>
      <c r="C1769" s="17" t="s">
        <v>50</v>
      </c>
      <c r="D1769" s="17" t="s">
        <v>111</v>
      </c>
      <c r="E1769" s="17" t="s">
        <v>162</v>
      </c>
      <c r="F1769" s="17" t="s">
        <v>172</v>
      </c>
      <c r="G1769" s="17">
        <v>3</v>
      </c>
      <c r="H1769" s="17">
        <v>15747</v>
      </c>
      <c r="I1769" s="17">
        <v>47241</v>
      </c>
      <c r="J1769" s="17">
        <v>1534</v>
      </c>
      <c r="K1769" s="17">
        <v>45707</v>
      </c>
      <c r="L1769" s="17">
        <v>11176.313050000001</v>
      </c>
      <c r="M1769" s="17">
        <v>2025</v>
      </c>
      <c r="N1769" s="17" t="s">
        <v>169</v>
      </c>
    </row>
    <row r="1770" spans="1:14" ht="14.25" customHeight="1">
      <c r="A1770" s="17">
        <v>11769</v>
      </c>
      <c r="B1770" s="18">
        <v>46012</v>
      </c>
      <c r="C1770" s="17" t="s">
        <v>58</v>
      </c>
      <c r="D1770" s="17" t="s">
        <v>170</v>
      </c>
      <c r="E1770" s="17" t="s">
        <v>162</v>
      </c>
      <c r="F1770" s="17" t="s">
        <v>166</v>
      </c>
      <c r="G1770" s="17">
        <v>6</v>
      </c>
      <c r="H1770" s="17">
        <v>35917</v>
      </c>
      <c r="I1770" s="17">
        <v>215502</v>
      </c>
      <c r="J1770" s="17">
        <v>180</v>
      </c>
      <c r="K1770" s="17">
        <v>215322</v>
      </c>
      <c r="L1770" s="17">
        <v>48866.386169999998</v>
      </c>
      <c r="M1770" s="17">
        <v>2025</v>
      </c>
      <c r="N1770" s="17" t="s">
        <v>169</v>
      </c>
    </row>
    <row r="1771" spans="1:14" ht="14.25" customHeight="1">
      <c r="A1771" s="17">
        <v>11770</v>
      </c>
      <c r="B1771" s="18">
        <v>45363</v>
      </c>
      <c r="C1771" s="17" t="s">
        <v>45</v>
      </c>
      <c r="D1771" s="17" t="s">
        <v>86</v>
      </c>
      <c r="E1771" s="17" t="s">
        <v>168</v>
      </c>
      <c r="F1771" s="17" t="s">
        <v>163</v>
      </c>
      <c r="G1771" s="17">
        <v>9</v>
      </c>
      <c r="H1771" s="17">
        <v>35377</v>
      </c>
      <c r="I1771" s="17">
        <v>318393</v>
      </c>
      <c r="J1771" s="17">
        <v>1316</v>
      </c>
      <c r="K1771" s="17">
        <v>317077</v>
      </c>
      <c r="L1771" s="17">
        <v>50198.328099999999</v>
      </c>
      <c r="M1771" s="17">
        <v>2024</v>
      </c>
      <c r="N1771" s="17" t="s">
        <v>112</v>
      </c>
    </row>
    <row r="1772" spans="1:14" ht="14.25" customHeight="1">
      <c r="A1772" s="17">
        <v>11771</v>
      </c>
      <c r="B1772" s="18">
        <v>45565</v>
      </c>
      <c r="C1772" s="17" t="s">
        <v>50</v>
      </c>
      <c r="D1772" s="17" t="s">
        <v>170</v>
      </c>
      <c r="E1772" s="17" t="s">
        <v>168</v>
      </c>
      <c r="F1772" s="17" t="s">
        <v>172</v>
      </c>
      <c r="G1772" s="17">
        <v>4</v>
      </c>
      <c r="H1772" s="17">
        <v>49956</v>
      </c>
      <c r="I1772" s="17">
        <v>199824</v>
      </c>
      <c r="J1772" s="17">
        <v>1106</v>
      </c>
      <c r="K1772" s="17">
        <v>198718</v>
      </c>
      <c r="L1772" s="17">
        <v>41584.252970000001</v>
      </c>
      <c r="M1772" s="17">
        <v>2024</v>
      </c>
      <c r="N1772" s="17" t="s">
        <v>129</v>
      </c>
    </row>
    <row r="1773" spans="1:14" ht="14.25" customHeight="1">
      <c r="A1773" s="17">
        <v>11772</v>
      </c>
      <c r="B1773" s="18">
        <v>45611</v>
      </c>
      <c r="C1773" s="17" t="s">
        <v>167</v>
      </c>
      <c r="D1773" s="17" t="s">
        <v>83</v>
      </c>
      <c r="E1773" s="17" t="s">
        <v>162</v>
      </c>
      <c r="F1773" s="17" t="s">
        <v>164</v>
      </c>
      <c r="G1773" s="17">
        <v>6</v>
      </c>
      <c r="H1773" s="17">
        <v>28557</v>
      </c>
      <c r="I1773" s="17">
        <v>171342</v>
      </c>
      <c r="J1773" s="17">
        <v>1589</v>
      </c>
      <c r="K1773" s="17">
        <v>169753</v>
      </c>
      <c r="L1773" s="17">
        <v>36386.346019999997</v>
      </c>
      <c r="M1773" s="17">
        <v>2024</v>
      </c>
      <c r="N1773" s="17" t="s">
        <v>173</v>
      </c>
    </row>
    <row r="1774" spans="1:14" ht="14.25" customHeight="1">
      <c r="A1774" s="17">
        <v>11773</v>
      </c>
      <c r="B1774" s="18">
        <v>45629</v>
      </c>
      <c r="C1774" s="17" t="s">
        <v>167</v>
      </c>
      <c r="D1774" s="17" t="s">
        <v>111</v>
      </c>
      <c r="E1774" s="17" t="s">
        <v>168</v>
      </c>
      <c r="F1774" s="17" t="s">
        <v>172</v>
      </c>
      <c r="G1774" s="17">
        <v>1</v>
      </c>
      <c r="H1774" s="17">
        <v>49335</v>
      </c>
      <c r="I1774" s="17">
        <v>49335</v>
      </c>
      <c r="J1774" s="17">
        <v>2486</v>
      </c>
      <c r="K1774" s="17">
        <v>46849</v>
      </c>
      <c r="L1774" s="17">
        <v>10659.87939</v>
      </c>
      <c r="M1774" s="17">
        <v>2024</v>
      </c>
      <c r="N1774" s="17" t="s">
        <v>169</v>
      </c>
    </row>
    <row r="1775" spans="1:14" ht="14.25" customHeight="1">
      <c r="A1775" s="17">
        <v>11774</v>
      </c>
      <c r="B1775" s="18">
        <v>45657</v>
      </c>
      <c r="C1775" s="17" t="s">
        <v>50</v>
      </c>
      <c r="D1775" s="17" t="s">
        <v>86</v>
      </c>
      <c r="E1775" s="17" t="s">
        <v>168</v>
      </c>
      <c r="F1775" s="17" t="s">
        <v>166</v>
      </c>
      <c r="G1775" s="17">
        <v>6</v>
      </c>
      <c r="H1775" s="17">
        <v>38292</v>
      </c>
      <c r="I1775" s="17">
        <v>229752</v>
      </c>
      <c r="J1775" s="17">
        <v>2590</v>
      </c>
      <c r="K1775" s="17">
        <v>227162</v>
      </c>
      <c r="L1775" s="17">
        <v>29132.96399</v>
      </c>
      <c r="M1775" s="17">
        <v>2024</v>
      </c>
      <c r="N1775" s="17" t="s">
        <v>169</v>
      </c>
    </row>
    <row r="1776" spans="1:14" ht="14.25" customHeight="1">
      <c r="A1776" s="17">
        <v>11775</v>
      </c>
      <c r="B1776" s="18">
        <v>45786</v>
      </c>
      <c r="C1776" s="17" t="s">
        <v>45</v>
      </c>
      <c r="D1776" s="17" t="s">
        <v>111</v>
      </c>
      <c r="E1776" s="17" t="s">
        <v>162</v>
      </c>
      <c r="F1776" s="17" t="s">
        <v>163</v>
      </c>
      <c r="G1776" s="17">
        <v>3</v>
      </c>
      <c r="H1776" s="17">
        <v>24491</v>
      </c>
      <c r="I1776" s="17">
        <v>73473</v>
      </c>
      <c r="J1776" s="17">
        <v>2240</v>
      </c>
      <c r="K1776" s="17">
        <v>71233</v>
      </c>
      <c r="L1776" s="17">
        <v>14642.328729999999</v>
      </c>
      <c r="M1776" s="17">
        <v>2025</v>
      </c>
      <c r="N1776" s="17" t="s">
        <v>117</v>
      </c>
    </row>
    <row r="1777" spans="1:14" ht="14.25" customHeight="1">
      <c r="A1777" s="17">
        <v>11776</v>
      </c>
      <c r="B1777" s="18">
        <v>45898</v>
      </c>
      <c r="C1777" s="17" t="s">
        <v>50</v>
      </c>
      <c r="D1777" s="17" t="s">
        <v>111</v>
      </c>
      <c r="E1777" s="17" t="s">
        <v>162</v>
      </c>
      <c r="F1777" s="17" t="s">
        <v>163</v>
      </c>
      <c r="G1777" s="17">
        <v>9</v>
      </c>
      <c r="H1777" s="17">
        <v>62294</v>
      </c>
      <c r="I1777" s="17">
        <v>560646</v>
      </c>
      <c r="J1777" s="17">
        <v>487</v>
      </c>
      <c r="K1777" s="17">
        <v>560159</v>
      </c>
      <c r="L1777" s="17">
        <v>58817.299740000002</v>
      </c>
      <c r="M1777" s="17">
        <v>2025</v>
      </c>
      <c r="N1777" s="17" t="s">
        <v>126</v>
      </c>
    </row>
    <row r="1778" spans="1:14" ht="14.25" customHeight="1">
      <c r="A1778" s="17">
        <v>11777</v>
      </c>
      <c r="B1778" s="18">
        <v>45457</v>
      </c>
      <c r="C1778" s="17" t="s">
        <v>50</v>
      </c>
      <c r="D1778" s="17" t="s">
        <v>170</v>
      </c>
      <c r="E1778" s="17" t="s">
        <v>162</v>
      </c>
      <c r="F1778" s="17" t="s">
        <v>172</v>
      </c>
      <c r="G1778" s="17">
        <v>4</v>
      </c>
      <c r="H1778" s="17">
        <v>71629</v>
      </c>
      <c r="I1778" s="17">
        <v>286516</v>
      </c>
      <c r="J1778" s="17">
        <v>611</v>
      </c>
      <c r="K1778" s="17">
        <v>285905</v>
      </c>
      <c r="L1778" s="17">
        <v>33547.197419999997</v>
      </c>
      <c r="M1778" s="17">
        <v>2024</v>
      </c>
      <c r="N1778" s="17" t="s">
        <v>120</v>
      </c>
    </row>
    <row r="1779" spans="1:14" ht="14.25" customHeight="1">
      <c r="A1779" s="17">
        <v>11778</v>
      </c>
      <c r="B1779" s="18">
        <v>45835</v>
      </c>
      <c r="C1779" s="17" t="s">
        <v>58</v>
      </c>
      <c r="D1779" s="17" t="s">
        <v>86</v>
      </c>
      <c r="E1779" s="17" t="s">
        <v>162</v>
      </c>
      <c r="F1779" s="17" t="s">
        <v>166</v>
      </c>
      <c r="G1779" s="17">
        <v>7</v>
      </c>
      <c r="H1779" s="17">
        <v>70640</v>
      </c>
      <c r="I1779" s="17">
        <v>494480</v>
      </c>
      <c r="J1779" s="17">
        <v>3420</v>
      </c>
      <c r="K1779" s="17">
        <v>491060</v>
      </c>
      <c r="L1779" s="17">
        <v>106270.3162</v>
      </c>
      <c r="M1779" s="17">
        <v>2025</v>
      </c>
      <c r="N1779" s="17" t="s">
        <v>120</v>
      </c>
    </row>
    <row r="1780" spans="1:14" ht="14.25" customHeight="1">
      <c r="A1780" s="17">
        <v>11779</v>
      </c>
      <c r="B1780" s="18">
        <v>45302</v>
      </c>
      <c r="C1780" s="17" t="s">
        <v>167</v>
      </c>
      <c r="D1780" s="17" t="s">
        <v>86</v>
      </c>
      <c r="E1780" s="17" t="s">
        <v>165</v>
      </c>
      <c r="F1780" s="17" t="s">
        <v>166</v>
      </c>
      <c r="G1780" s="17">
        <v>4</v>
      </c>
      <c r="H1780" s="17">
        <v>23123</v>
      </c>
      <c r="I1780" s="17">
        <v>92492</v>
      </c>
      <c r="J1780" s="17">
        <v>3194</v>
      </c>
      <c r="K1780" s="17">
        <v>89298</v>
      </c>
      <c r="L1780" s="17">
        <v>19819.731339999998</v>
      </c>
      <c r="M1780" s="17">
        <v>2024</v>
      </c>
      <c r="N1780" s="17" t="s">
        <v>171</v>
      </c>
    </row>
    <row r="1781" spans="1:14" ht="14.25" customHeight="1">
      <c r="A1781" s="17">
        <v>11780</v>
      </c>
      <c r="B1781" s="18">
        <v>45592</v>
      </c>
      <c r="C1781" s="17" t="s">
        <v>58</v>
      </c>
      <c r="D1781" s="17" t="s">
        <v>111</v>
      </c>
      <c r="E1781" s="17" t="s">
        <v>162</v>
      </c>
      <c r="F1781" s="17" t="s">
        <v>163</v>
      </c>
      <c r="G1781" s="17">
        <v>6</v>
      </c>
      <c r="H1781" s="17">
        <v>69618</v>
      </c>
      <c r="I1781" s="17">
        <v>417708</v>
      </c>
      <c r="J1781" s="17">
        <v>1397</v>
      </c>
      <c r="K1781" s="17">
        <v>416311</v>
      </c>
      <c r="L1781" s="17">
        <v>78626.771770000007</v>
      </c>
      <c r="M1781" s="17">
        <v>2024</v>
      </c>
      <c r="N1781" s="17" t="s">
        <v>174</v>
      </c>
    </row>
    <row r="1782" spans="1:14" ht="14.25" customHeight="1">
      <c r="A1782" s="17">
        <v>11781</v>
      </c>
      <c r="B1782" s="18">
        <v>46020</v>
      </c>
      <c r="C1782" s="17" t="s">
        <v>58</v>
      </c>
      <c r="D1782" s="17" t="s">
        <v>86</v>
      </c>
      <c r="E1782" s="17" t="s">
        <v>168</v>
      </c>
      <c r="F1782" s="17" t="s">
        <v>164</v>
      </c>
      <c r="G1782" s="17">
        <v>7</v>
      </c>
      <c r="H1782" s="17">
        <v>29288</v>
      </c>
      <c r="I1782" s="17">
        <v>205016</v>
      </c>
      <c r="J1782" s="17">
        <v>1456</v>
      </c>
      <c r="K1782" s="17">
        <v>203560</v>
      </c>
      <c r="L1782" s="17">
        <v>38117.199540000001</v>
      </c>
      <c r="M1782" s="17">
        <v>2025</v>
      </c>
      <c r="N1782" s="17" t="s">
        <v>169</v>
      </c>
    </row>
    <row r="1783" spans="1:14" ht="14.25" customHeight="1">
      <c r="A1783" s="17">
        <v>11782</v>
      </c>
      <c r="B1783" s="18">
        <v>45393</v>
      </c>
      <c r="C1783" s="17" t="s">
        <v>50</v>
      </c>
      <c r="D1783" s="17" t="s">
        <v>86</v>
      </c>
      <c r="E1783" s="17" t="s">
        <v>165</v>
      </c>
      <c r="F1783" s="17" t="s">
        <v>166</v>
      </c>
      <c r="G1783" s="17">
        <v>2</v>
      </c>
      <c r="H1783" s="17">
        <v>50091</v>
      </c>
      <c r="I1783" s="17">
        <v>100182</v>
      </c>
      <c r="J1783" s="17">
        <v>2193</v>
      </c>
      <c r="K1783" s="17">
        <v>97989</v>
      </c>
      <c r="L1783" s="17">
        <v>20815.481299999999</v>
      </c>
      <c r="M1783" s="17">
        <v>2024</v>
      </c>
      <c r="N1783" s="17" t="s">
        <v>114</v>
      </c>
    </row>
    <row r="1784" spans="1:14" ht="14.25" customHeight="1">
      <c r="A1784" s="17">
        <v>11783</v>
      </c>
      <c r="B1784" s="18">
        <v>45716</v>
      </c>
      <c r="C1784" s="17" t="s">
        <v>58</v>
      </c>
      <c r="D1784" s="17" t="s">
        <v>170</v>
      </c>
      <c r="E1784" s="17" t="s">
        <v>165</v>
      </c>
      <c r="F1784" s="17" t="s">
        <v>163</v>
      </c>
      <c r="G1784" s="17">
        <v>6</v>
      </c>
      <c r="H1784" s="17">
        <v>64216</v>
      </c>
      <c r="I1784" s="17">
        <v>385296</v>
      </c>
      <c r="J1784" s="17">
        <v>3074</v>
      </c>
      <c r="K1784" s="17">
        <v>382222</v>
      </c>
      <c r="L1784" s="17">
        <v>90171.032930000001</v>
      </c>
      <c r="M1784" s="17">
        <v>2025</v>
      </c>
      <c r="N1784" s="17" t="s">
        <v>175</v>
      </c>
    </row>
    <row r="1785" spans="1:14" ht="14.25" customHeight="1">
      <c r="A1785" s="17">
        <v>11784</v>
      </c>
      <c r="B1785" s="18">
        <v>45683</v>
      </c>
      <c r="C1785" s="17" t="s">
        <v>167</v>
      </c>
      <c r="D1785" s="17" t="s">
        <v>89</v>
      </c>
      <c r="E1785" s="17" t="s">
        <v>168</v>
      </c>
      <c r="F1785" s="17" t="s">
        <v>163</v>
      </c>
      <c r="G1785" s="17">
        <v>8</v>
      </c>
      <c r="H1785" s="17">
        <v>63785</v>
      </c>
      <c r="I1785" s="17">
        <v>510280</v>
      </c>
      <c r="J1785" s="17">
        <v>1337</v>
      </c>
      <c r="K1785" s="17">
        <v>508943</v>
      </c>
      <c r="L1785" s="17">
        <v>83042.84276</v>
      </c>
      <c r="M1785" s="17">
        <v>2025</v>
      </c>
      <c r="N1785" s="17" t="s">
        <v>171</v>
      </c>
    </row>
    <row r="1786" spans="1:14" ht="14.25" customHeight="1">
      <c r="A1786" s="17">
        <v>11785</v>
      </c>
      <c r="B1786" s="18">
        <v>45505</v>
      </c>
      <c r="C1786" s="17" t="s">
        <v>58</v>
      </c>
      <c r="D1786" s="17" t="s">
        <v>83</v>
      </c>
      <c r="E1786" s="17" t="s">
        <v>165</v>
      </c>
      <c r="F1786" s="17" t="s">
        <v>166</v>
      </c>
      <c r="G1786" s="17">
        <v>6</v>
      </c>
      <c r="H1786" s="17">
        <v>55997</v>
      </c>
      <c r="I1786" s="17">
        <v>335982</v>
      </c>
      <c r="J1786" s="17">
        <v>4422</v>
      </c>
      <c r="K1786" s="17">
        <v>331560</v>
      </c>
      <c r="L1786" s="17">
        <v>38866.513509999997</v>
      </c>
      <c r="M1786" s="17">
        <v>2024</v>
      </c>
      <c r="N1786" s="17" t="s">
        <v>126</v>
      </c>
    </row>
    <row r="1787" spans="1:14" ht="14.25" customHeight="1">
      <c r="A1787" s="17">
        <v>11786</v>
      </c>
      <c r="B1787" s="18">
        <v>45982</v>
      </c>
      <c r="C1787" s="17" t="s">
        <v>167</v>
      </c>
      <c r="D1787" s="17" t="s">
        <v>89</v>
      </c>
      <c r="E1787" s="17" t="s">
        <v>168</v>
      </c>
      <c r="F1787" s="17" t="s">
        <v>166</v>
      </c>
      <c r="G1787" s="17">
        <v>2</v>
      </c>
      <c r="H1787" s="17">
        <v>74037</v>
      </c>
      <c r="I1787" s="17">
        <v>148074</v>
      </c>
      <c r="J1787" s="17">
        <v>2200</v>
      </c>
      <c r="K1787" s="17">
        <v>145874</v>
      </c>
      <c r="L1787" s="17">
        <v>32945.629430000001</v>
      </c>
      <c r="M1787" s="17">
        <v>2025</v>
      </c>
      <c r="N1787" s="17" t="s">
        <v>173</v>
      </c>
    </row>
    <row r="1788" spans="1:14" ht="14.25" customHeight="1">
      <c r="A1788" s="17">
        <v>11787</v>
      </c>
      <c r="B1788" s="18">
        <v>45379</v>
      </c>
      <c r="C1788" s="17" t="s">
        <v>58</v>
      </c>
      <c r="D1788" s="17" t="s">
        <v>86</v>
      </c>
      <c r="E1788" s="17" t="s">
        <v>165</v>
      </c>
      <c r="F1788" s="17" t="s">
        <v>172</v>
      </c>
      <c r="G1788" s="17">
        <v>4</v>
      </c>
      <c r="H1788" s="17">
        <v>55693</v>
      </c>
      <c r="I1788" s="17">
        <v>222772</v>
      </c>
      <c r="J1788" s="17">
        <v>4497</v>
      </c>
      <c r="K1788" s="17">
        <v>218275</v>
      </c>
      <c r="L1788" s="17">
        <v>33013.356390000001</v>
      </c>
      <c r="M1788" s="17">
        <v>2024</v>
      </c>
      <c r="N1788" s="17" t="s">
        <v>112</v>
      </c>
    </row>
    <row r="1789" spans="1:14" ht="14.25" customHeight="1">
      <c r="A1789" s="17">
        <v>11788</v>
      </c>
      <c r="B1789" s="18">
        <v>45844</v>
      </c>
      <c r="C1789" s="17" t="s">
        <v>167</v>
      </c>
      <c r="D1789" s="17" t="s">
        <v>111</v>
      </c>
      <c r="E1789" s="17" t="s">
        <v>165</v>
      </c>
      <c r="F1789" s="17" t="s">
        <v>164</v>
      </c>
      <c r="G1789" s="17">
        <v>1</v>
      </c>
      <c r="H1789" s="17">
        <v>40712</v>
      </c>
      <c r="I1789" s="17">
        <v>40712</v>
      </c>
      <c r="J1789" s="17">
        <v>2867</v>
      </c>
      <c r="K1789" s="17">
        <v>37845</v>
      </c>
      <c r="L1789" s="17">
        <v>4543.9683880000002</v>
      </c>
      <c r="M1789" s="17">
        <v>2025</v>
      </c>
      <c r="N1789" s="17" t="s">
        <v>123</v>
      </c>
    </row>
    <row r="1790" spans="1:14" ht="14.25" customHeight="1">
      <c r="A1790" s="17">
        <v>11789</v>
      </c>
      <c r="B1790" s="18">
        <v>45692</v>
      </c>
      <c r="C1790" s="17" t="s">
        <v>58</v>
      </c>
      <c r="D1790" s="17" t="s">
        <v>83</v>
      </c>
      <c r="E1790" s="17" t="s">
        <v>168</v>
      </c>
      <c r="F1790" s="17" t="s">
        <v>172</v>
      </c>
      <c r="G1790" s="17">
        <v>7</v>
      </c>
      <c r="H1790" s="17">
        <v>20905</v>
      </c>
      <c r="I1790" s="17">
        <v>146335</v>
      </c>
      <c r="J1790" s="17">
        <v>4583</v>
      </c>
      <c r="K1790" s="17">
        <v>141752</v>
      </c>
      <c r="L1790" s="17">
        <v>27243.665590000001</v>
      </c>
      <c r="M1790" s="17">
        <v>2025</v>
      </c>
      <c r="N1790" s="17" t="s">
        <v>175</v>
      </c>
    </row>
    <row r="1791" spans="1:14" ht="14.25" customHeight="1">
      <c r="A1791" s="17">
        <v>11790</v>
      </c>
      <c r="B1791" s="18">
        <v>45879</v>
      </c>
      <c r="C1791" s="17" t="s">
        <v>58</v>
      </c>
      <c r="D1791" s="17" t="s">
        <v>83</v>
      </c>
      <c r="E1791" s="17" t="s">
        <v>168</v>
      </c>
      <c r="F1791" s="17" t="s">
        <v>172</v>
      </c>
      <c r="G1791" s="17">
        <v>8</v>
      </c>
      <c r="H1791" s="17">
        <v>6591</v>
      </c>
      <c r="I1791" s="17">
        <v>52728</v>
      </c>
      <c r="J1791" s="17">
        <v>3882</v>
      </c>
      <c r="K1791" s="17">
        <v>48846</v>
      </c>
      <c r="L1791" s="17">
        <v>9120.1631120000002</v>
      </c>
      <c r="M1791" s="17">
        <v>2025</v>
      </c>
      <c r="N1791" s="17" t="s">
        <v>126</v>
      </c>
    </row>
    <row r="1792" spans="1:14" ht="14.25" customHeight="1">
      <c r="A1792" s="17">
        <v>11791</v>
      </c>
      <c r="B1792" s="18">
        <v>45337</v>
      </c>
      <c r="C1792" s="17" t="s">
        <v>45</v>
      </c>
      <c r="D1792" s="17" t="s">
        <v>111</v>
      </c>
      <c r="E1792" s="17" t="s">
        <v>168</v>
      </c>
      <c r="F1792" s="17" t="s">
        <v>163</v>
      </c>
      <c r="G1792" s="17">
        <v>2</v>
      </c>
      <c r="H1792" s="17">
        <v>65159</v>
      </c>
      <c r="I1792" s="17">
        <v>130318</v>
      </c>
      <c r="J1792" s="17">
        <v>2114</v>
      </c>
      <c r="K1792" s="17">
        <v>128204</v>
      </c>
      <c r="L1792" s="17">
        <v>21940.4391</v>
      </c>
      <c r="M1792" s="17">
        <v>2024</v>
      </c>
      <c r="N1792" s="17" t="s">
        <v>175</v>
      </c>
    </row>
    <row r="1793" spans="1:14" ht="14.25" customHeight="1">
      <c r="A1793" s="17">
        <v>11792</v>
      </c>
      <c r="B1793" s="18">
        <v>45963</v>
      </c>
      <c r="C1793" s="17" t="s">
        <v>167</v>
      </c>
      <c r="D1793" s="17" t="s">
        <v>83</v>
      </c>
      <c r="E1793" s="17" t="s">
        <v>168</v>
      </c>
      <c r="F1793" s="17" t="s">
        <v>163</v>
      </c>
      <c r="G1793" s="17">
        <v>5</v>
      </c>
      <c r="H1793" s="17">
        <v>18522</v>
      </c>
      <c r="I1793" s="17">
        <v>92610</v>
      </c>
      <c r="J1793" s="17">
        <v>2136</v>
      </c>
      <c r="K1793" s="17">
        <v>90474</v>
      </c>
      <c r="L1793" s="17">
        <v>20715.794379999999</v>
      </c>
      <c r="M1793" s="17">
        <v>2025</v>
      </c>
      <c r="N1793" s="17" t="s">
        <v>173</v>
      </c>
    </row>
    <row r="1794" spans="1:14" ht="14.25" customHeight="1">
      <c r="A1794" s="17">
        <v>11793</v>
      </c>
      <c r="B1794" s="18">
        <v>45754</v>
      </c>
      <c r="C1794" s="17" t="s">
        <v>167</v>
      </c>
      <c r="D1794" s="17" t="s">
        <v>111</v>
      </c>
      <c r="E1794" s="17" t="s">
        <v>162</v>
      </c>
      <c r="F1794" s="17" t="s">
        <v>164</v>
      </c>
      <c r="G1794" s="17">
        <v>8</v>
      </c>
      <c r="H1794" s="17">
        <v>8572</v>
      </c>
      <c r="I1794" s="17">
        <v>68576</v>
      </c>
      <c r="J1794" s="17">
        <v>78</v>
      </c>
      <c r="K1794" s="17">
        <v>68498</v>
      </c>
      <c r="L1794" s="17">
        <v>9646.8387910000001</v>
      </c>
      <c r="M1794" s="17">
        <v>2025</v>
      </c>
      <c r="N1794" s="17" t="s">
        <v>114</v>
      </c>
    </row>
    <row r="1795" spans="1:14" ht="14.25" customHeight="1">
      <c r="A1795" s="17">
        <v>11794</v>
      </c>
      <c r="B1795" s="18">
        <v>45883</v>
      </c>
      <c r="C1795" s="17" t="s">
        <v>167</v>
      </c>
      <c r="D1795" s="17" t="s">
        <v>83</v>
      </c>
      <c r="E1795" s="17" t="s">
        <v>162</v>
      </c>
      <c r="F1795" s="17" t="s">
        <v>172</v>
      </c>
      <c r="G1795" s="17">
        <v>8</v>
      </c>
      <c r="H1795" s="17">
        <v>66680</v>
      </c>
      <c r="I1795" s="17">
        <v>533440</v>
      </c>
      <c r="J1795" s="17">
        <v>377</v>
      </c>
      <c r="K1795" s="17">
        <v>533063</v>
      </c>
      <c r="L1795" s="17">
        <v>54364.58453</v>
      </c>
      <c r="M1795" s="17">
        <v>2025</v>
      </c>
      <c r="N1795" s="17" t="s">
        <v>126</v>
      </c>
    </row>
    <row r="1796" spans="1:14" ht="14.25" customHeight="1">
      <c r="A1796" s="17">
        <v>11795</v>
      </c>
      <c r="B1796" s="18">
        <v>45601</v>
      </c>
      <c r="C1796" s="17" t="s">
        <v>39</v>
      </c>
      <c r="D1796" s="17" t="s">
        <v>89</v>
      </c>
      <c r="E1796" s="17" t="s">
        <v>168</v>
      </c>
      <c r="F1796" s="17" t="s">
        <v>172</v>
      </c>
      <c r="G1796" s="17">
        <v>5</v>
      </c>
      <c r="H1796" s="17">
        <v>63537</v>
      </c>
      <c r="I1796" s="17">
        <v>317685</v>
      </c>
      <c r="J1796" s="17">
        <v>164</v>
      </c>
      <c r="K1796" s="17">
        <v>317521</v>
      </c>
      <c r="L1796" s="17">
        <v>47158.31667</v>
      </c>
      <c r="M1796" s="17">
        <v>2024</v>
      </c>
      <c r="N1796" s="17" t="s">
        <v>173</v>
      </c>
    </row>
    <row r="1797" spans="1:14" ht="14.25" customHeight="1">
      <c r="A1797" s="17">
        <v>11796</v>
      </c>
      <c r="B1797" s="18">
        <v>45377</v>
      </c>
      <c r="C1797" s="17" t="s">
        <v>58</v>
      </c>
      <c r="D1797" s="17" t="s">
        <v>83</v>
      </c>
      <c r="E1797" s="17" t="s">
        <v>162</v>
      </c>
      <c r="F1797" s="17" t="s">
        <v>163</v>
      </c>
      <c r="G1797" s="17">
        <v>8</v>
      </c>
      <c r="H1797" s="17">
        <v>38061</v>
      </c>
      <c r="I1797" s="17">
        <v>304488</v>
      </c>
      <c r="J1797" s="17">
        <v>4844</v>
      </c>
      <c r="K1797" s="17">
        <v>299644</v>
      </c>
      <c r="L1797" s="17">
        <v>30400.64992</v>
      </c>
      <c r="M1797" s="17">
        <v>2024</v>
      </c>
      <c r="N1797" s="17" t="s">
        <v>112</v>
      </c>
    </row>
    <row r="1798" spans="1:14" ht="14.25" customHeight="1">
      <c r="A1798" s="17">
        <v>11797</v>
      </c>
      <c r="B1798" s="18">
        <v>45383</v>
      </c>
      <c r="C1798" s="17" t="s">
        <v>167</v>
      </c>
      <c r="D1798" s="17" t="s">
        <v>170</v>
      </c>
      <c r="E1798" s="17" t="s">
        <v>168</v>
      </c>
      <c r="F1798" s="17" t="s">
        <v>163</v>
      </c>
      <c r="G1798" s="17">
        <v>6</v>
      </c>
      <c r="H1798" s="17">
        <v>71874</v>
      </c>
      <c r="I1798" s="17">
        <v>431244</v>
      </c>
      <c r="J1798" s="17">
        <v>1720</v>
      </c>
      <c r="K1798" s="17">
        <v>429524</v>
      </c>
      <c r="L1798" s="17">
        <v>77975.220690000002</v>
      </c>
      <c r="M1798" s="17">
        <v>2024</v>
      </c>
      <c r="N1798" s="17" t="s">
        <v>114</v>
      </c>
    </row>
    <row r="1799" spans="1:14" ht="14.25" customHeight="1">
      <c r="A1799" s="17">
        <v>11798</v>
      </c>
      <c r="B1799" s="18">
        <v>45951</v>
      </c>
      <c r="C1799" s="17" t="s">
        <v>39</v>
      </c>
      <c r="D1799" s="17" t="s">
        <v>111</v>
      </c>
      <c r="E1799" s="17" t="s">
        <v>168</v>
      </c>
      <c r="F1799" s="17" t="s">
        <v>166</v>
      </c>
      <c r="G1799" s="17">
        <v>5</v>
      </c>
      <c r="H1799" s="17">
        <v>65542</v>
      </c>
      <c r="I1799" s="17">
        <v>327710</v>
      </c>
      <c r="J1799" s="17">
        <v>2984</v>
      </c>
      <c r="K1799" s="17">
        <v>324726</v>
      </c>
      <c r="L1799" s="17">
        <v>50896.65827</v>
      </c>
      <c r="M1799" s="17">
        <v>2025</v>
      </c>
      <c r="N1799" s="17" t="s">
        <v>174</v>
      </c>
    </row>
    <row r="1800" spans="1:14" ht="14.25" customHeight="1">
      <c r="A1800" s="17">
        <v>11799</v>
      </c>
      <c r="B1800" s="18">
        <v>45964</v>
      </c>
      <c r="C1800" s="17" t="s">
        <v>45</v>
      </c>
      <c r="D1800" s="17" t="s">
        <v>83</v>
      </c>
      <c r="E1800" s="17" t="s">
        <v>165</v>
      </c>
      <c r="F1800" s="17" t="s">
        <v>172</v>
      </c>
      <c r="G1800" s="17">
        <v>4</v>
      </c>
      <c r="H1800" s="17">
        <v>66907</v>
      </c>
      <c r="I1800" s="17">
        <v>267628</v>
      </c>
      <c r="J1800" s="17">
        <v>154</v>
      </c>
      <c r="K1800" s="17">
        <v>267474</v>
      </c>
      <c r="L1800" s="17">
        <v>59403.678099999997</v>
      </c>
      <c r="M1800" s="17">
        <v>2025</v>
      </c>
      <c r="N1800" s="17" t="s">
        <v>173</v>
      </c>
    </row>
    <row r="1801" spans="1:14" ht="14.25" customHeight="1">
      <c r="A1801" s="17">
        <v>11800</v>
      </c>
      <c r="B1801" s="18">
        <v>46005</v>
      </c>
      <c r="C1801" s="17" t="s">
        <v>167</v>
      </c>
      <c r="D1801" s="17" t="s">
        <v>111</v>
      </c>
      <c r="E1801" s="17" t="s">
        <v>168</v>
      </c>
      <c r="F1801" s="17" t="s">
        <v>164</v>
      </c>
      <c r="G1801" s="17">
        <v>5</v>
      </c>
      <c r="H1801" s="17">
        <v>21151</v>
      </c>
      <c r="I1801" s="17">
        <v>105755</v>
      </c>
      <c r="J1801" s="17">
        <v>1146</v>
      </c>
      <c r="K1801" s="17">
        <v>104609</v>
      </c>
      <c r="L1801" s="17">
        <v>22976.090919999999</v>
      </c>
      <c r="M1801" s="17">
        <v>2025</v>
      </c>
      <c r="N1801" s="17" t="s">
        <v>169</v>
      </c>
    </row>
    <row r="1802" spans="1:14" ht="14.25" customHeight="1">
      <c r="A1802" s="17">
        <v>11801</v>
      </c>
      <c r="B1802" s="18">
        <v>45533</v>
      </c>
      <c r="C1802" s="17" t="s">
        <v>167</v>
      </c>
      <c r="D1802" s="17" t="s">
        <v>170</v>
      </c>
      <c r="E1802" s="17" t="s">
        <v>168</v>
      </c>
      <c r="F1802" s="17" t="s">
        <v>172</v>
      </c>
      <c r="G1802" s="17">
        <v>4</v>
      </c>
      <c r="H1802" s="17">
        <v>50813</v>
      </c>
      <c r="I1802" s="17">
        <v>203252</v>
      </c>
      <c r="J1802" s="17">
        <v>1063</v>
      </c>
      <c r="K1802" s="17">
        <v>202189</v>
      </c>
      <c r="L1802" s="17">
        <v>33400.768349999998</v>
      </c>
      <c r="M1802" s="17">
        <v>2024</v>
      </c>
      <c r="N1802" s="17" t="s">
        <v>126</v>
      </c>
    </row>
    <row r="1803" spans="1:14" ht="14.25" customHeight="1">
      <c r="A1803" s="17">
        <v>11802</v>
      </c>
      <c r="B1803" s="18">
        <v>45293</v>
      </c>
      <c r="C1803" s="17" t="s">
        <v>39</v>
      </c>
      <c r="D1803" s="17" t="s">
        <v>83</v>
      </c>
      <c r="E1803" s="17" t="s">
        <v>168</v>
      </c>
      <c r="F1803" s="17" t="s">
        <v>163</v>
      </c>
      <c r="G1803" s="17">
        <v>1</v>
      </c>
      <c r="H1803" s="17">
        <v>57627</v>
      </c>
      <c r="I1803" s="17">
        <v>57627</v>
      </c>
      <c r="J1803" s="17">
        <v>2216</v>
      </c>
      <c r="K1803" s="17">
        <v>55411</v>
      </c>
      <c r="L1803" s="17">
        <v>7340.4498240000003</v>
      </c>
      <c r="M1803" s="17">
        <v>2024</v>
      </c>
      <c r="N1803" s="17" t="s">
        <v>171</v>
      </c>
    </row>
    <row r="1804" spans="1:14" ht="14.25" customHeight="1">
      <c r="A1804" s="17">
        <v>11803</v>
      </c>
      <c r="B1804" s="18">
        <v>45516</v>
      </c>
      <c r="C1804" s="17" t="s">
        <v>58</v>
      </c>
      <c r="D1804" s="17" t="s">
        <v>83</v>
      </c>
      <c r="E1804" s="17" t="s">
        <v>168</v>
      </c>
      <c r="F1804" s="17" t="s">
        <v>166</v>
      </c>
      <c r="G1804" s="17">
        <v>3</v>
      </c>
      <c r="H1804" s="17">
        <v>31117</v>
      </c>
      <c r="I1804" s="17">
        <v>93351</v>
      </c>
      <c r="J1804" s="17">
        <v>2839</v>
      </c>
      <c r="K1804" s="17">
        <v>90512</v>
      </c>
      <c r="L1804" s="17">
        <v>14786.4458</v>
      </c>
      <c r="M1804" s="17">
        <v>2024</v>
      </c>
      <c r="N1804" s="17" t="s">
        <v>126</v>
      </c>
    </row>
    <row r="1805" spans="1:14" ht="14.25" customHeight="1">
      <c r="A1805" s="17">
        <v>11804</v>
      </c>
      <c r="B1805" s="18">
        <v>45880</v>
      </c>
      <c r="C1805" s="17" t="s">
        <v>45</v>
      </c>
      <c r="D1805" s="17" t="s">
        <v>170</v>
      </c>
      <c r="E1805" s="17" t="s">
        <v>165</v>
      </c>
      <c r="F1805" s="17" t="s">
        <v>172</v>
      </c>
      <c r="G1805" s="17">
        <v>8</v>
      </c>
      <c r="H1805" s="17">
        <v>73034</v>
      </c>
      <c r="I1805" s="17">
        <v>584272</v>
      </c>
      <c r="J1805" s="17">
        <v>1463</v>
      </c>
      <c r="K1805" s="17">
        <v>582809</v>
      </c>
      <c r="L1805" s="17">
        <v>114345.762</v>
      </c>
      <c r="M1805" s="17">
        <v>2025</v>
      </c>
      <c r="N1805" s="17" t="s">
        <v>126</v>
      </c>
    </row>
    <row r="1806" spans="1:14" ht="14.25" customHeight="1">
      <c r="A1806" s="17">
        <v>11805</v>
      </c>
      <c r="B1806" s="18">
        <v>45407</v>
      </c>
      <c r="C1806" s="17" t="s">
        <v>167</v>
      </c>
      <c r="D1806" s="17" t="s">
        <v>170</v>
      </c>
      <c r="E1806" s="17" t="s">
        <v>168</v>
      </c>
      <c r="F1806" s="17" t="s">
        <v>164</v>
      </c>
      <c r="G1806" s="17">
        <v>7</v>
      </c>
      <c r="H1806" s="17">
        <v>30483</v>
      </c>
      <c r="I1806" s="17">
        <v>213381</v>
      </c>
      <c r="J1806" s="17">
        <v>3470</v>
      </c>
      <c r="K1806" s="17">
        <v>209911</v>
      </c>
      <c r="L1806" s="17">
        <v>26980.049169999998</v>
      </c>
      <c r="M1806" s="17">
        <v>2024</v>
      </c>
      <c r="N1806" s="17" t="s">
        <v>114</v>
      </c>
    </row>
    <row r="1807" spans="1:14" ht="14.25" customHeight="1">
      <c r="A1807" s="17">
        <v>11806</v>
      </c>
      <c r="B1807" s="18">
        <v>45957</v>
      </c>
      <c r="C1807" s="17" t="s">
        <v>58</v>
      </c>
      <c r="D1807" s="17" t="s">
        <v>170</v>
      </c>
      <c r="E1807" s="17" t="s">
        <v>165</v>
      </c>
      <c r="F1807" s="17" t="s">
        <v>163</v>
      </c>
      <c r="G1807" s="17">
        <v>7</v>
      </c>
      <c r="H1807" s="17">
        <v>76264</v>
      </c>
      <c r="I1807" s="17">
        <v>533848</v>
      </c>
      <c r="J1807" s="17">
        <v>1516</v>
      </c>
      <c r="K1807" s="17">
        <v>532332</v>
      </c>
      <c r="L1807" s="17">
        <v>114960.81759999999</v>
      </c>
      <c r="M1807" s="17">
        <v>2025</v>
      </c>
      <c r="N1807" s="17" t="s">
        <v>174</v>
      </c>
    </row>
    <row r="1808" spans="1:14" ht="14.25" customHeight="1">
      <c r="A1808" s="17">
        <v>11807</v>
      </c>
      <c r="B1808" s="18">
        <v>45394</v>
      </c>
      <c r="C1808" s="17" t="s">
        <v>45</v>
      </c>
      <c r="D1808" s="17" t="s">
        <v>111</v>
      </c>
      <c r="E1808" s="17" t="s">
        <v>168</v>
      </c>
      <c r="F1808" s="17" t="s">
        <v>166</v>
      </c>
      <c r="G1808" s="17">
        <v>3</v>
      </c>
      <c r="H1808" s="17">
        <v>61469</v>
      </c>
      <c r="I1808" s="17">
        <v>184407</v>
      </c>
      <c r="J1808" s="17">
        <v>3050</v>
      </c>
      <c r="K1808" s="17">
        <v>181357</v>
      </c>
      <c r="L1808" s="17">
        <v>27128.111209999999</v>
      </c>
      <c r="M1808" s="17">
        <v>2024</v>
      </c>
      <c r="N1808" s="17" t="s">
        <v>114</v>
      </c>
    </row>
    <row r="1809" spans="1:14" ht="14.25" customHeight="1">
      <c r="A1809" s="17">
        <v>11808</v>
      </c>
      <c r="B1809" s="18">
        <v>45485</v>
      </c>
      <c r="C1809" s="17" t="s">
        <v>50</v>
      </c>
      <c r="D1809" s="17" t="s">
        <v>170</v>
      </c>
      <c r="E1809" s="17" t="s">
        <v>165</v>
      </c>
      <c r="F1809" s="17" t="s">
        <v>172</v>
      </c>
      <c r="G1809" s="17">
        <v>9</v>
      </c>
      <c r="H1809" s="17">
        <v>23877</v>
      </c>
      <c r="I1809" s="17">
        <v>214893</v>
      </c>
      <c r="J1809" s="17">
        <v>4423</v>
      </c>
      <c r="K1809" s="17">
        <v>210470</v>
      </c>
      <c r="L1809" s="17">
        <v>50476.293819999999</v>
      </c>
      <c r="M1809" s="17">
        <v>2024</v>
      </c>
      <c r="N1809" s="17" t="s">
        <v>123</v>
      </c>
    </row>
    <row r="1810" spans="1:14" ht="14.25" customHeight="1">
      <c r="A1810" s="17">
        <v>11809</v>
      </c>
      <c r="B1810" s="18">
        <v>45457</v>
      </c>
      <c r="C1810" s="17" t="s">
        <v>50</v>
      </c>
      <c r="D1810" s="17" t="s">
        <v>111</v>
      </c>
      <c r="E1810" s="17" t="s">
        <v>162</v>
      </c>
      <c r="F1810" s="17" t="s">
        <v>164</v>
      </c>
      <c r="G1810" s="17">
        <v>6</v>
      </c>
      <c r="H1810" s="17">
        <v>67396</v>
      </c>
      <c r="I1810" s="17">
        <v>404376</v>
      </c>
      <c r="J1810" s="17">
        <v>1526</v>
      </c>
      <c r="K1810" s="17">
        <v>402850</v>
      </c>
      <c r="L1810" s="17">
        <v>71216.056469999996</v>
      </c>
      <c r="M1810" s="17">
        <v>2024</v>
      </c>
      <c r="N1810" s="17" t="s">
        <v>120</v>
      </c>
    </row>
    <row r="1811" spans="1:14" ht="14.25" customHeight="1">
      <c r="A1811" s="17">
        <v>11810</v>
      </c>
      <c r="B1811" s="18">
        <v>45381</v>
      </c>
      <c r="C1811" s="17" t="s">
        <v>45</v>
      </c>
      <c r="D1811" s="17" t="s">
        <v>89</v>
      </c>
      <c r="E1811" s="17" t="s">
        <v>165</v>
      </c>
      <c r="F1811" s="17" t="s">
        <v>163</v>
      </c>
      <c r="G1811" s="17">
        <v>8</v>
      </c>
      <c r="H1811" s="17">
        <v>8088</v>
      </c>
      <c r="I1811" s="17">
        <v>64704</v>
      </c>
      <c r="J1811" s="17">
        <v>3610</v>
      </c>
      <c r="K1811" s="17">
        <v>61094</v>
      </c>
      <c r="L1811" s="17">
        <v>13872.55227</v>
      </c>
      <c r="M1811" s="17">
        <v>2024</v>
      </c>
      <c r="N1811" s="17" t="s">
        <v>112</v>
      </c>
    </row>
    <row r="1812" spans="1:14" ht="14.25" customHeight="1">
      <c r="A1812" s="17">
        <v>11811</v>
      </c>
      <c r="B1812" s="18">
        <v>45977</v>
      </c>
      <c r="C1812" s="17" t="s">
        <v>39</v>
      </c>
      <c r="D1812" s="17" t="s">
        <v>83</v>
      </c>
      <c r="E1812" s="17" t="s">
        <v>165</v>
      </c>
      <c r="F1812" s="17" t="s">
        <v>164</v>
      </c>
      <c r="G1812" s="17">
        <v>8</v>
      </c>
      <c r="H1812" s="17">
        <v>28179</v>
      </c>
      <c r="I1812" s="17">
        <v>225432</v>
      </c>
      <c r="J1812" s="17">
        <v>2392</v>
      </c>
      <c r="K1812" s="17">
        <v>223040</v>
      </c>
      <c r="L1812" s="17">
        <v>42909.302170000003</v>
      </c>
      <c r="M1812" s="17">
        <v>2025</v>
      </c>
      <c r="N1812" s="17" t="s">
        <v>173</v>
      </c>
    </row>
    <row r="1813" spans="1:14" ht="14.25" customHeight="1">
      <c r="A1813" s="17">
        <v>11812</v>
      </c>
      <c r="B1813" s="18">
        <v>45413</v>
      </c>
      <c r="C1813" s="17" t="s">
        <v>45</v>
      </c>
      <c r="D1813" s="17" t="s">
        <v>83</v>
      </c>
      <c r="E1813" s="17" t="s">
        <v>168</v>
      </c>
      <c r="F1813" s="17" t="s">
        <v>172</v>
      </c>
      <c r="G1813" s="17">
        <v>3</v>
      </c>
      <c r="H1813" s="17">
        <v>52954</v>
      </c>
      <c r="I1813" s="17">
        <v>158862</v>
      </c>
      <c r="J1813" s="17">
        <v>788</v>
      </c>
      <c r="K1813" s="17">
        <v>158074</v>
      </c>
      <c r="L1813" s="17">
        <v>28957.619780000001</v>
      </c>
      <c r="M1813" s="17">
        <v>2024</v>
      </c>
      <c r="N1813" s="17" t="s">
        <v>117</v>
      </c>
    </row>
    <row r="1814" spans="1:14" ht="14.25" customHeight="1">
      <c r="A1814" s="17">
        <v>11813</v>
      </c>
      <c r="B1814" s="18">
        <v>45434</v>
      </c>
      <c r="C1814" s="17" t="s">
        <v>45</v>
      </c>
      <c r="D1814" s="17" t="s">
        <v>86</v>
      </c>
      <c r="E1814" s="17" t="s">
        <v>165</v>
      </c>
      <c r="F1814" s="17" t="s">
        <v>163</v>
      </c>
      <c r="G1814" s="17">
        <v>4</v>
      </c>
      <c r="H1814" s="17">
        <v>27011</v>
      </c>
      <c r="I1814" s="17">
        <v>108044</v>
      </c>
      <c r="J1814" s="17">
        <v>2548</v>
      </c>
      <c r="K1814" s="17">
        <v>105496</v>
      </c>
      <c r="L1814" s="17">
        <v>21343.900079999999</v>
      </c>
      <c r="M1814" s="17">
        <v>2024</v>
      </c>
      <c r="N1814" s="17" t="s">
        <v>117</v>
      </c>
    </row>
    <row r="1815" spans="1:14" ht="14.25" customHeight="1">
      <c r="A1815" s="17">
        <v>11814</v>
      </c>
      <c r="B1815" s="18">
        <v>45397</v>
      </c>
      <c r="C1815" s="17" t="s">
        <v>39</v>
      </c>
      <c r="D1815" s="17" t="s">
        <v>89</v>
      </c>
      <c r="E1815" s="17" t="s">
        <v>165</v>
      </c>
      <c r="F1815" s="17" t="s">
        <v>172</v>
      </c>
      <c r="G1815" s="17">
        <v>6</v>
      </c>
      <c r="H1815" s="17">
        <v>17839</v>
      </c>
      <c r="I1815" s="17">
        <v>107034</v>
      </c>
      <c r="J1815" s="17">
        <v>4657</v>
      </c>
      <c r="K1815" s="17">
        <v>102377</v>
      </c>
      <c r="L1815" s="17">
        <v>22699.404020000002</v>
      </c>
      <c r="M1815" s="17">
        <v>2024</v>
      </c>
      <c r="N1815" s="17" t="s">
        <v>114</v>
      </c>
    </row>
    <row r="1816" spans="1:14" ht="14.25" customHeight="1">
      <c r="A1816" s="17">
        <v>11815</v>
      </c>
      <c r="B1816" s="18">
        <v>45719</v>
      </c>
      <c r="C1816" s="17" t="s">
        <v>39</v>
      </c>
      <c r="D1816" s="17" t="s">
        <v>170</v>
      </c>
      <c r="E1816" s="17" t="s">
        <v>168</v>
      </c>
      <c r="F1816" s="17" t="s">
        <v>166</v>
      </c>
      <c r="G1816" s="17">
        <v>2</v>
      </c>
      <c r="H1816" s="17">
        <v>57903</v>
      </c>
      <c r="I1816" s="17">
        <v>115806</v>
      </c>
      <c r="J1816" s="17">
        <v>4608</v>
      </c>
      <c r="K1816" s="17">
        <v>111198</v>
      </c>
      <c r="L1816" s="17">
        <v>21869.991819999999</v>
      </c>
      <c r="M1816" s="17">
        <v>2025</v>
      </c>
      <c r="N1816" s="17" t="s">
        <v>112</v>
      </c>
    </row>
    <row r="1817" spans="1:14" ht="14.25" customHeight="1">
      <c r="A1817" s="17">
        <v>11816</v>
      </c>
      <c r="B1817" s="18">
        <v>45596</v>
      </c>
      <c r="C1817" s="17" t="s">
        <v>58</v>
      </c>
      <c r="D1817" s="17" t="s">
        <v>170</v>
      </c>
      <c r="E1817" s="17" t="s">
        <v>162</v>
      </c>
      <c r="F1817" s="17" t="s">
        <v>172</v>
      </c>
      <c r="G1817" s="17">
        <v>7</v>
      </c>
      <c r="H1817" s="17">
        <v>68561</v>
      </c>
      <c r="I1817" s="17">
        <v>479927</v>
      </c>
      <c r="J1817" s="17">
        <v>515</v>
      </c>
      <c r="K1817" s="17">
        <v>479412</v>
      </c>
      <c r="L1817" s="17">
        <v>105272.21279999999</v>
      </c>
      <c r="M1817" s="17">
        <v>2024</v>
      </c>
      <c r="N1817" s="17" t="s">
        <v>174</v>
      </c>
    </row>
    <row r="1818" spans="1:14" ht="14.25" customHeight="1">
      <c r="A1818" s="17">
        <v>11817</v>
      </c>
      <c r="B1818" s="18">
        <v>45608</v>
      </c>
      <c r="C1818" s="17" t="s">
        <v>58</v>
      </c>
      <c r="D1818" s="17" t="s">
        <v>89</v>
      </c>
      <c r="E1818" s="17" t="s">
        <v>162</v>
      </c>
      <c r="F1818" s="17" t="s">
        <v>166</v>
      </c>
      <c r="G1818" s="17">
        <v>2</v>
      </c>
      <c r="H1818" s="17">
        <v>28625</v>
      </c>
      <c r="I1818" s="17">
        <v>57250</v>
      </c>
      <c r="J1818" s="17">
        <v>3062</v>
      </c>
      <c r="K1818" s="17">
        <v>54188</v>
      </c>
      <c r="L1818" s="17">
        <v>6966.9389499999997</v>
      </c>
      <c r="M1818" s="17">
        <v>2024</v>
      </c>
      <c r="N1818" s="17" t="s">
        <v>173</v>
      </c>
    </row>
    <row r="1819" spans="1:14" ht="14.25" customHeight="1">
      <c r="A1819" s="17">
        <v>11818</v>
      </c>
      <c r="B1819" s="18">
        <v>45926</v>
      </c>
      <c r="C1819" s="17" t="s">
        <v>39</v>
      </c>
      <c r="D1819" s="17" t="s">
        <v>170</v>
      </c>
      <c r="E1819" s="17" t="s">
        <v>162</v>
      </c>
      <c r="F1819" s="17" t="s">
        <v>172</v>
      </c>
      <c r="G1819" s="17">
        <v>5</v>
      </c>
      <c r="H1819" s="17">
        <v>23481</v>
      </c>
      <c r="I1819" s="17">
        <v>117405</v>
      </c>
      <c r="J1819" s="17">
        <v>4762</v>
      </c>
      <c r="K1819" s="17">
        <v>112643</v>
      </c>
      <c r="L1819" s="17">
        <v>15953.344349999999</v>
      </c>
      <c r="M1819" s="17">
        <v>2025</v>
      </c>
      <c r="N1819" s="17" t="s">
        <v>129</v>
      </c>
    </row>
    <row r="1820" spans="1:14" ht="14.25" customHeight="1">
      <c r="A1820" s="17">
        <v>11819</v>
      </c>
      <c r="B1820" s="18">
        <v>45300</v>
      </c>
      <c r="C1820" s="17" t="s">
        <v>50</v>
      </c>
      <c r="D1820" s="17" t="s">
        <v>86</v>
      </c>
      <c r="E1820" s="17" t="s">
        <v>165</v>
      </c>
      <c r="F1820" s="17" t="s">
        <v>164</v>
      </c>
      <c r="G1820" s="17">
        <v>4</v>
      </c>
      <c r="H1820" s="17">
        <v>24558</v>
      </c>
      <c r="I1820" s="17">
        <v>98232</v>
      </c>
      <c r="J1820" s="17">
        <v>1567</v>
      </c>
      <c r="K1820" s="17">
        <v>96665</v>
      </c>
      <c r="L1820" s="17">
        <v>12997.423479999999</v>
      </c>
      <c r="M1820" s="17">
        <v>2024</v>
      </c>
      <c r="N1820" s="17" t="s">
        <v>171</v>
      </c>
    </row>
    <row r="1821" spans="1:14" ht="14.25" customHeight="1">
      <c r="A1821" s="17">
        <v>11820</v>
      </c>
      <c r="B1821" s="18">
        <v>45364</v>
      </c>
      <c r="C1821" s="17" t="s">
        <v>50</v>
      </c>
      <c r="D1821" s="17" t="s">
        <v>111</v>
      </c>
      <c r="E1821" s="17" t="s">
        <v>168</v>
      </c>
      <c r="F1821" s="17" t="s">
        <v>164</v>
      </c>
      <c r="G1821" s="17">
        <v>9</v>
      </c>
      <c r="H1821" s="17">
        <v>36104</v>
      </c>
      <c r="I1821" s="17">
        <v>324936</v>
      </c>
      <c r="J1821" s="17">
        <v>1448</v>
      </c>
      <c r="K1821" s="17">
        <v>323488</v>
      </c>
      <c r="L1821" s="17">
        <v>71085.025240000003</v>
      </c>
      <c r="M1821" s="17">
        <v>2024</v>
      </c>
      <c r="N1821" s="17" t="s">
        <v>112</v>
      </c>
    </row>
    <row r="1822" spans="1:14" ht="14.25" customHeight="1">
      <c r="A1822" s="17">
        <v>11821</v>
      </c>
      <c r="B1822" s="18">
        <v>45650</v>
      </c>
      <c r="C1822" s="17" t="s">
        <v>45</v>
      </c>
      <c r="D1822" s="17" t="s">
        <v>83</v>
      </c>
      <c r="E1822" s="17" t="s">
        <v>162</v>
      </c>
      <c r="F1822" s="17" t="s">
        <v>163</v>
      </c>
      <c r="G1822" s="17">
        <v>2</v>
      </c>
      <c r="H1822" s="17">
        <v>58586</v>
      </c>
      <c r="I1822" s="17">
        <v>117172</v>
      </c>
      <c r="J1822" s="17">
        <v>966</v>
      </c>
      <c r="K1822" s="17">
        <v>116206</v>
      </c>
      <c r="L1822" s="17">
        <v>13121.898300000001</v>
      </c>
      <c r="M1822" s="17">
        <v>2024</v>
      </c>
      <c r="N1822" s="17" t="s">
        <v>169</v>
      </c>
    </row>
    <row r="1823" spans="1:14" ht="14.25" customHeight="1">
      <c r="A1823" s="17">
        <v>11822</v>
      </c>
      <c r="B1823" s="18">
        <v>45514</v>
      </c>
      <c r="C1823" s="17" t="s">
        <v>167</v>
      </c>
      <c r="D1823" s="17" t="s">
        <v>89</v>
      </c>
      <c r="E1823" s="17" t="s">
        <v>162</v>
      </c>
      <c r="F1823" s="17" t="s">
        <v>164</v>
      </c>
      <c r="G1823" s="17">
        <v>7</v>
      </c>
      <c r="H1823" s="17">
        <v>49420</v>
      </c>
      <c r="I1823" s="17">
        <v>345940</v>
      </c>
      <c r="J1823" s="17">
        <v>363</v>
      </c>
      <c r="K1823" s="17">
        <v>345577</v>
      </c>
      <c r="L1823" s="17">
        <v>75812.502429999993</v>
      </c>
      <c r="M1823" s="17">
        <v>2024</v>
      </c>
      <c r="N1823" s="17" t="s">
        <v>126</v>
      </c>
    </row>
    <row r="1824" spans="1:14" ht="14.25" customHeight="1">
      <c r="A1824" s="17">
        <v>11823</v>
      </c>
      <c r="B1824" s="18">
        <v>45707</v>
      </c>
      <c r="C1824" s="17" t="s">
        <v>45</v>
      </c>
      <c r="D1824" s="17" t="s">
        <v>83</v>
      </c>
      <c r="E1824" s="17" t="s">
        <v>162</v>
      </c>
      <c r="F1824" s="17" t="s">
        <v>164</v>
      </c>
      <c r="G1824" s="17">
        <v>7</v>
      </c>
      <c r="H1824" s="17">
        <v>9061</v>
      </c>
      <c r="I1824" s="17">
        <v>63427</v>
      </c>
      <c r="J1824" s="17">
        <v>107</v>
      </c>
      <c r="K1824" s="17">
        <v>63320</v>
      </c>
      <c r="L1824" s="17">
        <v>10027.12376</v>
      </c>
      <c r="M1824" s="17">
        <v>2025</v>
      </c>
      <c r="N1824" s="17" t="s">
        <v>175</v>
      </c>
    </row>
    <row r="1825" spans="1:14" ht="14.25" customHeight="1">
      <c r="A1825" s="17">
        <v>11824</v>
      </c>
      <c r="B1825" s="18">
        <v>45844</v>
      </c>
      <c r="C1825" s="17" t="s">
        <v>45</v>
      </c>
      <c r="D1825" s="17" t="s">
        <v>111</v>
      </c>
      <c r="E1825" s="17" t="s">
        <v>162</v>
      </c>
      <c r="F1825" s="17" t="s">
        <v>166</v>
      </c>
      <c r="G1825" s="17">
        <v>7</v>
      </c>
      <c r="H1825" s="17">
        <v>38241</v>
      </c>
      <c r="I1825" s="17">
        <v>267687</v>
      </c>
      <c r="J1825" s="17">
        <v>3094</v>
      </c>
      <c r="K1825" s="17">
        <v>264593</v>
      </c>
      <c r="L1825" s="17">
        <v>29614.855780000002</v>
      </c>
      <c r="M1825" s="17">
        <v>2025</v>
      </c>
      <c r="N1825" s="17" t="s">
        <v>123</v>
      </c>
    </row>
    <row r="1826" spans="1:14" ht="14.25" customHeight="1">
      <c r="A1826" s="17">
        <v>11825</v>
      </c>
      <c r="B1826" s="18">
        <v>45661</v>
      </c>
      <c r="C1826" s="17" t="s">
        <v>167</v>
      </c>
      <c r="D1826" s="17" t="s">
        <v>89</v>
      </c>
      <c r="E1826" s="17" t="s">
        <v>168</v>
      </c>
      <c r="F1826" s="17" t="s">
        <v>164</v>
      </c>
      <c r="G1826" s="17">
        <v>1</v>
      </c>
      <c r="H1826" s="17">
        <v>67055</v>
      </c>
      <c r="I1826" s="17">
        <v>67055</v>
      </c>
      <c r="J1826" s="17">
        <v>622</v>
      </c>
      <c r="K1826" s="17">
        <v>66433</v>
      </c>
      <c r="L1826" s="17">
        <v>10872.686470000001</v>
      </c>
      <c r="M1826" s="17">
        <v>2025</v>
      </c>
      <c r="N1826" s="17" t="s">
        <v>171</v>
      </c>
    </row>
    <row r="1827" spans="1:14" ht="14.25" customHeight="1">
      <c r="A1827" s="17">
        <v>11826</v>
      </c>
      <c r="B1827" s="18">
        <v>46007</v>
      </c>
      <c r="C1827" s="17" t="s">
        <v>39</v>
      </c>
      <c r="D1827" s="17" t="s">
        <v>111</v>
      </c>
      <c r="E1827" s="17" t="s">
        <v>162</v>
      </c>
      <c r="F1827" s="17" t="s">
        <v>166</v>
      </c>
      <c r="G1827" s="17">
        <v>8</v>
      </c>
      <c r="H1827" s="17">
        <v>75593</v>
      </c>
      <c r="I1827" s="17">
        <v>604744</v>
      </c>
      <c r="J1827" s="17">
        <v>4416</v>
      </c>
      <c r="K1827" s="17">
        <v>600328</v>
      </c>
      <c r="L1827" s="17">
        <v>87092.791759999993</v>
      </c>
      <c r="M1827" s="17">
        <v>2025</v>
      </c>
      <c r="N1827" s="17" t="s">
        <v>169</v>
      </c>
    </row>
    <row r="1828" spans="1:14" ht="14.25" customHeight="1">
      <c r="A1828" s="17">
        <v>11827</v>
      </c>
      <c r="B1828" s="18">
        <v>45555</v>
      </c>
      <c r="C1828" s="17" t="s">
        <v>50</v>
      </c>
      <c r="D1828" s="17" t="s">
        <v>170</v>
      </c>
      <c r="E1828" s="17" t="s">
        <v>165</v>
      </c>
      <c r="F1828" s="17" t="s">
        <v>166</v>
      </c>
      <c r="G1828" s="17">
        <v>2</v>
      </c>
      <c r="H1828" s="17">
        <v>49173</v>
      </c>
      <c r="I1828" s="17">
        <v>98346</v>
      </c>
      <c r="J1828" s="17">
        <v>509</v>
      </c>
      <c r="K1828" s="17">
        <v>97837</v>
      </c>
      <c r="L1828" s="17">
        <v>18470.923859999999</v>
      </c>
      <c r="M1828" s="17">
        <v>2024</v>
      </c>
      <c r="N1828" s="17" t="s">
        <v>129</v>
      </c>
    </row>
    <row r="1829" spans="1:14" ht="14.25" customHeight="1">
      <c r="A1829" s="17">
        <v>11828</v>
      </c>
      <c r="B1829" s="18">
        <v>45981</v>
      </c>
      <c r="C1829" s="17" t="s">
        <v>45</v>
      </c>
      <c r="D1829" s="17" t="s">
        <v>170</v>
      </c>
      <c r="E1829" s="17" t="s">
        <v>165</v>
      </c>
      <c r="F1829" s="17" t="s">
        <v>166</v>
      </c>
      <c r="G1829" s="17">
        <v>5</v>
      </c>
      <c r="H1829" s="17">
        <v>10289</v>
      </c>
      <c r="I1829" s="17">
        <v>51445</v>
      </c>
      <c r="J1829" s="17">
        <v>1064</v>
      </c>
      <c r="K1829" s="17">
        <v>50381</v>
      </c>
      <c r="L1829" s="17">
        <v>8609.0546450000002</v>
      </c>
      <c r="M1829" s="17">
        <v>2025</v>
      </c>
      <c r="N1829" s="17" t="s">
        <v>173</v>
      </c>
    </row>
    <row r="1830" spans="1:14" ht="14.25" customHeight="1">
      <c r="A1830" s="17">
        <v>11829</v>
      </c>
      <c r="B1830" s="18">
        <v>45609</v>
      </c>
      <c r="C1830" s="17" t="s">
        <v>167</v>
      </c>
      <c r="D1830" s="17" t="s">
        <v>170</v>
      </c>
      <c r="E1830" s="17" t="s">
        <v>168</v>
      </c>
      <c r="F1830" s="17" t="s">
        <v>172</v>
      </c>
      <c r="G1830" s="17">
        <v>2</v>
      </c>
      <c r="H1830" s="17">
        <v>70180</v>
      </c>
      <c r="I1830" s="17">
        <v>140360</v>
      </c>
      <c r="J1830" s="17">
        <v>3865</v>
      </c>
      <c r="K1830" s="17">
        <v>136495</v>
      </c>
      <c r="L1830" s="17">
        <v>19725.7945</v>
      </c>
      <c r="M1830" s="17">
        <v>2024</v>
      </c>
      <c r="N1830" s="17" t="s">
        <v>173</v>
      </c>
    </row>
    <row r="1831" spans="1:14" ht="14.25" customHeight="1">
      <c r="A1831" s="17">
        <v>11830</v>
      </c>
      <c r="B1831" s="18">
        <v>45375</v>
      </c>
      <c r="C1831" s="17" t="s">
        <v>58</v>
      </c>
      <c r="D1831" s="17" t="s">
        <v>111</v>
      </c>
      <c r="E1831" s="17" t="s">
        <v>162</v>
      </c>
      <c r="F1831" s="17" t="s">
        <v>166</v>
      </c>
      <c r="G1831" s="17">
        <v>5</v>
      </c>
      <c r="H1831" s="17">
        <v>7221</v>
      </c>
      <c r="I1831" s="17">
        <v>36105</v>
      </c>
      <c r="J1831" s="17">
        <v>303</v>
      </c>
      <c r="K1831" s="17">
        <v>35802</v>
      </c>
      <c r="L1831" s="17">
        <v>8210.8268009999993</v>
      </c>
      <c r="M1831" s="17">
        <v>2024</v>
      </c>
      <c r="N1831" s="17" t="s">
        <v>112</v>
      </c>
    </row>
    <row r="1832" spans="1:14" ht="14.25" customHeight="1">
      <c r="A1832" s="17">
        <v>11831</v>
      </c>
      <c r="B1832" s="18">
        <v>45609</v>
      </c>
      <c r="C1832" s="17" t="s">
        <v>45</v>
      </c>
      <c r="D1832" s="17" t="s">
        <v>111</v>
      </c>
      <c r="E1832" s="17" t="s">
        <v>162</v>
      </c>
      <c r="F1832" s="17" t="s">
        <v>172</v>
      </c>
      <c r="G1832" s="17">
        <v>7</v>
      </c>
      <c r="H1832" s="17">
        <v>68137</v>
      </c>
      <c r="I1832" s="17">
        <v>476959</v>
      </c>
      <c r="J1832" s="17">
        <v>968</v>
      </c>
      <c r="K1832" s="17">
        <v>475991</v>
      </c>
      <c r="L1832" s="17">
        <v>76645.600529999996</v>
      </c>
      <c r="M1832" s="17">
        <v>2024</v>
      </c>
      <c r="N1832" s="17" t="s">
        <v>173</v>
      </c>
    </row>
    <row r="1833" spans="1:14" ht="14.25" customHeight="1">
      <c r="A1833" s="17">
        <v>11832</v>
      </c>
      <c r="B1833" s="18">
        <v>45402</v>
      </c>
      <c r="C1833" s="17" t="s">
        <v>50</v>
      </c>
      <c r="D1833" s="17" t="s">
        <v>111</v>
      </c>
      <c r="E1833" s="17" t="s">
        <v>165</v>
      </c>
      <c r="F1833" s="17" t="s">
        <v>166</v>
      </c>
      <c r="G1833" s="17">
        <v>6</v>
      </c>
      <c r="H1833" s="17">
        <v>47942</v>
      </c>
      <c r="I1833" s="17">
        <v>287652</v>
      </c>
      <c r="J1833" s="17">
        <v>1438</v>
      </c>
      <c r="K1833" s="17">
        <v>286214</v>
      </c>
      <c r="L1833" s="17">
        <v>48829.109799999998</v>
      </c>
      <c r="M1833" s="17">
        <v>2024</v>
      </c>
      <c r="N1833" s="17" t="s">
        <v>114</v>
      </c>
    </row>
    <row r="1834" spans="1:14" ht="14.25" customHeight="1">
      <c r="A1834" s="17">
        <v>11833</v>
      </c>
      <c r="B1834" s="18">
        <v>45542</v>
      </c>
      <c r="C1834" s="17" t="s">
        <v>39</v>
      </c>
      <c r="D1834" s="17" t="s">
        <v>83</v>
      </c>
      <c r="E1834" s="17" t="s">
        <v>168</v>
      </c>
      <c r="F1834" s="17" t="s">
        <v>172</v>
      </c>
      <c r="G1834" s="17">
        <v>5</v>
      </c>
      <c r="H1834" s="17">
        <v>26635</v>
      </c>
      <c r="I1834" s="17">
        <v>133175</v>
      </c>
      <c r="J1834" s="17">
        <v>3521</v>
      </c>
      <c r="K1834" s="17">
        <v>129654</v>
      </c>
      <c r="L1834" s="17">
        <v>29430.716209999999</v>
      </c>
      <c r="M1834" s="17">
        <v>2024</v>
      </c>
      <c r="N1834" s="17" t="s">
        <v>129</v>
      </c>
    </row>
    <row r="1835" spans="1:14" ht="14.25" customHeight="1">
      <c r="A1835" s="17">
        <v>11834</v>
      </c>
      <c r="B1835" s="18">
        <v>45674</v>
      </c>
      <c r="C1835" s="17" t="s">
        <v>45</v>
      </c>
      <c r="D1835" s="17" t="s">
        <v>111</v>
      </c>
      <c r="E1835" s="17" t="s">
        <v>165</v>
      </c>
      <c r="F1835" s="17" t="s">
        <v>163</v>
      </c>
      <c r="G1835" s="17">
        <v>4</v>
      </c>
      <c r="H1835" s="17">
        <v>57763</v>
      </c>
      <c r="I1835" s="17">
        <v>231052</v>
      </c>
      <c r="J1835" s="17">
        <v>3871</v>
      </c>
      <c r="K1835" s="17">
        <v>227181</v>
      </c>
      <c r="L1835" s="17">
        <v>25752.895400000001</v>
      </c>
      <c r="M1835" s="17">
        <v>2025</v>
      </c>
      <c r="N1835" s="17" t="s">
        <v>171</v>
      </c>
    </row>
    <row r="1836" spans="1:14" ht="14.25" customHeight="1">
      <c r="A1836" s="17">
        <v>11835</v>
      </c>
      <c r="B1836" s="18">
        <v>45298</v>
      </c>
      <c r="C1836" s="17" t="s">
        <v>45</v>
      </c>
      <c r="D1836" s="17" t="s">
        <v>170</v>
      </c>
      <c r="E1836" s="17" t="s">
        <v>168</v>
      </c>
      <c r="F1836" s="17" t="s">
        <v>163</v>
      </c>
      <c r="G1836" s="17">
        <v>8</v>
      </c>
      <c r="H1836" s="17">
        <v>56072</v>
      </c>
      <c r="I1836" s="17">
        <v>448576</v>
      </c>
      <c r="J1836" s="17">
        <v>3500</v>
      </c>
      <c r="K1836" s="17">
        <v>445076</v>
      </c>
      <c r="L1836" s="17">
        <v>70537.411999999997</v>
      </c>
      <c r="M1836" s="17">
        <v>2024</v>
      </c>
      <c r="N1836" s="17" t="s">
        <v>171</v>
      </c>
    </row>
    <row r="1837" spans="1:14" ht="14.25" customHeight="1">
      <c r="A1837" s="17">
        <v>11836</v>
      </c>
      <c r="B1837" s="18">
        <v>45750</v>
      </c>
      <c r="C1837" s="17" t="s">
        <v>167</v>
      </c>
      <c r="D1837" s="17" t="s">
        <v>86</v>
      </c>
      <c r="E1837" s="17" t="s">
        <v>168</v>
      </c>
      <c r="F1837" s="17" t="s">
        <v>172</v>
      </c>
      <c r="G1837" s="17">
        <v>8</v>
      </c>
      <c r="H1837" s="17">
        <v>12075</v>
      </c>
      <c r="I1837" s="17">
        <v>96600</v>
      </c>
      <c r="J1837" s="17">
        <v>2199</v>
      </c>
      <c r="K1837" s="17">
        <v>94401</v>
      </c>
      <c r="L1837" s="17">
        <v>15144.61111</v>
      </c>
      <c r="M1837" s="17">
        <v>2025</v>
      </c>
      <c r="N1837" s="17" t="s">
        <v>114</v>
      </c>
    </row>
    <row r="1838" spans="1:14" ht="14.25" customHeight="1">
      <c r="A1838" s="17">
        <v>11837</v>
      </c>
      <c r="B1838" s="18">
        <v>45375</v>
      </c>
      <c r="C1838" s="17" t="s">
        <v>58</v>
      </c>
      <c r="D1838" s="17" t="s">
        <v>111</v>
      </c>
      <c r="E1838" s="17" t="s">
        <v>168</v>
      </c>
      <c r="F1838" s="17" t="s">
        <v>163</v>
      </c>
      <c r="G1838" s="17">
        <v>1</v>
      </c>
      <c r="H1838" s="17">
        <v>27378</v>
      </c>
      <c r="I1838" s="17">
        <v>27378</v>
      </c>
      <c r="J1838" s="17">
        <v>4354</v>
      </c>
      <c r="K1838" s="17">
        <v>23024</v>
      </c>
      <c r="L1838" s="17">
        <v>4014.7834830000002</v>
      </c>
      <c r="M1838" s="17">
        <v>2024</v>
      </c>
      <c r="N1838" s="17" t="s">
        <v>112</v>
      </c>
    </row>
    <row r="1839" spans="1:14" ht="14.25" customHeight="1">
      <c r="A1839" s="17">
        <v>11838</v>
      </c>
      <c r="B1839" s="18">
        <v>45499</v>
      </c>
      <c r="C1839" s="17" t="s">
        <v>58</v>
      </c>
      <c r="D1839" s="17" t="s">
        <v>86</v>
      </c>
      <c r="E1839" s="17" t="s">
        <v>165</v>
      </c>
      <c r="F1839" s="17" t="s">
        <v>164</v>
      </c>
      <c r="G1839" s="17">
        <v>2</v>
      </c>
      <c r="H1839" s="17">
        <v>40084</v>
      </c>
      <c r="I1839" s="17">
        <v>80168</v>
      </c>
      <c r="J1839" s="17">
        <v>3901</v>
      </c>
      <c r="K1839" s="17">
        <v>76267</v>
      </c>
      <c r="L1839" s="17">
        <v>8840.7248830000008</v>
      </c>
      <c r="M1839" s="17">
        <v>2024</v>
      </c>
      <c r="N1839" s="17" t="s">
        <v>123</v>
      </c>
    </row>
    <row r="1840" spans="1:14" ht="14.25" customHeight="1">
      <c r="A1840" s="17">
        <v>11839</v>
      </c>
      <c r="B1840" s="18">
        <v>45681</v>
      </c>
      <c r="C1840" s="17" t="s">
        <v>39</v>
      </c>
      <c r="D1840" s="17" t="s">
        <v>170</v>
      </c>
      <c r="E1840" s="17" t="s">
        <v>168</v>
      </c>
      <c r="F1840" s="17" t="s">
        <v>166</v>
      </c>
      <c r="G1840" s="17">
        <v>3</v>
      </c>
      <c r="H1840" s="17">
        <v>55426</v>
      </c>
      <c r="I1840" s="17">
        <v>166278</v>
      </c>
      <c r="J1840" s="17">
        <v>2270</v>
      </c>
      <c r="K1840" s="17">
        <v>164008</v>
      </c>
      <c r="L1840" s="17">
        <v>18926.36217</v>
      </c>
      <c r="M1840" s="17">
        <v>2025</v>
      </c>
      <c r="N1840" s="17" t="s">
        <v>171</v>
      </c>
    </row>
    <row r="1841" spans="1:14" ht="14.25" customHeight="1">
      <c r="A1841" s="17">
        <v>11840</v>
      </c>
      <c r="B1841" s="18">
        <v>45605</v>
      </c>
      <c r="C1841" s="17" t="s">
        <v>50</v>
      </c>
      <c r="D1841" s="17" t="s">
        <v>111</v>
      </c>
      <c r="E1841" s="17" t="s">
        <v>165</v>
      </c>
      <c r="F1841" s="17" t="s">
        <v>172</v>
      </c>
      <c r="G1841" s="17">
        <v>1</v>
      </c>
      <c r="H1841" s="17">
        <v>36584</v>
      </c>
      <c r="I1841" s="17">
        <v>36584</v>
      </c>
      <c r="J1841" s="17">
        <v>229</v>
      </c>
      <c r="K1841" s="17">
        <v>36355</v>
      </c>
      <c r="L1841" s="17">
        <v>5906.3203110000004</v>
      </c>
      <c r="M1841" s="17">
        <v>2024</v>
      </c>
      <c r="N1841" s="17" t="s">
        <v>173</v>
      </c>
    </row>
    <row r="1842" spans="1:14" ht="14.25" customHeight="1">
      <c r="A1842" s="17">
        <v>11841</v>
      </c>
      <c r="B1842" s="18">
        <v>45313</v>
      </c>
      <c r="C1842" s="17" t="s">
        <v>39</v>
      </c>
      <c r="D1842" s="17" t="s">
        <v>83</v>
      </c>
      <c r="E1842" s="17" t="s">
        <v>165</v>
      </c>
      <c r="F1842" s="17" t="s">
        <v>163</v>
      </c>
      <c r="G1842" s="17">
        <v>3</v>
      </c>
      <c r="H1842" s="17">
        <v>36245</v>
      </c>
      <c r="I1842" s="17">
        <v>108735</v>
      </c>
      <c r="J1842" s="17">
        <v>2486</v>
      </c>
      <c r="K1842" s="17">
        <v>106249</v>
      </c>
      <c r="L1842" s="17">
        <v>11151.29487</v>
      </c>
      <c r="M1842" s="17">
        <v>2024</v>
      </c>
      <c r="N1842" s="17" t="s">
        <v>171</v>
      </c>
    </row>
    <row r="1843" spans="1:14" ht="14.25" customHeight="1">
      <c r="A1843" s="17">
        <v>11842</v>
      </c>
      <c r="B1843" s="18">
        <v>45701</v>
      </c>
      <c r="C1843" s="17" t="s">
        <v>45</v>
      </c>
      <c r="D1843" s="17" t="s">
        <v>83</v>
      </c>
      <c r="E1843" s="17" t="s">
        <v>162</v>
      </c>
      <c r="F1843" s="17" t="s">
        <v>163</v>
      </c>
      <c r="G1843" s="17">
        <v>8</v>
      </c>
      <c r="H1843" s="17">
        <v>63959</v>
      </c>
      <c r="I1843" s="17">
        <v>511672</v>
      </c>
      <c r="J1843" s="17">
        <v>149</v>
      </c>
      <c r="K1843" s="17">
        <v>511523</v>
      </c>
      <c r="L1843" s="17">
        <v>70716.854640000005</v>
      </c>
      <c r="M1843" s="17">
        <v>2025</v>
      </c>
      <c r="N1843" s="17" t="s">
        <v>175</v>
      </c>
    </row>
    <row r="1844" spans="1:14" ht="14.25" customHeight="1">
      <c r="A1844" s="17">
        <v>11843</v>
      </c>
      <c r="B1844" s="18">
        <v>45806</v>
      </c>
      <c r="C1844" s="17" t="s">
        <v>45</v>
      </c>
      <c r="D1844" s="17" t="s">
        <v>86</v>
      </c>
      <c r="E1844" s="17" t="s">
        <v>165</v>
      </c>
      <c r="F1844" s="17" t="s">
        <v>164</v>
      </c>
      <c r="G1844" s="17">
        <v>4</v>
      </c>
      <c r="H1844" s="17">
        <v>9983</v>
      </c>
      <c r="I1844" s="17">
        <v>39932</v>
      </c>
      <c r="J1844" s="17">
        <v>909</v>
      </c>
      <c r="K1844" s="17">
        <v>39023</v>
      </c>
      <c r="L1844" s="17">
        <v>5079.8780690000003</v>
      </c>
      <c r="M1844" s="17">
        <v>2025</v>
      </c>
      <c r="N1844" s="17" t="s">
        <v>117</v>
      </c>
    </row>
    <row r="1845" spans="1:14" ht="14.25" customHeight="1">
      <c r="A1845" s="17">
        <v>11844</v>
      </c>
      <c r="B1845" s="18">
        <v>45418</v>
      </c>
      <c r="C1845" s="17" t="s">
        <v>58</v>
      </c>
      <c r="D1845" s="17" t="s">
        <v>83</v>
      </c>
      <c r="E1845" s="17" t="s">
        <v>165</v>
      </c>
      <c r="F1845" s="17" t="s">
        <v>166</v>
      </c>
      <c r="G1845" s="17">
        <v>7</v>
      </c>
      <c r="H1845" s="17">
        <v>35897</v>
      </c>
      <c r="I1845" s="17">
        <v>251279</v>
      </c>
      <c r="J1845" s="17">
        <v>3528</v>
      </c>
      <c r="K1845" s="17">
        <v>247751</v>
      </c>
      <c r="L1845" s="17">
        <v>42961.990339999997</v>
      </c>
      <c r="M1845" s="17">
        <v>2024</v>
      </c>
      <c r="N1845" s="17" t="s">
        <v>117</v>
      </c>
    </row>
    <row r="1846" spans="1:14" ht="14.25" customHeight="1">
      <c r="A1846" s="17">
        <v>11845</v>
      </c>
      <c r="B1846" s="18">
        <v>45991</v>
      </c>
      <c r="C1846" s="17" t="s">
        <v>50</v>
      </c>
      <c r="D1846" s="17" t="s">
        <v>83</v>
      </c>
      <c r="E1846" s="17" t="s">
        <v>162</v>
      </c>
      <c r="F1846" s="17" t="s">
        <v>164</v>
      </c>
      <c r="G1846" s="17">
        <v>7</v>
      </c>
      <c r="H1846" s="17">
        <v>45602</v>
      </c>
      <c r="I1846" s="17">
        <v>319214</v>
      </c>
      <c r="J1846" s="17">
        <v>977</v>
      </c>
      <c r="K1846" s="17">
        <v>318237</v>
      </c>
      <c r="L1846" s="17">
        <v>32356.407599999999</v>
      </c>
      <c r="M1846" s="17">
        <v>2025</v>
      </c>
      <c r="N1846" s="17" t="s">
        <v>173</v>
      </c>
    </row>
    <row r="1847" spans="1:14" ht="14.25" customHeight="1">
      <c r="A1847" s="17">
        <v>11846</v>
      </c>
      <c r="B1847" s="18">
        <v>45305</v>
      </c>
      <c r="C1847" s="17" t="s">
        <v>167</v>
      </c>
      <c r="D1847" s="17" t="s">
        <v>83</v>
      </c>
      <c r="E1847" s="17" t="s">
        <v>162</v>
      </c>
      <c r="F1847" s="17" t="s">
        <v>172</v>
      </c>
      <c r="G1847" s="17">
        <v>5</v>
      </c>
      <c r="H1847" s="17">
        <v>54411</v>
      </c>
      <c r="I1847" s="17">
        <v>272055</v>
      </c>
      <c r="J1847" s="17">
        <v>634</v>
      </c>
      <c r="K1847" s="17">
        <v>271421</v>
      </c>
      <c r="L1847" s="17">
        <v>54653.337319999999</v>
      </c>
      <c r="M1847" s="17">
        <v>2024</v>
      </c>
      <c r="N1847" s="17" t="s">
        <v>171</v>
      </c>
    </row>
    <row r="1848" spans="1:14" ht="14.25" customHeight="1">
      <c r="A1848" s="17">
        <v>11847</v>
      </c>
      <c r="B1848" s="18">
        <v>45303</v>
      </c>
      <c r="C1848" s="17" t="s">
        <v>50</v>
      </c>
      <c r="D1848" s="17" t="s">
        <v>170</v>
      </c>
      <c r="E1848" s="17" t="s">
        <v>162</v>
      </c>
      <c r="F1848" s="17" t="s">
        <v>163</v>
      </c>
      <c r="G1848" s="17">
        <v>1</v>
      </c>
      <c r="H1848" s="17">
        <v>73742</v>
      </c>
      <c r="I1848" s="17">
        <v>73742</v>
      </c>
      <c r="J1848" s="17">
        <v>4717</v>
      </c>
      <c r="K1848" s="17">
        <v>69025</v>
      </c>
      <c r="L1848" s="17">
        <v>15761.03708</v>
      </c>
      <c r="M1848" s="17">
        <v>2024</v>
      </c>
      <c r="N1848" s="17" t="s">
        <v>171</v>
      </c>
    </row>
    <row r="1849" spans="1:14" ht="14.25" customHeight="1">
      <c r="A1849" s="17">
        <v>11848</v>
      </c>
      <c r="B1849" s="18">
        <v>45378</v>
      </c>
      <c r="C1849" s="17" t="s">
        <v>45</v>
      </c>
      <c r="D1849" s="17" t="s">
        <v>83</v>
      </c>
      <c r="E1849" s="17" t="s">
        <v>168</v>
      </c>
      <c r="F1849" s="17" t="s">
        <v>163</v>
      </c>
      <c r="G1849" s="17">
        <v>4</v>
      </c>
      <c r="H1849" s="17">
        <v>43126</v>
      </c>
      <c r="I1849" s="17">
        <v>172504</v>
      </c>
      <c r="J1849" s="17">
        <v>2190</v>
      </c>
      <c r="K1849" s="17">
        <v>170314</v>
      </c>
      <c r="L1849" s="17">
        <v>35086.596239999999</v>
      </c>
      <c r="M1849" s="17">
        <v>2024</v>
      </c>
      <c r="N1849" s="17" t="s">
        <v>112</v>
      </c>
    </row>
    <row r="1850" spans="1:14" ht="14.25" customHeight="1">
      <c r="A1850" s="17">
        <v>11849</v>
      </c>
      <c r="B1850" s="18">
        <v>45815</v>
      </c>
      <c r="C1850" s="17" t="s">
        <v>167</v>
      </c>
      <c r="D1850" s="17" t="s">
        <v>89</v>
      </c>
      <c r="E1850" s="17" t="s">
        <v>168</v>
      </c>
      <c r="F1850" s="17" t="s">
        <v>163</v>
      </c>
      <c r="G1850" s="17">
        <v>7</v>
      </c>
      <c r="H1850" s="17">
        <v>75043</v>
      </c>
      <c r="I1850" s="17">
        <v>525301</v>
      </c>
      <c r="J1850" s="17">
        <v>4149</v>
      </c>
      <c r="K1850" s="17">
        <v>521152</v>
      </c>
      <c r="L1850" s="17">
        <v>116066.6611</v>
      </c>
      <c r="M1850" s="17">
        <v>2025</v>
      </c>
      <c r="N1850" s="17" t="s">
        <v>120</v>
      </c>
    </row>
    <row r="1851" spans="1:14" ht="14.25" customHeight="1">
      <c r="A1851" s="17">
        <v>11850</v>
      </c>
      <c r="B1851" s="18">
        <v>45828</v>
      </c>
      <c r="C1851" s="17" t="s">
        <v>50</v>
      </c>
      <c r="D1851" s="17" t="s">
        <v>111</v>
      </c>
      <c r="E1851" s="17" t="s">
        <v>162</v>
      </c>
      <c r="F1851" s="17" t="s">
        <v>164</v>
      </c>
      <c r="G1851" s="17">
        <v>5</v>
      </c>
      <c r="H1851" s="17">
        <v>60610</v>
      </c>
      <c r="I1851" s="17">
        <v>303050</v>
      </c>
      <c r="J1851" s="17">
        <v>4939</v>
      </c>
      <c r="K1851" s="17">
        <v>298111</v>
      </c>
      <c r="L1851" s="17">
        <v>58578.054470000003</v>
      </c>
      <c r="M1851" s="17">
        <v>2025</v>
      </c>
      <c r="N1851" s="17" t="s">
        <v>120</v>
      </c>
    </row>
    <row r="1852" spans="1:14" ht="14.25" customHeight="1">
      <c r="A1852" s="17">
        <v>11851</v>
      </c>
      <c r="B1852" s="18">
        <v>45592</v>
      </c>
      <c r="C1852" s="17" t="s">
        <v>50</v>
      </c>
      <c r="D1852" s="17" t="s">
        <v>83</v>
      </c>
      <c r="E1852" s="17" t="s">
        <v>168</v>
      </c>
      <c r="F1852" s="17" t="s">
        <v>164</v>
      </c>
      <c r="G1852" s="17">
        <v>2</v>
      </c>
      <c r="H1852" s="17">
        <v>28925</v>
      </c>
      <c r="I1852" s="17">
        <v>57850</v>
      </c>
      <c r="J1852" s="17">
        <v>3474</v>
      </c>
      <c r="K1852" s="17">
        <v>54376</v>
      </c>
      <c r="L1852" s="17">
        <v>9575.8884789999993</v>
      </c>
      <c r="M1852" s="17">
        <v>2024</v>
      </c>
      <c r="N1852" s="17" t="s">
        <v>174</v>
      </c>
    </row>
    <row r="1853" spans="1:14" ht="14.25" customHeight="1">
      <c r="A1853" s="17">
        <v>11852</v>
      </c>
      <c r="B1853" s="18">
        <v>45534</v>
      </c>
      <c r="C1853" s="17" t="s">
        <v>167</v>
      </c>
      <c r="D1853" s="17" t="s">
        <v>83</v>
      </c>
      <c r="E1853" s="17" t="s">
        <v>162</v>
      </c>
      <c r="F1853" s="17" t="s">
        <v>166</v>
      </c>
      <c r="G1853" s="17">
        <v>8</v>
      </c>
      <c r="H1853" s="17">
        <v>41276</v>
      </c>
      <c r="I1853" s="17">
        <v>330208</v>
      </c>
      <c r="J1853" s="17">
        <v>3780</v>
      </c>
      <c r="K1853" s="17">
        <v>326428</v>
      </c>
      <c r="L1853" s="17">
        <v>43367.017290000003</v>
      </c>
      <c r="M1853" s="17">
        <v>2024</v>
      </c>
      <c r="N1853" s="17" t="s">
        <v>126</v>
      </c>
    </row>
    <row r="1854" spans="1:14" ht="14.25" customHeight="1">
      <c r="A1854" s="17">
        <v>11853</v>
      </c>
      <c r="B1854" s="18">
        <v>45413</v>
      </c>
      <c r="C1854" s="17" t="s">
        <v>45</v>
      </c>
      <c r="D1854" s="17" t="s">
        <v>83</v>
      </c>
      <c r="E1854" s="17" t="s">
        <v>168</v>
      </c>
      <c r="F1854" s="17" t="s">
        <v>172</v>
      </c>
      <c r="G1854" s="17">
        <v>2</v>
      </c>
      <c r="H1854" s="17">
        <v>28689</v>
      </c>
      <c r="I1854" s="17">
        <v>57378</v>
      </c>
      <c r="J1854" s="17">
        <v>1865</v>
      </c>
      <c r="K1854" s="17">
        <v>55513</v>
      </c>
      <c r="L1854" s="17">
        <v>7879.7346159999997</v>
      </c>
      <c r="M1854" s="17">
        <v>2024</v>
      </c>
      <c r="N1854" s="17" t="s">
        <v>117</v>
      </c>
    </row>
    <row r="1855" spans="1:14" ht="14.25" customHeight="1">
      <c r="A1855" s="17">
        <v>11854</v>
      </c>
      <c r="B1855" s="18">
        <v>45438</v>
      </c>
      <c r="C1855" s="17" t="s">
        <v>50</v>
      </c>
      <c r="D1855" s="17" t="s">
        <v>89</v>
      </c>
      <c r="E1855" s="17" t="s">
        <v>165</v>
      </c>
      <c r="F1855" s="17" t="s">
        <v>166</v>
      </c>
      <c r="G1855" s="17">
        <v>8</v>
      </c>
      <c r="H1855" s="17">
        <v>68942</v>
      </c>
      <c r="I1855" s="17">
        <v>551536</v>
      </c>
      <c r="J1855" s="17">
        <v>298</v>
      </c>
      <c r="K1855" s="17">
        <v>551238</v>
      </c>
      <c r="L1855" s="17">
        <v>81393.708679999996</v>
      </c>
      <c r="M1855" s="17">
        <v>2024</v>
      </c>
      <c r="N1855" s="17" t="s">
        <v>117</v>
      </c>
    </row>
    <row r="1856" spans="1:14" ht="14.25" customHeight="1">
      <c r="A1856" s="17">
        <v>11855</v>
      </c>
      <c r="B1856" s="18">
        <v>45858</v>
      </c>
      <c r="C1856" s="17" t="s">
        <v>167</v>
      </c>
      <c r="D1856" s="17" t="s">
        <v>83</v>
      </c>
      <c r="E1856" s="17" t="s">
        <v>168</v>
      </c>
      <c r="F1856" s="17" t="s">
        <v>166</v>
      </c>
      <c r="G1856" s="17">
        <v>2</v>
      </c>
      <c r="H1856" s="17">
        <v>59146</v>
      </c>
      <c r="I1856" s="17">
        <v>118292</v>
      </c>
      <c r="J1856" s="17">
        <v>2739</v>
      </c>
      <c r="K1856" s="17">
        <v>115553</v>
      </c>
      <c r="L1856" s="17">
        <v>12214.25836</v>
      </c>
      <c r="M1856" s="17">
        <v>2025</v>
      </c>
      <c r="N1856" s="17" t="s">
        <v>123</v>
      </c>
    </row>
    <row r="1857" spans="1:14" ht="14.25" customHeight="1">
      <c r="A1857" s="17">
        <v>11856</v>
      </c>
      <c r="B1857" s="18">
        <v>45647</v>
      </c>
      <c r="C1857" s="17" t="s">
        <v>45</v>
      </c>
      <c r="D1857" s="17" t="s">
        <v>83</v>
      </c>
      <c r="E1857" s="17" t="s">
        <v>168</v>
      </c>
      <c r="F1857" s="17" t="s">
        <v>163</v>
      </c>
      <c r="G1857" s="17">
        <v>5</v>
      </c>
      <c r="H1857" s="17">
        <v>20238</v>
      </c>
      <c r="I1857" s="17">
        <v>101190</v>
      </c>
      <c r="J1857" s="17">
        <v>3725</v>
      </c>
      <c r="K1857" s="17">
        <v>97465</v>
      </c>
      <c r="L1857" s="17">
        <v>23095.629570000001</v>
      </c>
      <c r="M1857" s="17">
        <v>2024</v>
      </c>
      <c r="N1857" s="17" t="s">
        <v>169</v>
      </c>
    </row>
    <row r="1858" spans="1:14" ht="14.25" customHeight="1">
      <c r="A1858" s="17">
        <v>11857</v>
      </c>
      <c r="B1858" s="18">
        <v>45976</v>
      </c>
      <c r="C1858" s="17" t="s">
        <v>167</v>
      </c>
      <c r="D1858" s="17" t="s">
        <v>111</v>
      </c>
      <c r="E1858" s="17" t="s">
        <v>165</v>
      </c>
      <c r="F1858" s="17" t="s">
        <v>164</v>
      </c>
      <c r="G1858" s="17">
        <v>4</v>
      </c>
      <c r="H1858" s="17">
        <v>65424</v>
      </c>
      <c r="I1858" s="17">
        <v>261696</v>
      </c>
      <c r="J1858" s="17">
        <v>3391</v>
      </c>
      <c r="K1858" s="17">
        <v>258305</v>
      </c>
      <c r="L1858" s="17">
        <v>60713.403440000002</v>
      </c>
      <c r="M1858" s="17">
        <v>2025</v>
      </c>
      <c r="N1858" s="17" t="s">
        <v>173</v>
      </c>
    </row>
    <row r="1859" spans="1:14" ht="14.25" customHeight="1">
      <c r="A1859" s="17">
        <v>11858</v>
      </c>
      <c r="B1859" s="18">
        <v>45922</v>
      </c>
      <c r="C1859" s="17" t="s">
        <v>167</v>
      </c>
      <c r="D1859" s="17" t="s">
        <v>89</v>
      </c>
      <c r="E1859" s="17" t="s">
        <v>162</v>
      </c>
      <c r="F1859" s="17" t="s">
        <v>172</v>
      </c>
      <c r="G1859" s="17">
        <v>1</v>
      </c>
      <c r="H1859" s="17">
        <v>29807</v>
      </c>
      <c r="I1859" s="17">
        <v>29807</v>
      </c>
      <c r="J1859" s="17">
        <v>4540</v>
      </c>
      <c r="K1859" s="17">
        <v>25267</v>
      </c>
      <c r="L1859" s="17">
        <v>2935.1834389999999</v>
      </c>
      <c r="M1859" s="17">
        <v>2025</v>
      </c>
      <c r="N1859" s="17" t="s">
        <v>129</v>
      </c>
    </row>
    <row r="1860" spans="1:14" ht="14.25" customHeight="1">
      <c r="A1860" s="17">
        <v>11859</v>
      </c>
      <c r="B1860" s="18">
        <v>45600</v>
      </c>
      <c r="C1860" s="17" t="s">
        <v>50</v>
      </c>
      <c r="D1860" s="17" t="s">
        <v>89</v>
      </c>
      <c r="E1860" s="17" t="s">
        <v>168</v>
      </c>
      <c r="F1860" s="17" t="s">
        <v>166</v>
      </c>
      <c r="G1860" s="17">
        <v>8</v>
      </c>
      <c r="H1860" s="17">
        <v>79457</v>
      </c>
      <c r="I1860" s="17">
        <v>635656</v>
      </c>
      <c r="J1860" s="17">
        <v>97</v>
      </c>
      <c r="K1860" s="17">
        <v>635559</v>
      </c>
      <c r="L1860" s="17">
        <v>116627.6409</v>
      </c>
      <c r="M1860" s="17">
        <v>2024</v>
      </c>
      <c r="N1860" s="17" t="s">
        <v>173</v>
      </c>
    </row>
    <row r="1861" spans="1:14" ht="14.25" customHeight="1">
      <c r="A1861" s="17">
        <v>11860</v>
      </c>
      <c r="B1861" s="18">
        <v>45986</v>
      </c>
      <c r="C1861" s="17" t="s">
        <v>45</v>
      </c>
      <c r="D1861" s="17" t="s">
        <v>83</v>
      </c>
      <c r="E1861" s="17" t="s">
        <v>168</v>
      </c>
      <c r="F1861" s="17" t="s">
        <v>172</v>
      </c>
      <c r="G1861" s="17">
        <v>3</v>
      </c>
      <c r="H1861" s="17">
        <v>16204</v>
      </c>
      <c r="I1861" s="17">
        <v>48612</v>
      </c>
      <c r="J1861" s="17">
        <v>3197</v>
      </c>
      <c r="K1861" s="17">
        <v>45415</v>
      </c>
      <c r="L1861" s="17">
        <v>7727.1894060000004</v>
      </c>
      <c r="M1861" s="17">
        <v>2025</v>
      </c>
      <c r="N1861" s="17" t="s">
        <v>173</v>
      </c>
    </row>
    <row r="1862" spans="1:14" ht="14.25" customHeight="1">
      <c r="A1862" s="17">
        <v>11861</v>
      </c>
      <c r="B1862" s="18">
        <v>45579</v>
      </c>
      <c r="C1862" s="17" t="s">
        <v>50</v>
      </c>
      <c r="D1862" s="17" t="s">
        <v>89</v>
      </c>
      <c r="E1862" s="17" t="s">
        <v>165</v>
      </c>
      <c r="F1862" s="17" t="s">
        <v>163</v>
      </c>
      <c r="G1862" s="17">
        <v>4</v>
      </c>
      <c r="H1862" s="17">
        <v>70245</v>
      </c>
      <c r="I1862" s="17">
        <v>280980</v>
      </c>
      <c r="J1862" s="17">
        <v>2105</v>
      </c>
      <c r="K1862" s="17">
        <v>278875</v>
      </c>
      <c r="L1862" s="17">
        <v>56475.561759999997</v>
      </c>
      <c r="M1862" s="17">
        <v>2024</v>
      </c>
      <c r="N1862" s="17" t="s">
        <v>174</v>
      </c>
    </row>
    <row r="1863" spans="1:14" ht="14.25" customHeight="1">
      <c r="A1863" s="17">
        <v>11862</v>
      </c>
      <c r="B1863" s="18">
        <v>45598</v>
      </c>
      <c r="C1863" s="17" t="s">
        <v>39</v>
      </c>
      <c r="D1863" s="17" t="s">
        <v>86</v>
      </c>
      <c r="E1863" s="17" t="s">
        <v>165</v>
      </c>
      <c r="F1863" s="17" t="s">
        <v>166</v>
      </c>
      <c r="G1863" s="17">
        <v>4</v>
      </c>
      <c r="H1863" s="17">
        <v>43567</v>
      </c>
      <c r="I1863" s="17">
        <v>174268</v>
      </c>
      <c r="J1863" s="17">
        <v>4272</v>
      </c>
      <c r="K1863" s="17">
        <v>169996</v>
      </c>
      <c r="L1863" s="17">
        <v>32376.188529999999</v>
      </c>
      <c r="M1863" s="17">
        <v>2024</v>
      </c>
      <c r="N1863" s="17" t="s">
        <v>173</v>
      </c>
    </row>
    <row r="1864" spans="1:14" ht="14.25" customHeight="1">
      <c r="A1864" s="17">
        <v>11863</v>
      </c>
      <c r="B1864" s="18">
        <v>45885</v>
      </c>
      <c r="C1864" s="17" t="s">
        <v>39</v>
      </c>
      <c r="D1864" s="17" t="s">
        <v>89</v>
      </c>
      <c r="E1864" s="17" t="s">
        <v>165</v>
      </c>
      <c r="F1864" s="17" t="s">
        <v>164</v>
      </c>
      <c r="G1864" s="17">
        <v>5</v>
      </c>
      <c r="H1864" s="17">
        <v>40697</v>
      </c>
      <c r="I1864" s="17">
        <v>203485</v>
      </c>
      <c r="J1864" s="17">
        <v>4814</v>
      </c>
      <c r="K1864" s="17">
        <v>198671</v>
      </c>
      <c r="L1864" s="17">
        <v>23571.97048</v>
      </c>
      <c r="M1864" s="17">
        <v>2025</v>
      </c>
      <c r="N1864" s="17" t="s">
        <v>126</v>
      </c>
    </row>
    <row r="1865" spans="1:14" ht="14.25" customHeight="1">
      <c r="A1865" s="17">
        <v>11864</v>
      </c>
      <c r="B1865" s="18">
        <v>46014</v>
      </c>
      <c r="C1865" s="17" t="s">
        <v>45</v>
      </c>
      <c r="D1865" s="17" t="s">
        <v>89</v>
      </c>
      <c r="E1865" s="17" t="s">
        <v>165</v>
      </c>
      <c r="F1865" s="17" t="s">
        <v>166</v>
      </c>
      <c r="G1865" s="17">
        <v>3</v>
      </c>
      <c r="H1865" s="17">
        <v>6530</v>
      </c>
      <c r="I1865" s="17">
        <v>19590</v>
      </c>
      <c r="J1865" s="17">
        <v>3522</v>
      </c>
      <c r="K1865" s="17">
        <v>16068</v>
      </c>
      <c r="L1865" s="17">
        <v>3197.7191400000002</v>
      </c>
      <c r="M1865" s="17">
        <v>2025</v>
      </c>
      <c r="N1865" s="17" t="s">
        <v>169</v>
      </c>
    </row>
    <row r="1866" spans="1:14" ht="14.25" customHeight="1">
      <c r="A1866" s="17">
        <v>11865</v>
      </c>
      <c r="B1866" s="18">
        <v>45953</v>
      </c>
      <c r="C1866" s="17" t="s">
        <v>167</v>
      </c>
      <c r="D1866" s="17" t="s">
        <v>89</v>
      </c>
      <c r="E1866" s="17" t="s">
        <v>162</v>
      </c>
      <c r="F1866" s="17" t="s">
        <v>163</v>
      </c>
      <c r="G1866" s="17">
        <v>9</v>
      </c>
      <c r="H1866" s="17">
        <v>29297</v>
      </c>
      <c r="I1866" s="17">
        <v>263673</v>
      </c>
      <c r="J1866" s="17">
        <v>4418</v>
      </c>
      <c r="K1866" s="17">
        <v>259255</v>
      </c>
      <c r="L1866" s="17">
        <v>49603.478369999997</v>
      </c>
      <c r="M1866" s="17">
        <v>2025</v>
      </c>
      <c r="N1866" s="17" t="s">
        <v>174</v>
      </c>
    </row>
    <row r="1867" spans="1:14" ht="14.25" customHeight="1">
      <c r="A1867" s="17">
        <v>11866</v>
      </c>
      <c r="B1867" s="18">
        <v>45840</v>
      </c>
      <c r="C1867" s="17" t="s">
        <v>50</v>
      </c>
      <c r="D1867" s="17" t="s">
        <v>170</v>
      </c>
      <c r="E1867" s="17" t="s">
        <v>168</v>
      </c>
      <c r="F1867" s="17" t="s">
        <v>166</v>
      </c>
      <c r="G1867" s="17">
        <v>4</v>
      </c>
      <c r="H1867" s="17">
        <v>79838</v>
      </c>
      <c r="I1867" s="17">
        <v>319352</v>
      </c>
      <c r="J1867" s="17">
        <v>845</v>
      </c>
      <c r="K1867" s="17">
        <v>318507</v>
      </c>
      <c r="L1867" s="17">
        <v>57230.467089999998</v>
      </c>
      <c r="M1867" s="17">
        <v>2025</v>
      </c>
      <c r="N1867" s="17" t="s">
        <v>123</v>
      </c>
    </row>
    <row r="1868" spans="1:14" ht="14.25" customHeight="1">
      <c r="A1868" s="17">
        <v>11867</v>
      </c>
      <c r="B1868" s="18">
        <v>45643</v>
      </c>
      <c r="C1868" s="17" t="s">
        <v>50</v>
      </c>
      <c r="D1868" s="17" t="s">
        <v>170</v>
      </c>
      <c r="E1868" s="17" t="s">
        <v>168</v>
      </c>
      <c r="F1868" s="17" t="s">
        <v>163</v>
      </c>
      <c r="G1868" s="17">
        <v>4</v>
      </c>
      <c r="H1868" s="17">
        <v>53906</v>
      </c>
      <c r="I1868" s="17">
        <v>215624</v>
      </c>
      <c r="J1868" s="17">
        <v>4185</v>
      </c>
      <c r="K1868" s="17">
        <v>211439</v>
      </c>
      <c r="L1868" s="17">
        <v>33906.556790000002</v>
      </c>
      <c r="M1868" s="17">
        <v>2024</v>
      </c>
      <c r="N1868" s="17" t="s">
        <v>169</v>
      </c>
    </row>
    <row r="1869" spans="1:14" ht="14.25" customHeight="1">
      <c r="A1869" s="17">
        <v>11868</v>
      </c>
      <c r="B1869" s="18">
        <v>45603</v>
      </c>
      <c r="C1869" s="17" t="s">
        <v>45</v>
      </c>
      <c r="D1869" s="17" t="s">
        <v>170</v>
      </c>
      <c r="E1869" s="17" t="s">
        <v>168</v>
      </c>
      <c r="F1869" s="17" t="s">
        <v>166</v>
      </c>
      <c r="G1869" s="17">
        <v>6</v>
      </c>
      <c r="H1869" s="17">
        <v>71251</v>
      </c>
      <c r="I1869" s="17">
        <v>427506</v>
      </c>
      <c r="J1869" s="17">
        <v>4226</v>
      </c>
      <c r="K1869" s="17">
        <v>423280</v>
      </c>
      <c r="L1869" s="17">
        <v>102957.8438</v>
      </c>
      <c r="M1869" s="17">
        <v>2024</v>
      </c>
      <c r="N1869" s="17" t="s">
        <v>173</v>
      </c>
    </row>
    <row r="1870" spans="1:14" ht="14.25" customHeight="1">
      <c r="A1870" s="17">
        <v>11869</v>
      </c>
      <c r="B1870" s="18">
        <v>45350</v>
      </c>
      <c r="C1870" s="17" t="s">
        <v>45</v>
      </c>
      <c r="D1870" s="17" t="s">
        <v>89</v>
      </c>
      <c r="E1870" s="17" t="s">
        <v>168</v>
      </c>
      <c r="F1870" s="17" t="s">
        <v>172</v>
      </c>
      <c r="G1870" s="17">
        <v>8</v>
      </c>
      <c r="H1870" s="17">
        <v>65748</v>
      </c>
      <c r="I1870" s="17">
        <v>525984</v>
      </c>
      <c r="J1870" s="17">
        <v>3881</v>
      </c>
      <c r="K1870" s="17">
        <v>522103</v>
      </c>
      <c r="L1870" s="17">
        <v>118734.54150000001</v>
      </c>
      <c r="M1870" s="17">
        <v>2024</v>
      </c>
      <c r="N1870" s="17" t="s">
        <v>175</v>
      </c>
    </row>
    <row r="1871" spans="1:14" ht="14.25" customHeight="1">
      <c r="A1871" s="17">
        <v>11870</v>
      </c>
      <c r="B1871" s="18">
        <v>45934</v>
      </c>
      <c r="C1871" s="17" t="s">
        <v>39</v>
      </c>
      <c r="D1871" s="17" t="s">
        <v>86</v>
      </c>
      <c r="E1871" s="17" t="s">
        <v>162</v>
      </c>
      <c r="F1871" s="17" t="s">
        <v>164</v>
      </c>
      <c r="G1871" s="17">
        <v>7</v>
      </c>
      <c r="H1871" s="17">
        <v>45295</v>
      </c>
      <c r="I1871" s="17">
        <v>317065</v>
      </c>
      <c r="J1871" s="17">
        <v>1052</v>
      </c>
      <c r="K1871" s="17">
        <v>316013</v>
      </c>
      <c r="L1871" s="17">
        <v>59335.468730000001</v>
      </c>
      <c r="M1871" s="17">
        <v>2025</v>
      </c>
      <c r="N1871" s="17" t="s">
        <v>174</v>
      </c>
    </row>
    <row r="1872" spans="1:14" ht="14.25" customHeight="1">
      <c r="A1872" s="17">
        <v>11871</v>
      </c>
      <c r="B1872" s="18">
        <v>46005</v>
      </c>
      <c r="C1872" s="17" t="s">
        <v>58</v>
      </c>
      <c r="D1872" s="17" t="s">
        <v>89</v>
      </c>
      <c r="E1872" s="17" t="s">
        <v>168</v>
      </c>
      <c r="F1872" s="17" t="s">
        <v>163</v>
      </c>
      <c r="G1872" s="17">
        <v>4</v>
      </c>
      <c r="H1872" s="17">
        <v>57464</v>
      </c>
      <c r="I1872" s="17">
        <v>229856</v>
      </c>
      <c r="J1872" s="17">
        <v>3848</v>
      </c>
      <c r="K1872" s="17">
        <v>226008</v>
      </c>
      <c r="L1872" s="17">
        <v>22817.015930000001</v>
      </c>
      <c r="M1872" s="17">
        <v>2025</v>
      </c>
      <c r="N1872" s="17" t="s">
        <v>169</v>
      </c>
    </row>
    <row r="1873" spans="1:14" ht="14.25" customHeight="1">
      <c r="A1873" s="17">
        <v>11872</v>
      </c>
      <c r="B1873" s="18">
        <v>45326</v>
      </c>
      <c r="C1873" s="17" t="s">
        <v>45</v>
      </c>
      <c r="D1873" s="17" t="s">
        <v>83</v>
      </c>
      <c r="E1873" s="17" t="s">
        <v>162</v>
      </c>
      <c r="F1873" s="17" t="s">
        <v>172</v>
      </c>
      <c r="G1873" s="17">
        <v>4</v>
      </c>
      <c r="H1873" s="17">
        <v>12223</v>
      </c>
      <c r="I1873" s="17">
        <v>48892</v>
      </c>
      <c r="J1873" s="17">
        <v>3615</v>
      </c>
      <c r="K1873" s="17">
        <v>45277</v>
      </c>
      <c r="L1873" s="17">
        <v>7462.4866050000001</v>
      </c>
      <c r="M1873" s="17">
        <v>2024</v>
      </c>
      <c r="N1873" s="17" t="s">
        <v>175</v>
      </c>
    </row>
    <row r="1874" spans="1:14" ht="14.25" customHeight="1">
      <c r="A1874" s="17">
        <v>11873</v>
      </c>
      <c r="B1874" s="18">
        <v>45736</v>
      </c>
      <c r="C1874" s="17" t="s">
        <v>58</v>
      </c>
      <c r="D1874" s="17" t="s">
        <v>86</v>
      </c>
      <c r="E1874" s="17" t="s">
        <v>162</v>
      </c>
      <c r="F1874" s="17" t="s">
        <v>163</v>
      </c>
      <c r="G1874" s="17">
        <v>5</v>
      </c>
      <c r="H1874" s="17">
        <v>18421</v>
      </c>
      <c r="I1874" s="17">
        <v>92105</v>
      </c>
      <c r="J1874" s="17">
        <v>3157</v>
      </c>
      <c r="K1874" s="17">
        <v>88948</v>
      </c>
      <c r="L1874" s="17">
        <v>18238.872729999999</v>
      </c>
      <c r="M1874" s="17">
        <v>2025</v>
      </c>
      <c r="N1874" s="17" t="s">
        <v>112</v>
      </c>
    </row>
    <row r="1875" spans="1:14" ht="14.25" customHeight="1">
      <c r="A1875" s="17">
        <v>11874</v>
      </c>
      <c r="B1875" s="18">
        <v>45384</v>
      </c>
      <c r="C1875" s="17" t="s">
        <v>45</v>
      </c>
      <c r="D1875" s="17" t="s">
        <v>170</v>
      </c>
      <c r="E1875" s="17" t="s">
        <v>165</v>
      </c>
      <c r="F1875" s="17" t="s">
        <v>166</v>
      </c>
      <c r="G1875" s="17">
        <v>5</v>
      </c>
      <c r="H1875" s="17">
        <v>19066</v>
      </c>
      <c r="I1875" s="17">
        <v>95330</v>
      </c>
      <c r="J1875" s="17">
        <v>2105</v>
      </c>
      <c r="K1875" s="17">
        <v>93225</v>
      </c>
      <c r="L1875" s="17">
        <v>10962.71326</v>
      </c>
      <c r="M1875" s="17">
        <v>2024</v>
      </c>
      <c r="N1875" s="17" t="s">
        <v>114</v>
      </c>
    </row>
    <row r="1876" spans="1:14" ht="14.25" customHeight="1">
      <c r="A1876" s="17">
        <v>11875</v>
      </c>
      <c r="B1876" s="18">
        <v>45498</v>
      </c>
      <c r="C1876" s="17" t="s">
        <v>167</v>
      </c>
      <c r="D1876" s="17" t="s">
        <v>111</v>
      </c>
      <c r="E1876" s="17" t="s">
        <v>165</v>
      </c>
      <c r="F1876" s="17" t="s">
        <v>163</v>
      </c>
      <c r="G1876" s="17">
        <v>1</v>
      </c>
      <c r="H1876" s="17">
        <v>26576</v>
      </c>
      <c r="I1876" s="17">
        <v>26576</v>
      </c>
      <c r="J1876" s="17">
        <v>993</v>
      </c>
      <c r="K1876" s="17">
        <v>25583</v>
      </c>
      <c r="L1876" s="17">
        <v>4118.413826</v>
      </c>
      <c r="M1876" s="17">
        <v>2024</v>
      </c>
      <c r="N1876" s="17" t="s">
        <v>123</v>
      </c>
    </row>
    <row r="1877" spans="1:14" ht="14.25" customHeight="1">
      <c r="A1877" s="17">
        <v>11876</v>
      </c>
      <c r="B1877" s="18">
        <v>45644</v>
      </c>
      <c r="C1877" s="17" t="s">
        <v>167</v>
      </c>
      <c r="D1877" s="17" t="s">
        <v>86</v>
      </c>
      <c r="E1877" s="17" t="s">
        <v>168</v>
      </c>
      <c r="F1877" s="17" t="s">
        <v>163</v>
      </c>
      <c r="G1877" s="17">
        <v>8</v>
      </c>
      <c r="H1877" s="17">
        <v>7140</v>
      </c>
      <c r="I1877" s="17">
        <v>57120</v>
      </c>
      <c r="J1877" s="17">
        <v>3096</v>
      </c>
      <c r="K1877" s="17">
        <v>54024</v>
      </c>
      <c r="L1877" s="17">
        <v>6956.0645249999998</v>
      </c>
      <c r="M1877" s="17">
        <v>2024</v>
      </c>
      <c r="N1877" s="17" t="s">
        <v>169</v>
      </c>
    </row>
    <row r="1878" spans="1:14" ht="14.25" customHeight="1">
      <c r="A1878" s="17">
        <v>11877</v>
      </c>
      <c r="B1878" s="18">
        <v>45623</v>
      </c>
      <c r="C1878" s="17" t="s">
        <v>39</v>
      </c>
      <c r="D1878" s="17" t="s">
        <v>170</v>
      </c>
      <c r="E1878" s="17" t="s">
        <v>162</v>
      </c>
      <c r="F1878" s="17" t="s">
        <v>164</v>
      </c>
      <c r="G1878" s="17">
        <v>5</v>
      </c>
      <c r="H1878" s="17">
        <v>64016</v>
      </c>
      <c r="I1878" s="17">
        <v>320080</v>
      </c>
      <c r="J1878" s="17">
        <v>189</v>
      </c>
      <c r="K1878" s="17">
        <v>319891</v>
      </c>
      <c r="L1878" s="17">
        <v>48214.43475</v>
      </c>
      <c r="M1878" s="17">
        <v>2024</v>
      </c>
      <c r="N1878" s="17" t="s">
        <v>173</v>
      </c>
    </row>
    <row r="1879" spans="1:14" ht="14.25" customHeight="1">
      <c r="A1879" s="17">
        <v>11878</v>
      </c>
      <c r="B1879" s="18">
        <v>46016</v>
      </c>
      <c r="C1879" s="17" t="s">
        <v>39</v>
      </c>
      <c r="D1879" s="17" t="s">
        <v>86</v>
      </c>
      <c r="E1879" s="17" t="s">
        <v>165</v>
      </c>
      <c r="F1879" s="17" t="s">
        <v>172</v>
      </c>
      <c r="G1879" s="17">
        <v>3</v>
      </c>
      <c r="H1879" s="17">
        <v>46378</v>
      </c>
      <c r="I1879" s="17">
        <v>139134</v>
      </c>
      <c r="J1879" s="17">
        <v>2123</v>
      </c>
      <c r="K1879" s="17">
        <v>137011</v>
      </c>
      <c r="L1879" s="17">
        <v>14249.19615</v>
      </c>
      <c r="M1879" s="17">
        <v>2025</v>
      </c>
      <c r="N1879" s="17" t="s">
        <v>169</v>
      </c>
    </row>
    <row r="1880" spans="1:14" ht="14.25" customHeight="1">
      <c r="A1880" s="17">
        <v>11879</v>
      </c>
      <c r="B1880" s="18">
        <v>45450</v>
      </c>
      <c r="C1880" s="17" t="s">
        <v>58</v>
      </c>
      <c r="D1880" s="17" t="s">
        <v>86</v>
      </c>
      <c r="E1880" s="17" t="s">
        <v>162</v>
      </c>
      <c r="F1880" s="17" t="s">
        <v>166</v>
      </c>
      <c r="G1880" s="17">
        <v>3</v>
      </c>
      <c r="H1880" s="17">
        <v>12370</v>
      </c>
      <c r="I1880" s="17">
        <v>37110</v>
      </c>
      <c r="J1880" s="17">
        <v>2418</v>
      </c>
      <c r="K1880" s="17">
        <v>34692</v>
      </c>
      <c r="L1880" s="17">
        <v>4128.6899709999998</v>
      </c>
      <c r="M1880" s="17">
        <v>2024</v>
      </c>
      <c r="N1880" s="17" t="s">
        <v>120</v>
      </c>
    </row>
    <row r="1881" spans="1:14" ht="14.25" customHeight="1">
      <c r="A1881" s="17">
        <v>11880</v>
      </c>
      <c r="B1881" s="18">
        <v>45315</v>
      </c>
      <c r="C1881" s="17" t="s">
        <v>45</v>
      </c>
      <c r="D1881" s="17" t="s">
        <v>89</v>
      </c>
      <c r="E1881" s="17" t="s">
        <v>165</v>
      </c>
      <c r="F1881" s="17" t="s">
        <v>164</v>
      </c>
      <c r="G1881" s="17">
        <v>4</v>
      </c>
      <c r="H1881" s="17">
        <v>56750</v>
      </c>
      <c r="I1881" s="17">
        <v>227000</v>
      </c>
      <c r="J1881" s="17">
        <v>4994</v>
      </c>
      <c r="K1881" s="17">
        <v>222006</v>
      </c>
      <c r="L1881" s="17">
        <v>37344.412389999998</v>
      </c>
      <c r="M1881" s="17">
        <v>2024</v>
      </c>
      <c r="N1881" s="17" t="s">
        <v>171</v>
      </c>
    </row>
    <row r="1882" spans="1:14" ht="14.25" customHeight="1">
      <c r="A1882" s="17">
        <v>11881</v>
      </c>
      <c r="B1882" s="18">
        <v>45695</v>
      </c>
      <c r="C1882" s="17" t="s">
        <v>50</v>
      </c>
      <c r="D1882" s="17" t="s">
        <v>83</v>
      </c>
      <c r="E1882" s="17" t="s">
        <v>162</v>
      </c>
      <c r="F1882" s="17" t="s">
        <v>163</v>
      </c>
      <c r="G1882" s="17">
        <v>7</v>
      </c>
      <c r="H1882" s="17">
        <v>17022</v>
      </c>
      <c r="I1882" s="17">
        <v>119154</v>
      </c>
      <c r="J1882" s="17">
        <v>2898</v>
      </c>
      <c r="K1882" s="17">
        <v>116256</v>
      </c>
      <c r="L1882" s="17">
        <v>27288.595120000002</v>
      </c>
      <c r="M1882" s="17">
        <v>2025</v>
      </c>
      <c r="N1882" s="17" t="s">
        <v>175</v>
      </c>
    </row>
    <row r="1883" spans="1:14" ht="14.25" customHeight="1">
      <c r="A1883" s="17">
        <v>11882</v>
      </c>
      <c r="B1883" s="18">
        <v>45807</v>
      </c>
      <c r="C1883" s="17" t="s">
        <v>39</v>
      </c>
      <c r="D1883" s="17" t="s">
        <v>111</v>
      </c>
      <c r="E1883" s="17" t="s">
        <v>168</v>
      </c>
      <c r="F1883" s="17" t="s">
        <v>164</v>
      </c>
      <c r="G1883" s="17">
        <v>5</v>
      </c>
      <c r="H1883" s="17">
        <v>64222</v>
      </c>
      <c r="I1883" s="17">
        <v>321110</v>
      </c>
      <c r="J1883" s="17">
        <v>4601</v>
      </c>
      <c r="K1883" s="17">
        <v>316509</v>
      </c>
      <c r="L1883" s="17">
        <v>54941.924769999998</v>
      </c>
      <c r="M1883" s="17">
        <v>2025</v>
      </c>
      <c r="N1883" s="17" t="s">
        <v>117</v>
      </c>
    </row>
    <row r="1884" spans="1:14" ht="14.25" customHeight="1">
      <c r="A1884" s="17">
        <v>11883</v>
      </c>
      <c r="B1884" s="18">
        <v>45655</v>
      </c>
      <c r="C1884" s="17" t="s">
        <v>50</v>
      </c>
      <c r="D1884" s="17" t="s">
        <v>170</v>
      </c>
      <c r="E1884" s="17" t="s">
        <v>168</v>
      </c>
      <c r="F1884" s="17" t="s">
        <v>163</v>
      </c>
      <c r="G1884" s="17">
        <v>1</v>
      </c>
      <c r="H1884" s="17">
        <v>23328</v>
      </c>
      <c r="I1884" s="17">
        <v>23328</v>
      </c>
      <c r="J1884" s="17">
        <v>1966</v>
      </c>
      <c r="K1884" s="17">
        <v>21362</v>
      </c>
      <c r="L1884" s="17">
        <v>3587.9961330000001</v>
      </c>
      <c r="M1884" s="17">
        <v>2024</v>
      </c>
      <c r="N1884" s="17" t="s">
        <v>169</v>
      </c>
    </row>
    <row r="1885" spans="1:14" ht="14.25" customHeight="1">
      <c r="A1885" s="17">
        <v>11884</v>
      </c>
      <c r="B1885" s="18">
        <v>45673</v>
      </c>
      <c r="C1885" s="17" t="s">
        <v>50</v>
      </c>
      <c r="D1885" s="17" t="s">
        <v>86</v>
      </c>
      <c r="E1885" s="17" t="s">
        <v>162</v>
      </c>
      <c r="F1885" s="17" t="s">
        <v>166</v>
      </c>
      <c r="G1885" s="17">
        <v>5</v>
      </c>
      <c r="H1885" s="17">
        <v>7929</v>
      </c>
      <c r="I1885" s="17">
        <v>39645</v>
      </c>
      <c r="J1885" s="17">
        <v>4278</v>
      </c>
      <c r="K1885" s="17">
        <v>35367</v>
      </c>
      <c r="L1885" s="17">
        <v>7714.7950080000001</v>
      </c>
      <c r="M1885" s="17">
        <v>2025</v>
      </c>
      <c r="N1885" s="17" t="s">
        <v>171</v>
      </c>
    </row>
    <row r="1886" spans="1:14" ht="14.25" customHeight="1">
      <c r="A1886" s="17">
        <v>11885</v>
      </c>
      <c r="B1886" s="18">
        <v>45823</v>
      </c>
      <c r="C1886" s="17" t="s">
        <v>45</v>
      </c>
      <c r="D1886" s="17" t="s">
        <v>111</v>
      </c>
      <c r="E1886" s="17" t="s">
        <v>165</v>
      </c>
      <c r="F1886" s="17" t="s">
        <v>163</v>
      </c>
      <c r="G1886" s="17">
        <v>5</v>
      </c>
      <c r="H1886" s="17">
        <v>48727</v>
      </c>
      <c r="I1886" s="17">
        <v>243635</v>
      </c>
      <c r="J1886" s="17">
        <v>4249</v>
      </c>
      <c r="K1886" s="17">
        <v>239386</v>
      </c>
      <c r="L1886" s="17">
        <v>33555.815620000001</v>
      </c>
      <c r="M1886" s="17">
        <v>2025</v>
      </c>
      <c r="N1886" s="17" t="s">
        <v>120</v>
      </c>
    </row>
    <row r="1887" spans="1:14" ht="14.25" customHeight="1">
      <c r="A1887" s="17">
        <v>11886</v>
      </c>
      <c r="B1887" s="18">
        <v>45443</v>
      </c>
      <c r="C1887" s="17" t="s">
        <v>58</v>
      </c>
      <c r="D1887" s="17" t="s">
        <v>86</v>
      </c>
      <c r="E1887" s="17" t="s">
        <v>165</v>
      </c>
      <c r="F1887" s="17" t="s">
        <v>164</v>
      </c>
      <c r="G1887" s="17">
        <v>6</v>
      </c>
      <c r="H1887" s="17">
        <v>73919</v>
      </c>
      <c r="I1887" s="17">
        <v>443514</v>
      </c>
      <c r="J1887" s="17">
        <v>3411</v>
      </c>
      <c r="K1887" s="17">
        <v>440103</v>
      </c>
      <c r="L1887" s="17">
        <v>50286.306259999998</v>
      </c>
      <c r="M1887" s="17">
        <v>2024</v>
      </c>
      <c r="N1887" s="17" t="s">
        <v>117</v>
      </c>
    </row>
    <row r="1888" spans="1:14" ht="14.25" customHeight="1">
      <c r="A1888" s="17">
        <v>11887</v>
      </c>
      <c r="B1888" s="18">
        <v>45853</v>
      </c>
      <c r="C1888" s="17" t="s">
        <v>45</v>
      </c>
      <c r="D1888" s="17" t="s">
        <v>83</v>
      </c>
      <c r="E1888" s="17" t="s">
        <v>168</v>
      </c>
      <c r="F1888" s="17" t="s">
        <v>164</v>
      </c>
      <c r="G1888" s="17">
        <v>7</v>
      </c>
      <c r="H1888" s="17">
        <v>57692</v>
      </c>
      <c r="I1888" s="17">
        <v>403844</v>
      </c>
      <c r="J1888" s="17">
        <v>3946</v>
      </c>
      <c r="K1888" s="17">
        <v>399898</v>
      </c>
      <c r="L1888" s="17">
        <v>52560.95076</v>
      </c>
      <c r="M1888" s="17">
        <v>2025</v>
      </c>
      <c r="N1888" s="17" t="s">
        <v>123</v>
      </c>
    </row>
    <row r="1889" spans="1:14" ht="14.25" customHeight="1">
      <c r="A1889" s="17">
        <v>11888</v>
      </c>
      <c r="B1889" s="18">
        <v>45980</v>
      </c>
      <c r="C1889" s="17" t="s">
        <v>39</v>
      </c>
      <c r="D1889" s="17" t="s">
        <v>111</v>
      </c>
      <c r="E1889" s="17" t="s">
        <v>168</v>
      </c>
      <c r="F1889" s="17" t="s">
        <v>163</v>
      </c>
      <c r="G1889" s="17">
        <v>5</v>
      </c>
      <c r="H1889" s="17">
        <v>54545</v>
      </c>
      <c r="I1889" s="17">
        <v>272725</v>
      </c>
      <c r="J1889" s="17">
        <v>1046</v>
      </c>
      <c r="K1889" s="17">
        <v>271679</v>
      </c>
      <c r="L1889" s="17">
        <v>59414.873010000003</v>
      </c>
      <c r="M1889" s="17">
        <v>2025</v>
      </c>
      <c r="N1889" s="17" t="s">
        <v>173</v>
      </c>
    </row>
    <row r="1890" spans="1:14" ht="14.25" customHeight="1">
      <c r="A1890" s="17">
        <v>11889</v>
      </c>
      <c r="B1890" s="18">
        <v>45899</v>
      </c>
      <c r="C1890" s="17" t="s">
        <v>50</v>
      </c>
      <c r="D1890" s="17" t="s">
        <v>170</v>
      </c>
      <c r="E1890" s="17" t="s">
        <v>168</v>
      </c>
      <c r="F1890" s="17" t="s">
        <v>172</v>
      </c>
      <c r="G1890" s="17">
        <v>2</v>
      </c>
      <c r="H1890" s="17">
        <v>53338</v>
      </c>
      <c r="I1890" s="17">
        <v>106676</v>
      </c>
      <c r="J1890" s="17">
        <v>2573</v>
      </c>
      <c r="K1890" s="17">
        <v>104103</v>
      </c>
      <c r="L1890" s="17">
        <v>20982.708019999998</v>
      </c>
      <c r="M1890" s="17">
        <v>2025</v>
      </c>
      <c r="N1890" s="17" t="s">
        <v>126</v>
      </c>
    </row>
    <row r="1891" spans="1:14" ht="14.25" customHeight="1">
      <c r="A1891" s="17">
        <v>11890</v>
      </c>
      <c r="B1891" s="18">
        <v>45908</v>
      </c>
      <c r="C1891" s="17" t="s">
        <v>45</v>
      </c>
      <c r="D1891" s="17" t="s">
        <v>86</v>
      </c>
      <c r="E1891" s="17" t="s">
        <v>165</v>
      </c>
      <c r="F1891" s="17" t="s">
        <v>164</v>
      </c>
      <c r="G1891" s="17">
        <v>2</v>
      </c>
      <c r="H1891" s="17">
        <v>64962</v>
      </c>
      <c r="I1891" s="17">
        <v>129924</v>
      </c>
      <c r="J1891" s="17">
        <v>605</v>
      </c>
      <c r="K1891" s="17">
        <v>129319</v>
      </c>
      <c r="L1891" s="17">
        <v>14707.44694</v>
      </c>
      <c r="M1891" s="17">
        <v>2025</v>
      </c>
      <c r="N1891" s="17" t="s">
        <v>129</v>
      </c>
    </row>
    <row r="1892" spans="1:14" ht="14.25" customHeight="1">
      <c r="A1892" s="17">
        <v>11891</v>
      </c>
      <c r="B1892" s="18">
        <v>45711</v>
      </c>
      <c r="C1892" s="17" t="s">
        <v>45</v>
      </c>
      <c r="D1892" s="17" t="s">
        <v>83</v>
      </c>
      <c r="E1892" s="17" t="s">
        <v>165</v>
      </c>
      <c r="F1892" s="17" t="s">
        <v>172</v>
      </c>
      <c r="G1892" s="17">
        <v>4</v>
      </c>
      <c r="H1892" s="17">
        <v>28161</v>
      </c>
      <c r="I1892" s="17">
        <v>112644</v>
      </c>
      <c r="J1892" s="17">
        <v>1366</v>
      </c>
      <c r="K1892" s="17">
        <v>111278</v>
      </c>
      <c r="L1892" s="17">
        <v>22262.7189</v>
      </c>
      <c r="M1892" s="17">
        <v>2025</v>
      </c>
      <c r="N1892" s="17" t="s">
        <v>175</v>
      </c>
    </row>
    <row r="1893" spans="1:14" ht="14.25" customHeight="1">
      <c r="A1893" s="17">
        <v>11892</v>
      </c>
      <c r="B1893" s="18">
        <v>45541</v>
      </c>
      <c r="C1893" s="17" t="s">
        <v>45</v>
      </c>
      <c r="D1893" s="17" t="s">
        <v>111</v>
      </c>
      <c r="E1893" s="17" t="s">
        <v>168</v>
      </c>
      <c r="F1893" s="17" t="s">
        <v>172</v>
      </c>
      <c r="G1893" s="17">
        <v>1</v>
      </c>
      <c r="H1893" s="17">
        <v>13823</v>
      </c>
      <c r="I1893" s="17">
        <v>13823</v>
      </c>
      <c r="J1893" s="17">
        <v>2926</v>
      </c>
      <c r="K1893" s="17">
        <v>10897</v>
      </c>
      <c r="L1893" s="17">
        <v>2612.3674799999999</v>
      </c>
      <c r="M1893" s="17">
        <v>2024</v>
      </c>
      <c r="N1893" s="17" t="s">
        <v>129</v>
      </c>
    </row>
    <row r="1894" spans="1:14" ht="14.25" customHeight="1">
      <c r="A1894" s="17">
        <v>11893</v>
      </c>
      <c r="B1894" s="18">
        <v>45408</v>
      </c>
      <c r="C1894" s="17" t="s">
        <v>39</v>
      </c>
      <c r="D1894" s="17" t="s">
        <v>86</v>
      </c>
      <c r="E1894" s="17" t="s">
        <v>162</v>
      </c>
      <c r="F1894" s="17" t="s">
        <v>172</v>
      </c>
      <c r="G1894" s="17">
        <v>7</v>
      </c>
      <c r="H1894" s="17">
        <v>38089</v>
      </c>
      <c r="I1894" s="17">
        <v>266623</v>
      </c>
      <c r="J1894" s="17">
        <v>1958</v>
      </c>
      <c r="K1894" s="17">
        <v>264665</v>
      </c>
      <c r="L1894" s="17">
        <v>28251.200509999999</v>
      </c>
      <c r="M1894" s="17">
        <v>2024</v>
      </c>
      <c r="N1894" s="17" t="s">
        <v>114</v>
      </c>
    </row>
    <row r="1895" spans="1:14" ht="14.25" customHeight="1">
      <c r="A1895" s="17">
        <v>11894</v>
      </c>
      <c r="B1895" s="18">
        <v>45803</v>
      </c>
      <c r="C1895" s="17" t="s">
        <v>58</v>
      </c>
      <c r="D1895" s="17" t="s">
        <v>86</v>
      </c>
      <c r="E1895" s="17" t="s">
        <v>165</v>
      </c>
      <c r="F1895" s="17" t="s">
        <v>172</v>
      </c>
      <c r="G1895" s="17">
        <v>1</v>
      </c>
      <c r="H1895" s="17">
        <v>65850</v>
      </c>
      <c r="I1895" s="17">
        <v>65850</v>
      </c>
      <c r="J1895" s="17">
        <v>1064</v>
      </c>
      <c r="K1895" s="17">
        <v>64786</v>
      </c>
      <c r="L1895" s="17">
        <v>12468.88941</v>
      </c>
      <c r="M1895" s="17">
        <v>2025</v>
      </c>
      <c r="N1895" s="17" t="s">
        <v>117</v>
      </c>
    </row>
    <row r="1896" spans="1:14" ht="14.25" customHeight="1">
      <c r="A1896" s="17">
        <v>11895</v>
      </c>
      <c r="B1896" s="18">
        <v>45869</v>
      </c>
      <c r="C1896" s="17" t="s">
        <v>45</v>
      </c>
      <c r="D1896" s="17" t="s">
        <v>170</v>
      </c>
      <c r="E1896" s="17" t="s">
        <v>168</v>
      </c>
      <c r="F1896" s="17" t="s">
        <v>164</v>
      </c>
      <c r="G1896" s="17">
        <v>3</v>
      </c>
      <c r="H1896" s="17">
        <v>26053</v>
      </c>
      <c r="I1896" s="17">
        <v>78159</v>
      </c>
      <c r="J1896" s="17">
        <v>517</v>
      </c>
      <c r="K1896" s="17">
        <v>77642</v>
      </c>
      <c r="L1896" s="17">
        <v>12180.064329999999</v>
      </c>
      <c r="M1896" s="17">
        <v>2025</v>
      </c>
      <c r="N1896" s="17" t="s">
        <v>123</v>
      </c>
    </row>
    <row r="1897" spans="1:14" ht="14.25" customHeight="1">
      <c r="A1897" s="17">
        <v>11896</v>
      </c>
      <c r="B1897" s="18">
        <v>45626</v>
      </c>
      <c r="C1897" s="17" t="s">
        <v>39</v>
      </c>
      <c r="D1897" s="17" t="s">
        <v>83</v>
      </c>
      <c r="E1897" s="17" t="s">
        <v>162</v>
      </c>
      <c r="F1897" s="17" t="s">
        <v>164</v>
      </c>
      <c r="G1897" s="17">
        <v>7</v>
      </c>
      <c r="H1897" s="17">
        <v>22447</v>
      </c>
      <c r="I1897" s="17">
        <v>157129</v>
      </c>
      <c r="J1897" s="17">
        <v>2454</v>
      </c>
      <c r="K1897" s="17">
        <v>154675</v>
      </c>
      <c r="L1897" s="17">
        <v>27092.056140000001</v>
      </c>
      <c r="M1897" s="17">
        <v>2024</v>
      </c>
      <c r="N1897" s="17" t="s">
        <v>173</v>
      </c>
    </row>
    <row r="1898" spans="1:14" ht="14.25" customHeight="1">
      <c r="A1898" s="17">
        <v>11897</v>
      </c>
      <c r="B1898" s="18">
        <v>45709</v>
      </c>
      <c r="C1898" s="17" t="s">
        <v>50</v>
      </c>
      <c r="D1898" s="17" t="s">
        <v>89</v>
      </c>
      <c r="E1898" s="17" t="s">
        <v>165</v>
      </c>
      <c r="F1898" s="17" t="s">
        <v>172</v>
      </c>
      <c r="G1898" s="17">
        <v>6</v>
      </c>
      <c r="H1898" s="17">
        <v>8111</v>
      </c>
      <c r="I1898" s="17">
        <v>48666</v>
      </c>
      <c r="J1898" s="17">
        <v>4233</v>
      </c>
      <c r="K1898" s="17">
        <v>44433</v>
      </c>
      <c r="L1898" s="17">
        <v>7963.5853999999999</v>
      </c>
      <c r="M1898" s="17">
        <v>2025</v>
      </c>
      <c r="N1898" s="17" t="s">
        <v>175</v>
      </c>
    </row>
    <row r="1899" spans="1:14" ht="14.25" customHeight="1">
      <c r="A1899" s="17">
        <v>11898</v>
      </c>
      <c r="B1899" s="18">
        <v>45586</v>
      </c>
      <c r="C1899" s="17" t="s">
        <v>167</v>
      </c>
      <c r="D1899" s="17" t="s">
        <v>86</v>
      </c>
      <c r="E1899" s="17" t="s">
        <v>162</v>
      </c>
      <c r="F1899" s="17" t="s">
        <v>164</v>
      </c>
      <c r="G1899" s="17">
        <v>7</v>
      </c>
      <c r="H1899" s="17">
        <v>63820</v>
      </c>
      <c r="I1899" s="17">
        <v>446740</v>
      </c>
      <c r="J1899" s="17">
        <v>3807</v>
      </c>
      <c r="K1899" s="17">
        <v>442933</v>
      </c>
      <c r="L1899" s="17">
        <v>95521.564159999994</v>
      </c>
      <c r="M1899" s="17">
        <v>2024</v>
      </c>
      <c r="N1899" s="17" t="s">
        <v>174</v>
      </c>
    </row>
    <row r="1900" spans="1:14" ht="14.25" customHeight="1">
      <c r="A1900" s="17">
        <v>11899</v>
      </c>
      <c r="B1900" s="18">
        <v>45662</v>
      </c>
      <c r="C1900" s="17" t="s">
        <v>39</v>
      </c>
      <c r="D1900" s="17" t="s">
        <v>111</v>
      </c>
      <c r="E1900" s="17" t="s">
        <v>162</v>
      </c>
      <c r="F1900" s="17" t="s">
        <v>172</v>
      </c>
      <c r="G1900" s="17">
        <v>5</v>
      </c>
      <c r="H1900" s="17">
        <v>73622</v>
      </c>
      <c r="I1900" s="17">
        <v>368110</v>
      </c>
      <c r="J1900" s="17">
        <v>2589</v>
      </c>
      <c r="K1900" s="17">
        <v>365521</v>
      </c>
      <c r="L1900" s="17">
        <v>67092.065990000003</v>
      </c>
      <c r="M1900" s="17">
        <v>2025</v>
      </c>
      <c r="N1900" s="17" t="s">
        <v>171</v>
      </c>
    </row>
    <row r="1901" spans="1:14" ht="14.25" customHeight="1">
      <c r="A1901" s="17">
        <v>11900</v>
      </c>
      <c r="B1901" s="18">
        <v>45477</v>
      </c>
      <c r="C1901" s="17" t="s">
        <v>167</v>
      </c>
      <c r="D1901" s="17" t="s">
        <v>170</v>
      </c>
      <c r="E1901" s="17" t="s">
        <v>165</v>
      </c>
      <c r="F1901" s="17" t="s">
        <v>172</v>
      </c>
      <c r="G1901" s="17">
        <v>8</v>
      </c>
      <c r="H1901" s="17">
        <v>57963</v>
      </c>
      <c r="I1901" s="17">
        <v>463704</v>
      </c>
      <c r="J1901" s="17">
        <v>2272</v>
      </c>
      <c r="K1901" s="17">
        <v>461432</v>
      </c>
      <c r="L1901" s="17">
        <v>87193.503129999997</v>
      </c>
      <c r="M1901" s="17">
        <v>2024</v>
      </c>
      <c r="N1901" s="17" t="s">
        <v>123</v>
      </c>
    </row>
    <row r="1902" spans="1:14" ht="14.25" customHeight="1">
      <c r="A1902" s="17">
        <v>11901</v>
      </c>
      <c r="B1902" s="18">
        <v>45537</v>
      </c>
      <c r="C1902" s="17" t="s">
        <v>45</v>
      </c>
      <c r="D1902" s="17" t="s">
        <v>170</v>
      </c>
      <c r="E1902" s="17" t="s">
        <v>168</v>
      </c>
      <c r="F1902" s="17" t="s">
        <v>172</v>
      </c>
      <c r="G1902" s="17">
        <v>6</v>
      </c>
      <c r="H1902" s="17">
        <v>57503</v>
      </c>
      <c r="I1902" s="17">
        <v>345018</v>
      </c>
      <c r="J1902" s="17">
        <v>2308</v>
      </c>
      <c r="K1902" s="17">
        <v>342710</v>
      </c>
      <c r="L1902" s="17">
        <v>51384.832699999999</v>
      </c>
      <c r="M1902" s="17">
        <v>2024</v>
      </c>
      <c r="N1902" s="17" t="s">
        <v>129</v>
      </c>
    </row>
    <row r="1903" spans="1:14" ht="14.25" customHeight="1">
      <c r="A1903" s="17">
        <v>11902</v>
      </c>
      <c r="B1903" s="18">
        <v>45928</v>
      </c>
      <c r="C1903" s="17" t="s">
        <v>45</v>
      </c>
      <c r="D1903" s="17" t="s">
        <v>86</v>
      </c>
      <c r="E1903" s="17" t="s">
        <v>162</v>
      </c>
      <c r="F1903" s="17" t="s">
        <v>163</v>
      </c>
      <c r="G1903" s="17">
        <v>4</v>
      </c>
      <c r="H1903" s="17">
        <v>46918</v>
      </c>
      <c r="I1903" s="17">
        <v>187672</v>
      </c>
      <c r="J1903" s="17">
        <v>1102</v>
      </c>
      <c r="K1903" s="17">
        <v>186570</v>
      </c>
      <c r="L1903" s="17">
        <v>22181.64213</v>
      </c>
      <c r="M1903" s="17">
        <v>2025</v>
      </c>
      <c r="N1903" s="17" t="s">
        <v>129</v>
      </c>
    </row>
    <row r="1904" spans="1:14" ht="14.25" customHeight="1">
      <c r="A1904" s="17">
        <v>11903</v>
      </c>
      <c r="B1904" s="18">
        <v>45559</v>
      </c>
      <c r="C1904" s="17" t="s">
        <v>39</v>
      </c>
      <c r="D1904" s="17" t="s">
        <v>86</v>
      </c>
      <c r="E1904" s="17" t="s">
        <v>168</v>
      </c>
      <c r="F1904" s="17" t="s">
        <v>166</v>
      </c>
      <c r="G1904" s="17">
        <v>1</v>
      </c>
      <c r="H1904" s="17">
        <v>76868</v>
      </c>
      <c r="I1904" s="17">
        <v>76868</v>
      </c>
      <c r="J1904" s="17">
        <v>4792</v>
      </c>
      <c r="K1904" s="17">
        <v>72076</v>
      </c>
      <c r="L1904" s="17">
        <v>14588.89235</v>
      </c>
      <c r="M1904" s="17">
        <v>2024</v>
      </c>
      <c r="N1904" s="17" t="s">
        <v>129</v>
      </c>
    </row>
    <row r="1905" spans="1:14" ht="14.25" customHeight="1">
      <c r="A1905" s="17">
        <v>11904</v>
      </c>
      <c r="B1905" s="18">
        <v>45934</v>
      </c>
      <c r="C1905" s="17" t="s">
        <v>167</v>
      </c>
      <c r="D1905" s="17" t="s">
        <v>86</v>
      </c>
      <c r="E1905" s="17" t="s">
        <v>165</v>
      </c>
      <c r="F1905" s="17" t="s">
        <v>164</v>
      </c>
      <c r="G1905" s="17">
        <v>2</v>
      </c>
      <c r="H1905" s="17">
        <v>47542</v>
      </c>
      <c r="I1905" s="17">
        <v>95084</v>
      </c>
      <c r="J1905" s="17">
        <v>810</v>
      </c>
      <c r="K1905" s="17">
        <v>94274</v>
      </c>
      <c r="L1905" s="17">
        <v>9434.2179969999997</v>
      </c>
      <c r="M1905" s="17">
        <v>2025</v>
      </c>
      <c r="N1905" s="17" t="s">
        <v>174</v>
      </c>
    </row>
    <row r="1906" spans="1:14" ht="14.25" customHeight="1">
      <c r="A1906" s="17">
        <v>11905</v>
      </c>
      <c r="B1906" s="18">
        <v>45528</v>
      </c>
      <c r="C1906" s="17" t="s">
        <v>45</v>
      </c>
      <c r="D1906" s="17" t="s">
        <v>89</v>
      </c>
      <c r="E1906" s="17" t="s">
        <v>162</v>
      </c>
      <c r="F1906" s="17" t="s">
        <v>164</v>
      </c>
      <c r="G1906" s="17">
        <v>6</v>
      </c>
      <c r="H1906" s="17">
        <v>73712</v>
      </c>
      <c r="I1906" s="17">
        <v>442272</v>
      </c>
      <c r="J1906" s="17">
        <v>3763</v>
      </c>
      <c r="K1906" s="17">
        <v>438509</v>
      </c>
      <c r="L1906" s="17">
        <v>65472.71559</v>
      </c>
      <c r="M1906" s="17">
        <v>2024</v>
      </c>
      <c r="N1906" s="17" t="s">
        <v>126</v>
      </c>
    </row>
    <row r="1907" spans="1:14" ht="14.25" customHeight="1">
      <c r="A1907" s="17">
        <v>11906</v>
      </c>
      <c r="B1907" s="18">
        <v>45821</v>
      </c>
      <c r="C1907" s="17" t="s">
        <v>50</v>
      </c>
      <c r="D1907" s="17" t="s">
        <v>86</v>
      </c>
      <c r="E1907" s="17" t="s">
        <v>162</v>
      </c>
      <c r="F1907" s="17" t="s">
        <v>172</v>
      </c>
      <c r="G1907" s="17">
        <v>4</v>
      </c>
      <c r="H1907" s="17">
        <v>7416</v>
      </c>
      <c r="I1907" s="17">
        <v>29664</v>
      </c>
      <c r="J1907" s="17">
        <v>4568</v>
      </c>
      <c r="K1907" s="17">
        <v>25096</v>
      </c>
      <c r="L1907" s="17">
        <v>3330.4046619999999</v>
      </c>
      <c r="M1907" s="17">
        <v>2025</v>
      </c>
      <c r="N1907" s="17" t="s">
        <v>120</v>
      </c>
    </row>
    <row r="1908" spans="1:14" ht="14.25" customHeight="1">
      <c r="A1908" s="17">
        <v>11907</v>
      </c>
      <c r="B1908" s="18">
        <v>45843</v>
      </c>
      <c r="C1908" s="17" t="s">
        <v>58</v>
      </c>
      <c r="D1908" s="17" t="s">
        <v>83</v>
      </c>
      <c r="E1908" s="17" t="s">
        <v>162</v>
      </c>
      <c r="F1908" s="17" t="s">
        <v>163</v>
      </c>
      <c r="G1908" s="17">
        <v>3</v>
      </c>
      <c r="H1908" s="17">
        <v>45436</v>
      </c>
      <c r="I1908" s="17">
        <v>136308</v>
      </c>
      <c r="J1908" s="17">
        <v>76</v>
      </c>
      <c r="K1908" s="17">
        <v>136232</v>
      </c>
      <c r="L1908" s="17">
        <v>21562.803159999999</v>
      </c>
      <c r="M1908" s="17">
        <v>2025</v>
      </c>
      <c r="N1908" s="17" t="s">
        <v>123</v>
      </c>
    </row>
    <row r="1909" spans="1:14" ht="14.25" customHeight="1">
      <c r="A1909" s="17">
        <v>11908</v>
      </c>
      <c r="B1909" s="18">
        <v>45312</v>
      </c>
      <c r="C1909" s="17" t="s">
        <v>58</v>
      </c>
      <c r="D1909" s="17" t="s">
        <v>111</v>
      </c>
      <c r="E1909" s="17" t="s">
        <v>162</v>
      </c>
      <c r="F1909" s="17" t="s">
        <v>163</v>
      </c>
      <c r="G1909" s="17">
        <v>7</v>
      </c>
      <c r="H1909" s="17">
        <v>79187</v>
      </c>
      <c r="I1909" s="17">
        <v>554309</v>
      </c>
      <c r="J1909" s="17">
        <v>2309</v>
      </c>
      <c r="K1909" s="17">
        <v>552000</v>
      </c>
      <c r="L1909" s="17">
        <v>80972.992639999997</v>
      </c>
      <c r="M1909" s="17">
        <v>2024</v>
      </c>
      <c r="N1909" s="17" t="s">
        <v>171</v>
      </c>
    </row>
    <row r="1910" spans="1:14" ht="14.25" customHeight="1">
      <c r="A1910" s="17">
        <v>11909</v>
      </c>
      <c r="B1910" s="18">
        <v>45811</v>
      </c>
      <c r="C1910" s="17" t="s">
        <v>45</v>
      </c>
      <c r="D1910" s="17" t="s">
        <v>86</v>
      </c>
      <c r="E1910" s="17" t="s">
        <v>162</v>
      </c>
      <c r="F1910" s="17" t="s">
        <v>164</v>
      </c>
      <c r="G1910" s="17">
        <v>7</v>
      </c>
      <c r="H1910" s="17">
        <v>15486</v>
      </c>
      <c r="I1910" s="17">
        <v>108402</v>
      </c>
      <c r="J1910" s="17">
        <v>1025</v>
      </c>
      <c r="K1910" s="17">
        <v>107377</v>
      </c>
      <c r="L1910" s="17">
        <v>22080.207610000001</v>
      </c>
      <c r="M1910" s="17">
        <v>2025</v>
      </c>
      <c r="N1910" s="17" t="s">
        <v>120</v>
      </c>
    </row>
    <row r="1911" spans="1:14" ht="14.25" customHeight="1">
      <c r="A1911" s="17">
        <v>11910</v>
      </c>
      <c r="B1911" s="18">
        <v>45391</v>
      </c>
      <c r="C1911" s="17" t="s">
        <v>167</v>
      </c>
      <c r="D1911" s="17" t="s">
        <v>89</v>
      </c>
      <c r="E1911" s="17" t="s">
        <v>165</v>
      </c>
      <c r="F1911" s="17" t="s">
        <v>172</v>
      </c>
      <c r="G1911" s="17">
        <v>2</v>
      </c>
      <c r="H1911" s="17">
        <v>23695</v>
      </c>
      <c r="I1911" s="17">
        <v>47390</v>
      </c>
      <c r="J1911" s="17">
        <v>2064</v>
      </c>
      <c r="K1911" s="17">
        <v>45326</v>
      </c>
      <c r="L1911" s="17">
        <v>6301.7149170000002</v>
      </c>
      <c r="M1911" s="17">
        <v>2024</v>
      </c>
      <c r="N1911" s="17" t="s">
        <v>114</v>
      </c>
    </row>
    <row r="1912" spans="1:14" ht="14.25" customHeight="1">
      <c r="A1912" s="17">
        <v>11911</v>
      </c>
      <c r="B1912" s="18">
        <v>45769</v>
      </c>
      <c r="C1912" s="17" t="s">
        <v>45</v>
      </c>
      <c r="D1912" s="17" t="s">
        <v>111</v>
      </c>
      <c r="E1912" s="17" t="s">
        <v>162</v>
      </c>
      <c r="F1912" s="17" t="s">
        <v>164</v>
      </c>
      <c r="G1912" s="17">
        <v>8</v>
      </c>
      <c r="H1912" s="17">
        <v>6229</v>
      </c>
      <c r="I1912" s="17">
        <v>49832</v>
      </c>
      <c r="J1912" s="17">
        <v>4439</v>
      </c>
      <c r="K1912" s="17">
        <v>45393</v>
      </c>
      <c r="L1912" s="17">
        <v>8357.4210660000008</v>
      </c>
      <c r="M1912" s="17">
        <v>2025</v>
      </c>
      <c r="N1912" s="17" t="s">
        <v>114</v>
      </c>
    </row>
    <row r="1913" spans="1:14" ht="14.25" customHeight="1">
      <c r="A1913" s="17">
        <v>11912</v>
      </c>
      <c r="B1913" s="18">
        <v>45890</v>
      </c>
      <c r="C1913" s="17" t="s">
        <v>167</v>
      </c>
      <c r="D1913" s="17" t="s">
        <v>170</v>
      </c>
      <c r="E1913" s="17" t="s">
        <v>165</v>
      </c>
      <c r="F1913" s="17" t="s">
        <v>172</v>
      </c>
      <c r="G1913" s="17">
        <v>1</v>
      </c>
      <c r="H1913" s="17">
        <v>72066</v>
      </c>
      <c r="I1913" s="17">
        <v>72066</v>
      </c>
      <c r="J1913" s="17">
        <v>2741</v>
      </c>
      <c r="K1913" s="17">
        <v>69325</v>
      </c>
      <c r="L1913" s="17">
        <v>11671.94276</v>
      </c>
      <c r="M1913" s="17">
        <v>2025</v>
      </c>
      <c r="N1913" s="17" t="s">
        <v>126</v>
      </c>
    </row>
    <row r="1914" spans="1:14" ht="14.25" customHeight="1">
      <c r="A1914" s="17">
        <v>11913</v>
      </c>
      <c r="B1914" s="18">
        <v>45589</v>
      </c>
      <c r="C1914" s="17" t="s">
        <v>50</v>
      </c>
      <c r="D1914" s="17" t="s">
        <v>86</v>
      </c>
      <c r="E1914" s="17" t="s">
        <v>168</v>
      </c>
      <c r="F1914" s="17" t="s">
        <v>172</v>
      </c>
      <c r="G1914" s="17">
        <v>7</v>
      </c>
      <c r="H1914" s="17">
        <v>47347</v>
      </c>
      <c r="I1914" s="17">
        <v>331429</v>
      </c>
      <c r="J1914" s="17">
        <v>4941</v>
      </c>
      <c r="K1914" s="17">
        <v>326488</v>
      </c>
      <c r="L1914" s="17">
        <v>71879.149420000002</v>
      </c>
      <c r="M1914" s="17">
        <v>2024</v>
      </c>
      <c r="N1914" s="17" t="s">
        <v>174</v>
      </c>
    </row>
    <row r="1915" spans="1:14" ht="14.25" customHeight="1">
      <c r="A1915" s="17">
        <v>11914</v>
      </c>
      <c r="B1915" s="18">
        <v>45817</v>
      </c>
      <c r="C1915" s="17" t="s">
        <v>167</v>
      </c>
      <c r="D1915" s="17" t="s">
        <v>111</v>
      </c>
      <c r="E1915" s="17" t="s">
        <v>165</v>
      </c>
      <c r="F1915" s="17" t="s">
        <v>166</v>
      </c>
      <c r="G1915" s="17">
        <v>1</v>
      </c>
      <c r="H1915" s="17">
        <v>6363</v>
      </c>
      <c r="I1915" s="17">
        <v>6363</v>
      </c>
      <c r="J1915" s="17">
        <v>3999</v>
      </c>
      <c r="K1915" s="17">
        <v>2364</v>
      </c>
      <c r="L1915" s="17">
        <v>388.20159619999998</v>
      </c>
      <c r="M1915" s="17">
        <v>2025</v>
      </c>
      <c r="N1915" s="17" t="s">
        <v>120</v>
      </c>
    </row>
    <row r="1916" spans="1:14" ht="14.25" customHeight="1">
      <c r="A1916" s="17">
        <v>11915</v>
      </c>
      <c r="B1916" s="18">
        <v>45625</v>
      </c>
      <c r="C1916" s="17" t="s">
        <v>45</v>
      </c>
      <c r="D1916" s="17" t="s">
        <v>170</v>
      </c>
      <c r="E1916" s="17" t="s">
        <v>162</v>
      </c>
      <c r="F1916" s="17" t="s">
        <v>172</v>
      </c>
      <c r="G1916" s="17">
        <v>3</v>
      </c>
      <c r="H1916" s="17">
        <v>50869</v>
      </c>
      <c r="I1916" s="17">
        <v>152607</v>
      </c>
      <c r="J1916" s="17">
        <v>3228</v>
      </c>
      <c r="K1916" s="17">
        <v>149379</v>
      </c>
      <c r="L1916" s="17">
        <v>34294.6417</v>
      </c>
      <c r="M1916" s="17">
        <v>2024</v>
      </c>
      <c r="N1916" s="17" t="s">
        <v>173</v>
      </c>
    </row>
    <row r="1917" spans="1:14" ht="14.25" customHeight="1">
      <c r="A1917" s="17">
        <v>11916</v>
      </c>
      <c r="B1917" s="18">
        <v>45293</v>
      </c>
      <c r="C1917" s="17" t="s">
        <v>50</v>
      </c>
      <c r="D1917" s="17" t="s">
        <v>89</v>
      </c>
      <c r="E1917" s="17" t="s">
        <v>168</v>
      </c>
      <c r="F1917" s="17" t="s">
        <v>166</v>
      </c>
      <c r="G1917" s="17">
        <v>3</v>
      </c>
      <c r="H1917" s="17">
        <v>54729</v>
      </c>
      <c r="I1917" s="17">
        <v>164187</v>
      </c>
      <c r="J1917" s="17">
        <v>4269</v>
      </c>
      <c r="K1917" s="17">
        <v>159918</v>
      </c>
      <c r="L1917" s="17">
        <v>15995.296630000001</v>
      </c>
      <c r="M1917" s="17">
        <v>2024</v>
      </c>
      <c r="N1917" s="17" t="s">
        <v>171</v>
      </c>
    </row>
    <row r="1918" spans="1:14" ht="14.25" customHeight="1">
      <c r="A1918" s="17">
        <v>11917</v>
      </c>
      <c r="B1918" s="18">
        <v>45666</v>
      </c>
      <c r="C1918" s="17" t="s">
        <v>39</v>
      </c>
      <c r="D1918" s="17" t="s">
        <v>83</v>
      </c>
      <c r="E1918" s="17" t="s">
        <v>165</v>
      </c>
      <c r="F1918" s="17" t="s">
        <v>164</v>
      </c>
      <c r="G1918" s="17">
        <v>2</v>
      </c>
      <c r="H1918" s="17">
        <v>25303</v>
      </c>
      <c r="I1918" s="17">
        <v>50606</v>
      </c>
      <c r="J1918" s="17">
        <v>3558</v>
      </c>
      <c r="K1918" s="17">
        <v>47048</v>
      </c>
      <c r="L1918" s="17">
        <v>8973.2511259999992</v>
      </c>
      <c r="M1918" s="17">
        <v>2025</v>
      </c>
      <c r="N1918" s="17" t="s">
        <v>171</v>
      </c>
    </row>
    <row r="1919" spans="1:14" ht="14.25" customHeight="1">
      <c r="A1919" s="17">
        <v>11918</v>
      </c>
      <c r="B1919" s="18">
        <v>45584</v>
      </c>
      <c r="C1919" s="17" t="s">
        <v>58</v>
      </c>
      <c r="D1919" s="17" t="s">
        <v>86</v>
      </c>
      <c r="E1919" s="17" t="s">
        <v>165</v>
      </c>
      <c r="F1919" s="17" t="s">
        <v>164</v>
      </c>
      <c r="G1919" s="17">
        <v>5</v>
      </c>
      <c r="H1919" s="17">
        <v>77853</v>
      </c>
      <c r="I1919" s="17">
        <v>389265</v>
      </c>
      <c r="J1919" s="17">
        <v>845</v>
      </c>
      <c r="K1919" s="17">
        <v>388420</v>
      </c>
      <c r="L1919" s="17">
        <v>39413.384859999998</v>
      </c>
      <c r="M1919" s="17">
        <v>2024</v>
      </c>
      <c r="N1919" s="17" t="s">
        <v>174</v>
      </c>
    </row>
    <row r="1920" spans="1:14" ht="14.25" customHeight="1">
      <c r="A1920" s="17">
        <v>11919</v>
      </c>
      <c r="B1920" s="18">
        <v>45844</v>
      </c>
      <c r="C1920" s="17" t="s">
        <v>45</v>
      </c>
      <c r="D1920" s="17" t="s">
        <v>83</v>
      </c>
      <c r="E1920" s="17" t="s">
        <v>165</v>
      </c>
      <c r="F1920" s="17" t="s">
        <v>163</v>
      </c>
      <c r="G1920" s="17">
        <v>4</v>
      </c>
      <c r="H1920" s="17">
        <v>8264</v>
      </c>
      <c r="I1920" s="17">
        <v>33056</v>
      </c>
      <c r="J1920" s="17">
        <v>692</v>
      </c>
      <c r="K1920" s="17">
        <v>32364</v>
      </c>
      <c r="L1920" s="17">
        <v>6702.265566</v>
      </c>
      <c r="M1920" s="17">
        <v>2025</v>
      </c>
      <c r="N1920" s="17" t="s">
        <v>123</v>
      </c>
    </row>
    <row r="1921" spans="1:14" ht="14.25" customHeight="1">
      <c r="A1921" s="17">
        <v>11920</v>
      </c>
      <c r="B1921" s="18">
        <v>45609</v>
      </c>
      <c r="C1921" s="17" t="s">
        <v>45</v>
      </c>
      <c r="D1921" s="17" t="s">
        <v>89</v>
      </c>
      <c r="E1921" s="17" t="s">
        <v>162</v>
      </c>
      <c r="F1921" s="17" t="s">
        <v>166</v>
      </c>
      <c r="G1921" s="17">
        <v>6</v>
      </c>
      <c r="H1921" s="17">
        <v>23315</v>
      </c>
      <c r="I1921" s="17">
        <v>139890</v>
      </c>
      <c r="J1921" s="17">
        <v>4048</v>
      </c>
      <c r="K1921" s="17">
        <v>135842</v>
      </c>
      <c r="L1921" s="17">
        <v>18371.049340000001</v>
      </c>
      <c r="M1921" s="17">
        <v>2024</v>
      </c>
      <c r="N1921" s="17" t="s">
        <v>173</v>
      </c>
    </row>
    <row r="1922" spans="1:14" ht="14.25" customHeight="1">
      <c r="A1922" s="17">
        <v>11921</v>
      </c>
      <c r="B1922" s="18">
        <v>45793</v>
      </c>
      <c r="C1922" s="17" t="s">
        <v>45</v>
      </c>
      <c r="D1922" s="17" t="s">
        <v>111</v>
      </c>
      <c r="E1922" s="17" t="s">
        <v>162</v>
      </c>
      <c r="F1922" s="17" t="s">
        <v>164</v>
      </c>
      <c r="G1922" s="17">
        <v>2</v>
      </c>
      <c r="H1922" s="17">
        <v>65521</v>
      </c>
      <c r="I1922" s="17">
        <v>131042</v>
      </c>
      <c r="J1922" s="17">
        <v>1332</v>
      </c>
      <c r="K1922" s="17">
        <v>129710</v>
      </c>
      <c r="L1922" s="17">
        <v>20364.105230000001</v>
      </c>
      <c r="M1922" s="17">
        <v>2025</v>
      </c>
      <c r="N1922" s="17" t="s">
        <v>117</v>
      </c>
    </row>
    <row r="1923" spans="1:14" ht="14.25" customHeight="1">
      <c r="A1923" s="17">
        <v>11922</v>
      </c>
      <c r="B1923" s="18">
        <v>45672</v>
      </c>
      <c r="C1923" s="17" t="s">
        <v>50</v>
      </c>
      <c r="D1923" s="17" t="s">
        <v>111</v>
      </c>
      <c r="E1923" s="17" t="s">
        <v>165</v>
      </c>
      <c r="F1923" s="17" t="s">
        <v>166</v>
      </c>
      <c r="G1923" s="17">
        <v>4</v>
      </c>
      <c r="H1923" s="17">
        <v>29811</v>
      </c>
      <c r="I1923" s="17">
        <v>119244</v>
      </c>
      <c r="J1923" s="17">
        <v>3037</v>
      </c>
      <c r="K1923" s="17">
        <v>116207</v>
      </c>
      <c r="L1923" s="17">
        <v>18252.125329999999</v>
      </c>
      <c r="M1923" s="17">
        <v>2025</v>
      </c>
      <c r="N1923" s="17" t="s">
        <v>171</v>
      </c>
    </row>
    <row r="1924" spans="1:14" ht="14.25" customHeight="1">
      <c r="A1924" s="17">
        <v>11923</v>
      </c>
      <c r="B1924" s="18">
        <v>45914</v>
      </c>
      <c r="C1924" s="17" t="s">
        <v>39</v>
      </c>
      <c r="D1924" s="17" t="s">
        <v>89</v>
      </c>
      <c r="E1924" s="17" t="s">
        <v>165</v>
      </c>
      <c r="F1924" s="17" t="s">
        <v>164</v>
      </c>
      <c r="G1924" s="17">
        <v>7</v>
      </c>
      <c r="H1924" s="17">
        <v>38405</v>
      </c>
      <c r="I1924" s="17">
        <v>268835</v>
      </c>
      <c r="J1924" s="17">
        <v>4332</v>
      </c>
      <c r="K1924" s="17">
        <v>264503</v>
      </c>
      <c r="L1924" s="17">
        <v>60032.490339999997</v>
      </c>
      <c r="M1924" s="17">
        <v>2025</v>
      </c>
      <c r="N1924" s="17" t="s">
        <v>129</v>
      </c>
    </row>
    <row r="1925" spans="1:14" ht="14.25" customHeight="1">
      <c r="A1925" s="17">
        <v>11924</v>
      </c>
      <c r="B1925" s="18">
        <v>45305</v>
      </c>
      <c r="C1925" s="17" t="s">
        <v>167</v>
      </c>
      <c r="D1925" s="17" t="s">
        <v>89</v>
      </c>
      <c r="E1925" s="17" t="s">
        <v>168</v>
      </c>
      <c r="F1925" s="17" t="s">
        <v>166</v>
      </c>
      <c r="G1925" s="17">
        <v>1</v>
      </c>
      <c r="H1925" s="17">
        <v>57157</v>
      </c>
      <c r="I1925" s="17">
        <v>57157</v>
      </c>
      <c r="J1925" s="17">
        <v>1274</v>
      </c>
      <c r="K1925" s="17">
        <v>55883</v>
      </c>
      <c r="L1925" s="17">
        <v>6444.0874640000002</v>
      </c>
      <c r="M1925" s="17">
        <v>2024</v>
      </c>
      <c r="N1925" s="17" t="s">
        <v>171</v>
      </c>
    </row>
    <row r="1926" spans="1:14" ht="14.25" customHeight="1">
      <c r="A1926" s="17">
        <v>11925</v>
      </c>
      <c r="B1926" s="18">
        <v>45795</v>
      </c>
      <c r="C1926" s="17" t="s">
        <v>39</v>
      </c>
      <c r="D1926" s="17" t="s">
        <v>86</v>
      </c>
      <c r="E1926" s="17" t="s">
        <v>162</v>
      </c>
      <c r="F1926" s="17" t="s">
        <v>166</v>
      </c>
      <c r="G1926" s="17">
        <v>3</v>
      </c>
      <c r="H1926" s="17">
        <v>64823</v>
      </c>
      <c r="I1926" s="17">
        <v>194469</v>
      </c>
      <c r="J1926" s="17">
        <v>1244</v>
      </c>
      <c r="K1926" s="17">
        <v>193225</v>
      </c>
      <c r="L1926" s="17">
        <v>38651.674570000003</v>
      </c>
      <c r="M1926" s="17">
        <v>2025</v>
      </c>
      <c r="N1926" s="17" t="s">
        <v>117</v>
      </c>
    </row>
    <row r="1927" spans="1:14" ht="14.25" customHeight="1">
      <c r="A1927" s="17">
        <v>11926</v>
      </c>
      <c r="B1927" s="18">
        <v>45522</v>
      </c>
      <c r="C1927" s="17" t="s">
        <v>50</v>
      </c>
      <c r="D1927" s="17" t="s">
        <v>170</v>
      </c>
      <c r="E1927" s="17" t="s">
        <v>162</v>
      </c>
      <c r="F1927" s="17" t="s">
        <v>172</v>
      </c>
      <c r="G1927" s="17">
        <v>1</v>
      </c>
      <c r="H1927" s="17">
        <v>24856</v>
      </c>
      <c r="I1927" s="17">
        <v>24856</v>
      </c>
      <c r="J1927" s="17">
        <v>337</v>
      </c>
      <c r="K1927" s="17">
        <v>24519</v>
      </c>
      <c r="L1927" s="17">
        <v>6060.8154290000002</v>
      </c>
      <c r="M1927" s="17">
        <v>2024</v>
      </c>
      <c r="N1927" s="17" t="s">
        <v>126</v>
      </c>
    </row>
    <row r="1928" spans="1:14" ht="14.25" customHeight="1">
      <c r="A1928" s="17">
        <v>11927</v>
      </c>
      <c r="B1928" s="18">
        <v>45375</v>
      </c>
      <c r="C1928" s="17" t="s">
        <v>45</v>
      </c>
      <c r="D1928" s="17" t="s">
        <v>83</v>
      </c>
      <c r="E1928" s="17" t="s">
        <v>168</v>
      </c>
      <c r="F1928" s="17" t="s">
        <v>164</v>
      </c>
      <c r="G1928" s="17">
        <v>2</v>
      </c>
      <c r="H1928" s="17">
        <v>51970</v>
      </c>
      <c r="I1928" s="17">
        <v>103940</v>
      </c>
      <c r="J1928" s="17">
        <v>3294</v>
      </c>
      <c r="K1928" s="17">
        <v>100646</v>
      </c>
      <c r="L1928" s="17">
        <v>10402.53549</v>
      </c>
      <c r="M1928" s="17">
        <v>2024</v>
      </c>
      <c r="N1928" s="17" t="s">
        <v>112</v>
      </c>
    </row>
    <row r="1929" spans="1:14" ht="14.25" customHeight="1">
      <c r="A1929" s="17">
        <v>11928</v>
      </c>
      <c r="B1929" s="18">
        <v>45421</v>
      </c>
      <c r="C1929" s="17" t="s">
        <v>58</v>
      </c>
      <c r="D1929" s="17" t="s">
        <v>83</v>
      </c>
      <c r="E1929" s="17" t="s">
        <v>165</v>
      </c>
      <c r="F1929" s="17" t="s">
        <v>163</v>
      </c>
      <c r="G1929" s="17">
        <v>9</v>
      </c>
      <c r="H1929" s="17">
        <v>55787</v>
      </c>
      <c r="I1929" s="17">
        <v>502083</v>
      </c>
      <c r="J1929" s="17">
        <v>336</v>
      </c>
      <c r="K1929" s="17">
        <v>501747</v>
      </c>
      <c r="L1929" s="17">
        <v>122869.8775</v>
      </c>
      <c r="M1929" s="17">
        <v>2024</v>
      </c>
      <c r="N1929" s="17" t="s">
        <v>117</v>
      </c>
    </row>
    <row r="1930" spans="1:14" ht="14.25" customHeight="1">
      <c r="A1930" s="17">
        <v>11929</v>
      </c>
      <c r="B1930" s="18">
        <v>45436</v>
      </c>
      <c r="C1930" s="17" t="s">
        <v>45</v>
      </c>
      <c r="D1930" s="17" t="s">
        <v>111</v>
      </c>
      <c r="E1930" s="17" t="s">
        <v>165</v>
      </c>
      <c r="F1930" s="17" t="s">
        <v>172</v>
      </c>
      <c r="G1930" s="17">
        <v>5</v>
      </c>
      <c r="H1930" s="17">
        <v>25598</v>
      </c>
      <c r="I1930" s="17">
        <v>127990</v>
      </c>
      <c r="J1930" s="17">
        <v>1867</v>
      </c>
      <c r="K1930" s="17">
        <v>126123</v>
      </c>
      <c r="L1930" s="17">
        <v>12960.488939999999</v>
      </c>
      <c r="M1930" s="17">
        <v>2024</v>
      </c>
      <c r="N1930" s="17" t="s">
        <v>117</v>
      </c>
    </row>
    <row r="1931" spans="1:14" ht="14.25" customHeight="1">
      <c r="A1931" s="17">
        <v>11930</v>
      </c>
      <c r="B1931" s="18">
        <v>45319</v>
      </c>
      <c r="C1931" s="17" t="s">
        <v>167</v>
      </c>
      <c r="D1931" s="17" t="s">
        <v>111</v>
      </c>
      <c r="E1931" s="17" t="s">
        <v>168</v>
      </c>
      <c r="F1931" s="17" t="s">
        <v>163</v>
      </c>
      <c r="G1931" s="17">
        <v>4</v>
      </c>
      <c r="H1931" s="17">
        <v>47541</v>
      </c>
      <c r="I1931" s="17">
        <v>190164</v>
      </c>
      <c r="J1931" s="17">
        <v>4005</v>
      </c>
      <c r="K1931" s="17">
        <v>186159</v>
      </c>
      <c r="L1931" s="17">
        <v>42104.031309999998</v>
      </c>
      <c r="M1931" s="17">
        <v>2024</v>
      </c>
      <c r="N1931" s="17" t="s">
        <v>171</v>
      </c>
    </row>
    <row r="1932" spans="1:14" ht="14.25" customHeight="1">
      <c r="A1932" s="17">
        <v>11931</v>
      </c>
      <c r="B1932" s="18">
        <v>45357</v>
      </c>
      <c r="C1932" s="17" t="s">
        <v>58</v>
      </c>
      <c r="D1932" s="17" t="s">
        <v>86</v>
      </c>
      <c r="E1932" s="17" t="s">
        <v>165</v>
      </c>
      <c r="F1932" s="17" t="s">
        <v>166</v>
      </c>
      <c r="G1932" s="17">
        <v>4</v>
      </c>
      <c r="H1932" s="17">
        <v>15652</v>
      </c>
      <c r="I1932" s="17">
        <v>62608</v>
      </c>
      <c r="J1932" s="17">
        <v>494</v>
      </c>
      <c r="K1932" s="17">
        <v>62114</v>
      </c>
      <c r="L1932" s="17">
        <v>15167.410379999999</v>
      </c>
      <c r="M1932" s="17">
        <v>2024</v>
      </c>
      <c r="N1932" s="17" t="s">
        <v>112</v>
      </c>
    </row>
    <row r="1933" spans="1:14" ht="14.25" customHeight="1">
      <c r="A1933" s="17">
        <v>11932</v>
      </c>
      <c r="B1933" s="18">
        <v>45454</v>
      </c>
      <c r="C1933" s="17" t="s">
        <v>45</v>
      </c>
      <c r="D1933" s="17" t="s">
        <v>89</v>
      </c>
      <c r="E1933" s="17" t="s">
        <v>165</v>
      </c>
      <c r="F1933" s="17" t="s">
        <v>172</v>
      </c>
      <c r="G1933" s="17">
        <v>8</v>
      </c>
      <c r="H1933" s="17">
        <v>21963</v>
      </c>
      <c r="I1933" s="17">
        <v>175704</v>
      </c>
      <c r="J1933" s="17">
        <v>4642</v>
      </c>
      <c r="K1933" s="17">
        <v>171062</v>
      </c>
      <c r="L1933" s="17">
        <v>42586.587509999998</v>
      </c>
      <c r="M1933" s="17">
        <v>2024</v>
      </c>
      <c r="N1933" s="17" t="s">
        <v>120</v>
      </c>
    </row>
    <row r="1934" spans="1:14" ht="14.25" customHeight="1">
      <c r="A1934" s="17">
        <v>11933</v>
      </c>
      <c r="B1934" s="18">
        <v>45520</v>
      </c>
      <c r="C1934" s="17" t="s">
        <v>58</v>
      </c>
      <c r="D1934" s="17" t="s">
        <v>83</v>
      </c>
      <c r="E1934" s="17" t="s">
        <v>168</v>
      </c>
      <c r="F1934" s="17" t="s">
        <v>166</v>
      </c>
      <c r="G1934" s="17">
        <v>3</v>
      </c>
      <c r="H1934" s="17">
        <v>37223</v>
      </c>
      <c r="I1934" s="17">
        <v>111669</v>
      </c>
      <c r="J1934" s="17">
        <v>3886</v>
      </c>
      <c r="K1934" s="17">
        <v>107783</v>
      </c>
      <c r="L1934" s="17">
        <v>18201.121319999998</v>
      </c>
      <c r="M1934" s="17">
        <v>2024</v>
      </c>
      <c r="N1934" s="17" t="s">
        <v>126</v>
      </c>
    </row>
    <row r="1935" spans="1:14" ht="14.25" customHeight="1">
      <c r="A1935" s="17">
        <v>11934</v>
      </c>
      <c r="B1935" s="18">
        <v>45552</v>
      </c>
      <c r="C1935" s="17" t="s">
        <v>39</v>
      </c>
      <c r="D1935" s="17" t="s">
        <v>86</v>
      </c>
      <c r="E1935" s="17" t="s">
        <v>168</v>
      </c>
      <c r="F1935" s="17" t="s">
        <v>164</v>
      </c>
      <c r="G1935" s="17">
        <v>4</v>
      </c>
      <c r="H1935" s="17">
        <v>36024</v>
      </c>
      <c r="I1935" s="17">
        <v>144096</v>
      </c>
      <c r="J1935" s="17">
        <v>160</v>
      </c>
      <c r="K1935" s="17">
        <v>143936</v>
      </c>
      <c r="L1935" s="17">
        <v>33111.55934</v>
      </c>
      <c r="M1935" s="17">
        <v>2024</v>
      </c>
      <c r="N1935" s="17" t="s">
        <v>129</v>
      </c>
    </row>
    <row r="1936" spans="1:14" ht="14.25" customHeight="1">
      <c r="A1936" s="17">
        <v>11935</v>
      </c>
      <c r="B1936" s="18">
        <v>45740</v>
      </c>
      <c r="C1936" s="17" t="s">
        <v>50</v>
      </c>
      <c r="D1936" s="17" t="s">
        <v>111</v>
      </c>
      <c r="E1936" s="17" t="s">
        <v>168</v>
      </c>
      <c r="F1936" s="17" t="s">
        <v>164</v>
      </c>
      <c r="G1936" s="17">
        <v>2</v>
      </c>
      <c r="H1936" s="17">
        <v>8941</v>
      </c>
      <c r="I1936" s="17">
        <v>17882</v>
      </c>
      <c r="J1936" s="17">
        <v>2036</v>
      </c>
      <c r="K1936" s="17">
        <v>15846</v>
      </c>
      <c r="L1936" s="17">
        <v>1875.38886</v>
      </c>
      <c r="M1936" s="17">
        <v>2025</v>
      </c>
      <c r="N1936" s="17" t="s">
        <v>112</v>
      </c>
    </row>
    <row r="1937" spans="1:14" ht="14.25" customHeight="1">
      <c r="A1937" s="17">
        <v>11936</v>
      </c>
      <c r="B1937" s="18">
        <v>45715</v>
      </c>
      <c r="C1937" s="17" t="s">
        <v>45</v>
      </c>
      <c r="D1937" s="17" t="s">
        <v>111</v>
      </c>
      <c r="E1937" s="17" t="s">
        <v>165</v>
      </c>
      <c r="F1937" s="17" t="s">
        <v>163</v>
      </c>
      <c r="G1937" s="17">
        <v>6</v>
      </c>
      <c r="H1937" s="17">
        <v>78923</v>
      </c>
      <c r="I1937" s="17">
        <v>473538</v>
      </c>
      <c r="J1937" s="17">
        <v>1741</v>
      </c>
      <c r="K1937" s="17">
        <v>471797</v>
      </c>
      <c r="L1937" s="17">
        <v>77283.95822</v>
      </c>
      <c r="M1937" s="17">
        <v>2025</v>
      </c>
      <c r="N1937" s="17" t="s">
        <v>175</v>
      </c>
    </row>
    <row r="1938" spans="1:14" ht="14.25" customHeight="1">
      <c r="A1938" s="17">
        <v>11937</v>
      </c>
      <c r="B1938" s="18">
        <v>45751</v>
      </c>
      <c r="C1938" s="17" t="s">
        <v>167</v>
      </c>
      <c r="D1938" s="17" t="s">
        <v>83</v>
      </c>
      <c r="E1938" s="17" t="s">
        <v>168</v>
      </c>
      <c r="F1938" s="17" t="s">
        <v>164</v>
      </c>
      <c r="G1938" s="17">
        <v>9</v>
      </c>
      <c r="H1938" s="17">
        <v>79060</v>
      </c>
      <c r="I1938" s="17">
        <v>711540</v>
      </c>
      <c r="J1938" s="17">
        <v>1507</v>
      </c>
      <c r="K1938" s="17">
        <v>710033</v>
      </c>
      <c r="L1938" s="17">
        <v>103804.1594</v>
      </c>
      <c r="M1938" s="17">
        <v>2025</v>
      </c>
      <c r="N1938" s="17" t="s">
        <v>114</v>
      </c>
    </row>
    <row r="1939" spans="1:14" ht="14.25" customHeight="1">
      <c r="A1939" s="17">
        <v>11938</v>
      </c>
      <c r="B1939" s="18">
        <v>45967</v>
      </c>
      <c r="C1939" s="17" t="s">
        <v>39</v>
      </c>
      <c r="D1939" s="17" t="s">
        <v>111</v>
      </c>
      <c r="E1939" s="17" t="s">
        <v>165</v>
      </c>
      <c r="F1939" s="17" t="s">
        <v>163</v>
      </c>
      <c r="G1939" s="17">
        <v>4</v>
      </c>
      <c r="H1939" s="17">
        <v>46617</v>
      </c>
      <c r="I1939" s="17">
        <v>186468</v>
      </c>
      <c r="J1939" s="17">
        <v>3560</v>
      </c>
      <c r="K1939" s="17">
        <v>182908</v>
      </c>
      <c r="L1939" s="17">
        <v>29132.956600000001</v>
      </c>
      <c r="M1939" s="17">
        <v>2025</v>
      </c>
      <c r="N1939" s="17" t="s">
        <v>173</v>
      </c>
    </row>
    <row r="1940" spans="1:14" ht="14.25" customHeight="1">
      <c r="A1940" s="17">
        <v>11939</v>
      </c>
      <c r="B1940" s="18">
        <v>45592</v>
      </c>
      <c r="C1940" s="17" t="s">
        <v>45</v>
      </c>
      <c r="D1940" s="17" t="s">
        <v>111</v>
      </c>
      <c r="E1940" s="17" t="s">
        <v>162</v>
      </c>
      <c r="F1940" s="17" t="s">
        <v>166</v>
      </c>
      <c r="G1940" s="17">
        <v>6</v>
      </c>
      <c r="H1940" s="17">
        <v>59704</v>
      </c>
      <c r="I1940" s="17">
        <v>358224</v>
      </c>
      <c r="J1940" s="17">
        <v>1375</v>
      </c>
      <c r="K1940" s="17">
        <v>356849</v>
      </c>
      <c r="L1940" s="17">
        <v>73260.074770000007</v>
      </c>
      <c r="M1940" s="17">
        <v>2024</v>
      </c>
      <c r="N1940" s="17" t="s">
        <v>174</v>
      </c>
    </row>
    <row r="1941" spans="1:14" ht="14.25" customHeight="1">
      <c r="A1941" s="17">
        <v>11940</v>
      </c>
      <c r="B1941" s="18">
        <v>45594</v>
      </c>
      <c r="C1941" s="17" t="s">
        <v>39</v>
      </c>
      <c r="D1941" s="17" t="s">
        <v>170</v>
      </c>
      <c r="E1941" s="17" t="s">
        <v>162</v>
      </c>
      <c r="F1941" s="17" t="s">
        <v>172</v>
      </c>
      <c r="G1941" s="17">
        <v>4</v>
      </c>
      <c r="H1941" s="17">
        <v>31025</v>
      </c>
      <c r="I1941" s="17">
        <v>124100</v>
      </c>
      <c r="J1941" s="17">
        <v>1553</v>
      </c>
      <c r="K1941" s="17">
        <v>122547</v>
      </c>
      <c r="L1941" s="17">
        <v>13862.76541</v>
      </c>
      <c r="M1941" s="17">
        <v>2024</v>
      </c>
      <c r="N1941" s="17" t="s">
        <v>174</v>
      </c>
    </row>
    <row r="1942" spans="1:14" ht="14.25" customHeight="1">
      <c r="A1942" s="17">
        <v>11941</v>
      </c>
      <c r="B1942" s="18">
        <v>45578</v>
      </c>
      <c r="C1942" s="17" t="s">
        <v>167</v>
      </c>
      <c r="D1942" s="17" t="s">
        <v>89</v>
      </c>
      <c r="E1942" s="17" t="s">
        <v>168</v>
      </c>
      <c r="F1942" s="17" t="s">
        <v>164</v>
      </c>
      <c r="G1942" s="17">
        <v>2</v>
      </c>
      <c r="H1942" s="17">
        <v>48224</v>
      </c>
      <c r="I1942" s="17">
        <v>96448</v>
      </c>
      <c r="J1942" s="17">
        <v>2281</v>
      </c>
      <c r="K1942" s="17">
        <v>94167</v>
      </c>
      <c r="L1942" s="17">
        <v>23515.815849999999</v>
      </c>
      <c r="M1942" s="17">
        <v>2024</v>
      </c>
      <c r="N1942" s="17" t="s">
        <v>174</v>
      </c>
    </row>
    <row r="1943" spans="1:14" ht="14.25" customHeight="1">
      <c r="A1943" s="17">
        <v>11942</v>
      </c>
      <c r="B1943" s="18">
        <v>45686</v>
      </c>
      <c r="C1943" s="17" t="s">
        <v>45</v>
      </c>
      <c r="D1943" s="17" t="s">
        <v>111</v>
      </c>
      <c r="E1943" s="17" t="s">
        <v>165</v>
      </c>
      <c r="F1943" s="17" t="s">
        <v>166</v>
      </c>
      <c r="G1943" s="17">
        <v>6</v>
      </c>
      <c r="H1943" s="17">
        <v>18277</v>
      </c>
      <c r="I1943" s="17">
        <v>109662</v>
      </c>
      <c r="J1943" s="17">
        <v>1868</v>
      </c>
      <c r="K1943" s="17">
        <v>107794</v>
      </c>
      <c r="L1943" s="17">
        <v>21047.864399999999</v>
      </c>
      <c r="M1943" s="17">
        <v>2025</v>
      </c>
      <c r="N1943" s="17" t="s">
        <v>171</v>
      </c>
    </row>
    <row r="1944" spans="1:14" ht="14.25" customHeight="1">
      <c r="A1944" s="17">
        <v>11943</v>
      </c>
      <c r="B1944" s="18">
        <v>45301</v>
      </c>
      <c r="C1944" s="17" t="s">
        <v>167</v>
      </c>
      <c r="D1944" s="17" t="s">
        <v>170</v>
      </c>
      <c r="E1944" s="17" t="s">
        <v>165</v>
      </c>
      <c r="F1944" s="17" t="s">
        <v>172</v>
      </c>
      <c r="G1944" s="17">
        <v>7</v>
      </c>
      <c r="H1944" s="17">
        <v>53718</v>
      </c>
      <c r="I1944" s="17">
        <v>376026</v>
      </c>
      <c r="J1944" s="17">
        <v>1601</v>
      </c>
      <c r="K1944" s="17">
        <v>374425</v>
      </c>
      <c r="L1944" s="17">
        <v>86502.523350000003</v>
      </c>
      <c r="M1944" s="17">
        <v>2024</v>
      </c>
      <c r="N1944" s="17" t="s">
        <v>171</v>
      </c>
    </row>
    <row r="1945" spans="1:14" ht="14.25" customHeight="1">
      <c r="A1945" s="17">
        <v>11944</v>
      </c>
      <c r="B1945" s="18">
        <v>45998</v>
      </c>
      <c r="C1945" s="17" t="s">
        <v>58</v>
      </c>
      <c r="D1945" s="17" t="s">
        <v>86</v>
      </c>
      <c r="E1945" s="17" t="s">
        <v>165</v>
      </c>
      <c r="F1945" s="17" t="s">
        <v>166</v>
      </c>
      <c r="G1945" s="17">
        <v>4</v>
      </c>
      <c r="H1945" s="17">
        <v>45995</v>
      </c>
      <c r="I1945" s="17">
        <v>183980</v>
      </c>
      <c r="J1945" s="17">
        <v>3827</v>
      </c>
      <c r="K1945" s="17">
        <v>180153</v>
      </c>
      <c r="L1945" s="17">
        <v>40436.121769999998</v>
      </c>
      <c r="M1945" s="17">
        <v>2025</v>
      </c>
      <c r="N1945" s="17" t="s">
        <v>169</v>
      </c>
    </row>
    <row r="1946" spans="1:14" ht="14.25" customHeight="1">
      <c r="A1946" s="17">
        <v>11945</v>
      </c>
      <c r="B1946" s="18">
        <v>45921</v>
      </c>
      <c r="C1946" s="17" t="s">
        <v>167</v>
      </c>
      <c r="D1946" s="17" t="s">
        <v>111</v>
      </c>
      <c r="E1946" s="17" t="s">
        <v>168</v>
      </c>
      <c r="F1946" s="17" t="s">
        <v>163</v>
      </c>
      <c r="G1946" s="17">
        <v>7</v>
      </c>
      <c r="H1946" s="17">
        <v>12539</v>
      </c>
      <c r="I1946" s="17">
        <v>87773</v>
      </c>
      <c r="J1946" s="17">
        <v>3480</v>
      </c>
      <c r="K1946" s="17">
        <v>84293</v>
      </c>
      <c r="L1946" s="17">
        <v>18114.534650000001</v>
      </c>
      <c r="M1946" s="17">
        <v>2025</v>
      </c>
      <c r="N1946" s="17" t="s">
        <v>129</v>
      </c>
    </row>
    <row r="1947" spans="1:14" ht="14.25" customHeight="1">
      <c r="A1947" s="17">
        <v>11946</v>
      </c>
      <c r="B1947" s="18">
        <v>45561</v>
      </c>
      <c r="C1947" s="17" t="s">
        <v>58</v>
      </c>
      <c r="D1947" s="17" t="s">
        <v>86</v>
      </c>
      <c r="E1947" s="17" t="s">
        <v>165</v>
      </c>
      <c r="F1947" s="17" t="s">
        <v>166</v>
      </c>
      <c r="G1947" s="17">
        <v>8</v>
      </c>
      <c r="H1947" s="17">
        <v>37853</v>
      </c>
      <c r="I1947" s="17">
        <v>302824</v>
      </c>
      <c r="J1947" s="17">
        <v>1299</v>
      </c>
      <c r="K1947" s="17">
        <v>301525</v>
      </c>
      <c r="L1947" s="17">
        <v>31926.531279999999</v>
      </c>
      <c r="M1947" s="17">
        <v>2024</v>
      </c>
      <c r="N1947" s="17" t="s">
        <v>129</v>
      </c>
    </row>
    <row r="1948" spans="1:14" ht="14.25" customHeight="1">
      <c r="A1948" s="17">
        <v>11947</v>
      </c>
      <c r="B1948" s="18">
        <v>45883</v>
      </c>
      <c r="C1948" s="17" t="s">
        <v>45</v>
      </c>
      <c r="D1948" s="17" t="s">
        <v>111</v>
      </c>
      <c r="E1948" s="17" t="s">
        <v>165</v>
      </c>
      <c r="F1948" s="17" t="s">
        <v>163</v>
      </c>
      <c r="G1948" s="17">
        <v>3</v>
      </c>
      <c r="H1948" s="17">
        <v>31811</v>
      </c>
      <c r="I1948" s="17">
        <v>95433</v>
      </c>
      <c r="J1948" s="17">
        <v>710</v>
      </c>
      <c r="K1948" s="17">
        <v>94723</v>
      </c>
      <c r="L1948" s="17">
        <v>16810.496630000001</v>
      </c>
      <c r="M1948" s="17">
        <v>2025</v>
      </c>
      <c r="N1948" s="17" t="s">
        <v>126</v>
      </c>
    </row>
    <row r="1949" spans="1:14" ht="14.25" customHeight="1">
      <c r="A1949" s="17">
        <v>11948</v>
      </c>
      <c r="B1949" s="18">
        <v>45896</v>
      </c>
      <c r="C1949" s="17" t="s">
        <v>58</v>
      </c>
      <c r="D1949" s="17" t="s">
        <v>83</v>
      </c>
      <c r="E1949" s="17" t="s">
        <v>165</v>
      </c>
      <c r="F1949" s="17" t="s">
        <v>163</v>
      </c>
      <c r="G1949" s="17">
        <v>2</v>
      </c>
      <c r="H1949" s="17">
        <v>11909</v>
      </c>
      <c r="I1949" s="17">
        <v>23818</v>
      </c>
      <c r="J1949" s="17">
        <v>4167</v>
      </c>
      <c r="K1949" s="17">
        <v>19651</v>
      </c>
      <c r="L1949" s="17">
        <v>2932.3665609999998</v>
      </c>
      <c r="M1949" s="17">
        <v>2025</v>
      </c>
      <c r="N1949" s="17" t="s">
        <v>126</v>
      </c>
    </row>
    <row r="1950" spans="1:14" ht="14.25" customHeight="1">
      <c r="A1950" s="17">
        <v>11949</v>
      </c>
      <c r="B1950" s="18">
        <v>45652</v>
      </c>
      <c r="C1950" s="17" t="s">
        <v>45</v>
      </c>
      <c r="D1950" s="17" t="s">
        <v>170</v>
      </c>
      <c r="E1950" s="17" t="s">
        <v>162</v>
      </c>
      <c r="F1950" s="17" t="s">
        <v>164</v>
      </c>
      <c r="G1950" s="17">
        <v>5</v>
      </c>
      <c r="H1950" s="17">
        <v>58433</v>
      </c>
      <c r="I1950" s="17">
        <v>292165</v>
      </c>
      <c r="J1950" s="17">
        <v>2046</v>
      </c>
      <c r="K1950" s="17">
        <v>290119</v>
      </c>
      <c r="L1950" s="17">
        <v>33926.767500000002</v>
      </c>
      <c r="M1950" s="17">
        <v>2024</v>
      </c>
      <c r="N1950" s="17" t="s">
        <v>169</v>
      </c>
    </row>
    <row r="1951" spans="1:14" ht="14.25" customHeight="1">
      <c r="A1951" s="17">
        <v>11950</v>
      </c>
      <c r="B1951" s="18">
        <v>45548</v>
      </c>
      <c r="C1951" s="17" t="s">
        <v>45</v>
      </c>
      <c r="D1951" s="17" t="s">
        <v>170</v>
      </c>
      <c r="E1951" s="17" t="s">
        <v>165</v>
      </c>
      <c r="F1951" s="17" t="s">
        <v>163</v>
      </c>
      <c r="G1951" s="17">
        <v>2</v>
      </c>
      <c r="H1951" s="17">
        <v>51084</v>
      </c>
      <c r="I1951" s="17">
        <v>102168</v>
      </c>
      <c r="J1951" s="17">
        <v>2881</v>
      </c>
      <c r="K1951" s="17">
        <v>99287</v>
      </c>
      <c r="L1951" s="17">
        <v>15036.870290000001</v>
      </c>
      <c r="M1951" s="17">
        <v>2024</v>
      </c>
      <c r="N1951" s="17" t="s">
        <v>129</v>
      </c>
    </row>
    <row r="1952" spans="1:14" ht="14.25" customHeight="1">
      <c r="A1952" s="17">
        <v>11951</v>
      </c>
      <c r="B1952" s="18">
        <v>45424</v>
      </c>
      <c r="C1952" s="17" t="s">
        <v>50</v>
      </c>
      <c r="D1952" s="17" t="s">
        <v>83</v>
      </c>
      <c r="E1952" s="17" t="s">
        <v>162</v>
      </c>
      <c r="F1952" s="17" t="s">
        <v>163</v>
      </c>
      <c r="G1952" s="17">
        <v>5</v>
      </c>
      <c r="H1952" s="17">
        <v>78569</v>
      </c>
      <c r="I1952" s="17">
        <v>392845</v>
      </c>
      <c r="J1952" s="17">
        <v>1817</v>
      </c>
      <c r="K1952" s="17">
        <v>391028</v>
      </c>
      <c r="L1952" s="17">
        <v>76923.206309999994</v>
      </c>
      <c r="M1952" s="17">
        <v>2024</v>
      </c>
      <c r="N1952" s="17" t="s">
        <v>117</v>
      </c>
    </row>
    <row r="1953" spans="1:14" ht="14.25" customHeight="1">
      <c r="A1953" s="17">
        <v>11952</v>
      </c>
      <c r="B1953" s="18">
        <v>45567</v>
      </c>
      <c r="C1953" s="17" t="s">
        <v>45</v>
      </c>
      <c r="D1953" s="17" t="s">
        <v>89</v>
      </c>
      <c r="E1953" s="17" t="s">
        <v>165</v>
      </c>
      <c r="F1953" s="17" t="s">
        <v>166</v>
      </c>
      <c r="G1953" s="17">
        <v>6</v>
      </c>
      <c r="H1953" s="17">
        <v>61816</v>
      </c>
      <c r="I1953" s="17">
        <v>370896</v>
      </c>
      <c r="J1953" s="17">
        <v>2198</v>
      </c>
      <c r="K1953" s="17">
        <v>368698</v>
      </c>
      <c r="L1953" s="17">
        <v>49624.525450000001</v>
      </c>
      <c r="M1953" s="17">
        <v>2024</v>
      </c>
      <c r="N1953" s="17" t="s">
        <v>174</v>
      </c>
    </row>
    <row r="1954" spans="1:14" ht="14.25" customHeight="1">
      <c r="A1954" s="17">
        <v>11953</v>
      </c>
      <c r="B1954" s="18">
        <v>45974</v>
      </c>
      <c r="C1954" s="17" t="s">
        <v>58</v>
      </c>
      <c r="D1954" s="17" t="s">
        <v>170</v>
      </c>
      <c r="E1954" s="17" t="s">
        <v>165</v>
      </c>
      <c r="F1954" s="17" t="s">
        <v>163</v>
      </c>
      <c r="G1954" s="17">
        <v>8</v>
      </c>
      <c r="H1954" s="17">
        <v>15748</v>
      </c>
      <c r="I1954" s="17">
        <v>125984</v>
      </c>
      <c r="J1954" s="17">
        <v>3332</v>
      </c>
      <c r="K1954" s="17">
        <v>122652</v>
      </c>
      <c r="L1954" s="17">
        <v>20444.77779</v>
      </c>
      <c r="M1954" s="17">
        <v>2025</v>
      </c>
      <c r="N1954" s="17" t="s">
        <v>173</v>
      </c>
    </row>
    <row r="1955" spans="1:14" ht="14.25" customHeight="1">
      <c r="A1955" s="17">
        <v>11954</v>
      </c>
      <c r="B1955" s="18">
        <v>45804</v>
      </c>
      <c r="C1955" s="17" t="s">
        <v>50</v>
      </c>
      <c r="D1955" s="17" t="s">
        <v>86</v>
      </c>
      <c r="E1955" s="17" t="s">
        <v>165</v>
      </c>
      <c r="F1955" s="17" t="s">
        <v>163</v>
      </c>
      <c r="G1955" s="17">
        <v>6</v>
      </c>
      <c r="H1955" s="17">
        <v>75602</v>
      </c>
      <c r="I1955" s="17">
        <v>453612</v>
      </c>
      <c r="J1955" s="17">
        <v>1103</v>
      </c>
      <c r="K1955" s="17">
        <v>452509</v>
      </c>
      <c r="L1955" s="17">
        <v>72706.492849999995</v>
      </c>
      <c r="M1955" s="17">
        <v>2025</v>
      </c>
      <c r="N1955" s="17" t="s">
        <v>117</v>
      </c>
    </row>
    <row r="1956" spans="1:14" ht="14.25" customHeight="1">
      <c r="A1956" s="17">
        <v>11955</v>
      </c>
      <c r="B1956" s="18">
        <v>45604</v>
      </c>
      <c r="C1956" s="17" t="s">
        <v>50</v>
      </c>
      <c r="D1956" s="17" t="s">
        <v>170</v>
      </c>
      <c r="E1956" s="17" t="s">
        <v>162</v>
      </c>
      <c r="F1956" s="17" t="s">
        <v>166</v>
      </c>
      <c r="G1956" s="17">
        <v>4</v>
      </c>
      <c r="H1956" s="17">
        <v>67465</v>
      </c>
      <c r="I1956" s="17">
        <v>269860</v>
      </c>
      <c r="J1956" s="17">
        <v>3177</v>
      </c>
      <c r="K1956" s="17">
        <v>266683</v>
      </c>
      <c r="L1956" s="17">
        <v>28766.947049999999</v>
      </c>
      <c r="M1956" s="17">
        <v>2024</v>
      </c>
      <c r="N1956" s="17" t="s">
        <v>173</v>
      </c>
    </row>
    <row r="1957" spans="1:14" ht="14.25" customHeight="1">
      <c r="A1957" s="17">
        <v>11956</v>
      </c>
      <c r="B1957" s="18">
        <v>45867</v>
      </c>
      <c r="C1957" s="17" t="s">
        <v>45</v>
      </c>
      <c r="D1957" s="17" t="s">
        <v>89</v>
      </c>
      <c r="E1957" s="17" t="s">
        <v>165</v>
      </c>
      <c r="F1957" s="17" t="s">
        <v>172</v>
      </c>
      <c r="G1957" s="17">
        <v>3</v>
      </c>
      <c r="H1957" s="17">
        <v>54408</v>
      </c>
      <c r="I1957" s="17">
        <v>163224</v>
      </c>
      <c r="J1957" s="17">
        <v>3594</v>
      </c>
      <c r="K1957" s="17">
        <v>159630</v>
      </c>
      <c r="L1957" s="17">
        <v>31002.12212</v>
      </c>
      <c r="M1957" s="17">
        <v>2025</v>
      </c>
      <c r="N1957" s="17" t="s">
        <v>123</v>
      </c>
    </row>
    <row r="1958" spans="1:14" ht="14.25" customHeight="1">
      <c r="A1958" s="17">
        <v>11957</v>
      </c>
      <c r="B1958" s="18">
        <v>45575</v>
      </c>
      <c r="C1958" s="17" t="s">
        <v>167</v>
      </c>
      <c r="D1958" s="17" t="s">
        <v>86</v>
      </c>
      <c r="E1958" s="17" t="s">
        <v>168</v>
      </c>
      <c r="F1958" s="17" t="s">
        <v>164</v>
      </c>
      <c r="G1958" s="17">
        <v>2</v>
      </c>
      <c r="H1958" s="17">
        <v>16998</v>
      </c>
      <c r="I1958" s="17">
        <v>33996</v>
      </c>
      <c r="J1958" s="17">
        <v>3474</v>
      </c>
      <c r="K1958" s="17">
        <v>30522</v>
      </c>
      <c r="L1958" s="17">
        <v>5885.4667730000001</v>
      </c>
      <c r="M1958" s="17">
        <v>2024</v>
      </c>
      <c r="N1958" s="17" t="s">
        <v>174</v>
      </c>
    </row>
    <row r="1959" spans="1:14" ht="14.25" customHeight="1">
      <c r="A1959" s="17">
        <v>11958</v>
      </c>
      <c r="B1959" s="18">
        <v>45412</v>
      </c>
      <c r="C1959" s="17" t="s">
        <v>167</v>
      </c>
      <c r="D1959" s="17" t="s">
        <v>86</v>
      </c>
      <c r="E1959" s="17" t="s">
        <v>165</v>
      </c>
      <c r="F1959" s="17" t="s">
        <v>166</v>
      </c>
      <c r="G1959" s="17">
        <v>1</v>
      </c>
      <c r="H1959" s="17">
        <v>18764</v>
      </c>
      <c r="I1959" s="17">
        <v>18764</v>
      </c>
      <c r="J1959" s="17">
        <v>4815</v>
      </c>
      <c r="K1959" s="17">
        <v>13949</v>
      </c>
      <c r="L1959" s="17">
        <v>3416.97739</v>
      </c>
      <c r="M1959" s="17">
        <v>2024</v>
      </c>
      <c r="N1959" s="17" t="s">
        <v>114</v>
      </c>
    </row>
    <row r="1960" spans="1:14" ht="14.25" customHeight="1">
      <c r="A1960" s="17">
        <v>11959</v>
      </c>
      <c r="B1960" s="18">
        <v>45398</v>
      </c>
      <c r="C1960" s="17" t="s">
        <v>50</v>
      </c>
      <c r="D1960" s="17" t="s">
        <v>83</v>
      </c>
      <c r="E1960" s="17" t="s">
        <v>162</v>
      </c>
      <c r="F1960" s="17" t="s">
        <v>163</v>
      </c>
      <c r="G1960" s="17">
        <v>2</v>
      </c>
      <c r="H1960" s="17">
        <v>50379</v>
      </c>
      <c r="I1960" s="17">
        <v>100758</v>
      </c>
      <c r="J1960" s="17">
        <v>2177</v>
      </c>
      <c r="K1960" s="17">
        <v>98581</v>
      </c>
      <c r="L1960" s="17">
        <v>14264.74784</v>
      </c>
      <c r="M1960" s="17">
        <v>2024</v>
      </c>
      <c r="N1960" s="17" t="s">
        <v>114</v>
      </c>
    </row>
    <row r="1961" spans="1:14" ht="14.25" customHeight="1">
      <c r="A1961" s="17">
        <v>11960</v>
      </c>
      <c r="B1961" s="18">
        <v>45978</v>
      </c>
      <c r="C1961" s="17" t="s">
        <v>45</v>
      </c>
      <c r="D1961" s="17" t="s">
        <v>111</v>
      </c>
      <c r="E1961" s="17" t="s">
        <v>162</v>
      </c>
      <c r="F1961" s="17" t="s">
        <v>166</v>
      </c>
      <c r="G1961" s="17">
        <v>2</v>
      </c>
      <c r="H1961" s="17">
        <v>64588</v>
      </c>
      <c r="I1961" s="17">
        <v>129176</v>
      </c>
      <c r="J1961" s="17">
        <v>1194</v>
      </c>
      <c r="K1961" s="17">
        <v>127982</v>
      </c>
      <c r="L1961" s="17">
        <v>20840.92858</v>
      </c>
      <c r="M1961" s="17">
        <v>2025</v>
      </c>
      <c r="N1961" s="17" t="s">
        <v>173</v>
      </c>
    </row>
    <row r="1962" spans="1:14" ht="14.25" customHeight="1">
      <c r="A1962" s="17">
        <v>11961</v>
      </c>
      <c r="B1962" s="18">
        <v>45495</v>
      </c>
      <c r="C1962" s="17" t="s">
        <v>167</v>
      </c>
      <c r="D1962" s="17" t="s">
        <v>83</v>
      </c>
      <c r="E1962" s="17" t="s">
        <v>168</v>
      </c>
      <c r="F1962" s="17" t="s">
        <v>172</v>
      </c>
      <c r="G1962" s="17">
        <v>5</v>
      </c>
      <c r="H1962" s="17">
        <v>67398</v>
      </c>
      <c r="I1962" s="17">
        <v>336990</v>
      </c>
      <c r="J1962" s="17">
        <v>4501</v>
      </c>
      <c r="K1962" s="17">
        <v>332489</v>
      </c>
      <c r="L1962" s="17">
        <v>53379.660409999997</v>
      </c>
      <c r="M1962" s="17">
        <v>2024</v>
      </c>
      <c r="N1962" s="17" t="s">
        <v>123</v>
      </c>
    </row>
    <row r="1963" spans="1:14" ht="14.25" customHeight="1">
      <c r="A1963" s="17">
        <v>11962</v>
      </c>
      <c r="B1963" s="18">
        <v>45456</v>
      </c>
      <c r="C1963" s="17" t="s">
        <v>45</v>
      </c>
      <c r="D1963" s="17" t="s">
        <v>111</v>
      </c>
      <c r="E1963" s="17" t="s">
        <v>168</v>
      </c>
      <c r="F1963" s="17" t="s">
        <v>166</v>
      </c>
      <c r="G1963" s="17">
        <v>9</v>
      </c>
      <c r="H1963" s="17">
        <v>52210</v>
      </c>
      <c r="I1963" s="17">
        <v>469890</v>
      </c>
      <c r="J1963" s="17">
        <v>535</v>
      </c>
      <c r="K1963" s="17">
        <v>469355</v>
      </c>
      <c r="L1963" s="17">
        <v>111688.4598</v>
      </c>
      <c r="M1963" s="17">
        <v>2024</v>
      </c>
      <c r="N1963" s="17" t="s">
        <v>120</v>
      </c>
    </row>
    <row r="1964" spans="1:14" ht="14.25" customHeight="1">
      <c r="A1964" s="17">
        <v>11963</v>
      </c>
      <c r="B1964" s="18">
        <v>45596</v>
      </c>
      <c r="C1964" s="17" t="s">
        <v>45</v>
      </c>
      <c r="D1964" s="17" t="s">
        <v>83</v>
      </c>
      <c r="E1964" s="17" t="s">
        <v>168</v>
      </c>
      <c r="F1964" s="17" t="s">
        <v>166</v>
      </c>
      <c r="G1964" s="17">
        <v>1</v>
      </c>
      <c r="H1964" s="17">
        <v>49560</v>
      </c>
      <c r="I1964" s="17">
        <v>49560</v>
      </c>
      <c r="J1964" s="17">
        <v>1069</v>
      </c>
      <c r="K1964" s="17">
        <v>48491</v>
      </c>
      <c r="L1964" s="17">
        <v>7821.4720930000003</v>
      </c>
      <c r="M1964" s="17">
        <v>2024</v>
      </c>
      <c r="N1964" s="17" t="s">
        <v>174</v>
      </c>
    </row>
    <row r="1965" spans="1:14" ht="14.25" customHeight="1">
      <c r="A1965" s="17">
        <v>11964</v>
      </c>
      <c r="B1965" s="18">
        <v>45788</v>
      </c>
      <c r="C1965" s="17" t="s">
        <v>50</v>
      </c>
      <c r="D1965" s="17" t="s">
        <v>111</v>
      </c>
      <c r="E1965" s="17" t="s">
        <v>162</v>
      </c>
      <c r="F1965" s="17" t="s">
        <v>166</v>
      </c>
      <c r="G1965" s="17">
        <v>4</v>
      </c>
      <c r="H1965" s="17">
        <v>74201</v>
      </c>
      <c r="I1965" s="17">
        <v>296804</v>
      </c>
      <c r="J1965" s="17">
        <v>4369</v>
      </c>
      <c r="K1965" s="17">
        <v>292435</v>
      </c>
      <c r="L1965" s="17">
        <v>48665.459880000002</v>
      </c>
      <c r="M1965" s="17">
        <v>2025</v>
      </c>
      <c r="N1965" s="17" t="s">
        <v>117</v>
      </c>
    </row>
    <row r="1966" spans="1:14" ht="14.25" customHeight="1">
      <c r="A1966" s="17">
        <v>11965</v>
      </c>
      <c r="B1966" s="18">
        <v>45923</v>
      </c>
      <c r="C1966" s="17" t="s">
        <v>50</v>
      </c>
      <c r="D1966" s="17" t="s">
        <v>170</v>
      </c>
      <c r="E1966" s="17" t="s">
        <v>165</v>
      </c>
      <c r="F1966" s="17" t="s">
        <v>166</v>
      </c>
      <c r="G1966" s="17">
        <v>7</v>
      </c>
      <c r="H1966" s="17">
        <v>21734</v>
      </c>
      <c r="I1966" s="17">
        <v>152138</v>
      </c>
      <c r="J1966" s="17">
        <v>132</v>
      </c>
      <c r="K1966" s="17">
        <v>152006</v>
      </c>
      <c r="L1966" s="17">
        <v>20954.282490000001</v>
      </c>
      <c r="M1966" s="17">
        <v>2025</v>
      </c>
      <c r="N1966" s="17" t="s">
        <v>129</v>
      </c>
    </row>
    <row r="1967" spans="1:14" ht="14.25" customHeight="1">
      <c r="A1967" s="17">
        <v>11966</v>
      </c>
      <c r="B1967" s="18">
        <v>45847</v>
      </c>
      <c r="C1967" s="17" t="s">
        <v>39</v>
      </c>
      <c r="D1967" s="17" t="s">
        <v>86</v>
      </c>
      <c r="E1967" s="17" t="s">
        <v>165</v>
      </c>
      <c r="F1967" s="17" t="s">
        <v>163</v>
      </c>
      <c r="G1967" s="17">
        <v>3</v>
      </c>
      <c r="H1967" s="17">
        <v>79376</v>
      </c>
      <c r="I1967" s="17">
        <v>238128</v>
      </c>
      <c r="J1967" s="17">
        <v>263</v>
      </c>
      <c r="K1967" s="17">
        <v>237865</v>
      </c>
      <c r="L1967" s="17">
        <v>23828.179169999999</v>
      </c>
      <c r="M1967" s="17">
        <v>2025</v>
      </c>
      <c r="N1967" s="17" t="s">
        <v>123</v>
      </c>
    </row>
    <row r="1968" spans="1:14" ht="14.25" customHeight="1">
      <c r="A1968" s="17">
        <v>11967</v>
      </c>
      <c r="B1968" s="18">
        <v>45447</v>
      </c>
      <c r="C1968" s="17" t="s">
        <v>167</v>
      </c>
      <c r="D1968" s="17" t="s">
        <v>111</v>
      </c>
      <c r="E1968" s="17" t="s">
        <v>168</v>
      </c>
      <c r="F1968" s="17" t="s">
        <v>166</v>
      </c>
      <c r="G1968" s="17">
        <v>8</v>
      </c>
      <c r="H1968" s="17">
        <v>77580</v>
      </c>
      <c r="I1968" s="17">
        <v>620640</v>
      </c>
      <c r="J1968" s="17">
        <v>4462</v>
      </c>
      <c r="K1968" s="17">
        <v>616178</v>
      </c>
      <c r="L1968" s="17">
        <v>71826.391069999998</v>
      </c>
      <c r="M1968" s="17">
        <v>2024</v>
      </c>
      <c r="N1968" s="17" t="s">
        <v>120</v>
      </c>
    </row>
    <row r="1969" spans="1:14" ht="14.25" customHeight="1">
      <c r="A1969" s="17">
        <v>11968</v>
      </c>
      <c r="B1969" s="18">
        <v>45658</v>
      </c>
      <c r="C1969" s="17" t="s">
        <v>167</v>
      </c>
      <c r="D1969" s="17" t="s">
        <v>170</v>
      </c>
      <c r="E1969" s="17" t="s">
        <v>168</v>
      </c>
      <c r="F1969" s="17" t="s">
        <v>172</v>
      </c>
      <c r="G1969" s="17">
        <v>3</v>
      </c>
      <c r="H1969" s="17">
        <v>7063</v>
      </c>
      <c r="I1969" s="17">
        <v>21189</v>
      </c>
      <c r="J1969" s="17">
        <v>2052</v>
      </c>
      <c r="K1969" s="17">
        <v>19137</v>
      </c>
      <c r="L1969" s="17">
        <v>3934.2490039999998</v>
      </c>
      <c r="M1969" s="17">
        <v>2025</v>
      </c>
      <c r="N1969" s="17" t="s">
        <v>171</v>
      </c>
    </row>
    <row r="1970" spans="1:14" ht="14.25" customHeight="1">
      <c r="A1970" s="17">
        <v>11969</v>
      </c>
      <c r="B1970" s="18">
        <v>46010</v>
      </c>
      <c r="C1970" s="17" t="s">
        <v>167</v>
      </c>
      <c r="D1970" s="17" t="s">
        <v>89</v>
      </c>
      <c r="E1970" s="17" t="s">
        <v>165</v>
      </c>
      <c r="F1970" s="17" t="s">
        <v>166</v>
      </c>
      <c r="G1970" s="17">
        <v>8</v>
      </c>
      <c r="H1970" s="17">
        <v>27313</v>
      </c>
      <c r="I1970" s="17">
        <v>218504</v>
      </c>
      <c r="J1970" s="17">
        <v>4946</v>
      </c>
      <c r="K1970" s="17">
        <v>213558</v>
      </c>
      <c r="L1970" s="17">
        <v>43218.659090000001</v>
      </c>
      <c r="M1970" s="17">
        <v>2025</v>
      </c>
      <c r="N1970" s="17" t="s">
        <v>169</v>
      </c>
    </row>
    <row r="1971" spans="1:14" ht="14.25" customHeight="1">
      <c r="A1971" s="17">
        <v>11970</v>
      </c>
      <c r="B1971" s="18">
        <v>45911</v>
      </c>
      <c r="C1971" s="17" t="s">
        <v>58</v>
      </c>
      <c r="D1971" s="17" t="s">
        <v>83</v>
      </c>
      <c r="E1971" s="17" t="s">
        <v>168</v>
      </c>
      <c r="F1971" s="17" t="s">
        <v>166</v>
      </c>
      <c r="G1971" s="17">
        <v>2</v>
      </c>
      <c r="H1971" s="17">
        <v>32087</v>
      </c>
      <c r="I1971" s="17">
        <v>64174</v>
      </c>
      <c r="J1971" s="17">
        <v>4089</v>
      </c>
      <c r="K1971" s="17">
        <v>60085</v>
      </c>
      <c r="L1971" s="17">
        <v>8915.3874199999991</v>
      </c>
      <c r="M1971" s="17">
        <v>2025</v>
      </c>
      <c r="N1971" s="17" t="s">
        <v>129</v>
      </c>
    </row>
    <row r="1972" spans="1:14" ht="14.25" customHeight="1">
      <c r="A1972" s="17">
        <v>11971</v>
      </c>
      <c r="B1972" s="18">
        <v>45542</v>
      </c>
      <c r="C1972" s="17" t="s">
        <v>45</v>
      </c>
      <c r="D1972" s="17" t="s">
        <v>89</v>
      </c>
      <c r="E1972" s="17" t="s">
        <v>165</v>
      </c>
      <c r="F1972" s="17" t="s">
        <v>163</v>
      </c>
      <c r="G1972" s="17">
        <v>5</v>
      </c>
      <c r="H1972" s="17">
        <v>50779</v>
      </c>
      <c r="I1972" s="17">
        <v>253895</v>
      </c>
      <c r="J1972" s="17">
        <v>2847</v>
      </c>
      <c r="K1972" s="17">
        <v>251048</v>
      </c>
      <c r="L1972" s="17">
        <v>42916.890119999996</v>
      </c>
      <c r="M1972" s="17">
        <v>2024</v>
      </c>
      <c r="N1972" s="17" t="s">
        <v>129</v>
      </c>
    </row>
    <row r="1973" spans="1:14" ht="14.25" customHeight="1">
      <c r="A1973" s="17">
        <v>11972</v>
      </c>
      <c r="B1973" s="18">
        <v>45625</v>
      </c>
      <c r="C1973" s="17" t="s">
        <v>50</v>
      </c>
      <c r="D1973" s="17" t="s">
        <v>170</v>
      </c>
      <c r="E1973" s="17" t="s">
        <v>165</v>
      </c>
      <c r="F1973" s="17" t="s">
        <v>163</v>
      </c>
      <c r="G1973" s="17">
        <v>4</v>
      </c>
      <c r="H1973" s="17">
        <v>45181</v>
      </c>
      <c r="I1973" s="17">
        <v>180724</v>
      </c>
      <c r="J1973" s="17">
        <v>357</v>
      </c>
      <c r="K1973" s="17">
        <v>180367</v>
      </c>
      <c r="L1973" s="17">
        <v>26082.2873</v>
      </c>
      <c r="M1973" s="17">
        <v>2024</v>
      </c>
      <c r="N1973" s="17" t="s">
        <v>173</v>
      </c>
    </row>
    <row r="1974" spans="1:14" ht="14.25" customHeight="1">
      <c r="A1974" s="17">
        <v>11973</v>
      </c>
      <c r="B1974" s="18">
        <v>45933</v>
      </c>
      <c r="C1974" s="17" t="s">
        <v>167</v>
      </c>
      <c r="D1974" s="17" t="s">
        <v>89</v>
      </c>
      <c r="E1974" s="17" t="s">
        <v>165</v>
      </c>
      <c r="F1974" s="17" t="s">
        <v>166</v>
      </c>
      <c r="G1974" s="17">
        <v>9</v>
      </c>
      <c r="H1974" s="17">
        <v>23205</v>
      </c>
      <c r="I1974" s="17">
        <v>208845</v>
      </c>
      <c r="J1974" s="17">
        <v>4420</v>
      </c>
      <c r="K1974" s="17">
        <v>204425</v>
      </c>
      <c r="L1974" s="17">
        <v>42855.137410000003</v>
      </c>
      <c r="M1974" s="17">
        <v>2025</v>
      </c>
      <c r="N1974" s="17" t="s">
        <v>174</v>
      </c>
    </row>
    <row r="1975" spans="1:14" ht="14.25" customHeight="1">
      <c r="A1975" s="17">
        <v>11974</v>
      </c>
      <c r="B1975" s="18">
        <v>45802</v>
      </c>
      <c r="C1975" s="17" t="s">
        <v>39</v>
      </c>
      <c r="D1975" s="17" t="s">
        <v>89</v>
      </c>
      <c r="E1975" s="17" t="s">
        <v>165</v>
      </c>
      <c r="F1975" s="17" t="s">
        <v>163</v>
      </c>
      <c r="G1975" s="17">
        <v>3</v>
      </c>
      <c r="H1975" s="17">
        <v>17464</v>
      </c>
      <c r="I1975" s="17">
        <v>52392</v>
      </c>
      <c r="J1975" s="17">
        <v>750</v>
      </c>
      <c r="K1975" s="17">
        <v>51642</v>
      </c>
      <c r="L1975" s="17">
        <v>11690.452719999999</v>
      </c>
      <c r="M1975" s="17">
        <v>2025</v>
      </c>
      <c r="N1975" s="17" t="s">
        <v>117</v>
      </c>
    </row>
    <row r="1976" spans="1:14" ht="14.25" customHeight="1">
      <c r="A1976" s="17">
        <v>11975</v>
      </c>
      <c r="B1976" s="18">
        <v>45584</v>
      </c>
      <c r="C1976" s="17" t="s">
        <v>167</v>
      </c>
      <c r="D1976" s="17" t="s">
        <v>170</v>
      </c>
      <c r="E1976" s="17" t="s">
        <v>162</v>
      </c>
      <c r="F1976" s="17" t="s">
        <v>163</v>
      </c>
      <c r="G1976" s="17">
        <v>5</v>
      </c>
      <c r="H1976" s="17">
        <v>32132</v>
      </c>
      <c r="I1976" s="17">
        <v>160660</v>
      </c>
      <c r="J1976" s="17">
        <v>3250</v>
      </c>
      <c r="K1976" s="17">
        <v>157410</v>
      </c>
      <c r="L1976" s="17">
        <v>36970.224620000001</v>
      </c>
      <c r="M1976" s="17">
        <v>2024</v>
      </c>
      <c r="N1976" s="17" t="s">
        <v>174</v>
      </c>
    </row>
    <row r="1977" spans="1:14" ht="14.25" customHeight="1">
      <c r="A1977" s="17">
        <v>11976</v>
      </c>
      <c r="B1977" s="18">
        <v>45311</v>
      </c>
      <c r="C1977" s="17" t="s">
        <v>45</v>
      </c>
      <c r="D1977" s="17" t="s">
        <v>86</v>
      </c>
      <c r="E1977" s="17" t="s">
        <v>165</v>
      </c>
      <c r="F1977" s="17" t="s">
        <v>166</v>
      </c>
      <c r="G1977" s="17">
        <v>9</v>
      </c>
      <c r="H1977" s="17">
        <v>55737</v>
      </c>
      <c r="I1977" s="17">
        <v>501633</v>
      </c>
      <c r="J1977" s="17">
        <v>4351</v>
      </c>
      <c r="K1977" s="17">
        <v>497282</v>
      </c>
      <c r="L1977" s="17">
        <v>62697.661769999999</v>
      </c>
      <c r="M1977" s="17">
        <v>2024</v>
      </c>
      <c r="N1977" s="17" t="s">
        <v>171</v>
      </c>
    </row>
    <row r="1978" spans="1:14" ht="14.25" customHeight="1">
      <c r="A1978" s="17">
        <v>11977</v>
      </c>
      <c r="B1978" s="18">
        <v>45573</v>
      </c>
      <c r="C1978" s="17" t="s">
        <v>45</v>
      </c>
      <c r="D1978" s="17" t="s">
        <v>111</v>
      </c>
      <c r="E1978" s="17" t="s">
        <v>168</v>
      </c>
      <c r="F1978" s="17" t="s">
        <v>163</v>
      </c>
      <c r="G1978" s="17">
        <v>6</v>
      </c>
      <c r="H1978" s="17">
        <v>74285</v>
      </c>
      <c r="I1978" s="17">
        <v>445710</v>
      </c>
      <c r="J1978" s="17">
        <v>2258</v>
      </c>
      <c r="K1978" s="17">
        <v>443452</v>
      </c>
      <c r="L1978" s="17">
        <v>90576.184630000003</v>
      </c>
      <c r="M1978" s="17">
        <v>2024</v>
      </c>
      <c r="N1978" s="17" t="s">
        <v>174</v>
      </c>
    </row>
    <row r="1979" spans="1:14" ht="14.25" customHeight="1">
      <c r="A1979" s="17">
        <v>11978</v>
      </c>
      <c r="B1979" s="18">
        <v>45292</v>
      </c>
      <c r="C1979" s="17" t="s">
        <v>50</v>
      </c>
      <c r="D1979" s="17" t="s">
        <v>83</v>
      </c>
      <c r="E1979" s="17" t="s">
        <v>168</v>
      </c>
      <c r="F1979" s="17" t="s">
        <v>164</v>
      </c>
      <c r="G1979" s="17">
        <v>2</v>
      </c>
      <c r="H1979" s="17">
        <v>69549</v>
      </c>
      <c r="I1979" s="17">
        <v>139098</v>
      </c>
      <c r="J1979" s="17">
        <v>910</v>
      </c>
      <c r="K1979" s="17">
        <v>138188</v>
      </c>
      <c r="L1979" s="17">
        <v>33780.153550000003</v>
      </c>
      <c r="M1979" s="17">
        <v>2024</v>
      </c>
      <c r="N1979" s="17" t="s">
        <v>171</v>
      </c>
    </row>
    <row r="1980" spans="1:14" ht="14.25" customHeight="1">
      <c r="A1980" s="17">
        <v>11979</v>
      </c>
      <c r="B1980" s="18">
        <v>45410</v>
      </c>
      <c r="C1980" s="17" t="s">
        <v>58</v>
      </c>
      <c r="D1980" s="17" t="s">
        <v>111</v>
      </c>
      <c r="E1980" s="17" t="s">
        <v>168</v>
      </c>
      <c r="F1980" s="17" t="s">
        <v>164</v>
      </c>
      <c r="G1980" s="17">
        <v>1</v>
      </c>
      <c r="H1980" s="17">
        <v>40306</v>
      </c>
      <c r="I1980" s="17">
        <v>40306</v>
      </c>
      <c r="J1980" s="17">
        <v>3810</v>
      </c>
      <c r="K1980" s="17">
        <v>36496</v>
      </c>
      <c r="L1980" s="17">
        <v>7211.3087130000004</v>
      </c>
      <c r="M1980" s="17">
        <v>2024</v>
      </c>
      <c r="N1980" s="17" t="s">
        <v>114</v>
      </c>
    </row>
    <row r="1981" spans="1:14" ht="14.25" customHeight="1">
      <c r="A1981" s="17">
        <v>11980</v>
      </c>
      <c r="B1981" s="18">
        <v>45326</v>
      </c>
      <c r="C1981" s="17" t="s">
        <v>50</v>
      </c>
      <c r="D1981" s="17" t="s">
        <v>83</v>
      </c>
      <c r="E1981" s="17" t="s">
        <v>168</v>
      </c>
      <c r="F1981" s="17" t="s">
        <v>164</v>
      </c>
      <c r="G1981" s="17">
        <v>1</v>
      </c>
      <c r="H1981" s="17">
        <v>30592</v>
      </c>
      <c r="I1981" s="17">
        <v>30592</v>
      </c>
      <c r="J1981" s="17">
        <v>583</v>
      </c>
      <c r="K1981" s="17">
        <v>30009</v>
      </c>
      <c r="L1981" s="17">
        <v>4580.7574610000001</v>
      </c>
      <c r="M1981" s="17">
        <v>2024</v>
      </c>
      <c r="N1981" s="17" t="s">
        <v>175</v>
      </c>
    </row>
    <row r="1982" spans="1:14" ht="14.25" customHeight="1">
      <c r="A1982" s="17">
        <v>11981</v>
      </c>
      <c r="B1982" s="18">
        <v>45489</v>
      </c>
      <c r="C1982" s="17" t="s">
        <v>167</v>
      </c>
      <c r="D1982" s="17" t="s">
        <v>111</v>
      </c>
      <c r="E1982" s="17" t="s">
        <v>162</v>
      </c>
      <c r="F1982" s="17" t="s">
        <v>163</v>
      </c>
      <c r="G1982" s="17">
        <v>7</v>
      </c>
      <c r="H1982" s="17">
        <v>49758</v>
      </c>
      <c r="I1982" s="17">
        <v>348306</v>
      </c>
      <c r="J1982" s="17">
        <v>3438</v>
      </c>
      <c r="K1982" s="17">
        <v>344868</v>
      </c>
      <c r="L1982" s="17">
        <v>67384.432690000001</v>
      </c>
      <c r="M1982" s="17">
        <v>2024</v>
      </c>
      <c r="N1982" s="17" t="s">
        <v>123</v>
      </c>
    </row>
    <row r="1983" spans="1:14" ht="14.25" customHeight="1">
      <c r="A1983" s="17">
        <v>11982</v>
      </c>
      <c r="B1983" s="18">
        <v>45776</v>
      </c>
      <c r="C1983" s="17" t="s">
        <v>39</v>
      </c>
      <c r="D1983" s="17" t="s">
        <v>89</v>
      </c>
      <c r="E1983" s="17" t="s">
        <v>165</v>
      </c>
      <c r="F1983" s="17" t="s">
        <v>164</v>
      </c>
      <c r="G1983" s="17">
        <v>2</v>
      </c>
      <c r="H1983" s="17">
        <v>11577</v>
      </c>
      <c r="I1983" s="17">
        <v>23154</v>
      </c>
      <c r="J1983" s="17">
        <v>576</v>
      </c>
      <c r="K1983" s="17">
        <v>22578</v>
      </c>
      <c r="L1983" s="17">
        <v>4589.2925109999996</v>
      </c>
      <c r="M1983" s="17">
        <v>2025</v>
      </c>
      <c r="N1983" s="17" t="s">
        <v>114</v>
      </c>
    </row>
    <row r="1984" spans="1:14" ht="14.25" customHeight="1">
      <c r="A1984" s="17">
        <v>11983</v>
      </c>
      <c r="B1984" s="18">
        <v>45350</v>
      </c>
      <c r="C1984" s="17" t="s">
        <v>50</v>
      </c>
      <c r="D1984" s="17" t="s">
        <v>86</v>
      </c>
      <c r="E1984" s="17" t="s">
        <v>165</v>
      </c>
      <c r="F1984" s="17" t="s">
        <v>172</v>
      </c>
      <c r="G1984" s="17">
        <v>7</v>
      </c>
      <c r="H1984" s="17">
        <v>13263</v>
      </c>
      <c r="I1984" s="17">
        <v>92841</v>
      </c>
      <c r="J1984" s="17">
        <v>2576</v>
      </c>
      <c r="K1984" s="17">
        <v>90265</v>
      </c>
      <c r="L1984" s="17">
        <v>14402.421179999999</v>
      </c>
      <c r="M1984" s="17">
        <v>2024</v>
      </c>
      <c r="N1984" s="17" t="s">
        <v>175</v>
      </c>
    </row>
    <row r="1985" spans="1:14" ht="14.25" customHeight="1">
      <c r="A1985" s="17">
        <v>11984</v>
      </c>
      <c r="B1985" s="18">
        <v>45452</v>
      </c>
      <c r="C1985" s="17" t="s">
        <v>58</v>
      </c>
      <c r="D1985" s="17" t="s">
        <v>89</v>
      </c>
      <c r="E1985" s="17" t="s">
        <v>168</v>
      </c>
      <c r="F1985" s="17" t="s">
        <v>164</v>
      </c>
      <c r="G1985" s="17">
        <v>1</v>
      </c>
      <c r="H1985" s="17">
        <v>13072</v>
      </c>
      <c r="I1985" s="17">
        <v>13072</v>
      </c>
      <c r="J1985" s="17">
        <v>1871</v>
      </c>
      <c r="K1985" s="17">
        <v>11201</v>
      </c>
      <c r="L1985" s="17">
        <v>1294.8203960000001</v>
      </c>
      <c r="M1985" s="17">
        <v>2024</v>
      </c>
      <c r="N1985" s="17" t="s">
        <v>120</v>
      </c>
    </row>
    <row r="1986" spans="1:14" ht="14.25" customHeight="1">
      <c r="A1986" s="17">
        <v>11985</v>
      </c>
      <c r="B1986" s="18">
        <v>45982</v>
      </c>
      <c r="C1986" s="17" t="s">
        <v>50</v>
      </c>
      <c r="D1986" s="17" t="s">
        <v>86</v>
      </c>
      <c r="E1986" s="17" t="s">
        <v>168</v>
      </c>
      <c r="F1986" s="17" t="s">
        <v>172</v>
      </c>
      <c r="G1986" s="17">
        <v>4</v>
      </c>
      <c r="H1986" s="17">
        <v>65814</v>
      </c>
      <c r="I1986" s="17">
        <v>263256</v>
      </c>
      <c r="J1986" s="17">
        <v>1152</v>
      </c>
      <c r="K1986" s="17">
        <v>262104</v>
      </c>
      <c r="L1986" s="17">
        <v>50061.596689999998</v>
      </c>
      <c r="M1986" s="17">
        <v>2025</v>
      </c>
      <c r="N1986" s="17" t="s">
        <v>173</v>
      </c>
    </row>
    <row r="1987" spans="1:14" ht="14.25" customHeight="1">
      <c r="A1987" s="17">
        <v>11986</v>
      </c>
      <c r="B1987" s="18">
        <v>45497</v>
      </c>
      <c r="C1987" s="17" t="s">
        <v>45</v>
      </c>
      <c r="D1987" s="17" t="s">
        <v>170</v>
      </c>
      <c r="E1987" s="17" t="s">
        <v>168</v>
      </c>
      <c r="F1987" s="17" t="s">
        <v>163</v>
      </c>
      <c r="G1987" s="17">
        <v>4</v>
      </c>
      <c r="H1987" s="17">
        <v>50306</v>
      </c>
      <c r="I1987" s="17">
        <v>201224</v>
      </c>
      <c r="J1987" s="17">
        <v>4990</v>
      </c>
      <c r="K1987" s="17">
        <v>196234</v>
      </c>
      <c r="L1987" s="17">
        <v>43234.494680000003</v>
      </c>
      <c r="M1987" s="17">
        <v>2024</v>
      </c>
      <c r="N1987" s="17" t="s">
        <v>123</v>
      </c>
    </row>
    <row r="1988" spans="1:14" ht="14.25" customHeight="1">
      <c r="A1988" s="17">
        <v>11987</v>
      </c>
      <c r="B1988" s="18">
        <v>45303</v>
      </c>
      <c r="C1988" s="17" t="s">
        <v>167</v>
      </c>
      <c r="D1988" s="17" t="s">
        <v>83</v>
      </c>
      <c r="E1988" s="17" t="s">
        <v>165</v>
      </c>
      <c r="F1988" s="17" t="s">
        <v>164</v>
      </c>
      <c r="G1988" s="17">
        <v>5</v>
      </c>
      <c r="H1988" s="17">
        <v>10691</v>
      </c>
      <c r="I1988" s="17">
        <v>53455</v>
      </c>
      <c r="J1988" s="17">
        <v>1783</v>
      </c>
      <c r="K1988" s="17">
        <v>51672</v>
      </c>
      <c r="L1988" s="17">
        <v>12899.21581</v>
      </c>
      <c r="M1988" s="17">
        <v>2024</v>
      </c>
      <c r="N1988" s="17" t="s">
        <v>171</v>
      </c>
    </row>
    <row r="1989" spans="1:14" ht="14.25" customHeight="1">
      <c r="A1989" s="17">
        <v>11988</v>
      </c>
      <c r="B1989" s="18">
        <v>45781</v>
      </c>
      <c r="C1989" s="17" t="s">
        <v>167</v>
      </c>
      <c r="D1989" s="17" t="s">
        <v>83</v>
      </c>
      <c r="E1989" s="17" t="s">
        <v>162</v>
      </c>
      <c r="F1989" s="17" t="s">
        <v>172</v>
      </c>
      <c r="G1989" s="17">
        <v>1</v>
      </c>
      <c r="H1989" s="17">
        <v>6953</v>
      </c>
      <c r="I1989" s="17">
        <v>6953</v>
      </c>
      <c r="J1989" s="17">
        <v>1093</v>
      </c>
      <c r="K1989" s="17">
        <v>5860</v>
      </c>
      <c r="L1989" s="17">
        <v>782.06825179999998</v>
      </c>
      <c r="M1989" s="17">
        <v>2025</v>
      </c>
      <c r="N1989" s="17" t="s">
        <v>117</v>
      </c>
    </row>
    <row r="1990" spans="1:14" ht="14.25" customHeight="1">
      <c r="A1990" s="17">
        <v>11989</v>
      </c>
      <c r="B1990" s="18">
        <v>45567</v>
      </c>
      <c r="C1990" s="17" t="s">
        <v>167</v>
      </c>
      <c r="D1990" s="17" t="s">
        <v>170</v>
      </c>
      <c r="E1990" s="17" t="s">
        <v>162</v>
      </c>
      <c r="F1990" s="17" t="s">
        <v>163</v>
      </c>
      <c r="G1990" s="17">
        <v>7</v>
      </c>
      <c r="H1990" s="17">
        <v>75499</v>
      </c>
      <c r="I1990" s="17">
        <v>528493</v>
      </c>
      <c r="J1990" s="17">
        <v>2099</v>
      </c>
      <c r="K1990" s="17">
        <v>526394</v>
      </c>
      <c r="L1990" s="17">
        <v>107941.4831</v>
      </c>
      <c r="M1990" s="17">
        <v>2024</v>
      </c>
      <c r="N1990" s="17" t="s">
        <v>174</v>
      </c>
    </row>
    <row r="1991" spans="1:14" ht="14.25" customHeight="1">
      <c r="A1991" s="17">
        <v>11990</v>
      </c>
      <c r="B1991" s="18">
        <v>45984</v>
      </c>
      <c r="C1991" s="17" t="s">
        <v>167</v>
      </c>
      <c r="D1991" s="17" t="s">
        <v>111</v>
      </c>
      <c r="E1991" s="17" t="s">
        <v>162</v>
      </c>
      <c r="F1991" s="17" t="s">
        <v>164</v>
      </c>
      <c r="G1991" s="17">
        <v>2</v>
      </c>
      <c r="H1991" s="17">
        <v>42759</v>
      </c>
      <c r="I1991" s="17">
        <v>85518</v>
      </c>
      <c r="J1991" s="17">
        <v>4532</v>
      </c>
      <c r="K1991" s="17">
        <v>80986</v>
      </c>
      <c r="L1991" s="17">
        <v>8439.2659910000002</v>
      </c>
      <c r="M1991" s="17">
        <v>2025</v>
      </c>
      <c r="N1991" s="17" t="s">
        <v>173</v>
      </c>
    </row>
    <row r="1992" spans="1:14" ht="14.25" customHeight="1">
      <c r="A1992" s="17">
        <v>11991</v>
      </c>
      <c r="B1992" s="18">
        <v>45533</v>
      </c>
      <c r="C1992" s="17" t="s">
        <v>167</v>
      </c>
      <c r="D1992" s="17" t="s">
        <v>170</v>
      </c>
      <c r="E1992" s="17" t="s">
        <v>162</v>
      </c>
      <c r="F1992" s="17" t="s">
        <v>166</v>
      </c>
      <c r="G1992" s="17">
        <v>2</v>
      </c>
      <c r="H1992" s="17">
        <v>25185</v>
      </c>
      <c r="I1992" s="17">
        <v>50370</v>
      </c>
      <c r="J1992" s="17">
        <v>2141</v>
      </c>
      <c r="K1992" s="17">
        <v>48229</v>
      </c>
      <c r="L1992" s="17">
        <v>11838.95551</v>
      </c>
      <c r="M1992" s="17">
        <v>2024</v>
      </c>
      <c r="N1992" s="17" t="s">
        <v>126</v>
      </c>
    </row>
    <row r="1993" spans="1:14" ht="14.25" customHeight="1">
      <c r="A1993" s="17">
        <v>11992</v>
      </c>
      <c r="B1993" s="18">
        <v>45507</v>
      </c>
      <c r="C1993" s="17" t="s">
        <v>167</v>
      </c>
      <c r="D1993" s="17" t="s">
        <v>170</v>
      </c>
      <c r="E1993" s="17" t="s">
        <v>168</v>
      </c>
      <c r="F1993" s="17" t="s">
        <v>164</v>
      </c>
      <c r="G1993" s="17">
        <v>8</v>
      </c>
      <c r="H1993" s="17">
        <v>78983</v>
      </c>
      <c r="I1993" s="17">
        <v>631864</v>
      </c>
      <c r="J1993" s="17">
        <v>2133</v>
      </c>
      <c r="K1993" s="17">
        <v>629731</v>
      </c>
      <c r="L1993" s="17">
        <v>64159.934639999999</v>
      </c>
      <c r="M1993" s="17">
        <v>2024</v>
      </c>
      <c r="N1993" s="17" t="s">
        <v>126</v>
      </c>
    </row>
    <row r="1994" spans="1:14" ht="14.25" customHeight="1">
      <c r="A1994" s="17">
        <v>11993</v>
      </c>
      <c r="B1994" s="18">
        <v>45542</v>
      </c>
      <c r="C1994" s="17" t="s">
        <v>39</v>
      </c>
      <c r="D1994" s="17" t="s">
        <v>86</v>
      </c>
      <c r="E1994" s="17" t="s">
        <v>165</v>
      </c>
      <c r="F1994" s="17" t="s">
        <v>164</v>
      </c>
      <c r="G1994" s="17">
        <v>9</v>
      </c>
      <c r="H1994" s="17">
        <v>39699</v>
      </c>
      <c r="I1994" s="17">
        <v>357291</v>
      </c>
      <c r="J1994" s="17">
        <v>517</v>
      </c>
      <c r="K1994" s="17">
        <v>356774</v>
      </c>
      <c r="L1994" s="17">
        <v>54878.707049999997</v>
      </c>
      <c r="M1994" s="17">
        <v>2024</v>
      </c>
      <c r="N1994" s="17" t="s">
        <v>129</v>
      </c>
    </row>
    <row r="1995" spans="1:14" ht="14.25" customHeight="1">
      <c r="A1995" s="17">
        <v>11994</v>
      </c>
      <c r="B1995" s="18">
        <v>45417</v>
      </c>
      <c r="C1995" s="17" t="s">
        <v>58</v>
      </c>
      <c r="D1995" s="17" t="s">
        <v>170</v>
      </c>
      <c r="E1995" s="17" t="s">
        <v>168</v>
      </c>
      <c r="F1995" s="17" t="s">
        <v>164</v>
      </c>
      <c r="G1995" s="17">
        <v>6</v>
      </c>
      <c r="H1995" s="17">
        <v>78490</v>
      </c>
      <c r="I1995" s="17">
        <v>470940</v>
      </c>
      <c r="J1995" s="17">
        <v>741</v>
      </c>
      <c r="K1995" s="17">
        <v>470199</v>
      </c>
      <c r="L1995" s="17">
        <v>52408.576119999998</v>
      </c>
      <c r="M1995" s="17">
        <v>2024</v>
      </c>
      <c r="N1995" s="17" t="s">
        <v>117</v>
      </c>
    </row>
    <row r="1996" spans="1:14" ht="14.25" customHeight="1">
      <c r="A1996" s="17">
        <v>11995</v>
      </c>
      <c r="B1996" s="18">
        <v>45508</v>
      </c>
      <c r="C1996" s="17" t="s">
        <v>167</v>
      </c>
      <c r="D1996" s="17" t="s">
        <v>83</v>
      </c>
      <c r="E1996" s="17" t="s">
        <v>162</v>
      </c>
      <c r="F1996" s="17" t="s">
        <v>166</v>
      </c>
      <c r="G1996" s="17">
        <v>1</v>
      </c>
      <c r="H1996" s="17">
        <v>58739</v>
      </c>
      <c r="I1996" s="17">
        <v>58739</v>
      </c>
      <c r="J1996" s="17">
        <v>2477</v>
      </c>
      <c r="K1996" s="17">
        <v>56262</v>
      </c>
      <c r="L1996" s="17">
        <v>10866.734920000001</v>
      </c>
      <c r="M1996" s="17">
        <v>2024</v>
      </c>
      <c r="N1996" s="17" t="s">
        <v>126</v>
      </c>
    </row>
    <row r="1997" spans="1:14" ht="14.25" customHeight="1">
      <c r="A1997" s="17">
        <v>11996</v>
      </c>
      <c r="B1997" s="18">
        <v>45597</v>
      </c>
      <c r="C1997" s="17" t="s">
        <v>58</v>
      </c>
      <c r="D1997" s="17" t="s">
        <v>89</v>
      </c>
      <c r="E1997" s="17" t="s">
        <v>168</v>
      </c>
      <c r="F1997" s="17" t="s">
        <v>172</v>
      </c>
      <c r="G1997" s="17">
        <v>1</v>
      </c>
      <c r="H1997" s="17">
        <v>60631</v>
      </c>
      <c r="I1997" s="17">
        <v>60631</v>
      </c>
      <c r="J1997" s="17">
        <v>4958</v>
      </c>
      <c r="K1997" s="17">
        <v>55673</v>
      </c>
      <c r="L1997" s="17">
        <v>8402.4458180000001</v>
      </c>
      <c r="M1997" s="17">
        <v>2024</v>
      </c>
      <c r="N1997" s="17" t="s">
        <v>173</v>
      </c>
    </row>
    <row r="1998" spans="1:14" ht="14.25" customHeight="1">
      <c r="A1998" s="17">
        <v>11997</v>
      </c>
      <c r="B1998" s="18">
        <v>45476</v>
      </c>
      <c r="C1998" s="17" t="s">
        <v>167</v>
      </c>
      <c r="D1998" s="17" t="s">
        <v>86</v>
      </c>
      <c r="E1998" s="17" t="s">
        <v>162</v>
      </c>
      <c r="F1998" s="17" t="s">
        <v>172</v>
      </c>
      <c r="G1998" s="17">
        <v>7</v>
      </c>
      <c r="H1998" s="17">
        <v>22945</v>
      </c>
      <c r="I1998" s="17">
        <v>160615</v>
      </c>
      <c r="J1998" s="17">
        <v>2876</v>
      </c>
      <c r="K1998" s="17">
        <v>157739</v>
      </c>
      <c r="L1998" s="17">
        <v>33115.976419999999</v>
      </c>
      <c r="M1998" s="17">
        <v>2024</v>
      </c>
      <c r="N1998" s="17" t="s">
        <v>123</v>
      </c>
    </row>
    <row r="1999" spans="1:14" ht="14.25" customHeight="1">
      <c r="A1999" s="17">
        <v>11998</v>
      </c>
      <c r="B1999" s="18">
        <v>45330</v>
      </c>
      <c r="C1999" s="17" t="s">
        <v>50</v>
      </c>
      <c r="D1999" s="17" t="s">
        <v>86</v>
      </c>
      <c r="E1999" s="17" t="s">
        <v>165</v>
      </c>
      <c r="F1999" s="17" t="s">
        <v>166</v>
      </c>
      <c r="G1999" s="17">
        <v>8</v>
      </c>
      <c r="H1999" s="17">
        <v>43294</v>
      </c>
      <c r="I1999" s="17">
        <v>346352</v>
      </c>
      <c r="J1999" s="17">
        <v>42</v>
      </c>
      <c r="K1999" s="17">
        <v>346310</v>
      </c>
      <c r="L1999" s="17">
        <v>59896.63824</v>
      </c>
      <c r="M1999" s="17">
        <v>2024</v>
      </c>
      <c r="N1999" s="17" t="s">
        <v>175</v>
      </c>
    </row>
    <row r="2000" spans="1:14" ht="14.25" customHeight="1">
      <c r="A2000" s="17">
        <v>11999</v>
      </c>
      <c r="B2000" s="18">
        <v>45514</v>
      </c>
      <c r="C2000" s="17" t="s">
        <v>167</v>
      </c>
      <c r="D2000" s="17" t="s">
        <v>111</v>
      </c>
      <c r="E2000" s="17" t="s">
        <v>162</v>
      </c>
      <c r="F2000" s="17" t="s">
        <v>164</v>
      </c>
      <c r="G2000" s="17">
        <v>3</v>
      </c>
      <c r="H2000" s="17">
        <v>17920</v>
      </c>
      <c r="I2000" s="17">
        <v>53760</v>
      </c>
      <c r="J2000" s="17">
        <v>3441</v>
      </c>
      <c r="K2000" s="17">
        <v>50319</v>
      </c>
      <c r="L2000" s="17">
        <v>8197.4940760000009</v>
      </c>
      <c r="M2000" s="17">
        <v>2024</v>
      </c>
      <c r="N2000" s="17" t="s">
        <v>126</v>
      </c>
    </row>
    <row r="2001" spans="1:14" ht="14.25" customHeight="1">
      <c r="A2001" s="17">
        <v>12000</v>
      </c>
      <c r="B2001" s="18">
        <v>45475</v>
      </c>
      <c r="C2001" s="17" t="s">
        <v>45</v>
      </c>
      <c r="D2001" s="17" t="s">
        <v>89</v>
      </c>
      <c r="E2001" s="17" t="s">
        <v>168</v>
      </c>
      <c r="F2001" s="17" t="s">
        <v>164</v>
      </c>
      <c r="G2001" s="17">
        <v>9</v>
      </c>
      <c r="H2001" s="17">
        <v>58609</v>
      </c>
      <c r="I2001" s="17">
        <v>527481</v>
      </c>
      <c r="J2001" s="17">
        <v>403</v>
      </c>
      <c r="K2001" s="17">
        <v>527078</v>
      </c>
      <c r="L2001" s="17">
        <v>80262.09504</v>
      </c>
      <c r="M2001" s="17">
        <v>2024</v>
      </c>
      <c r="N2001" s="17" t="s">
        <v>123</v>
      </c>
    </row>
    <row r="2002" spans="1:14" ht="14.25" customHeight="1">
      <c r="A2002" s="17">
        <v>12001</v>
      </c>
      <c r="B2002" s="18">
        <v>45786</v>
      </c>
      <c r="C2002" s="17" t="s">
        <v>39</v>
      </c>
      <c r="D2002" s="17" t="s">
        <v>86</v>
      </c>
      <c r="E2002" s="17" t="s">
        <v>165</v>
      </c>
      <c r="F2002" s="17" t="s">
        <v>164</v>
      </c>
      <c r="G2002" s="17">
        <v>4</v>
      </c>
      <c r="H2002" s="17">
        <v>76096</v>
      </c>
      <c r="I2002" s="17">
        <v>304384</v>
      </c>
      <c r="J2002" s="17">
        <v>1326</v>
      </c>
      <c r="K2002" s="17">
        <v>303058</v>
      </c>
      <c r="L2002" s="17">
        <v>34221.119960000004</v>
      </c>
      <c r="M2002" s="17">
        <v>2025</v>
      </c>
      <c r="N2002" s="17" t="s">
        <v>117</v>
      </c>
    </row>
    <row r="2003" spans="1:14" ht="14.25" customHeight="1">
      <c r="A2003" s="17">
        <v>12002</v>
      </c>
      <c r="B2003" s="18">
        <v>45718</v>
      </c>
      <c r="C2003" s="17" t="s">
        <v>50</v>
      </c>
      <c r="D2003" s="17" t="s">
        <v>170</v>
      </c>
      <c r="E2003" s="17" t="s">
        <v>162</v>
      </c>
      <c r="F2003" s="17" t="s">
        <v>172</v>
      </c>
      <c r="G2003" s="17">
        <v>4</v>
      </c>
      <c r="H2003" s="17">
        <v>67358</v>
      </c>
      <c r="I2003" s="17">
        <v>269432</v>
      </c>
      <c r="J2003" s="17">
        <v>2216</v>
      </c>
      <c r="K2003" s="17">
        <v>267216</v>
      </c>
      <c r="L2003" s="17">
        <v>34931.471680000002</v>
      </c>
      <c r="M2003" s="17">
        <v>2025</v>
      </c>
      <c r="N2003" s="17" t="s">
        <v>112</v>
      </c>
    </row>
    <row r="2004" spans="1:14" ht="14.25" customHeight="1">
      <c r="A2004" s="17">
        <v>12003</v>
      </c>
      <c r="B2004" s="18">
        <v>45469</v>
      </c>
      <c r="C2004" s="17" t="s">
        <v>50</v>
      </c>
      <c r="D2004" s="17" t="s">
        <v>86</v>
      </c>
      <c r="E2004" s="17" t="s">
        <v>162</v>
      </c>
      <c r="F2004" s="17" t="s">
        <v>172</v>
      </c>
      <c r="G2004" s="17">
        <v>3</v>
      </c>
      <c r="H2004" s="17">
        <v>29265</v>
      </c>
      <c r="I2004" s="17">
        <v>87795</v>
      </c>
      <c r="J2004" s="17">
        <v>2149</v>
      </c>
      <c r="K2004" s="17">
        <v>85646</v>
      </c>
      <c r="L2004" s="17">
        <v>16775.08597</v>
      </c>
      <c r="M2004" s="17">
        <v>2024</v>
      </c>
      <c r="N2004" s="17" t="s">
        <v>120</v>
      </c>
    </row>
    <row r="2005" spans="1:14" ht="14.25" customHeight="1">
      <c r="A2005" s="17">
        <v>12004</v>
      </c>
      <c r="B2005" s="18">
        <v>45719</v>
      </c>
      <c r="C2005" s="17" t="s">
        <v>45</v>
      </c>
      <c r="D2005" s="17" t="s">
        <v>86</v>
      </c>
      <c r="E2005" s="17" t="s">
        <v>165</v>
      </c>
      <c r="F2005" s="17" t="s">
        <v>166</v>
      </c>
      <c r="G2005" s="17">
        <v>8</v>
      </c>
      <c r="H2005" s="17">
        <v>78251</v>
      </c>
      <c r="I2005" s="17">
        <v>626008</v>
      </c>
      <c r="J2005" s="17">
        <v>2393</v>
      </c>
      <c r="K2005" s="17">
        <v>623615</v>
      </c>
      <c r="L2005" s="17">
        <v>108828.76880000001</v>
      </c>
      <c r="M2005" s="17">
        <v>2025</v>
      </c>
      <c r="N2005" s="17" t="s">
        <v>112</v>
      </c>
    </row>
    <row r="2006" spans="1:14" ht="14.25" customHeight="1">
      <c r="A2006" s="17">
        <v>12005</v>
      </c>
      <c r="B2006" s="18">
        <v>45585</v>
      </c>
      <c r="C2006" s="17" t="s">
        <v>167</v>
      </c>
      <c r="D2006" s="17" t="s">
        <v>86</v>
      </c>
      <c r="E2006" s="17" t="s">
        <v>168</v>
      </c>
      <c r="F2006" s="17" t="s">
        <v>163</v>
      </c>
      <c r="G2006" s="17">
        <v>9</v>
      </c>
      <c r="H2006" s="17">
        <v>14438</v>
      </c>
      <c r="I2006" s="17">
        <v>129942</v>
      </c>
      <c r="J2006" s="17">
        <v>2650</v>
      </c>
      <c r="K2006" s="17">
        <v>127292</v>
      </c>
      <c r="L2006" s="17">
        <v>14067.473969999999</v>
      </c>
      <c r="M2006" s="17">
        <v>2024</v>
      </c>
      <c r="N2006" s="17" t="s">
        <v>174</v>
      </c>
    </row>
    <row r="2007" spans="1:14" ht="14.25" customHeight="1">
      <c r="A2007" s="17">
        <v>12006</v>
      </c>
      <c r="B2007" s="18">
        <v>45442</v>
      </c>
      <c r="C2007" s="17" t="s">
        <v>39</v>
      </c>
      <c r="D2007" s="17" t="s">
        <v>111</v>
      </c>
      <c r="E2007" s="17" t="s">
        <v>165</v>
      </c>
      <c r="F2007" s="17" t="s">
        <v>166</v>
      </c>
      <c r="G2007" s="17">
        <v>1</v>
      </c>
      <c r="H2007" s="17">
        <v>75779</v>
      </c>
      <c r="I2007" s="17">
        <v>75779</v>
      </c>
      <c r="J2007" s="17">
        <v>4537</v>
      </c>
      <c r="K2007" s="17">
        <v>71242</v>
      </c>
      <c r="L2007" s="17">
        <v>12937.03124</v>
      </c>
      <c r="M2007" s="17">
        <v>2024</v>
      </c>
      <c r="N2007" s="17" t="s">
        <v>117</v>
      </c>
    </row>
    <row r="2008" spans="1:14" ht="14.25" customHeight="1">
      <c r="A2008" s="17">
        <v>12007</v>
      </c>
      <c r="B2008" s="18">
        <v>45675</v>
      </c>
      <c r="C2008" s="17" t="s">
        <v>50</v>
      </c>
      <c r="D2008" s="17" t="s">
        <v>86</v>
      </c>
      <c r="E2008" s="17" t="s">
        <v>168</v>
      </c>
      <c r="F2008" s="17" t="s">
        <v>172</v>
      </c>
      <c r="G2008" s="17">
        <v>2</v>
      </c>
      <c r="H2008" s="17">
        <v>33629</v>
      </c>
      <c r="I2008" s="17">
        <v>67258</v>
      </c>
      <c r="J2008" s="17">
        <v>4345</v>
      </c>
      <c r="K2008" s="17">
        <v>62913</v>
      </c>
      <c r="L2008" s="17">
        <v>6802.2415890000002</v>
      </c>
      <c r="M2008" s="17">
        <v>2025</v>
      </c>
      <c r="N2008" s="17" t="s">
        <v>171</v>
      </c>
    </row>
    <row r="2009" spans="1:14" ht="14.25" customHeight="1">
      <c r="A2009" s="17">
        <v>12008</v>
      </c>
      <c r="B2009" s="18">
        <v>45929</v>
      </c>
      <c r="C2009" s="17" t="s">
        <v>39</v>
      </c>
      <c r="D2009" s="17" t="s">
        <v>86</v>
      </c>
      <c r="E2009" s="17" t="s">
        <v>162</v>
      </c>
      <c r="F2009" s="17" t="s">
        <v>164</v>
      </c>
      <c r="G2009" s="17">
        <v>1</v>
      </c>
      <c r="H2009" s="17">
        <v>67442</v>
      </c>
      <c r="I2009" s="17">
        <v>67442</v>
      </c>
      <c r="J2009" s="17">
        <v>877</v>
      </c>
      <c r="K2009" s="17">
        <v>66565</v>
      </c>
      <c r="L2009" s="17">
        <v>11765.96564</v>
      </c>
      <c r="M2009" s="17">
        <v>2025</v>
      </c>
      <c r="N2009" s="17" t="s">
        <v>129</v>
      </c>
    </row>
    <row r="2010" spans="1:14" ht="14.25" customHeight="1">
      <c r="A2010" s="17">
        <v>12009</v>
      </c>
      <c r="B2010" s="18">
        <v>45599</v>
      </c>
      <c r="C2010" s="17" t="s">
        <v>50</v>
      </c>
      <c r="D2010" s="17" t="s">
        <v>111</v>
      </c>
      <c r="E2010" s="17" t="s">
        <v>162</v>
      </c>
      <c r="F2010" s="17" t="s">
        <v>164</v>
      </c>
      <c r="G2010" s="17">
        <v>4</v>
      </c>
      <c r="H2010" s="17">
        <v>9085</v>
      </c>
      <c r="I2010" s="17">
        <v>36340</v>
      </c>
      <c r="J2010" s="17">
        <v>1886</v>
      </c>
      <c r="K2010" s="17">
        <v>34454</v>
      </c>
      <c r="L2010" s="17">
        <v>8432.417254</v>
      </c>
      <c r="M2010" s="17">
        <v>2024</v>
      </c>
      <c r="N2010" s="17" t="s">
        <v>173</v>
      </c>
    </row>
    <row r="2011" spans="1:14" ht="14.25" customHeight="1">
      <c r="A2011" s="17">
        <v>12010</v>
      </c>
      <c r="B2011" s="18">
        <v>45627</v>
      </c>
      <c r="C2011" s="17" t="s">
        <v>167</v>
      </c>
      <c r="D2011" s="17" t="s">
        <v>89</v>
      </c>
      <c r="E2011" s="17" t="s">
        <v>165</v>
      </c>
      <c r="F2011" s="17" t="s">
        <v>164</v>
      </c>
      <c r="G2011" s="17">
        <v>7</v>
      </c>
      <c r="H2011" s="17">
        <v>29513</v>
      </c>
      <c r="I2011" s="17">
        <v>206591</v>
      </c>
      <c r="J2011" s="17">
        <v>1303</v>
      </c>
      <c r="K2011" s="17">
        <v>205288</v>
      </c>
      <c r="L2011" s="17">
        <v>29992.922310000002</v>
      </c>
      <c r="M2011" s="17">
        <v>2024</v>
      </c>
      <c r="N2011" s="17" t="s">
        <v>169</v>
      </c>
    </row>
    <row r="2012" spans="1:14" ht="14.25" customHeight="1">
      <c r="A2012" s="17">
        <v>12011</v>
      </c>
      <c r="B2012" s="18">
        <v>45666</v>
      </c>
      <c r="C2012" s="17" t="s">
        <v>50</v>
      </c>
      <c r="D2012" s="17" t="s">
        <v>83</v>
      </c>
      <c r="E2012" s="17" t="s">
        <v>162</v>
      </c>
      <c r="F2012" s="17" t="s">
        <v>164</v>
      </c>
      <c r="G2012" s="17">
        <v>7</v>
      </c>
      <c r="H2012" s="17">
        <v>65084</v>
      </c>
      <c r="I2012" s="17">
        <v>455588</v>
      </c>
      <c r="J2012" s="17">
        <v>1740</v>
      </c>
      <c r="K2012" s="17">
        <v>453848</v>
      </c>
      <c r="L2012" s="17">
        <v>94638.867870000002</v>
      </c>
      <c r="M2012" s="17">
        <v>2025</v>
      </c>
      <c r="N2012" s="17" t="s">
        <v>171</v>
      </c>
    </row>
    <row r="2013" spans="1:14" ht="14.25" customHeight="1">
      <c r="A2013" s="17">
        <v>12012</v>
      </c>
      <c r="B2013" s="18">
        <v>45299</v>
      </c>
      <c r="C2013" s="17" t="s">
        <v>50</v>
      </c>
      <c r="D2013" s="17" t="s">
        <v>111</v>
      </c>
      <c r="E2013" s="17" t="s">
        <v>165</v>
      </c>
      <c r="F2013" s="17" t="s">
        <v>163</v>
      </c>
      <c r="G2013" s="17">
        <v>6</v>
      </c>
      <c r="H2013" s="17">
        <v>68605</v>
      </c>
      <c r="I2013" s="17">
        <v>411630</v>
      </c>
      <c r="J2013" s="17">
        <v>1112</v>
      </c>
      <c r="K2013" s="17">
        <v>410518</v>
      </c>
      <c r="L2013" s="17">
        <v>86961.179889999999</v>
      </c>
      <c r="M2013" s="17">
        <v>2024</v>
      </c>
      <c r="N2013" s="17" t="s">
        <v>171</v>
      </c>
    </row>
    <row r="2014" spans="1:14" ht="14.25" customHeight="1">
      <c r="A2014" s="17">
        <v>12013</v>
      </c>
      <c r="B2014" s="18">
        <v>45632</v>
      </c>
      <c r="C2014" s="17" t="s">
        <v>58</v>
      </c>
      <c r="D2014" s="17" t="s">
        <v>111</v>
      </c>
      <c r="E2014" s="17" t="s">
        <v>162</v>
      </c>
      <c r="F2014" s="17" t="s">
        <v>166</v>
      </c>
      <c r="G2014" s="17">
        <v>5</v>
      </c>
      <c r="H2014" s="17">
        <v>66666</v>
      </c>
      <c r="I2014" s="17">
        <v>333330</v>
      </c>
      <c r="J2014" s="17">
        <v>3876</v>
      </c>
      <c r="K2014" s="17">
        <v>329454</v>
      </c>
      <c r="L2014" s="17">
        <v>52952.788910000003</v>
      </c>
      <c r="M2014" s="17">
        <v>2024</v>
      </c>
      <c r="N2014" s="17" t="s">
        <v>169</v>
      </c>
    </row>
    <row r="2015" spans="1:14" ht="14.25" customHeight="1">
      <c r="A2015" s="17">
        <v>12014</v>
      </c>
      <c r="B2015" s="18">
        <v>45420</v>
      </c>
      <c r="C2015" s="17" t="s">
        <v>167</v>
      </c>
      <c r="D2015" s="17" t="s">
        <v>86</v>
      </c>
      <c r="E2015" s="17" t="s">
        <v>162</v>
      </c>
      <c r="F2015" s="17" t="s">
        <v>166</v>
      </c>
      <c r="G2015" s="17">
        <v>4</v>
      </c>
      <c r="H2015" s="17">
        <v>73412</v>
      </c>
      <c r="I2015" s="17">
        <v>293648</v>
      </c>
      <c r="J2015" s="17">
        <v>1898</v>
      </c>
      <c r="K2015" s="17">
        <v>291750</v>
      </c>
      <c r="L2015" s="17">
        <v>55138.947749999999</v>
      </c>
      <c r="M2015" s="17">
        <v>2024</v>
      </c>
      <c r="N2015" s="17" t="s">
        <v>117</v>
      </c>
    </row>
    <row r="2016" spans="1:14" ht="14.25" customHeight="1">
      <c r="A2016" s="17">
        <v>12015</v>
      </c>
      <c r="B2016" s="18">
        <v>45960</v>
      </c>
      <c r="C2016" s="17" t="s">
        <v>45</v>
      </c>
      <c r="D2016" s="17" t="s">
        <v>86</v>
      </c>
      <c r="E2016" s="17" t="s">
        <v>168</v>
      </c>
      <c r="F2016" s="17" t="s">
        <v>172</v>
      </c>
      <c r="G2016" s="17">
        <v>8</v>
      </c>
      <c r="H2016" s="17">
        <v>56178</v>
      </c>
      <c r="I2016" s="17">
        <v>449424</v>
      </c>
      <c r="J2016" s="17">
        <v>247</v>
      </c>
      <c r="K2016" s="17">
        <v>449177</v>
      </c>
      <c r="L2016" s="17">
        <v>76722.537030000007</v>
      </c>
      <c r="M2016" s="17">
        <v>2025</v>
      </c>
      <c r="N2016" s="17" t="s">
        <v>174</v>
      </c>
    </row>
    <row r="2017" spans="1:14" ht="14.25" customHeight="1">
      <c r="A2017" s="17">
        <v>12016</v>
      </c>
      <c r="B2017" s="18">
        <v>45643</v>
      </c>
      <c r="C2017" s="17" t="s">
        <v>45</v>
      </c>
      <c r="D2017" s="17" t="s">
        <v>83</v>
      </c>
      <c r="E2017" s="17" t="s">
        <v>165</v>
      </c>
      <c r="F2017" s="17" t="s">
        <v>166</v>
      </c>
      <c r="G2017" s="17">
        <v>7</v>
      </c>
      <c r="H2017" s="17">
        <v>76092</v>
      </c>
      <c r="I2017" s="17">
        <v>532644</v>
      </c>
      <c r="J2017" s="17">
        <v>3260</v>
      </c>
      <c r="K2017" s="17">
        <v>529384</v>
      </c>
      <c r="L2017" s="17">
        <v>75439.577319999997</v>
      </c>
      <c r="M2017" s="17">
        <v>2024</v>
      </c>
      <c r="N2017" s="17" t="s">
        <v>169</v>
      </c>
    </row>
    <row r="2018" spans="1:14" ht="14.25" customHeight="1">
      <c r="A2018" s="17">
        <v>12017</v>
      </c>
      <c r="B2018" s="18">
        <v>45649</v>
      </c>
      <c r="C2018" s="17" t="s">
        <v>167</v>
      </c>
      <c r="D2018" s="17" t="s">
        <v>86</v>
      </c>
      <c r="E2018" s="17" t="s">
        <v>165</v>
      </c>
      <c r="F2018" s="17" t="s">
        <v>163</v>
      </c>
      <c r="G2018" s="17">
        <v>1</v>
      </c>
      <c r="H2018" s="17">
        <v>43009</v>
      </c>
      <c r="I2018" s="17">
        <v>43009</v>
      </c>
      <c r="J2018" s="17">
        <v>567</v>
      </c>
      <c r="K2018" s="17">
        <v>42442</v>
      </c>
      <c r="L2018" s="17">
        <v>9049.1146009999993</v>
      </c>
      <c r="M2018" s="17">
        <v>2024</v>
      </c>
      <c r="N2018" s="17" t="s">
        <v>169</v>
      </c>
    </row>
    <row r="2019" spans="1:14" ht="14.25" customHeight="1">
      <c r="A2019" s="17">
        <v>12018</v>
      </c>
      <c r="B2019" s="18">
        <v>45808</v>
      </c>
      <c r="C2019" s="17" t="s">
        <v>45</v>
      </c>
      <c r="D2019" s="17" t="s">
        <v>170</v>
      </c>
      <c r="E2019" s="17" t="s">
        <v>162</v>
      </c>
      <c r="F2019" s="17" t="s">
        <v>163</v>
      </c>
      <c r="G2019" s="17">
        <v>6</v>
      </c>
      <c r="H2019" s="17">
        <v>68976</v>
      </c>
      <c r="I2019" s="17">
        <v>413856</v>
      </c>
      <c r="J2019" s="17">
        <v>3809</v>
      </c>
      <c r="K2019" s="17">
        <v>410047</v>
      </c>
      <c r="L2019" s="17">
        <v>84233.49179</v>
      </c>
      <c r="M2019" s="17">
        <v>2025</v>
      </c>
      <c r="N2019" s="17" t="s">
        <v>117</v>
      </c>
    </row>
    <row r="2020" spans="1:14" ht="14.25" customHeight="1">
      <c r="A2020" s="17">
        <v>12019</v>
      </c>
      <c r="B2020" s="18">
        <v>45786</v>
      </c>
      <c r="C2020" s="17" t="s">
        <v>167</v>
      </c>
      <c r="D2020" s="17" t="s">
        <v>86</v>
      </c>
      <c r="E2020" s="17" t="s">
        <v>168</v>
      </c>
      <c r="F2020" s="17" t="s">
        <v>163</v>
      </c>
      <c r="G2020" s="17">
        <v>2</v>
      </c>
      <c r="H2020" s="17">
        <v>37225</v>
      </c>
      <c r="I2020" s="17">
        <v>74450</v>
      </c>
      <c r="J2020" s="17">
        <v>1188</v>
      </c>
      <c r="K2020" s="17">
        <v>73262</v>
      </c>
      <c r="L2020" s="17">
        <v>17222.601640000001</v>
      </c>
      <c r="M2020" s="17">
        <v>2025</v>
      </c>
      <c r="N2020" s="17" t="s">
        <v>117</v>
      </c>
    </row>
    <row r="2021" spans="1:14" ht="14.25" customHeight="1">
      <c r="A2021" s="17">
        <v>12020</v>
      </c>
      <c r="B2021" s="18">
        <v>45377</v>
      </c>
      <c r="C2021" s="17" t="s">
        <v>45</v>
      </c>
      <c r="D2021" s="17" t="s">
        <v>86</v>
      </c>
      <c r="E2021" s="17" t="s">
        <v>168</v>
      </c>
      <c r="F2021" s="17" t="s">
        <v>164</v>
      </c>
      <c r="G2021" s="17">
        <v>4</v>
      </c>
      <c r="H2021" s="17">
        <v>43437</v>
      </c>
      <c r="I2021" s="17">
        <v>173748</v>
      </c>
      <c r="J2021" s="17">
        <v>2595</v>
      </c>
      <c r="K2021" s="17">
        <v>171153</v>
      </c>
      <c r="L2021" s="17">
        <v>32984.422500000001</v>
      </c>
      <c r="M2021" s="17">
        <v>2024</v>
      </c>
      <c r="N2021" s="17" t="s">
        <v>112</v>
      </c>
    </row>
    <row r="2022" spans="1:14" ht="14.25" customHeight="1">
      <c r="A2022" s="17">
        <v>12021</v>
      </c>
      <c r="B2022" s="18">
        <v>45466</v>
      </c>
      <c r="C2022" s="17" t="s">
        <v>58</v>
      </c>
      <c r="D2022" s="17" t="s">
        <v>170</v>
      </c>
      <c r="E2022" s="17" t="s">
        <v>165</v>
      </c>
      <c r="F2022" s="17" t="s">
        <v>172</v>
      </c>
      <c r="G2022" s="17">
        <v>5</v>
      </c>
      <c r="H2022" s="17">
        <v>75935</v>
      </c>
      <c r="I2022" s="17">
        <v>379675</v>
      </c>
      <c r="J2022" s="17">
        <v>1353</v>
      </c>
      <c r="K2022" s="17">
        <v>378322</v>
      </c>
      <c r="L2022" s="17">
        <v>59891.407189999998</v>
      </c>
      <c r="M2022" s="17">
        <v>2024</v>
      </c>
      <c r="N2022" s="17" t="s">
        <v>120</v>
      </c>
    </row>
    <row r="2023" spans="1:14" ht="14.25" customHeight="1">
      <c r="A2023" s="17">
        <v>12022</v>
      </c>
      <c r="B2023" s="18">
        <v>45484</v>
      </c>
      <c r="C2023" s="17" t="s">
        <v>45</v>
      </c>
      <c r="D2023" s="17" t="s">
        <v>83</v>
      </c>
      <c r="E2023" s="17" t="s">
        <v>165</v>
      </c>
      <c r="F2023" s="17" t="s">
        <v>163</v>
      </c>
      <c r="G2023" s="17">
        <v>8</v>
      </c>
      <c r="H2023" s="17">
        <v>18648</v>
      </c>
      <c r="I2023" s="17">
        <v>149184</v>
      </c>
      <c r="J2023" s="17">
        <v>3612</v>
      </c>
      <c r="K2023" s="17">
        <v>145572</v>
      </c>
      <c r="L2023" s="17">
        <v>30148.126240000001</v>
      </c>
      <c r="M2023" s="17">
        <v>2024</v>
      </c>
      <c r="N2023" s="17" t="s">
        <v>123</v>
      </c>
    </row>
    <row r="2024" spans="1:14" ht="14.25" customHeight="1">
      <c r="A2024" s="17">
        <v>12023</v>
      </c>
      <c r="B2024" s="18">
        <v>45602</v>
      </c>
      <c r="C2024" s="17" t="s">
        <v>50</v>
      </c>
      <c r="D2024" s="17" t="s">
        <v>170</v>
      </c>
      <c r="E2024" s="17" t="s">
        <v>162</v>
      </c>
      <c r="F2024" s="17" t="s">
        <v>166</v>
      </c>
      <c r="G2024" s="17">
        <v>6</v>
      </c>
      <c r="H2024" s="17">
        <v>47936</v>
      </c>
      <c r="I2024" s="17">
        <v>287616</v>
      </c>
      <c r="J2024" s="17">
        <v>980</v>
      </c>
      <c r="K2024" s="17">
        <v>286636</v>
      </c>
      <c r="L2024" s="17">
        <v>55279.310299999997</v>
      </c>
      <c r="M2024" s="17">
        <v>2024</v>
      </c>
      <c r="N2024" s="17" t="s">
        <v>173</v>
      </c>
    </row>
    <row r="2025" spans="1:14" ht="14.25" customHeight="1">
      <c r="A2025" s="17">
        <v>12024</v>
      </c>
      <c r="B2025" s="18">
        <v>45410</v>
      </c>
      <c r="C2025" s="17" t="s">
        <v>167</v>
      </c>
      <c r="D2025" s="17" t="s">
        <v>111</v>
      </c>
      <c r="E2025" s="17" t="s">
        <v>165</v>
      </c>
      <c r="F2025" s="17" t="s">
        <v>166</v>
      </c>
      <c r="G2025" s="17">
        <v>2</v>
      </c>
      <c r="H2025" s="17">
        <v>45263</v>
      </c>
      <c r="I2025" s="17">
        <v>90526</v>
      </c>
      <c r="J2025" s="17">
        <v>4965</v>
      </c>
      <c r="K2025" s="17">
        <v>85561</v>
      </c>
      <c r="L2025" s="17">
        <v>16469.819039999998</v>
      </c>
      <c r="M2025" s="17">
        <v>2024</v>
      </c>
      <c r="N2025" s="17" t="s">
        <v>114</v>
      </c>
    </row>
    <row r="2026" spans="1:14" ht="14.25" customHeight="1">
      <c r="A2026" s="17">
        <v>12025</v>
      </c>
      <c r="B2026" s="18">
        <v>45509</v>
      </c>
      <c r="C2026" s="17" t="s">
        <v>39</v>
      </c>
      <c r="D2026" s="17" t="s">
        <v>170</v>
      </c>
      <c r="E2026" s="17" t="s">
        <v>162</v>
      </c>
      <c r="F2026" s="17" t="s">
        <v>166</v>
      </c>
      <c r="G2026" s="17">
        <v>5</v>
      </c>
      <c r="H2026" s="17">
        <v>53373</v>
      </c>
      <c r="I2026" s="17">
        <v>266865</v>
      </c>
      <c r="J2026" s="17">
        <v>168</v>
      </c>
      <c r="K2026" s="17">
        <v>266697</v>
      </c>
      <c r="L2026" s="17">
        <v>60667.077039999996</v>
      </c>
      <c r="M2026" s="17">
        <v>2024</v>
      </c>
      <c r="N2026" s="17" t="s">
        <v>126</v>
      </c>
    </row>
    <row r="2027" spans="1:14" ht="14.25" customHeight="1">
      <c r="A2027" s="17">
        <v>12026</v>
      </c>
      <c r="B2027" s="18">
        <v>45718</v>
      </c>
      <c r="C2027" s="17" t="s">
        <v>39</v>
      </c>
      <c r="D2027" s="17" t="s">
        <v>89</v>
      </c>
      <c r="E2027" s="17" t="s">
        <v>168</v>
      </c>
      <c r="F2027" s="17" t="s">
        <v>163</v>
      </c>
      <c r="G2027" s="17">
        <v>5</v>
      </c>
      <c r="H2027" s="17">
        <v>57814</v>
      </c>
      <c r="I2027" s="17">
        <v>289070</v>
      </c>
      <c r="J2027" s="17">
        <v>3164</v>
      </c>
      <c r="K2027" s="17">
        <v>285906</v>
      </c>
      <c r="L2027" s="17">
        <v>67636.862710000001</v>
      </c>
      <c r="M2027" s="17">
        <v>2025</v>
      </c>
      <c r="N2027" s="17" t="s">
        <v>112</v>
      </c>
    </row>
    <row r="2028" spans="1:14" ht="14.25" customHeight="1">
      <c r="A2028" s="17">
        <v>12027</v>
      </c>
      <c r="B2028" s="18">
        <v>45705</v>
      </c>
      <c r="C2028" s="17" t="s">
        <v>167</v>
      </c>
      <c r="D2028" s="17" t="s">
        <v>111</v>
      </c>
      <c r="E2028" s="17" t="s">
        <v>165</v>
      </c>
      <c r="F2028" s="17" t="s">
        <v>163</v>
      </c>
      <c r="G2028" s="17">
        <v>6</v>
      </c>
      <c r="H2028" s="17">
        <v>70137</v>
      </c>
      <c r="I2028" s="17">
        <v>420822</v>
      </c>
      <c r="J2028" s="17">
        <v>2671</v>
      </c>
      <c r="K2028" s="17">
        <v>418151</v>
      </c>
      <c r="L2028" s="17">
        <v>53120.33483</v>
      </c>
      <c r="M2028" s="17">
        <v>2025</v>
      </c>
      <c r="N2028" s="17" t="s">
        <v>175</v>
      </c>
    </row>
    <row r="2029" spans="1:14" ht="14.25" customHeight="1">
      <c r="A2029" s="17">
        <v>12028</v>
      </c>
      <c r="B2029" s="18">
        <v>45405</v>
      </c>
      <c r="C2029" s="17" t="s">
        <v>58</v>
      </c>
      <c r="D2029" s="17" t="s">
        <v>86</v>
      </c>
      <c r="E2029" s="17" t="s">
        <v>168</v>
      </c>
      <c r="F2029" s="17" t="s">
        <v>166</v>
      </c>
      <c r="G2029" s="17">
        <v>1</v>
      </c>
      <c r="H2029" s="17">
        <v>51972</v>
      </c>
      <c r="I2029" s="17">
        <v>51972</v>
      </c>
      <c r="J2029" s="17">
        <v>378</v>
      </c>
      <c r="K2029" s="17">
        <v>51594</v>
      </c>
      <c r="L2029" s="17">
        <v>7589.8660900000004</v>
      </c>
      <c r="M2029" s="17">
        <v>2024</v>
      </c>
      <c r="N2029" s="17" t="s">
        <v>114</v>
      </c>
    </row>
    <row r="2030" spans="1:14" ht="14.25" customHeight="1">
      <c r="A2030" s="17">
        <v>12029</v>
      </c>
      <c r="B2030" s="18">
        <v>45436</v>
      </c>
      <c r="C2030" s="17" t="s">
        <v>45</v>
      </c>
      <c r="D2030" s="17" t="s">
        <v>111</v>
      </c>
      <c r="E2030" s="17" t="s">
        <v>168</v>
      </c>
      <c r="F2030" s="17" t="s">
        <v>163</v>
      </c>
      <c r="G2030" s="17">
        <v>8</v>
      </c>
      <c r="H2030" s="17">
        <v>33147</v>
      </c>
      <c r="I2030" s="17">
        <v>265176</v>
      </c>
      <c r="J2030" s="17">
        <v>1932</v>
      </c>
      <c r="K2030" s="17">
        <v>263244</v>
      </c>
      <c r="L2030" s="17">
        <v>52002.76109</v>
      </c>
      <c r="M2030" s="17">
        <v>2024</v>
      </c>
      <c r="N2030" s="17" t="s">
        <v>117</v>
      </c>
    </row>
    <row r="2031" spans="1:14" ht="14.25" customHeight="1">
      <c r="A2031" s="17">
        <v>12030</v>
      </c>
      <c r="B2031" s="18">
        <v>45829</v>
      </c>
      <c r="C2031" s="17" t="s">
        <v>58</v>
      </c>
      <c r="D2031" s="17" t="s">
        <v>83</v>
      </c>
      <c r="E2031" s="17" t="s">
        <v>162</v>
      </c>
      <c r="F2031" s="17" t="s">
        <v>166</v>
      </c>
      <c r="G2031" s="17">
        <v>3</v>
      </c>
      <c r="H2031" s="17">
        <v>24295</v>
      </c>
      <c r="I2031" s="17">
        <v>72885</v>
      </c>
      <c r="J2031" s="17">
        <v>193</v>
      </c>
      <c r="K2031" s="17">
        <v>72692</v>
      </c>
      <c r="L2031" s="17">
        <v>13345.02889</v>
      </c>
      <c r="M2031" s="17">
        <v>2025</v>
      </c>
      <c r="N2031" s="17" t="s">
        <v>120</v>
      </c>
    </row>
    <row r="2032" spans="1:14" ht="14.25" customHeight="1">
      <c r="A2032" s="17">
        <v>12031</v>
      </c>
      <c r="B2032" s="18">
        <v>45939</v>
      </c>
      <c r="C2032" s="17" t="s">
        <v>39</v>
      </c>
      <c r="D2032" s="17" t="s">
        <v>83</v>
      </c>
      <c r="E2032" s="17" t="s">
        <v>168</v>
      </c>
      <c r="F2032" s="17" t="s">
        <v>164</v>
      </c>
      <c r="G2032" s="17">
        <v>5</v>
      </c>
      <c r="H2032" s="17">
        <v>11897</v>
      </c>
      <c r="I2032" s="17">
        <v>59485</v>
      </c>
      <c r="J2032" s="17">
        <v>263</v>
      </c>
      <c r="K2032" s="17">
        <v>59222</v>
      </c>
      <c r="L2032" s="17">
        <v>11717.00906</v>
      </c>
      <c r="M2032" s="17">
        <v>2025</v>
      </c>
      <c r="N2032" s="17" t="s">
        <v>174</v>
      </c>
    </row>
    <row r="2033" spans="1:14" ht="14.25" customHeight="1">
      <c r="A2033" s="17">
        <v>12032</v>
      </c>
      <c r="B2033" s="18">
        <v>45594</v>
      </c>
      <c r="C2033" s="17" t="s">
        <v>167</v>
      </c>
      <c r="D2033" s="17" t="s">
        <v>170</v>
      </c>
      <c r="E2033" s="17" t="s">
        <v>162</v>
      </c>
      <c r="F2033" s="17" t="s">
        <v>163</v>
      </c>
      <c r="G2033" s="17">
        <v>7</v>
      </c>
      <c r="H2033" s="17">
        <v>43253</v>
      </c>
      <c r="I2033" s="17">
        <v>302771</v>
      </c>
      <c r="J2033" s="17">
        <v>1471</v>
      </c>
      <c r="K2033" s="17">
        <v>301300</v>
      </c>
      <c r="L2033" s="17">
        <v>49700.094819999998</v>
      </c>
      <c r="M2033" s="17">
        <v>2024</v>
      </c>
      <c r="N2033" s="17" t="s">
        <v>174</v>
      </c>
    </row>
    <row r="2034" spans="1:14" ht="14.25" customHeight="1">
      <c r="A2034" s="17">
        <v>12033</v>
      </c>
      <c r="B2034" s="18">
        <v>45879</v>
      </c>
      <c r="C2034" s="17" t="s">
        <v>167</v>
      </c>
      <c r="D2034" s="17" t="s">
        <v>111</v>
      </c>
      <c r="E2034" s="17" t="s">
        <v>162</v>
      </c>
      <c r="F2034" s="17" t="s">
        <v>164</v>
      </c>
      <c r="G2034" s="17">
        <v>3</v>
      </c>
      <c r="H2034" s="17">
        <v>10838</v>
      </c>
      <c r="I2034" s="17">
        <v>32514</v>
      </c>
      <c r="J2034" s="17">
        <v>2015</v>
      </c>
      <c r="K2034" s="17">
        <v>30499</v>
      </c>
      <c r="L2034" s="17">
        <v>4936.7466219999997</v>
      </c>
      <c r="M2034" s="17">
        <v>2025</v>
      </c>
      <c r="N2034" s="17" t="s">
        <v>126</v>
      </c>
    </row>
    <row r="2035" spans="1:14" ht="14.25" customHeight="1">
      <c r="A2035" s="17">
        <v>12034</v>
      </c>
      <c r="B2035" s="18">
        <v>45636</v>
      </c>
      <c r="C2035" s="17" t="s">
        <v>58</v>
      </c>
      <c r="D2035" s="17" t="s">
        <v>86</v>
      </c>
      <c r="E2035" s="17" t="s">
        <v>168</v>
      </c>
      <c r="F2035" s="17" t="s">
        <v>164</v>
      </c>
      <c r="G2035" s="17">
        <v>6</v>
      </c>
      <c r="H2035" s="17">
        <v>72680</v>
      </c>
      <c r="I2035" s="17">
        <v>436080</v>
      </c>
      <c r="J2035" s="17">
        <v>4616</v>
      </c>
      <c r="K2035" s="17">
        <v>431464</v>
      </c>
      <c r="L2035" s="17">
        <v>50760.913690000001</v>
      </c>
      <c r="M2035" s="17">
        <v>2024</v>
      </c>
      <c r="N2035" s="17" t="s">
        <v>169</v>
      </c>
    </row>
    <row r="2036" spans="1:14" ht="14.25" customHeight="1">
      <c r="A2036" s="17">
        <v>12035</v>
      </c>
      <c r="B2036" s="18">
        <v>45292</v>
      </c>
      <c r="C2036" s="17" t="s">
        <v>58</v>
      </c>
      <c r="D2036" s="17" t="s">
        <v>83</v>
      </c>
      <c r="E2036" s="17" t="s">
        <v>168</v>
      </c>
      <c r="F2036" s="17" t="s">
        <v>163</v>
      </c>
      <c r="G2036" s="17">
        <v>5</v>
      </c>
      <c r="H2036" s="17">
        <v>31414</v>
      </c>
      <c r="I2036" s="17">
        <v>157070</v>
      </c>
      <c r="J2036" s="17">
        <v>1300</v>
      </c>
      <c r="K2036" s="17">
        <v>155770</v>
      </c>
      <c r="L2036" s="17">
        <v>30148.85295</v>
      </c>
      <c r="M2036" s="17">
        <v>2024</v>
      </c>
      <c r="N2036" s="17" t="s">
        <v>171</v>
      </c>
    </row>
    <row r="2037" spans="1:14" ht="14.25" customHeight="1">
      <c r="A2037" s="17">
        <v>12036</v>
      </c>
      <c r="B2037" s="18">
        <v>45438</v>
      </c>
      <c r="C2037" s="17" t="s">
        <v>45</v>
      </c>
      <c r="D2037" s="17" t="s">
        <v>86</v>
      </c>
      <c r="E2037" s="17" t="s">
        <v>162</v>
      </c>
      <c r="F2037" s="17" t="s">
        <v>166</v>
      </c>
      <c r="G2037" s="17">
        <v>7</v>
      </c>
      <c r="H2037" s="17">
        <v>43748</v>
      </c>
      <c r="I2037" s="17">
        <v>306236</v>
      </c>
      <c r="J2037" s="17">
        <v>3200</v>
      </c>
      <c r="K2037" s="17">
        <v>303036</v>
      </c>
      <c r="L2037" s="17">
        <v>38294.007149999998</v>
      </c>
      <c r="M2037" s="17">
        <v>2024</v>
      </c>
      <c r="N2037" s="17" t="s">
        <v>117</v>
      </c>
    </row>
    <row r="2038" spans="1:14" ht="14.25" customHeight="1">
      <c r="A2038" s="17">
        <v>12037</v>
      </c>
      <c r="B2038" s="18">
        <v>45578</v>
      </c>
      <c r="C2038" s="17" t="s">
        <v>50</v>
      </c>
      <c r="D2038" s="17" t="s">
        <v>89</v>
      </c>
      <c r="E2038" s="17" t="s">
        <v>162</v>
      </c>
      <c r="F2038" s="17" t="s">
        <v>172</v>
      </c>
      <c r="G2038" s="17">
        <v>3</v>
      </c>
      <c r="H2038" s="17">
        <v>66157</v>
      </c>
      <c r="I2038" s="17">
        <v>198471</v>
      </c>
      <c r="J2038" s="17">
        <v>3373</v>
      </c>
      <c r="K2038" s="17">
        <v>195098</v>
      </c>
      <c r="L2038" s="17">
        <v>39147.045689999999</v>
      </c>
      <c r="M2038" s="17">
        <v>2024</v>
      </c>
      <c r="N2038" s="17" t="s">
        <v>174</v>
      </c>
    </row>
    <row r="2039" spans="1:14" ht="14.25" customHeight="1">
      <c r="A2039" s="17">
        <v>12038</v>
      </c>
      <c r="B2039" s="18">
        <v>45945</v>
      </c>
      <c r="C2039" s="17" t="s">
        <v>50</v>
      </c>
      <c r="D2039" s="17" t="s">
        <v>83</v>
      </c>
      <c r="E2039" s="17" t="s">
        <v>168</v>
      </c>
      <c r="F2039" s="17" t="s">
        <v>164</v>
      </c>
      <c r="G2039" s="17">
        <v>2</v>
      </c>
      <c r="H2039" s="17">
        <v>34483</v>
      </c>
      <c r="I2039" s="17">
        <v>68966</v>
      </c>
      <c r="J2039" s="17">
        <v>573</v>
      </c>
      <c r="K2039" s="17">
        <v>68393</v>
      </c>
      <c r="L2039" s="17">
        <v>16760.445790000002</v>
      </c>
      <c r="M2039" s="17">
        <v>2025</v>
      </c>
      <c r="N2039" s="17" t="s">
        <v>174</v>
      </c>
    </row>
    <row r="2040" spans="1:14" ht="14.25" customHeight="1">
      <c r="A2040" s="17">
        <v>12039</v>
      </c>
      <c r="B2040" s="18">
        <v>45344</v>
      </c>
      <c r="C2040" s="17" t="s">
        <v>45</v>
      </c>
      <c r="D2040" s="17" t="s">
        <v>170</v>
      </c>
      <c r="E2040" s="17" t="s">
        <v>162</v>
      </c>
      <c r="F2040" s="17" t="s">
        <v>163</v>
      </c>
      <c r="G2040" s="17">
        <v>4</v>
      </c>
      <c r="H2040" s="17">
        <v>16513</v>
      </c>
      <c r="I2040" s="17">
        <v>66052</v>
      </c>
      <c r="J2040" s="17">
        <v>1537</v>
      </c>
      <c r="K2040" s="17">
        <v>64515</v>
      </c>
      <c r="L2040" s="17">
        <v>8932.8710350000001</v>
      </c>
      <c r="M2040" s="17">
        <v>2024</v>
      </c>
      <c r="N2040" s="17" t="s">
        <v>175</v>
      </c>
    </row>
    <row r="2041" spans="1:14" ht="14.25" customHeight="1">
      <c r="A2041" s="17">
        <v>12040</v>
      </c>
      <c r="B2041" s="18">
        <v>45595</v>
      </c>
      <c r="C2041" s="17" t="s">
        <v>50</v>
      </c>
      <c r="D2041" s="17" t="s">
        <v>89</v>
      </c>
      <c r="E2041" s="17" t="s">
        <v>162</v>
      </c>
      <c r="F2041" s="17" t="s">
        <v>164</v>
      </c>
      <c r="G2041" s="17">
        <v>3</v>
      </c>
      <c r="H2041" s="17">
        <v>60549</v>
      </c>
      <c r="I2041" s="17">
        <v>181647</v>
      </c>
      <c r="J2041" s="17">
        <v>1383</v>
      </c>
      <c r="K2041" s="17">
        <v>180264</v>
      </c>
      <c r="L2041" s="17">
        <v>21870.141479999998</v>
      </c>
      <c r="M2041" s="17">
        <v>2024</v>
      </c>
      <c r="N2041" s="17" t="s">
        <v>174</v>
      </c>
    </row>
    <row r="2042" spans="1:14" ht="14.25" customHeight="1">
      <c r="A2042" s="17">
        <v>12041</v>
      </c>
      <c r="B2042" s="18">
        <v>45360</v>
      </c>
      <c r="C2042" s="17" t="s">
        <v>39</v>
      </c>
      <c r="D2042" s="17" t="s">
        <v>111</v>
      </c>
      <c r="E2042" s="17" t="s">
        <v>165</v>
      </c>
      <c r="F2042" s="17" t="s">
        <v>166</v>
      </c>
      <c r="G2042" s="17">
        <v>4</v>
      </c>
      <c r="H2042" s="17">
        <v>49802</v>
      </c>
      <c r="I2042" s="17">
        <v>199208</v>
      </c>
      <c r="J2042" s="17">
        <v>1380</v>
      </c>
      <c r="K2042" s="17">
        <v>197828</v>
      </c>
      <c r="L2042" s="17">
        <v>20500.181059999999</v>
      </c>
      <c r="M2042" s="17">
        <v>2024</v>
      </c>
      <c r="N2042" s="17" t="s">
        <v>112</v>
      </c>
    </row>
    <row r="2043" spans="1:14" ht="14.25" customHeight="1">
      <c r="A2043" s="17">
        <v>12042</v>
      </c>
      <c r="B2043" s="18">
        <v>45652</v>
      </c>
      <c r="C2043" s="17" t="s">
        <v>50</v>
      </c>
      <c r="D2043" s="17" t="s">
        <v>86</v>
      </c>
      <c r="E2043" s="17" t="s">
        <v>165</v>
      </c>
      <c r="F2043" s="17" t="s">
        <v>163</v>
      </c>
      <c r="G2043" s="17">
        <v>7</v>
      </c>
      <c r="H2043" s="17">
        <v>31451</v>
      </c>
      <c r="I2043" s="17">
        <v>220157</v>
      </c>
      <c r="J2043" s="17">
        <v>3537</v>
      </c>
      <c r="K2043" s="17">
        <v>216620</v>
      </c>
      <c r="L2043" s="17">
        <v>33971.231769999999</v>
      </c>
      <c r="M2043" s="17">
        <v>2024</v>
      </c>
      <c r="N2043" s="17" t="s">
        <v>169</v>
      </c>
    </row>
    <row r="2044" spans="1:14" ht="14.25" customHeight="1">
      <c r="A2044" s="17">
        <v>12043</v>
      </c>
      <c r="B2044" s="18">
        <v>45893</v>
      </c>
      <c r="C2044" s="17" t="s">
        <v>45</v>
      </c>
      <c r="D2044" s="17" t="s">
        <v>83</v>
      </c>
      <c r="E2044" s="17" t="s">
        <v>165</v>
      </c>
      <c r="F2044" s="17" t="s">
        <v>172</v>
      </c>
      <c r="G2044" s="17">
        <v>5</v>
      </c>
      <c r="H2044" s="17">
        <v>45909</v>
      </c>
      <c r="I2044" s="17">
        <v>229545</v>
      </c>
      <c r="J2044" s="17">
        <v>3159</v>
      </c>
      <c r="K2044" s="17">
        <v>226386</v>
      </c>
      <c r="L2044" s="17">
        <v>29926.34088</v>
      </c>
      <c r="M2044" s="17">
        <v>2025</v>
      </c>
      <c r="N2044" s="17" t="s">
        <v>126</v>
      </c>
    </row>
    <row r="2045" spans="1:14" ht="14.25" customHeight="1">
      <c r="A2045" s="17">
        <v>12044</v>
      </c>
      <c r="B2045" s="18">
        <v>45511</v>
      </c>
      <c r="C2045" s="17" t="s">
        <v>50</v>
      </c>
      <c r="D2045" s="17" t="s">
        <v>89</v>
      </c>
      <c r="E2045" s="17" t="s">
        <v>165</v>
      </c>
      <c r="F2045" s="17" t="s">
        <v>163</v>
      </c>
      <c r="G2045" s="17">
        <v>4</v>
      </c>
      <c r="H2045" s="17">
        <v>53091</v>
      </c>
      <c r="I2045" s="17">
        <v>212364</v>
      </c>
      <c r="J2045" s="17">
        <v>1523</v>
      </c>
      <c r="K2045" s="17">
        <v>210841</v>
      </c>
      <c r="L2045" s="17">
        <v>36639.719899999996</v>
      </c>
      <c r="M2045" s="17">
        <v>2024</v>
      </c>
      <c r="N2045" s="17" t="s">
        <v>126</v>
      </c>
    </row>
    <row r="2046" spans="1:14" ht="14.25" customHeight="1">
      <c r="A2046" s="17">
        <v>12045</v>
      </c>
      <c r="B2046" s="18">
        <v>45995</v>
      </c>
      <c r="C2046" s="17" t="s">
        <v>167</v>
      </c>
      <c r="D2046" s="17" t="s">
        <v>89</v>
      </c>
      <c r="E2046" s="17" t="s">
        <v>165</v>
      </c>
      <c r="F2046" s="17" t="s">
        <v>164</v>
      </c>
      <c r="G2046" s="17">
        <v>6</v>
      </c>
      <c r="H2046" s="17">
        <v>57389</v>
      </c>
      <c r="I2046" s="17">
        <v>344334</v>
      </c>
      <c r="J2046" s="17">
        <v>4991</v>
      </c>
      <c r="K2046" s="17">
        <v>339343</v>
      </c>
      <c r="L2046" s="17">
        <v>60622.237070000003</v>
      </c>
      <c r="M2046" s="17">
        <v>2025</v>
      </c>
      <c r="N2046" s="17" t="s">
        <v>169</v>
      </c>
    </row>
    <row r="2047" spans="1:14" ht="14.25" customHeight="1">
      <c r="A2047" s="17">
        <v>12046</v>
      </c>
      <c r="B2047" s="18">
        <v>45866</v>
      </c>
      <c r="C2047" s="17" t="s">
        <v>58</v>
      </c>
      <c r="D2047" s="17" t="s">
        <v>83</v>
      </c>
      <c r="E2047" s="17" t="s">
        <v>162</v>
      </c>
      <c r="F2047" s="17" t="s">
        <v>163</v>
      </c>
      <c r="G2047" s="17">
        <v>7</v>
      </c>
      <c r="H2047" s="17">
        <v>45963</v>
      </c>
      <c r="I2047" s="17">
        <v>321741</v>
      </c>
      <c r="J2047" s="17">
        <v>4612</v>
      </c>
      <c r="K2047" s="17">
        <v>317129</v>
      </c>
      <c r="L2047" s="17">
        <v>48330.193740000002</v>
      </c>
      <c r="M2047" s="17">
        <v>2025</v>
      </c>
      <c r="N2047" s="17" t="s">
        <v>123</v>
      </c>
    </row>
    <row r="2048" spans="1:14" ht="14.25" customHeight="1">
      <c r="A2048" s="17">
        <v>12047</v>
      </c>
      <c r="B2048" s="18">
        <v>45876</v>
      </c>
      <c r="C2048" s="17" t="s">
        <v>39</v>
      </c>
      <c r="D2048" s="17" t="s">
        <v>111</v>
      </c>
      <c r="E2048" s="17" t="s">
        <v>162</v>
      </c>
      <c r="F2048" s="17" t="s">
        <v>163</v>
      </c>
      <c r="G2048" s="17">
        <v>5</v>
      </c>
      <c r="H2048" s="17">
        <v>59734</v>
      </c>
      <c r="I2048" s="17">
        <v>298670</v>
      </c>
      <c r="J2048" s="17">
        <v>3932</v>
      </c>
      <c r="K2048" s="17">
        <v>294738</v>
      </c>
      <c r="L2048" s="17">
        <v>62627.679020000003</v>
      </c>
      <c r="M2048" s="17">
        <v>2025</v>
      </c>
      <c r="N2048" s="17" t="s">
        <v>126</v>
      </c>
    </row>
    <row r="2049" spans="1:14" ht="14.25" customHeight="1">
      <c r="A2049" s="17">
        <v>12048</v>
      </c>
      <c r="B2049" s="18">
        <v>45452</v>
      </c>
      <c r="C2049" s="17" t="s">
        <v>167</v>
      </c>
      <c r="D2049" s="17" t="s">
        <v>111</v>
      </c>
      <c r="E2049" s="17" t="s">
        <v>165</v>
      </c>
      <c r="F2049" s="17" t="s">
        <v>164</v>
      </c>
      <c r="G2049" s="17">
        <v>7</v>
      </c>
      <c r="H2049" s="17">
        <v>70509</v>
      </c>
      <c r="I2049" s="17">
        <v>493563</v>
      </c>
      <c r="J2049" s="17">
        <v>3622</v>
      </c>
      <c r="K2049" s="17">
        <v>489941</v>
      </c>
      <c r="L2049" s="17">
        <v>115489.38280000001</v>
      </c>
      <c r="M2049" s="17">
        <v>2024</v>
      </c>
      <c r="N2049" s="17" t="s">
        <v>120</v>
      </c>
    </row>
    <row r="2050" spans="1:14" ht="14.25" customHeight="1">
      <c r="A2050" s="17">
        <v>12049</v>
      </c>
      <c r="B2050" s="18">
        <v>45972</v>
      </c>
      <c r="C2050" s="17" t="s">
        <v>167</v>
      </c>
      <c r="D2050" s="17" t="s">
        <v>170</v>
      </c>
      <c r="E2050" s="17" t="s">
        <v>168</v>
      </c>
      <c r="F2050" s="17" t="s">
        <v>172</v>
      </c>
      <c r="G2050" s="17">
        <v>3</v>
      </c>
      <c r="H2050" s="17">
        <v>37291</v>
      </c>
      <c r="I2050" s="17">
        <v>111873</v>
      </c>
      <c r="J2050" s="17">
        <v>895</v>
      </c>
      <c r="K2050" s="17">
        <v>110978</v>
      </c>
      <c r="L2050" s="17">
        <v>14618.96155</v>
      </c>
      <c r="M2050" s="17">
        <v>2025</v>
      </c>
      <c r="N2050" s="17" t="s">
        <v>173</v>
      </c>
    </row>
    <row r="2051" spans="1:14" ht="14.25" customHeight="1">
      <c r="A2051" s="17">
        <v>12050</v>
      </c>
      <c r="B2051" s="18">
        <v>45380</v>
      </c>
      <c r="C2051" s="17" t="s">
        <v>45</v>
      </c>
      <c r="D2051" s="17" t="s">
        <v>111</v>
      </c>
      <c r="E2051" s="17" t="s">
        <v>165</v>
      </c>
      <c r="F2051" s="17" t="s">
        <v>166</v>
      </c>
      <c r="G2051" s="17">
        <v>7</v>
      </c>
      <c r="H2051" s="17">
        <v>26817</v>
      </c>
      <c r="I2051" s="17">
        <v>187719</v>
      </c>
      <c r="J2051" s="17">
        <v>3393</v>
      </c>
      <c r="K2051" s="17">
        <v>184326</v>
      </c>
      <c r="L2051" s="17">
        <v>41555.31351</v>
      </c>
      <c r="M2051" s="17">
        <v>2024</v>
      </c>
      <c r="N2051" s="17" t="s">
        <v>112</v>
      </c>
    </row>
    <row r="2052" spans="1:14" ht="14.25" customHeight="1">
      <c r="A2052" s="17">
        <v>12051</v>
      </c>
      <c r="B2052" s="18">
        <v>45979</v>
      </c>
      <c r="C2052" s="17" t="s">
        <v>58</v>
      </c>
      <c r="D2052" s="17" t="s">
        <v>170</v>
      </c>
      <c r="E2052" s="17" t="s">
        <v>168</v>
      </c>
      <c r="F2052" s="17" t="s">
        <v>163</v>
      </c>
      <c r="G2052" s="17">
        <v>3</v>
      </c>
      <c r="H2052" s="17">
        <v>78666</v>
      </c>
      <c r="I2052" s="17">
        <v>235998</v>
      </c>
      <c r="J2052" s="17">
        <v>464</v>
      </c>
      <c r="K2052" s="17">
        <v>235534</v>
      </c>
      <c r="L2052" s="17">
        <v>28188.281620000002</v>
      </c>
      <c r="M2052" s="17">
        <v>2025</v>
      </c>
      <c r="N2052" s="17" t="s">
        <v>173</v>
      </c>
    </row>
    <row r="2053" spans="1:14" ht="14.25" customHeight="1">
      <c r="A2053" s="17">
        <v>12052</v>
      </c>
      <c r="B2053" s="18">
        <v>45876</v>
      </c>
      <c r="C2053" s="17" t="s">
        <v>58</v>
      </c>
      <c r="D2053" s="17" t="s">
        <v>89</v>
      </c>
      <c r="E2053" s="17" t="s">
        <v>162</v>
      </c>
      <c r="F2053" s="17" t="s">
        <v>172</v>
      </c>
      <c r="G2053" s="17">
        <v>6</v>
      </c>
      <c r="H2053" s="17">
        <v>7559</v>
      </c>
      <c r="I2053" s="17">
        <v>45354</v>
      </c>
      <c r="J2053" s="17">
        <v>1610</v>
      </c>
      <c r="K2053" s="17">
        <v>43744</v>
      </c>
      <c r="L2053" s="17">
        <v>5875.0522540000002</v>
      </c>
      <c r="M2053" s="17">
        <v>2025</v>
      </c>
      <c r="N2053" s="17" t="s">
        <v>126</v>
      </c>
    </row>
    <row r="2054" spans="1:14" ht="14.25" customHeight="1">
      <c r="A2054" s="17">
        <v>12053</v>
      </c>
      <c r="B2054" s="18">
        <v>45880</v>
      </c>
      <c r="C2054" s="17" t="s">
        <v>39</v>
      </c>
      <c r="D2054" s="17" t="s">
        <v>83</v>
      </c>
      <c r="E2054" s="17" t="s">
        <v>168</v>
      </c>
      <c r="F2054" s="17" t="s">
        <v>166</v>
      </c>
      <c r="G2054" s="17">
        <v>8</v>
      </c>
      <c r="H2054" s="17">
        <v>19744</v>
      </c>
      <c r="I2054" s="17">
        <v>157952</v>
      </c>
      <c r="J2054" s="17">
        <v>612</v>
      </c>
      <c r="K2054" s="17">
        <v>157340</v>
      </c>
      <c r="L2054" s="17">
        <v>28983.971610000001</v>
      </c>
      <c r="M2054" s="17">
        <v>2025</v>
      </c>
      <c r="N2054" s="17" t="s">
        <v>126</v>
      </c>
    </row>
    <row r="2055" spans="1:14" ht="14.25" customHeight="1">
      <c r="A2055" s="17">
        <v>12054</v>
      </c>
      <c r="B2055" s="18">
        <v>45450</v>
      </c>
      <c r="C2055" s="17" t="s">
        <v>45</v>
      </c>
      <c r="D2055" s="17" t="s">
        <v>111</v>
      </c>
      <c r="E2055" s="17" t="s">
        <v>162</v>
      </c>
      <c r="F2055" s="17" t="s">
        <v>164</v>
      </c>
      <c r="G2055" s="17">
        <v>6</v>
      </c>
      <c r="H2055" s="17">
        <v>36155</v>
      </c>
      <c r="I2055" s="17">
        <v>216930</v>
      </c>
      <c r="J2055" s="17">
        <v>3212</v>
      </c>
      <c r="K2055" s="17">
        <v>213718</v>
      </c>
      <c r="L2055" s="17">
        <v>31200.097389999999</v>
      </c>
      <c r="M2055" s="17">
        <v>2024</v>
      </c>
      <c r="N2055" s="17" t="s">
        <v>120</v>
      </c>
    </row>
    <row r="2056" spans="1:14" ht="14.25" customHeight="1">
      <c r="A2056" s="17">
        <v>12055</v>
      </c>
      <c r="B2056" s="18">
        <v>45780</v>
      </c>
      <c r="C2056" s="17" t="s">
        <v>39</v>
      </c>
      <c r="D2056" s="17" t="s">
        <v>170</v>
      </c>
      <c r="E2056" s="17" t="s">
        <v>168</v>
      </c>
      <c r="F2056" s="17" t="s">
        <v>172</v>
      </c>
      <c r="G2056" s="17">
        <v>3</v>
      </c>
      <c r="H2056" s="17">
        <v>26021</v>
      </c>
      <c r="I2056" s="17">
        <v>78063</v>
      </c>
      <c r="J2056" s="17">
        <v>604</v>
      </c>
      <c r="K2056" s="17">
        <v>77459</v>
      </c>
      <c r="L2056" s="17">
        <v>8230.5314190000008</v>
      </c>
      <c r="M2056" s="17">
        <v>2025</v>
      </c>
      <c r="N2056" s="17" t="s">
        <v>117</v>
      </c>
    </row>
    <row r="2057" spans="1:14" ht="14.25" customHeight="1">
      <c r="A2057" s="17">
        <v>12056</v>
      </c>
      <c r="B2057" s="18">
        <v>45615</v>
      </c>
      <c r="C2057" s="17" t="s">
        <v>50</v>
      </c>
      <c r="D2057" s="17" t="s">
        <v>89</v>
      </c>
      <c r="E2057" s="17" t="s">
        <v>162</v>
      </c>
      <c r="F2057" s="17" t="s">
        <v>172</v>
      </c>
      <c r="G2057" s="17">
        <v>5</v>
      </c>
      <c r="H2057" s="17">
        <v>61898</v>
      </c>
      <c r="I2057" s="17">
        <v>309490</v>
      </c>
      <c r="J2057" s="17">
        <v>620</v>
      </c>
      <c r="K2057" s="17">
        <v>308870</v>
      </c>
      <c r="L2057" s="17">
        <v>44548.573759999999</v>
      </c>
      <c r="M2057" s="17">
        <v>2024</v>
      </c>
      <c r="N2057" s="17" t="s">
        <v>173</v>
      </c>
    </row>
    <row r="2058" spans="1:14" ht="14.25" customHeight="1">
      <c r="A2058" s="17">
        <v>12057</v>
      </c>
      <c r="B2058" s="18">
        <v>45901</v>
      </c>
      <c r="C2058" s="17" t="s">
        <v>167</v>
      </c>
      <c r="D2058" s="17" t="s">
        <v>111</v>
      </c>
      <c r="E2058" s="17" t="s">
        <v>162</v>
      </c>
      <c r="F2058" s="17" t="s">
        <v>163</v>
      </c>
      <c r="G2058" s="17">
        <v>9</v>
      </c>
      <c r="H2058" s="17">
        <v>56036</v>
      </c>
      <c r="I2058" s="17">
        <v>504324</v>
      </c>
      <c r="J2058" s="17">
        <v>2602</v>
      </c>
      <c r="K2058" s="17">
        <v>501722</v>
      </c>
      <c r="L2058" s="17">
        <v>118271.1921</v>
      </c>
      <c r="M2058" s="17">
        <v>2025</v>
      </c>
      <c r="N2058" s="17" t="s">
        <v>129</v>
      </c>
    </row>
    <row r="2059" spans="1:14" ht="14.25" customHeight="1">
      <c r="A2059" s="17">
        <v>12058</v>
      </c>
      <c r="B2059" s="18">
        <v>45672</v>
      </c>
      <c r="C2059" s="17" t="s">
        <v>39</v>
      </c>
      <c r="D2059" s="17" t="s">
        <v>86</v>
      </c>
      <c r="E2059" s="17" t="s">
        <v>165</v>
      </c>
      <c r="F2059" s="17" t="s">
        <v>164</v>
      </c>
      <c r="G2059" s="17">
        <v>8</v>
      </c>
      <c r="H2059" s="17">
        <v>58176</v>
      </c>
      <c r="I2059" s="17">
        <v>465408</v>
      </c>
      <c r="J2059" s="17">
        <v>2183</v>
      </c>
      <c r="K2059" s="17">
        <v>463225</v>
      </c>
      <c r="L2059" s="17">
        <v>58428.178630000002</v>
      </c>
      <c r="M2059" s="17">
        <v>2025</v>
      </c>
      <c r="N2059" s="17" t="s">
        <v>171</v>
      </c>
    </row>
    <row r="2060" spans="1:14" ht="14.25" customHeight="1">
      <c r="A2060" s="17">
        <v>12059</v>
      </c>
      <c r="B2060" s="18">
        <v>45393</v>
      </c>
      <c r="C2060" s="17" t="s">
        <v>167</v>
      </c>
      <c r="D2060" s="17" t="s">
        <v>89</v>
      </c>
      <c r="E2060" s="17" t="s">
        <v>162</v>
      </c>
      <c r="F2060" s="17" t="s">
        <v>163</v>
      </c>
      <c r="G2060" s="17">
        <v>6</v>
      </c>
      <c r="H2060" s="17">
        <v>63399</v>
      </c>
      <c r="I2060" s="17">
        <v>380394</v>
      </c>
      <c r="J2060" s="17">
        <v>3800</v>
      </c>
      <c r="K2060" s="17">
        <v>376594</v>
      </c>
      <c r="L2060" s="17">
        <v>80802.999830000001</v>
      </c>
      <c r="M2060" s="17">
        <v>2024</v>
      </c>
      <c r="N2060" s="17" t="s">
        <v>114</v>
      </c>
    </row>
    <row r="2061" spans="1:14" ht="14.25" customHeight="1">
      <c r="A2061" s="17">
        <v>12060</v>
      </c>
      <c r="B2061" s="18">
        <v>45785</v>
      </c>
      <c r="C2061" s="17" t="s">
        <v>45</v>
      </c>
      <c r="D2061" s="17" t="s">
        <v>111</v>
      </c>
      <c r="E2061" s="17" t="s">
        <v>165</v>
      </c>
      <c r="F2061" s="17" t="s">
        <v>164</v>
      </c>
      <c r="G2061" s="17">
        <v>9</v>
      </c>
      <c r="H2061" s="17">
        <v>23006</v>
      </c>
      <c r="I2061" s="17">
        <v>207054</v>
      </c>
      <c r="J2061" s="17">
        <v>155</v>
      </c>
      <c r="K2061" s="17">
        <v>206899</v>
      </c>
      <c r="L2061" s="17">
        <v>43105.813710000002</v>
      </c>
      <c r="M2061" s="17">
        <v>2025</v>
      </c>
      <c r="N2061" s="17" t="s">
        <v>117</v>
      </c>
    </row>
    <row r="2062" spans="1:14" ht="14.25" customHeight="1">
      <c r="A2062" s="17">
        <v>12061</v>
      </c>
      <c r="B2062" s="18">
        <v>45935</v>
      </c>
      <c r="C2062" s="17" t="s">
        <v>50</v>
      </c>
      <c r="D2062" s="17" t="s">
        <v>89</v>
      </c>
      <c r="E2062" s="17" t="s">
        <v>165</v>
      </c>
      <c r="F2062" s="17" t="s">
        <v>166</v>
      </c>
      <c r="G2062" s="17">
        <v>2</v>
      </c>
      <c r="H2062" s="17">
        <v>57434</v>
      </c>
      <c r="I2062" s="17">
        <v>114868</v>
      </c>
      <c r="J2062" s="17">
        <v>3353</v>
      </c>
      <c r="K2062" s="17">
        <v>111515</v>
      </c>
      <c r="L2062" s="17">
        <v>12928.349050000001</v>
      </c>
      <c r="M2062" s="17">
        <v>2025</v>
      </c>
      <c r="N2062" s="17" t="s">
        <v>174</v>
      </c>
    </row>
    <row r="2063" spans="1:14" ht="14.25" customHeight="1">
      <c r="A2063" s="17">
        <v>12062</v>
      </c>
      <c r="B2063" s="18">
        <v>45905</v>
      </c>
      <c r="C2063" s="17" t="s">
        <v>45</v>
      </c>
      <c r="D2063" s="17" t="s">
        <v>83</v>
      </c>
      <c r="E2063" s="17" t="s">
        <v>165</v>
      </c>
      <c r="F2063" s="17" t="s">
        <v>163</v>
      </c>
      <c r="G2063" s="17">
        <v>9</v>
      </c>
      <c r="H2063" s="17">
        <v>69591</v>
      </c>
      <c r="I2063" s="17">
        <v>626319</v>
      </c>
      <c r="J2063" s="17">
        <v>3911</v>
      </c>
      <c r="K2063" s="17">
        <v>622408</v>
      </c>
      <c r="L2063" s="17">
        <v>92997.990510000003</v>
      </c>
      <c r="M2063" s="17">
        <v>2025</v>
      </c>
      <c r="N2063" s="17" t="s">
        <v>129</v>
      </c>
    </row>
    <row r="2064" spans="1:14" ht="14.25" customHeight="1">
      <c r="A2064" s="17">
        <v>12063</v>
      </c>
      <c r="B2064" s="18">
        <v>45310</v>
      </c>
      <c r="C2064" s="17" t="s">
        <v>50</v>
      </c>
      <c r="D2064" s="17" t="s">
        <v>83</v>
      </c>
      <c r="E2064" s="17" t="s">
        <v>168</v>
      </c>
      <c r="F2064" s="17" t="s">
        <v>164</v>
      </c>
      <c r="G2064" s="17">
        <v>6</v>
      </c>
      <c r="H2064" s="17">
        <v>8069</v>
      </c>
      <c r="I2064" s="17">
        <v>48414</v>
      </c>
      <c r="J2064" s="17">
        <v>2917</v>
      </c>
      <c r="K2064" s="17">
        <v>45497</v>
      </c>
      <c r="L2064" s="17">
        <v>5841.9714629999999</v>
      </c>
      <c r="M2064" s="17">
        <v>2024</v>
      </c>
      <c r="N2064" s="17" t="s">
        <v>171</v>
      </c>
    </row>
    <row r="2065" spans="1:14" ht="14.25" customHeight="1">
      <c r="A2065" s="17">
        <v>12064</v>
      </c>
      <c r="B2065" s="18">
        <v>45745</v>
      </c>
      <c r="C2065" s="17" t="s">
        <v>50</v>
      </c>
      <c r="D2065" s="17" t="s">
        <v>83</v>
      </c>
      <c r="E2065" s="17" t="s">
        <v>168</v>
      </c>
      <c r="F2065" s="17" t="s">
        <v>164</v>
      </c>
      <c r="G2065" s="17">
        <v>9</v>
      </c>
      <c r="H2065" s="17">
        <v>11486</v>
      </c>
      <c r="I2065" s="17">
        <v>103374</v>
      </c>
      <c r="J2065" s="17">
        <v>3117</v>
      </c>
      <c r="K2065" s="17">
        <v>100257</v>
      </c>
      <c r="L2065" s="17">
        <v>10373.845160000001</v>
      </c>
      <c r="M2065" s="17">
        <v>2025</v>
      </c>
      <c r="N2065" s="17" t="s">
        <v>112</v>
      </c>
    </row>
    <row r="2066" spans="1:14" ht="14.25" customHeight="1">
      <c r="A2066" s="17">
        <v>12065</v>
      </c>
      <c r="B2066" s="18">
        <v>45773</v>
      </c>
      <c r="C2066" s="17" t="s">
        <v>167</v>
      </c>
      <c r="D2066" s="17" t="s">
        <v>86</v>
      </c>
      <c r="E2066" s="17" t="s">
        <v>162</v>
      </c>
      <c r="F2066" s="17" t="s">
        <v>172</v>
      </c>
      <c r="G2066" s="17">
        <v>4</v>
      </c>
      <c r="H2066" s="17">
        <v>70389</v>
      </c>
      <c r="I2066" s="17">
        <v>281556</v>
      </c>
      <c r="J2066" s="17">
        <v>2715</v>
      </c>
      <c r="K2066" s="17">
        <v>278841</v>
      </c>
      <c r="L2066" s="17">
        <v>35121.72524</v>
      </c>
      <c r="M2066" s="17">
        <v>2025</v>
      </c>
      <c r="N2066" s="17" t="s">
        <v>114</v>
      </c>
    </row>
    <row r="2067" spans="1:14" ht="14.25" customHeight="1">
      <c r="A2067" s="17">
        <v>12066</v>
      </c>
      <c r="B2067" s="18">
        <v>45885</v>
      </c>
      <c r="C2067" s="17" t="s">
        <v>45</v>
      </c>
      <c r="D2067" s="17" t="s">
        <v>83</v>
      </c>
      <c r="E2067" s="17" t="s">
        <v>165</v>
      </c>
      <c r="F2067" s="17" t="s">
        <v>163</v>
      </c>
      <c r="G2067" s="17">
        <v>5</v>
      </c>
      <c r="H2067" s="17">
        <v>40428</v>
      </c>
      <c r="I2067" s="17">
        <v>202140</v>
      </c>
      <c r="J2067" s="17">
        <v>4339</v>
      </c>
      <c r="K2067" s="17">
        <v>197801</v>
      </c>
      <c r="L2067" s="17">
        <v>25760.947759999999</v>
      </c>
      <c r="M2067" s="17">
        <v>2025</v>
      </c>
      <c r="N2067" s="17" t="s">
        <v>126</v>
      </c>
    </row>
    <row r="2068" spans="1:14" ht="14.25" customHeight="1">
      <c r="A2068" s="17">
        <v>12067</v>
      </c>
      <c r="B2068" s="18">
        <v>45688</v>
      </c>
      <c r="C2068" s="17" t="s">
        <v>45</v>
      </c>
      <c r="D2068" s="17" t="s">
        <v>86</v>
      </c>
      <c r="E2068" s="17" t="s">
        <v>165</v>
      </c>
      <c r="F2068" s="17" t="s">
        <v>163</v>
      </c>
      <c r="G2068" s="17">
        <v>2</v>
      </c>
      <c r="H2068" s="17">
        <v>33800</v>
      </c>
      <c r="I2068" s="17">
        <v>67600</v>
      </c>
      <c r="J2068" s="17">
        <v>449</v>
      </c>
      <c r="K2068" s="17">
        <v>67151</v>
      </c>
      <c r="L2068" s="17">
        <v>8386.9609380000002</v>
      </c>
      <c r="M2068" s="17">
        <v>2025</v>
      </c>
      <c r="N2068" s="17" t="s">
        <v>171</v>
      </c>
    </row>
    <row r="2069" spans="1:14" ht="14.25" customHeight="1">
      <c r="A2069" s="17">
        <v>12068</v>
      </c>
      <c r="B2069" s="18">
        <v>45570</v>
      </c>
      <c r="C2069" s="17" t="s">
        <v>39</v>
      </c>
      <c r="D2069" s="17" t="s">
        <v>83</v>
      </c>
      <c r="E2069" s="17" t="s">
        <v>162</v>
      </c>
      <c r="F2069" s="17" t="s">
        <v>166</v>
      </c>
      <c r="G2069" s="17">
        <v>3</v>
      </c>
      <c r="H2069" s="17">
        <v>42220</v>
      </c>
      <c r="I2069" s="17">
        <v>126660</v>
      </c>
      <c r="J2069" s="17">
        <v>4849</v>
      </c>
      <c r="K2069" s="17">
        <v>121811</v>
      </c>
      <c r="L2069" s="17">
        <v>13845.59633</v>
      </c>
      <c r="M2069" s="17">
        <v>2024</v>
      </c>
      <c r="N2069" s="17" t="s">
        <v>174</v>
      </c>
    </row>
    <row r="2070" spans="1:14" ht="14.25" customHeight="1">
      <c r="A2070" s="17">
        <v>12069</v>
      </c>
      <c r="B2070" s="18">
        <v>45656</v>
      </c>
      <c r="C2070" s="17" t="s">
        <v>45</v>
      </c>
      <c r="D2070" s="17" t="s">
        <v>89</v>
      </c>
      <c r="E2070" s="17" t="s">
        <v>165</v>
      </c>
      <c r="F2070" s="17" t="s">
        <v>164</v>
      </c>
      <c r="G2070" s="17">
        <v>1</v>
      </c>
      <c r="H2070" s="17">
        <v>61254</v>
      </c>
      <c r="I2070" s="17">
        <v>61254</v>
      </c>
      <c r="J2070" s="17">
        <v>4501</v>
      </c>
      <c r="K2070" s="17">
        <v>56753</v>
      </c>
      <c r="L2070" s="17">
        <v>10155.709279999999</v>
      </c>
      <c r="M2070" s="17">
        <v>2024</v>
      </c>
      <c r="N2070" s="17" t="s">
        <v>169</v>
      </c>
    </row>
    <row r="2071" spans="1:14" ht="14.25" customHeight="1">
      <c r="A2071" s="17">
        <v>12070</v>
      </c>
      <c r="B2071" s="18">
        <v>45622</v>
      </c>
      <c r="C2071" s="17" t="s">
        <v>39</v>
      </c>
      <c r="D2071" s="17" t="s">
        <v>111</v>
      </c>
      <c r="E2071" s="17" t="s">
        <v>162</v>
      </c>
      <c r="F2071" s="17" t="s">
        <v>172</v>
      </c>
      <c r="G2071" s="17">
        <v>4</v>
      </c>
      <c r="H2071" s="17">
        <v>16869</v>
      </c>
      <c r="I2071" s="17">
        <v>67476</v>
      </c>
      <c r="J2071" s="17">
        <v>3961</v>
      </c>
      <c r="K2071" s="17">
        <v>63515</v>
      </c>
      <c r="L2071" s="17">
        <v>9425.3628100000005</v>
      </c>
      <c r="M2071" s="17">
        <v>2024</v>
      </c>
      <c r="N2071" s="17" t="s">
        <v>173</v>
      </c>
    </row>
    <row r="2072" spans="1:14" ht="14.25" customHeight="1">
      <c r="A2072" s="17">
        <v>12071</v>
      </c>
      <c r="B2072" s="18">
        <v>45932</v>
      </c>
      <c r="C2072" s="17" t="s">
        <v>58</v>
      </c>
      <c r="D2072" s="17" t="s">
        <v>111</v>
      </c>
      <c r="E2072" s="17" t="s">
        <v>165</v>
      </c>
      <c r="F2072" s="17" t="s">
        <v>164</v>
      </c>
      <c r="G2072" s="17">
        <v>2</v>
      </c>
      <c r="H2072" s="17">
        <v>9176</v>
      </c>
      <c r="I2072" s="17">
        <v>18352</v>
      </c>
      <c r="J2072" s="17">
        <v>1069</v>
      </c>
      <c r="K2072" s="17">
        <v>17283</v>
      </c>
      <c r="L2072" s="17">
        <v>4082.8910569999998</v>
      </c>
      <c r="M2072" s="17">
        <v>2025</v>
      </c>
      <c r="N2072" s="17" t="s">
        <v>174</v>
      </c>
    </row>
    <row r="2073" spans="1:14" ht="14.25" customHeight="1">
      <c r="A2073" s="17">
        <v>12072</v>
      </c>
      <c r="B2073" s="18">
        <v>45635</v>
      </c>
      <c r="C2073" s="17" t="s">
        <v>58</v>
      </c>
      <c r="D2073" s="17" t="s">
        <v>83</v>
      </c>
      <c r="E2073" s="17" t="s">
        <v>168</v>
      </c>
      <c r="F2073" s="17" t="s">
        <v>164</v>
      </c>
      <c r="G2073" s="17">
        <v>2</v>
      </c>
      <c r="H2073" s="17">
        <v>41454</v>
      </c>
      <c r="I2073" s="17">
        <v>82908</v>
      </c>
      <c r="J2073" s="17">
        <v>4017</v>
      </c>
      <c r="K2073" s="17">
        <v>78891</v>
      </c>
      <c r="L2073" s="17">
        <v>10104.51866</v>
      </c>
      <c r="M2073" s="17">
        <v>2024</v>
      </c>
      <c r="N2073" s="17" t="s">
        <v>169</v>
      </c>
    </row>
    <row r="2074" spans="1:14" ht="14.25" customHeight="1">
      <c r="A2074" s="17">
        <v>12073</v>
      </c>
      <c r="B2074" s="18">
        <v>45746</v>
      </c>
      <c r="C2074" s="17" t="s">
        <v>58</v>
      </c>
      <c r="D2074" s="17" t="s">
        <v>111</v>
      </c>
      <c r="E2074" s="17" t="s">
        <v>162</v>
      </c>
      <c r="F2074" s="17" t="s">
        <v>164</v>
      </c>
      <c r="G2074" s="17">
        <v>1</v>
      </c>
      <c r="H2074" s="17">
        <v>75773</v>
      </c>
      <c r="I2074" s="17">
        <v>75773</v>
      </c>
      <c r="J2074" s="17">
        <v>4844</v>
      </c>
      <c r="K2074" s="17">
        <v>70929</v>
      </c>
      <c r="L2074" s="17">
        <v>13506.96652</v>
      </c>
      <c r="M2074" s="17">
        <v>2025</v>
      </c>
      <c r="N2074" s="17" t="s">
        <v>112</v>
      </c>
    </row>
    <row r="2075" spans="1:14" ht="14.25" customHeight="1">
      <c r="A2075" s="17">
        <v>12074</v>
      </c>
      <c r="B2075" s="18">
        <v>45892</v>
      </c>
      <c r="C2075" s="17" t="s">
        <v>45</v>
      </c>
      <c r="D2075" s="17" t="s">
        <v>83</v>
      </c>
      <c r="E2075" s="17" t="s">
        <v>162</v>
      </c>
      <c r="F2075" s="17" t="s">
        <v>163</v>
      </c>
      <c r="G2075" s="17">
        <v>2</v>
      </c>
      <c r="H2075" s="17">
        <v>31453</v>
      </c>
      <c r="I2075" s="17">
        <v>62906</v>
      </c>
      <c r="J2075" s="17">
        <v>3591</v>
      </c>
      <c r="K2075" s="17">
        <v>59315</v>
      </c>
      <c r="L2075" s="17">
        <v>13944.54471</v>
      </c>
      <c r="M2075" s="17">
        <v>2025</v>
      </c>
      <c r="N2075" s="17" t="s">
        <v>126</v>
      </c>
    </row>
    <row r="2076" spans="1:14" ht="14.25" customHeight="1">
      <c r="A2076" s="17">
        <v>12075</v>
      </c>
      <c r="B2076" s="18">
        <v>46016</v>
      </c>
      <c r="C2076" s="17" t="s">
        <v>45</v>
      </c>
      <c r="D2076" s="17" t="s">
        <v>83</v>
      </c>
      <c r="E2076" s="17" t="s">
        <v>168</v>
      </c>
      <c r="F2076" s="17" t="s">
        <v>164</v>
      </c>
      <c r="G2076" s="17">
        <v>4</v>
      </c>
      <c r="H2076" s="17">
        <v>61813</v>
      </c>
      <c r="I2076" s="17">
        <v>247252</v>
      </c>
      <c r="J2076" s="17">
        <v>2819</v>
      </c>
      <c r="K2076" s="17">
        <v>244433</v>
      </c>
      <c r="L2076" s="17">
        <v>26173.5062</v>
      </c>
      <c r="M2076" s="17">
        <v>2025</v>
      </c>
      <c r="N2076" s="17" t="s">
        <v>169</v>
      </c>
    </row>
    <row r="2077" spans="1:14" ht="14.25" customHeight="1">
      <c r="A2077" s="17">
        <v>12076</v>
      </c>
      <c r="B2077" s="18">
        <v>45946</v>
      </c>
      <c r="C2077" s="17" t="s">
        <v>39</v>
      </c>
      <c r="D2077" s="17" t="s">
        <v>170</v>
      </c>
      <c r="E2077" s="17" t="s">
        <v>162</v>
      </c>
      <c r="F2077" s="17" t="s">
        <v>166</v>
      </c>
      <c r="G2077" s="17">
        <v>6</v>
      </c>
      <c r="H2077" s="17">
        <v>71326</v>
      </c>
      <c r="I2077" s="17">
        <v>427956</v>
      </c>
      <c r="J2077" s="17">
        <v>2285</v>
      </c>
      <c r="K2077" s="17">
        <v>425671</v>
      </c>
      <c r="L2077" s="17">
        <v>75531.752099999998</v>
      </c>
      <c r="M2077" s="17">
        <v>2025</v>
      </c>
      <c r="N2077" s="17" t="s">
        <v>174</v>
      </c>
    </row>
    <row r="2078" spans="1:14" ht="14.25" customHeight="1">
      <c r="A2078" s="17">
        <v>12077</v>
      </c>
      <c r="B2078" s="18">
        <v>45356</v>
      </c>
      <c r="C2078" s="17" t="s">
        <v>50</v>
      </c>
      <c r="D2078" s="17" t="s">
        <v>170</v>
      </c>
      <c r="E2078" s="17" t="s">
        <v>168</v>
      </c>
      <c r="F2078" s="17" t="s">
        <v>172</v>
      </c>
      <c r="G2078" s="17">
        <v>7</v>
      </c>
      <c r="H2078" s="17">
        <v>52595</v>
      </c>
      <c r="I2078" s="17">
        <v>368165</v>
      </c>
      <c r="J2078" s="17">
        <v>2035</v>
      </c>
      <c r="K2078" s="17">
        <v>366130</v>
      </c>
      <c r="L2078" s="17">
        <v>61363.505850000001</v>
      </c>
      <c r="M2078" s="17">
        <v>2024</v>
      </c>
      <c r="N2078" s="17" t="s">
        <v>112</v>
      </c>
    </row>
    <row r="2079" spans="1:14" ht="14.25" customHeight="1">
      <c r="A2079" s="17">
        <v>12078</v>
      </c>
      <c r="B2079" s="18">
        <v>45367</v>
      </c>
      <c r="C2079" s="17" t="s">
        <v>39</v>
      </c>
      <c r="D2079" s="17" t="s">
        <v>170</v>
      </c>
      <c r="E2079" s="17" t="s">
        <v>165</v>
      </c>
      <c r="F2079" s="17" t="s">
        <v>172</v>
      </c>
      <c r="G2079" s="17">
        <v>7</v>
      </c>
      <c r="H2079" s="17">
        <v>46184</v>
      </c>
      <c r="I2079" s="17">
        <v>323288</v>
      </c>
      <c r="J2079" s="17">
        <v>1190</v>
      </c>
      <c r="K2079" s="17">
        <v>322098</v>
      </c>
      <c r="L2079" s="17">
        <v>77083.459820000004</v>
      </c>
      <c r="M2079" s="17">
        <v>2024</v>
      </c>
      <c r="N2079" s="17" t="s">
        <v>112</v>
      </c>
    </row>
    <row r="2080" spans="1:14" ht="14.25" customHeight="1">
      <c r="A2080" s="17">
        <v>12079</v>
      </c>
      <c r="B2080" s="18">
        <v>46002</v>
      </c>
      <c r="C2080" s="17" t="s">
        <v>58</v>
      </c>
      <c r="D2080" s="17" t="s">
        <v>86</v>
      </c>
      <c r="E2080" s="17" t="s">
        <v>168</v>
      </c>
      <c r="F2080" s="17" t="s">
        <v>164</v>
      </c>
      <c r="G2080" s="17">
        <v>7</v>
      </c>
      <c r="H2080" s="17">
        <v>57186</v>
      </c>
      <c r="I2080" s="17">
        <v>400302</v>
      </c>
      <c r="J2080" s="17">
        <v>1399</v>
      </c>
      <c r="K2080" s="17">
        <v>398903</v>
      </c>
      <c r="L2080" s="17">
        <v>79606.963879999996</v>
      </c>
      <c r="M2080" s="17">
        <v>2025</v>
      </c>
      <c r="N2080" s="17" t="s">
        <v>169</v>
      </c>
    </row>
    <row r="2081" spans="1:14" ht="14.25" customHeight="1">
      <c r="A2081" s="17">
        <v>12080</v>
      </c>
      <c r="B2081" s="18">
        <v>45434</v>
      </c>
      <c r="C2081" s="17" t="s">
        <v>39</v>
      </c>
      <c r="D2081" s="17" t="s">
        <v>170</v>
      </c>
      <c r="E2081" s="17" t="s">
        <v>168</v>
      </c>
      <c r="F2081" s="17" t="s">
        <v>172</v>
      </c>
      <c r="G2081" s="17">
        <v>4</v>
      </c>
      <c r="H2081" s="17">
        <v>21609</v>
      </c>
      <c r="I2081" s="17">
        <v>86436</v>
      </c>
      <c r="J2081" s="17">
        <v>3740</v>
      </c>
      <c r="K2081" s="17">
        <v>82696</v>
      </c>
      <c r="L2081" s="17">
        <v>12600.737789999999</v>
      </c>
      <c r="M2081" s="17">
        <v>2024</v>
      </c>
      <c r="N2081" s="17" t="s">
        <v>117</v>
      </c>
    </row>
    <row r="2082" spans="1:14" ht="14.25" customHeight="1">
      <c r="A2082" s="17">
        <v>12081</v>
      </c>
      <c r="B2082" s="18">
        <v>45896</v>
      </c>
      <c r="C2082" s="17" t="s">
        <v>50</v>
      </c>
      <c r="D2082" s="17" t="s">
        <v>83</v>
      </c>
      <c r="E2082" s="17" t="s">
        <v>162</v>
      </c>
      <c r="F2082" s="17" t="s">
        <v>164</v>
      </c>
      <c r="G2082" s="17">
        <v>5</v>
      </c>
      <c r="H2082" s="17">
        <v>79539</v>
      </c>
      <c r="I2082" s="17">
        <v>397695</v>
      </c>
      <c r="J2082" s="17">
        <v>2248</v>
      </c>
      <c r="K2082" s="17">
        <v>395447</v>
      </c>
      <c r="L2082" s="17">
        <v>81750.039690000005</v>
      </c>
      <c r="M2082" s="17">
        <v>2025</v>
      </c>
      <c r="N2082" s="17" t="s">
        <v>126</v>
      </c>
    </row>
    <row r="2083" spans="1:14" ht="14.25" customHeight="1">
      <c r="A2083" s="17">
        <v>12082</v>
      </c>
      <c r="B2083" s="18">
        <v>45764</v>
      </c>
      <c r="C2083" s="17" t="s">
        <v>45</v>
      </c>
      <c r="D2083" s="17" t="s">
        <v>89</v>
      </c>
      <c r="E2083" s="17" t="s">
        <v>165</v>
      </c>
      <c r="F2083" s="17" t="s">
        <v>163</v>
      </c>
      <c r="G2083" s="17">
        <v>3</v>
      </c>
      <c r="H2083" s="17">
        <v>32068</v>
      </c>
      <c r="I2083" s="17">
        <v>96204</v>
      </c>
      <c r="J2083" s="17">
        <v>2793</v>
      </c>
      <c r="K2083" s="17">
        <v>93411</v>
      </c>
      <c r="L2083" s="17">
        <v>17505.04421</v>
      </c>
      <c r="M2083" s="17">
        <v>2025</v>
      </c>
      <c r="N2083" s="17" t="s">
        <v>114</v>
      </c>
    </row>
    <row r="2084" spans="1:14" ht="14.25" customHeight="1">
      <c r="A2084" s="17">
        <v>12083</v>
      </c>
      <c r="B2084" s="18">
        <v>45708</v>
      </c>
      <c r="C2084" s="17" t="s">
        <v>39</v>
      </c>
      <c r="D2084" s="17" t="s">
        <v>170</v>
      </c>
      <c r="E2084" s="17" t="s">
        <v>168</v>
      </c>
      <c r="F2084" s="17" t="s">
        <v>172</v>
      </c>
      <c r="G2084" s="17">
        <v>1</v>
      </c>
      <c r="H2084" s="17">
        <v>51996</v>
      </c>
      <c r="I2084" s="17">
        <v>51996</v>
      </c>
      <c r="J2084" s="17">
        <v>723</v>
      </c>
      <c r="K2084" s="17">
        <v>51273</v>
      </c>
      <c r="L2084" s="17">
        <v>7797.3663269999997</v>
      </c>
      <c r="M2084" s="17">
        <v>2025</v>
      </c>
      <c r="N2084" s="17" t="s">
        <v>175</v>
      </c>
    </row>
    <row r="2085" spans="1:14" ht="14.25" customHeight="1">
      <c r="A2085" s="17">
        <v>12084</v>
      </c>
      <c r="B2085" s="18">
        <v>45596</v>
      </c>
      <c r="C2085" s="17" t="s">
        <v>58</v>
      </c>
      <c r="D2085" s="17" t="s">
        <v>170</v>
      </c>
      <c r="E2085" s="17" t="s">
        <v>165</v>
      </c>
      <c r="F2085" s="17" t="s">
        <v>163</v>
      </c>
      <c r="G2085" s="17">
        <v>8</v>
      </c>
      <c r="H2085" s="17">
        <v>66446</v>
      </c>
      <c r="I2085" s="17">
        <v>531568</v>
      </c>
      <c r="J2085" s="17">
        <v>1441</v>
      </c>
      <c r="K2085" s="17">
        <v>530127</v>
      </c>
      <c r="L2085" s="17">
        <v>115454.9289</v>
      </c>
      <c r="M2085" s="17">
        <v>2024</v>
      </c>
      <c r="N2085" s="17" t="s">
        <v>174</v>
      </c>
    </row>
    <row r="2086" spans="1:14" ht="14.25" customHeight="1">
      <c r="A2086" s="17">
        <v>12085</v>
      </c>
      <c r="B2086" s="18">
        <v>45788</v>
      </c>
      <c r="C2086" s="17" t="s">
        <v>58</v>
      </c>
      <c r="D2086" s="17" t="s">
        <v>89</v>
      </c>
      <c r="E2086" s="17" t="s">
        <v>168</v>
      </c>
      <c r="F2086" s="17" t="s">
        <v>163</v>
      </c>
      <c r="G2086" s="17">
        <v>7</v>
      </c>
      <c r="H2086" s="17">
        <v>74759</v>
      </c>
      <c r="I2086" s="17">
        <v>523313</v>
      </c>
      <c r="J2086" s="17">
        <v>4820</v>
      </c>
      <c r="K2086" s="17">
        <v>518493</v>
      </c>
      <c r="L2086" s="17">
        <v>103815.5015</v>
      </c>
      <c r="M2086" s="17">
        <v>2025</v>
      </c>
      <c r="N2086" s="17" t="s">
        <v>117</v>
      </c>
    </row>
    <row r="2087" spans="1:14" ht="14.25" customHeight="1">
      <c r="A2087" s="17">
        <v>12086</v>
      </c>
      <c r="B2087" s="18">
        <v>45582</v>
      </c>
      <c r="C2087" s="17" t="s">
        <v>45</v>
      </c>
      <c r="D2087" s="17" t="s">
        <v>83</v>
      </c>
      <c r="E2087" s="17" t="s">
        <v>162</v>
      </c>
      <c r="F2087" s="17" t="s">
        <v>166</v>
      </c>
      <c r="G2087" s="17">
        <v>9</v>
      </c>
      <c r="H2087" s="17">
        <v>41834</v>
      </c>
      <c r="I2087" s="17">
        <v>376506</v>
      </c>
      <c r="J2087" s="17">
        <v>86</v>
      </c>
      <c r="K2087" s="17">
        <v>376420</v>
      </c>
      <c r="L2087" s="17">
        <v>37947.820449999999</v>
      </c>
      <c r="M2087" s="17">
        <v>2024</v>
      </c>
      <c r="N2087" s="17" t="s">
        <v>174</v>
      </c>
    </row>
    <row r="2088" spans="1:14" ht="14.25" customHeight="1">
      <c r="A2088" s="17">
        <v>12087</v>
      </c>
      <c r="B2088" s="18">
        <v>45393</v>
      </c>
      <c r="C2088" s="17" t="s">
        <v>39</v>
      </c>
      <c r="D2088" s="17" t="s">
        <v>86</v>
      </c>
      <c r="E2088" s="17" t="s">
        <v>168</v>
      </c>
      <c r="F2088" s="17" t="s">
        <v>166</v>
      </c>
      <c r="G2088" s="17">
        <v>4</v>
      </c>
      <c r="H2088" s="17">
        <v>25746</v>
      </c>
      <c r="I2088" s="17">
        <v>102984</v>
      </c>
      <c r="J2088" s="17">
        <v>4149</v>
      </c>
      <c r="K2088" s="17">
        <v>98835</v>
      </c>
      <c r="L2088" s="17">
        <v>22709.33682</v>
      </c>
      <c r="M2088" s="17">
        <v>2024</v>
      </c>
      <c r="N2088" s="17" t="s">
        <v>114</v>
      </c>
    </row>
    <row r="2089" spans="1:14" ht="14.25" customHeight="1">
      <c r="A2089" s="17">
        <v>12088</v>
      </c>
      <c r="B2089" s="18">
        <v>45558</v>
      </c>
      <c r="C2089" s="17" t="s">
        <v>50</v>
      </c>
      <c r="D2089" s="17" t="s">
        <v>170</v>
      </c>
      <c r="E2089" s="17" t="s">
        <v>168</v>
      </c>
      <c r="F2089" s="17" t="s">
        <v>172</v>
      </c>
      <c r="G2089" s="17">
        <v>5</v>
      </c>
      <c r="H2089" s="17">
        <v>26407</v>
      </c>
      <c r="I2089" s="17">
        <v>132035</v>
      </c>
      <c r="J2089" s="17">
        <v>1751</v>
      </c>
      <c r="K2089" s="17">
        <v>130284</v>
      </c>
      <c r="L2089" s="17">
        <v>20788.607820000001</v>
      </c>
      <c r="M2089" s="17">
        <v>2024</v>
      </c>
      <c r="N2089" s="17" t="s">
        <v>129</v>
      </c>
    </row>
    <row r="2090" spans="1:14" ht="14.25" customHeight="1">
      <c r="A2090" s="17">
        <v>12089</v>
      </c>
      <c r="B2090" s="18">
        <v>45913</v>
      </c>
      <c r="C2090" s="17" t="s">
        <v>45</v>
      </c>
      <c r="D2090" s="17" t="s">
        <v>89</v>
      </c>
      <c r="E2090" s="17" t="s">
        <v>165</v>
      </c>
      <c r="F2090" s="17" t="s">
        <v>164</v>
      </c>
      <c r="G2090" s="17">
        <v>5</v>
      </c>
      <c r="H2090" s="17">
        <v>31403</v>
      </c>
      <c r="I2090" s="17">
        <v>157015</v>
      </c>
      <c r="J2090" s="17">
        <v>3420</v>
      </c>
      <c r="K2090" s="17">
        <v>153595</v>
      </c>
      <c r="L2090" s="17">
        <v>30230.128629999999</v>
      </c>
      <c r="M2090" s="17">
        <v>2025</v>
      </c>
      <c r="N2090" s="17" t="s">
        <v>129</v>
      </c>
    </row>
    <row r="2091" spans="1:14" ht="14.25" customHeight="1">
      <c r="A2091" s="17">
        <v>12090</v>
      </c>
      <c r="B2091" s="18">
        <v>45294</v>
      </c>
      <c r="C2091" s="17" t="s">
        <v>39</v>
      </c>
      <c r="D2091" s="17" t="s">
        <v>83</v>
      </c>
      <c r="E2091" s="17" t="s">
        <v>168</v>
      </c>
      <c r="F2091" s="17" t="s">
        <v>164</v>
      </c>
      <c r="G2091" s="17">
        <v>7</v>
      </c>
      <c r="H2091" s="17">
        <v>16637</v>
      </c>
      <c r="I2091" s="17">
        <v>116459</v>
      </c>
      <c r="J2091" s="17">
        <v>4837</v>
      </c>
      <c r="K2091" s="17">
        <v>111622</v>
      </c>
      <c r="L2091" s="17">
        <v>17805.411029999999</v>
      </c>
      <c r="M2091" s="17">
        <v>2024</v>
      </c>
      <c r="N2091" s="17" t="s">
        <v>171</v>
      </c>
    </row>
    <row r="2092" spans="1:14" ht="14.25" customHeight="1">
      <c r="A2092" s="17">
        <v>12091</v>
      </c>
      <c r="B2092" s="18">
        <v>45376</v>
      </c>
      <c r="C2092" s="17" t="s">
        <v>167</v>
      </c>
      <c r="D2092" s="17" t="s">
        <v>111</v>
      </c>
      <c r="E2092" s="17" t="s">
        <v>162</v>
      </c>
      <c r="F2092" s="17" t="s">
        <v>164</v>
      </c>
      <c r="G2092" s="17">
        <v>9</v>
      </c>
      <c r="H2092" s="17">
        <v>13612</v>
      </c>
      <c r="I2092" s="17">
        <v>122508</v>
      </c>
      <c r="J2092" s="17">
        <v>2483</v>
      </c>
      <c r="K2092" s="17">
        <v>120025</v>
      </c>
      <c r="L2092" s="17">
        <v>27870.321899999999</v>
      </c>
      <c r="M2092" s="17">
        <v>2024</v>
      </c>
      <c r="N2092" s="17" t="s">
        <v>112</v>
      </c>
    </row>
    <row r="2093" spans="1:14" ht="14.25" customHeight="1">
      <c r="A2093" s="17">
        <v>12092</v>
      </c>
      <c r="B2093" s="18">
        <v>45619</v>
      </c>
      <c r="C2093" s="17" t="s">
        <v>58</v>
      </c>
      <c r="D2093" s="17" t="s">
        <v>86</v>
      </c>
      <c r="E2093" s="17" t="s">
        <v>162</v>
      </c>
      <c r="F2093" s="17" t="s">
        <v>164</v>
      </c>
      <c r="G2093" s="17">
        <v>8</v>
      </c>
      <c r="H2093" s="17">
        <v>35410</v>
      </c>
      <c r="I2093" s="17">
        <v>283280</v>
      </c>
      <c r="J2093" s="17">
        <v>3212</v>
      </c>
      <c r="K2093" s="17">
        <v>280068</v>
      </c>
      <c r="L2093" s="17">
        <v>55348.527260000003</v>
      </c>
      <c r="M2093" s="17">
        <v>2024</v>
      </c>
      <c r="N2093" s="17" t="s">
        <v>173</v>
      </c>
    </row>
    <row r="2094" spans="1:14" ht="14.25" customHeight="1">
      <c r="A2094" s="17">
        <v>12093</v>
      </c>
      <c r="B2094" s="18">
        <v>45741</v>
      </c>
      <c r="C2094" s="17" t="s">
        <v>50</v>
      </c>
      <c r="D2094" s="17" t="s">
        <v>89</v>
      </c>
      <c r="E2094" s="17" t="s">
        <v>168</v>
      </c>
      <c r="F2094" s="17" t="s">
        <v>166</v>
      </c>
      <c r="G2094" s="17">
        <v>7</v>
      </c>
      <c r="H2094" s="17">
        <v>10160</v>
      </c>
      <c r="I2094" s="17">
        <v>71120</v>
      </c>
      <c r="J2094" s="17">
        <v>3922</v>
      </c>
      <c r="K2094" s="17">
        <v>67198</v>
      </c>
      <c r="L2094" s="17">
        <v>12559.839169999999</v>
      </c>
      <c r="M2094" s="17">
        <v>2025</v>
      </c>
      <c r="N2094" s="17" t="s">
        <v>112</v>
      </c>
    </row>
    <row r="2095" spans="1:14" ht="14.25" customHeight="1">
      <c r="A2095" s="17">
        <v>12094</v>
      </c>
      <c r="B2095" s="18">
        <v>45745</v>
      </c>
      <c r="C2095" s="17" t="s">
        <v>50</v>
      </c>
      <c r="D2095" s="17" t="s">
        <v>89</v>
      </c>
      <c r="E2095" s="17" t="s">
        <v>168</v>
      </c>
      <c r="F2095" s="17" t="s">
        <v>164</v>
      </c>
      <c r="G2095" s="17">
        <v>1</v>
      </c>
      <c r="H2095" s="17">
        <v>65108</v>
      </c>
      <c r="I2095" s="17">
        <v>65108</v>
      </c>
      <c r="J2095" s="17">
        <v>2489</v>
      </c>
      <c r="K2095" s="17">
        <v>62619</v>
      </c>
      <c r="L2095" s="17">
        <v>15469.37976</v>
      </c>
      <c r="M2095" s="17">
        <v>2025</v>
      </c>
      <c r="N2095" s="17" t="s">
        <v>112</v>
      </c>
    </row>
    <row r="2096" spans="1:14" ht="14.25" customHeight="1">
      <c r="A2096" s="17">
        <v>12095</v>
      </c>
      <c r="B2096" s="18">
        <v>45920</v>
      </c>
      <c r="C2096" s="17" t="s">
        <v>50</v>
      </c>
      <c r="D2096" s="17" t="s">
        <v>89</v>
      </c>
      <c r="E2096" s="17" t="s">
        <v>165</v>
      </c>
      <c r="F2096" s="17" t="s">
        <v>164</v>
      </c>
      <c r="G2096" s="17">
        <v>6</v>
      </c>
      <c r="H2096" s="17">
        <v>12728</v>
      </c>
      <c r="I2096" s="17">
        <v>76368</v>
      </c>
      <c r="J2096" s="17">
        <v>1486</v>
      </c>
      <c r="K2096" s="17">
        <v>74882</v>
      </c>
      <c r="L2096" s="17">
        <v>10640.43851</v>
      </c>
      <c r="M2096" s="17">
        <v>2025</v>
      </c>
      <c r="N2096" s="17" t="s">
        <v>129</v>
      </c>
    </row>
    <row r="2097" spans="1:14" ht="14.25" customHeight="1">
      <c r="A2097" s="17">
        <v>12096</v>
      </c>
      <c r="B2097" s="18">
        <v>45512</v>
      </c>
      <c r="C2097" s="17" t="s">
        <v>58</v>
      </c>
      <c r="D2097" s="17" t="s">
        <v>170</v>
      </c>
      <c r="E2097" s="17" t="s">
        <v>165</v>
      </c>
      <c r="F2097" s="17" t="s">
        <v>163</v>
      </c>
      <c r="G2097" s="17">
        <v>9</v>
      </c>
      <c r="H2097" s="17">
        <v>74774</v>
      </c>
      <c r="I2097" s="17">
        <v>672966</v>
      </c>
      <c r="J2097" s="17">
        <v>3527</v>
      </c>
      <c r="K2097" s="17">
        <v>669439</v>
      </c>
      <c r="L2097" s="17">
        <v>73496.465060000002</v>
      </c>
      <c r="M2097" s="17">
        <v>2024</v>
      </c>
      <c r="N2097" s="17" t="s">
        <v>126</v>
      </c>
    </row>
    <row r="2098" spans="1:14" ht="14.25" customHeight="1">
      <c r="A2098" s="17">
        <v>12097</v>
      </c>
      <c r="B2098" s="18">
        <v>45445</v>
      </c>
      <c r="C2098" s="17" t="s">
        <v>39</v>
      </c>
      <c r="D2098" s="17" t="s">
        <v>111</v>
      </c>
      <c r="E2098" s="17" t="s">
        <v>162</v>
      </c>
      <c r="F2098" s="17" t="s">
        <v>164</v>
      </c>
      <c r="G2098" s="17">
        <v>7</v>
      </c>
      <c r="H2098" s="17">
        <v>68594</v>
      </c>
      <c r="I2098" s="17">
        <v>480158</v>
      </c>
      <c r="J2098" s="17">
        <v>72</v>
      </c>
      <c r="K2098" s="17">
        <v>480086</v>
      </c>
      <c r="L2098" s="17">
        <v>85168.007700000002</v>
      </c>
      <c r="M2098" s="17">
        <v>2024</v>
      </c>
      <c r="N2098" s="17" t="s">
        <v>120</v>
      </c>
    </row>
    <row r="2099" spans="1:14" ht="14.25" customHeight="1">
      <c r="A2099" s="17">
        <v>12098</v>
      </c>
      <c r="B2099" s="18">
        <v>45956</v>
      </c>
      <c r="C2099" s="17" t="s">
        <v>45</v>
      </c>
      <c r="D2099" s="17" t="s">
        <v>86</v>
      </c>
      <c r="E2099" s="17" t="s">
        <v>165</v>
      </c>
      <c r="F2099" s="17" t="s">
        <v>164</v>
      </c>
      <c r="G2099" s="17">
        <v>1</v>
      </c>
      <c r="H2099" s="17">
        <v>23464</v>
      </c>
      <c r="I2099" s="17">
        <v>23464</v>
      </c>
      <c r="J2099" s="17">
        <v>724</v>
      </c>
      <c r="K2099" s="17">
        <v>22740</v>
      </c>
      <c r="L2099" s="17">
        <v>3720.3248309999999</v>
      </c>
      <c r="M2099" s="17">
        <v>2025</v>
      </c>
      <c r="N2099" s="17" t="s">
        <v>174</v>
      </c>
    </row>
    <row r="2100" spans="1:14" ht="14.25" customHeight="1">
      <c r="A2100" s="17">
        <v>12099</v>
      </c>
      <c r="B2100" s="18">
        <v>45303</v>
      </c>
      <c r="C2100" s="17" t="s">
        <v>39</v>
      </c>
      <c r="D2100" s="17" t="s">
        <v>83</v>
      </c>
      <c r="E2100" s="17" t="s">
        <v>168</v>
      </c>
      <c r="F2100" s="17" t="s">
        <v>166</v>
      </c>
      <c r="G2100" s="17">
        <v>9</v>
      </c>
      <c r="H2100" s="17">
        <v>36943</v>
      </c>
      <c r="I2100" s="17">
        <v>332487</v>
      </c>
      <c r="J2100" s="17">
        <v>3754</v>
      </c>
      <c r="K2100" s="17">
        <v>328733</v>
      </c>
      <c r="L2100" s="17">
        <v>55274.319609999999</v>
      </c>
      <c r="M2100" s="17">
        <v>2024</v>
      </c>
      <c r="N2100" s="17" t="s">
        <v>171</v>
      </c>
    </row>
    <row r="2101" spans="1:14" ht="14.25" customHeight="1">
      <c r="A2101" s="17">
        <v>12100</v>
      </c>
      <c r="B2101" s="18">
        <v>45424</v>
      </c>
      <c r="C2101" s="17" t="s">
        <v>45</v>
      </c>
      <c r="D2101" s="17" t="s">
        <v>83</v>
      </c>
      <c r="E2101" s="17" t="s">
        <v>162</v>
      </c>
      <c r="F2101" s="17" t="s">
        <v>172</v>
      </c>
      <c r="G2101" s="17">
        <v>3</v>
      </c>
      <c r="H2101" s="17">
        <v>35838</v>
      </c>
      <c r="I2101" s="17">
        <v>107514</v>
      </c>
      <c r="J2101" s="17">
        <v>2995</v>
      </c>
      <c r="K2101" s="17">
        <v>104519</v>
      </c>
      <c r="L2101" s="17">
        <v>20173.81064</v>
      </c>
      <c r="M2101" s="17">
        <v>2024</v>
      </c>
      <c r="N2101" s="17" t="s">
        <v>117</v>
      </c>
    </row>
    <row r="2102" spans="1:14" ht="14.25" customHeight="1">
      <c r="A2102" s="17">
        <v>12101</v>
      </c>
      <c r="B2102" s="18">
        <v>45595</v>
      </c>
      <c r="C2102" s="17" t="s">
        <v>50</v>
      </c>
      <c r="D2102" s="17" t="s">
        <v>111</v>
      </c>
      <c r="E2102" s="17" t="s">
        <v>165</v>
      </c>
      <c r="F2102" s="17" t="s">
        <v>163</v>
      </c>
      <c r="G2102" s="17">
        <v>9</v>
      </c>
      <c r="H2102" s="17">
        <v>10919</v>
      </c>
      <c r="I2102" s="17">
        <v>98271</v>
      </c>
      <c r="J2102" s="17">
        <v>4365</v>
      </c>
      <c r="K2102" s="17">
        <v>93906</v>
      </c>
      <c r="L2102" s="17">
        <v>18055.14186</v>
      </c>
      <c r="M2102" s="17">
        <v>2024</v>
      </c>
      <c r="N2102" s="17" t="s">
        <v>174</v>
      </c>
    </row>
    <row r="2103" spans="1:14" ht="14.25" customHeight="1">
      <c r="A2103" s="17">
        <v>12102</v>
      </c>
      <c r="B2103" s="18">
        <v>45584</v>
      </c>
      <c r="C2103" s="17" t="s">
        <v>39</v>
      </c>
      <c r="D2103" s="17" t="s">
        <v>89</v>
      </c>
      <c r="E2103" s="17" t="s">
        <v>162</v>
      </c>
      <c r="F2103" s="17" t="s">
        <v>163</v>
      </c>
      <c r="G2103" s="17">
        <v>4</v>
      </c>
      <c r="H2103" s="17">
        <v>42092</v>
      </c>
      <c r="I2103" s="17">
        <v>168368</v>
      </c>
      <c r="J2103" s="17">
        <v>218</v>
      </c>
      <c r="K2103" s="17">
        <v>168150</v>
      </c>
      <c r="L2103" s="17">
        <v>26708.886139999999</v>
      </c>
      <c r="M2103" s="17">
        <v>2024</v>
      </c>
      <c r="N2103" s="17" t="s">
        <v>174</v>
      </c>
    </row>
    <row r="2104" spans="1:14" ht="14.25" customHeight="1">
      <c r="A2104" s="17">
        <v>12103</v>
      </c>
      <c r="B2104" s="18">
        <v>45591</v>
      </c>
      <c r="C2104" s="17" t="s">
        <v>50</v>
      </c>
      <c r="D2104" s="17" t="s">
        <v>89</v>
      </c>
      <c r="E2104" s="17" t="s">
        <v>168</v>
      </c>
      <c r="F2104" s="17" t="s">
        <v>172</v>
      </c>
      <c r="G2104" s="17">
        <v>9</v>
      </c>
      <c r="H2104" s="17">
        <v>12797</v>
      </c>
      <c r="I2104" s="17">
        <v>115173</v>
      </c>
      <c r="J2104" s="17">
        <v>546</v>
      </c>
      <c r="K2104" s="17">
        <v>114627</v>
      </c>
      <c r="L2104" s="17">
        <v>26299.05069</v>
      </c>
      <c r="M2104" s="17">
        <v>2024</v>
      </c>
      <c r="N2104" s="17" t="s">
        <v>174</v>
      </c>
    </row>
    <row r="2105" spans="1:14" ht="14.25" customHeight="1">
      <c r="A2105" s="17">
        <v>12104</v>
      </c>
      <c r="B2105" s="18">
        <v>45334</v>
      </c>
      <c r="C2105" s="17" t="s">
        <v>167</v>
      </c>
      <c r="D2105" s="17" t="s">
        <v>89</v>
      </c>
      <c r="E2105" s="17" t="s">
        <v>165</v>
      </c>
      <c r="F2105" s="17" t="s">
        <v>163</v>
      </c>
      <c r="G2105" s="17">
        <v>8</v>
      </c>
      <c r="H2105" s="17">
        <v>56887</v>
      </c>
      <c r="I2105" s="17">
        <v>455096</v>
      </c>
      <c r="J2105" s="17">
        <v>3729</v>
      </c>
      <c r="K2105" s="17">
        <v>451367</v>
      </c>
      <c r="L2105" s="17">
        <v>89243.730960000001</v>
      </c>
      <c r="M2105" s="17">
        <v>2024</v>
      </c>
      <c r="N2105" s="17" t="s">
        <v>175</v>
      </c>
    </row>
    <row r="2106" spans="1:14" ht="14.25" customHeight="1">
      <c r="A2106" s="17">
        <v>12105</v>
      </c>
      <c r="B2106" s="18">
        <v>45634</v>
      </c>
      <c r="C2106" s="17" t="s">
        <v>50</v>
      </c>
      <c r="D2106" s="17" t="s">
        <v>89</v>
      </c>
      <c r="E2106" s="17" t="s">
        <v>168</v>
      </c>
      <c r="F2106" s="17" t="s">
        <v>164</v>
      </c>
      <c r="G2106" s="17">
        <v>7</v>
      </c>
      <c r="H2106" s="17">
        <v>79557</v>
      </c>
      <c r="I2106" s="17">
        <v>556899</v>
      </c>
      <c r="J2106" s="17">
        <v>1968</v>
      </c>
      <c r="K2106" s="17">
        <v>554931</v>
      </c>
      <c r="L2106" s="17">
        <v>129569.0367</v>
      </c>
      <c r="M2106" s="17">
        <v>2024</v>
      </c>
      <c r="N2106" s="17" t="s">
        <v>169</v>
      </c>
    </row>
    <row r="2107" spans="1:14" ht="14.25" customHeight="1">
      <c r="A2107" s="17">
        <v>12106</v>
      </c>
      <c r="B2107" s="18">
        <v>45617</v>
      </c>
      <c r="C2107" s="17" t="s">
        <v>50</v>
      </c>
      <c r="D2107" s="17" t="s">
        <v>89</v>
      </c>
      <c r="E2107" s="17" t="s">
        <v>168</v>
      </c>
      <c r="F2107" s="17" t="s">
        <v>164</v>
      </c>
      <c r="G2107" s="17">
        <v>4</v>
      </c>
      <c r="H2107" s="17">
        <v>8058</v>
      </c>
      <c r="I2107" s="17">
        <v>32232</v>
      </c>
      <c r="J2107" s="17">
        <v>4516</v>
      </c>
      <c r="K2107" s="17">
        <v>27716</v>
      </c>
      <c r="L2107" s="17">
        <v>6567.9460449999997</v>
      </c>
      <c r="M2107" s="17">
        <v>2024</v>
      </c>
      <c r="N2107" s="17" t="s">
        <v>173</v>
      </c>
    </row>
    <row r="2108" spans="1:14" ht="14.25" customHeight="1">
      <c r="A2108" s="17">
        <v>12107</v>
      </c>
      <c r="B2108" s="18">
        <v>45789</v>
      </c>
      <c r="C2108" s="17" t="s">
        <v>45</v>
      </c>
      <c r="D2108" s="17" t="s">
        <v>111</v>
      </c>
      <c r="E2108" s="17" t="s">
        <v>162</v>
      </c>
      <c r="F2108" s="17" t="s">
        <v>172</v>
      </c>
      <c r="G2108" s="17">
        <v>9</v>
      </c>
      <c r="H2108" s="17">
        <v>79577</v>
      </c>
      <c r="I2108" s="17">
        <v>716193</v>
      </c>
      <c r="J2108" s="17">
        <v>1259</v>
      </c>
      <c r="K2108" s="17">
        <v>714934</v>
      </c>
      <c r="L2108" s="17">
        <v>89435.963749999995</v>
      </c>
      <c r="M2108" s="17">
        <v>2025</v>
      </c>
      <c r="N2108" s="17" t="s">
        <v>117</v>
      </c>
    </row>
    <row r="2109" spans="1:14" ht="14.25" customHeight="1">
      <c r="A2109" s="17">
        <v>12108</v>
      </c>
      <c r="B2109" s="18">
        <v>45655</v>
      </c>
      <c r="C2109" s="17" t="s">
        <v>167</v>
      </c>
      <c r="D2109" s="17" t="s">
        <v>170</v>
      </c>
      <c r="E2109" s="17" t="s">
        <v>162</v>
      </c>
      <c r="F2109" s="17" t="s">
        <v>166</v>
      </c>
      <c r="G2109" s="17">
        <v>4</v>
      </c>
      <c r="H2109" s="17">
        <v>71689</v>
      </c>
      <c r="I2109" s="17">
        <v>286756</v>
      </c>
      <c r="J2109" s="17">
        <v>2933</v>
      </c>
      <c r="K2109" s="17">
        <v>283823</v>
      </c>
      <c r="L2109" s="17">
        <v>57356.16691</v>
      </c>
      <c r="M2109" s="17">
        <v>2024</v>
      </c>
      <c r="N2109" s="17" t="s">
        <v>169</v>
      </c>
    </row>
    <row r="2110" spans="1:14" ht="14.25" customHeight="1">
      <c r="A2110" s="17">
        <v>12109</v>
      </c>
      <c r="B2110" s="18">
        <v>45718</v>
      </c>
      <c r="C2110" s="17" t="s">
        <v>50</v>
      </c>
      <c r="D2110" s="17" t="s">
        <v>86</v>
      </c>
      <c r="E2110" s="17" t="s">
        <v>162</v>
      </c>
      <c r="F2110" s="17" t="s">
        <v>166</v>
      </c>
      <c r="G2110" s="17">
        <v>1</v>
      </c>
      <c r="H2110" s="17">
        <v>32258</v>
      </c>
      <c r="I2110" s="17">
        <v>32258</v>
      </c>
      <c r="J2110" s="17">
        <v>2509</v>
      </c>
      <c r="K2110" s="17">
        <v>29749</v>
      </c>
      <c r="L2110" s="17">
        <v>4391.7490660000003</v>
      </c>
      <c r="M2110" s="17">
        <v>2025</v>
      </c>
      <c r="N2110" s="17" t="s">
        <v>112</v>
      </c>
    </row>
    <row r="2111" spans="1:14" ht="14.25" customHeight="1">
      <c r="A2111" s="17">
        <v>12110</v>
      </c>
      <c r="B2111" s="18">
        <v>45312</v>
      </c>
      <c r="C2111" s="17" t="s">
        <v>50</v>
      </c>
      <c r="D2111" s="17" t="s">
        <v>89</v>
      </c>
      <c r="E2111" s="17" t="s">
        <v>165</v>
      </c>
      <c r="F2111" s="17" t="s">
        <v>163</v>
      </c>
      <c r="G2111" s="17">
        <v>6</v>
      </c>
      <c r="H2111" s="17">
        <v>24359</v>
      </c>
      <c r="I2111" s="17">
        <v>146154</v>
      </c>
      <c r="J2111" s="17">
        <v>4008</v>
      </c>
      <c r="K2111" s="17">
        <v>142146</v>
      </c>
      <c r="L2111" s="17">
        <v>32048.856660000001</v>
      </c>
      <c r="M2111" s="17">
        <v>2024</v>
      </c>
      <c r="N2111" s="17" t="s">
        <v>171</v>
      </c>
    </row>
    <row r="2112" spans="1:14" ht="14.25" customHeight="1">
      <c r="A2112" s="17">
        <v>12111</v>
      </c>
      <c r="B2112" s="18">
        <v>45698</v>
      </c>
      <c r="C2112" s="17" t="s">
        <v>167</v>
      </c>
      <c r="D2112" s="17" t="s">
        <v>170</v>
      </c>
      <c r="E2112" s="17" t="s">
        <v>165</v>
      </c>
      <c r="F2112" s="17" t="s">
        <v>166</v>
      </c>
      <c r="G2112" s="17">
        <v>4</v>
      </c>
      <c r="H2112" s="17">
        <v>17914</v>
      </c>
      <c r="I2112" s="17">
        <v>71656</v>
      </c>
      <c r="J2112" s="17">
        <v>4072</v>
      </c>
      <c r="K2112" s="17">
        <v>67584</v>
      </c>
      <c r="L2112" s="17">
        <v>14187.756170000001</v>
      </c>
      <c r="M2112" s="17">
        <v>2025</v>
      </c>
      <c r="N2112" s="17" t="s">
        <v>175</v>
      </c>
    </row>
    <row r="2113" spans="1:14" ht="14.25" customHeight="1">
      <c r="A2113" s="17">
        <v>12112</v>
      </c>
      <c r="B2113" s="18">
        <v>45910</v>
      </c>
      <c r="C2113" s="17" t="s">
        <v>167</v>
      </c>
      <c r="D2113" s="17" t="s">
        <v>83</v>
      </c>
      <c r="E2113" s="17" t="s">
        <v>162</v>
      </c>
      <c r="F2113" s="17" t="s">
        <v>166</v>
      </c>
      <c r="G2113" s="17">
        <v>3</v>
      </c>
      <c r="H2113" s="17">
        <v>12536</v>
      </c>
      <c r="I2113" s="17">
        <v>37608</v>
      </c>
      <c r="J2113" s="17">
        <v>4680</v>
      </c>
      <c r="K2113" s="17">
        <v>32928</v>
      </c>
      <c r="L2113" s="17">
        <v>4274.4545779999999</v>
      </c>
      <c r="M2113" s="17">
        <v>2025</v>
      </c>
      <c r="N2113" s="17" t="s">
        <v>129</v>
      </c>
    </row>
    <row r="2114" spans="1:14" ht="14.25" customHeight="1">
      <c r="A2114" s="17">
        <v>12113</v>
      </c>
      <c r="B2114" s="18">
        <v>45627</v>
      </c>
      <c r="C2114" s="17" t="s">
        <v>39</v>
      </c>
      <c r="D2114" s="17" t="s">
        <v>111</v>
      </c>
      <c r="E2114" s="17" t="s">
        <v>165</v>
      </c>
      <c r="F2114" s="17" t="s">
        <v>166</v>
      </c>
      <c r="G2114" s="17">
        <v>5</v>
      </c>
      <c r="H2114" s="17">
        <v>60071</v>
      </c>
      <c r="I2114" s="17">
        <v>300355</v>
      </c>
      <c r="J2114" s="17">
        <v>1562</v>
      </c>
      <c r="K2114" s="17">
        <v>298793</v>
      </c>
      <c r="L2114" s="17">
        <v>71952.227289999995</v>
      </c>
      <c r="M2114" s="17">
        <v>2024</v>
      </c>
      <c r="N2114" s="17" t="s">
        <v>169</v>
      </c>
    </row>
    <row r="2115" spans="1:14" ht="14.25" customHeight="1">
      <c r="A2115" s="17">
        <v>12114</v>
      </c>
      <c r="B2115" s="18">
        <v>45408</v>
      </c>
      <c r="C2115" s="17" t="s">
        <v>45</v>
      </c>
      <c r="D2115" s="17" t="s">
        <v>170</v>
      </c>
      <c r="E2115" s="17" t="s">
        <v>165</v>
      </c>
      <c r="F2115" s="17" t="s">
        <v>166</v>
      </c>
      <c r="G2115" s="17">
        <v>3</v>
      </c>
      <c r="H2115" s="17">
        <v>38748</v>
      </c>
      <c r="I2115" s="17">
        <v>116244</v>
      </c>
      <c r="J2115" s="17">
        <v>2085</v>
      </c>
      <c r="K2115" s="17">
        <v>114159</v>
      </c>
      <c r="L2115" s="17">
        <v>23119.691989999999</v>
      </c>
      <c r="M2115" s="17">
        <v>2024</v>
      </c>
      <c r="N2115" s="17" t="s">
        <v>114</v>
      </c>
    </row>
    <row r="2116" spans="1:14" ht="14.25" customHeight="1">
      <c r="A2116" s="17">
        <v>12115</v>
      </c>
      <c r="B2116" s="18">
        <v>45415</v>
      </c>
      <c r="C2116" s="17" t="s">
        <v>167</v>
      </c>
      <c r="D2116" s="17" t="s">
        <v>89</v>
      </c>
      <c r="E2116" s="17" t="s">
        <v>162</v>
      </c>
      <c r="F2116" s="17" t="s">
        <v>166</v>
      </c>
      <c r="G2116" s="17">
        <v>9</v>
      </c>
      <c r="H2116" s="17">
        <v>44448</v>
      </c>
      <c r="I2116" s="17">
        <v>400032</v>
      </c>
      <c r="J2116" s="17">
        <v>1789</v>
      </c>
      <c r="K2116" s="17">
        <v>398243</v>
      </c>
      <c r="L2116" s="17">
        <v>96492.273939999999</v>
      </c>
      <c r="M2116" s="17">
        <v>2024</v>
      </c>
      <c r="N2116" s="17" t="s">
        <v>117</v>
      </c>
    </row>
    <row r="2117" spans="1:14" ht="14.25" customHeight="1">
      <c r="A2117" s="17">
        <v>12116</v>
      </c>
      <c r="B2117" s="18">
        <v>45690</v>
      </c>
      <c r="C2117" s="17" t="s">
        <v>167</v>
      </c>
      <c r="D2117" s="17" t="s">
        <v>89</v>
      </c>
      <c r="E2117" s="17" t="s">
        <v>168</v>
      </c>
      <c r="F2117" s="17" t="s">
        <v>166</v>
      </c>
      <c r="G2117" s="17">
        <v>6</v>
      </c>
      <c r="H2117" s="17">
        <v>51132</v>
      </c>
      <c r="I2117" s="17">
        <v>306792</v>
      </c>
      <c r="J2117" s="17">
        <v>3669</v>
      </c>
      <c r="K2117" s="17">
        <v>303123</v>
      </c>
      <c r="L2117" s="17">
        <v>39492.888039999998</v>
      </c>
      <c r="M2117" s="17">
        <v>2025</v>
      </c>
      <c r="N2117" s="17" t="s">
        <v>175</v>
      </c>
    </row>
    <row r="2118" spans="1:14" ht="14.25" customHeight="1">
      <c r="A2118" s="17">
        <v>12117</v>
      </c>
      <c r="B2118" s="18">
        <v>46006</v>
      </c>
      <c r="C2118" s="17" t="s">
        <v>58</v>
      </c>
      <c r="D2118" s="17" t="s">
        <v>89</v>
      </c>
      <c r="E2118" s="17" t="s">
        <v>165</v>
      </c>
      <c r="F2118" s="17" t="s">
        <v>166</v>
      </c>
      <c r="G2118" s="17">
        <v>3</v>
      </c>
      <c r="H2118" s="17">
        <v>7384</v>
      </c>
      <c r="I2118" s="17">
        <v>22152</v>
      </c>
      <c r="J2118" s="17">
        <v>2481</v>
      </c>
      <c r="K2118" s="17">
        <v>19671</v>
      </c>
      <c r="L2118" s="17">
        <v>4533.2953369999996</v>
      </c>
      <c r="M2118" s="17">
        <v>2025</v>
      </c>
      <c r="N2118" s="17" t="s">
        <v>169</v>
      </c>
    </row>
    <row r="2119" spans="1:14" ht="14.25" customHeight="1">
      <c r="A2119" s="17">
        <v>12118</v>
      </c>
      <c r="B2119" s="18">
        <v>45342</v>
      </c>
      <c r="C2119" s="17" t="s">
        <v>167</v>
      </c>
      <c r="D2119" s="17" t="s">
        <v>170</v>
      </c>
      <c r="E2119" s="17" t="s">
        <v>165</v>
      </c>
      <c r="F2119" s="17" t="s">
        <v>163</v>
      </c>
      <c r="G2119" s="17">
        <v>5</v>
      </c>
      <c r="H2119" s="17">
        <v>49312</v>
      </c>
      <c r="I2119" s="17">
        <v>246560</v>
      </c>
      <c r="J2119" s="17">
        <v>3430</v>
      </c>
      <c r="K2119" s="17">
        <v>243130</v>
      </c>
      <c r="L2119" s="17">
        <v>48677.281719999999</v>
      </c>
      <c r="M2119" s="17">
        <v>2024</v>
      </c>
      <c r="N2119" s="17" t="s">
        <v>175</v>
      </c>
    </row>
    <row r="2120" spans="1:14" ht="14.25" customHeight="1">
      <c r="A2120" s="17">
        <v>12119</v>
      </c>
      <c r="B2120" s="18">
        <v>45615</v>
      </c>
      <c r="C2120" s="17" t="s">
        <v>45</v>
      </c>
      <c r="D2120" s="17" t="s">
        <v>89</v>
      </c>
      <c r="E2120" s="17" t="s">
        <v>168</v>
      </c>
      <c r="F2120" s="17" t="s">
        <v>164</v>
      </c>
      <c r="G2120" s="17">
        <v>8</v>
      </c>
      <c r="H2120" s="17">
        <v>39134</v>
      </c>
      <c r="I2120" s="17">
        <v>313072</v>
      </c>
      <c r="J2120" s="17">
        <v>204</v>
      </c>
      <c r="K2120" s="17">
        <v>312868</v>
      </c>
      <c r="L2120" s="17">
        <v>57205.720300000001</v>
      </c>
      <c r="M2120" s="17">
        <v>2024</v>
      </c>
      <c r="N2120" s="17" t="s">
        <v>173</v>
      </c>
    </row>
    <row r="2121" spans="1:14" ht="14.25" customHeight="1">
      <c r="A2121" s="17">
        <v>12120</v>
      </c>
      <c r="B2121" s="18">
        <v>45432</v>
      </c>
      <c r="C2121" s="17" t="s">
        <v>50</v>
      </c>
      <c r="D2121" s="17" t="s">
        <v>170</v>
      </c>
      <c r="E2121" s="17" t="s">
        <v>168</v>
      </c>
      <c r="F2121" s="17" t="s">
        <v>166</v>
      </c>
      <c r="G2121" s="17">
        <v>8</v>
      </c>
      <c r="H2121" s="17">
        <v>65120</v>
      </c>
      <c r="I2121" s="17">
        <v>520960</v>
      </c>
      <c r="J2121" s="17">
        <v>741</v>
      </c>
      <c r="K2121" s="17">
        <v>520219</v>
      </c>
      <c r="L2121" s="17">
        <v>116048.86</v>
      </c>
      <c r="M2121" s="17">
        <v>2024</v>
      </c>
      <c r="N2121" s="17" t="s">
        <v>117</v>
      </c>
    </row>
    <row r="2122" spans="1:14" ht="14.25" customHeight="1">
      <c r="A2122" s="17">
        <v>12121</v>
      </c>
      <c r="B2122" s="18">
        <v>45761</v>
      </c>
      <c r="C2122" s="17" t="s">
        <v>50</v>
      </c>
      <c r="D2122" s="17" t="s">
        <v>89</v>
      </c>
      <c r="E2122" s="17" t="s">
        <v>168</v>
      </c>
      <c r="F2122" s="17" t="s">
        <v>164</v>
      </c>
      <c r="G2122" s="17">
        <v>6</v>
      </c>
      <c r="H2122" s="17">
        <v>65592</v>
      </c>
      <c r="I2122" s="17">
        <v>393552</v>
      </c>
      <c r="J2122" s="17">
        <v>2888</v>
      </c>
      <c r="K2122" s="17">
        <v>390664</v>
      </c>
      <c r="L2122" s="17">
        <v>76151.970619999993</v>
      </c>
      <c r="M2122" s="17">
        <v>2025</v>
      </c>
      <c r="N2122" s="17" t="s">
        <v>114</v>
      </c>
    </row>
    <row r="2123" spans="1:14" ht="14.25" customHeight="1">
      <c r="A2123" s="17">
        <v>12122</v>
      </c>
      <c r="B2123" s="18">
        <v>45625</v>
      </c>
      <c r="C2123" s="17" t="s">
        <v>50</v>
      </c>
      <c r="D2123" s="17" t="s">
        <v>83</v>
      </c>
      <c r="E2123" s="17" t="s">
        <v>162</v>
      </c>
      <c r="F2123" s="17" t="s">
        <v>172</v>
      </c>
      <c r="G2123" s="17">
        <v>5</v>
      </c>
      <c r="H2123" s="17">
        <v>76723</v>
      </c>
      <c r="I2123" s="17">
        <v>383615</v>
      </c>
      <c r="J2123" s="17">
        <v>3494</v>
      </c>
      <c r="K2123" s="17">
        <v>380121</v>
      </c>
      <c r="L2123" s="17">
        <v>76191.462390000001</v>
      </c>
      <c r="M2123" s="17">
        <v>2024</v>
      </c>
      <c r="N2123" s="17" t="s">
        <v>173</v>
      </c>
    </row>
    <row r="2124" spans="1:14" ht="14.25" customHeight="1">
      <c r="A2124" s="17">
        <v>12123</v>
      </c>
      <c r="B2124" s="18">
        <v>45664</v>
      </c>
      <c r="C2124" s="17" t="s">
        <v>50</v>
      </c>
      <c r="D2124" s="17" t="s">
        <v>83</v>
      </c>
      <c r="E2124" s="17" t="s">
        <v>168</v>
      </c>
      <c r="F2124" s="17" t="s">
        <v>164</v>
      </c>
      <c r="G2124" s="17">
        <v>5</v>
      </c>
      <c r="H2124" s="17">
        <v>79031</v>
      </c>
      <c r="I2124" s="17">
        <v>395155</v>
      </c>
      <c r="J2124" s="17">
        <v>4263</v>
      </c>
      <c r="K2124" s="17">
        <v>390892</v>
      </c>
      <c r="L2124" s="17">
        <v>53962.870300000002</v>
      </c>
      <c r="M2124" s="17">
        <v>2025</v>
      </c>
      <c r="N2124" s="17" t="s">
        <v>171</v>
      </c>
    </row>
    <row r="2125" spans="1:14" ht="14.25" customHeight="1">
      <c r="A2125" s="17">
        <v>12124</v>
      </c>
      <c r="B2125" s="18">
        <v>45855</v>
      </c>
      <c r="C2125" s="17" t="s">
        <v>58</v>
      </c>
      <c r="D2125" s="17" t="s">
        <v>86</v>
      </c>
      <c r="E2125" s="17" t="s">
        <v>162</v>
      </c>
      <c r="F2125" s="17" t="s">
        <v>172</v>
      </c>
      <c r="G2125" s="17">
        <v>1</v>
      </c>
      <c r="H2125" s="17">
        <v>14885</v>
      </c>
      <c r="I2125" s="17">
        <v>14885</v>
      </c>
      <c r="J2125" s="17">
        <v>4737</v>
      </c>
      <c r="K2125" s="17">
        <v>10148</v>
      </c>
      <c r="L2125" s="17">
        <v>2258.5191249999998</v>
      </c>
      <c r="M2125" s="17">
        <v>2025</v>
      </c>
      <c r="N2125" s="17" t="s">
        <v>123</v>
      </c>
    </row>
    <row r="2126" spans="1:14" ht="14.25" customHeight="1">
      <c r="A2126" s="17">
        <v>12125</v>
      </c>
      <c r="B2126" s="18">
        <v>45785</v>
      </c>
      <c r="C2126" s="17" t="s">
        <v>167</v>
      </c>
      <c r="D2126" s="17" t="s">
        <v>89</v>
      </c>
      <c r="E2126" s="17" t="s">
        <v>168</v>
      </c>
      <c r="F2126" s="17" t="s">
        <v>163</v>
      </c>
      <c r="G2126" s="17">
        <v>2</v>
      </c>
      <c r="H2126" s="17">
        <v>23700</v>
      </c>
      <c r="I2126" s="17">
        <v>47400</v>
      </c>
      <c r="J2126" s="17">
        <v>1105</v>
      </c>
      <c r="K2126" s="17">
        <v>46295</v>
      </c>
      <c r="L2126" s="17">
        <v>9145.3645410000008</v>
      </c>
      <c r="M2126" s="17">
        <v>2025</v>
      </c>
      <c r="N2126" s="17" t="s">
        <v>117</v>
      </c>
    </row>
    <row r="2127" spans="1:14" ht="14.25" customHeight="1">
      <c r="A2127" s="17">
        <v>12126</v>
      </c>
      <c r="B2127" s="18">
        <v>45830</v>
      </c>
      <c r="C2127" s="17" t="s">
        <v>50</v>
      </c>
      <c r="D2127" s="17" t="s">
        <v>89</v>
      </c>
      <c r="E2127" s="17" t="s">
        <v>168</v>
      </c>
      <c r="F2127" s="17" t="s">
        <v>164</v>
      </c>
      <c r="G2127" s="17">
        <v>4</v>
      </c>
      <c r="H2127" s="17">
        <v>20018</v>
      </c>
      <c r="I2127" s="17">
        <v>80072</v>
      </c>
      <c r="J2127" s="17">
        <v>1823</v>
      </c>
      <c r="K2127" s="17">
        <v>78249</v>
      </c>
      <c r="L2127" s="17">
        <v>17735.79133</v>
      </c>
      <c r="M2127" s="17">
        <v>2025</v>
      </c>
      <c r="N2127" s="17" t="s">
        <v>120</v>
      </c>
    </row>
    <row r="2128" spans="1:14" ht="14.25" customHeight="1">
      <c r="A2128" s="17">
        <v>12127</v>
      </c>
      <c r="B2128" s="18">
        <v>45960</v>
      </c>
      <c r="C2128" s="17" t="s">
        <v>39</v>
      </c>
      <c r="D2128" s="17" t="s">
        <v>170</v>
      </c>
      <c r="E2128" s="17" t="s">
        <v>162</v>
      </c>
      <c r="F2128" s="17" t="s">
        <v>172</v>
      </c>
      <c r="G2128" s="17">
        <v>6</v>
      </c>
      <c r="H2128" s="17">
        <v>62061</v>
      </c>
      <c r="I2128" s="17">
        <v>372366</v>
      </c>
      <c r="J2128" s="17">
        <v>2647</v>
      </c>
      <c r="K2128" s="17">
        <v>369719</v>
      </c>
      <c r="L2128" s="17">
        <v>56466.829729999998</v>
      </c>
      <c r="M2128" s="17">
        <v>2025</v>
      </c>
      <c r="N2128" s="17" t="s">
        <v>174</v>
      </c>
    </row>
    <row r="2129" spans="1:14" ht="14.25" customHeight="1">
      <c r="A2129" s="17">
        <v>12128</v>
      </c>
      <c r="B2129" s="18">
        <v>45447</v>
      </c>
      <c r="C2129" s="17" t="s">
        <v>50</v>
      </c>
      <c r="D2129" s="17" t="s">
        <v>170</v>
      </c>
      <c r="E2129" s="17" t="s">
        <v>162</v>
      </c>
      <c r="F2129" s="17" t="s">
        <v>164</v>
      </c>
      <c r="G2129" s="17">
        <v>7</v>
      </c>
      <c r="H2129" s="17">
        <v>36322</v>
      </c>
      <c r="I2129" s="17">
        <v>254254</v>
      </c>
      <c r="J2129" s="17">
        <v>4197</v>
      </c>
      <c r="K2129" s="17">
        <v>250057</v>
      </c>
      <c r="L2129" s="17">
        <v>37447.665710000001</v>
      </c>
      <c r="M2129" s="17">
        <v>2024</v>
      </c>
      <c r="N2129" s="17" t="s">
        <v>120</v>
      </c>
    </row>
    <row r="2130" spans="1:14" ht="14.25" customHeight="1">
      <c r="A2130" s="17">
        <v>12129</v>
      </c>
      <c r="B2130" s="18">
        <v>45582</v>
      </c>
      <c r="C2130" s="17" t="s">
        <v>167</v>
      </c>
      <c r="D2130" s="17" t="s">
        <v>89</v>
      </c>
      <c r="E2130" s="17" t="s">
        <v>168</v>
      </c>
      <c r="F2130" s="17" t="s">
        <v>163</v>
      </c>
      <c r="G2130" s="17">
        <v>1</v>
      </c>
      <c r="H2130" s="17">
        <v>55073</v>
      </c>
      <c r="I2130" s="17">
        <v>55073</v>
      </c>
      <c r="J2130" s="17">
        <v>88</v>
      </c>
      <c r="K2130" s="17">
        <v>54985</v>
      </c>
      <c r="L2130" s="17">
        <v>5695.6456760000001</v>
      </c>
      <c r="M2130" s="17">
        <v>2024</v>
      </c>
      <c r="N2130" s="17" t="s">
        <v>174</v>
      </c>
    </row>
    <row r="2131" spans="1:14" ht="14.25" customHeight="1">
      <c r="A2131" s="17">
        <v>12130</v>
      </c>
      <c r="B2131" s="18">
        <v>45939</v>
      </c>
      <c r="C2131" s="17" t="s">
        <v>50</v>
      </c>
      <c r="D2131" s="17" t="s">
        <v>86</v>
      </c>
      <c r="E2131" s="17" t="s">
        <v>168</v>
      </c>
      <c r="F2131" s="17" t="s">
        <v>164</v>
      </c>
      <c r="G2131" s="17">
        <v>8</v>
      </c>
      <c r="H2131" s="17">
        <v>77650</v>
      </c>
      <c r="I2131" s="17">
        <v>621200</v>
      </c>
      <c r="J2131" s="17">
        <v>3381</v>
      </c>
      <c r="K2131" s="17">
        <v>617819</v>
      </c>
      <c r="L2131" s="17">
        <v>133010.74619999999</v>
      </c>
      <c r="M2131" s="17">
        <v>2025</v>
      </c>
      <c r="N2131" s="17" t="s">
        <v>174</v>
      </c>
    </row>
    <row r="2132" spans="1:14" ht="14.25" customHeight="1">
      <c r="A2132" s="17">
        <v>12131</v>
      </c>
      <c r="B2132" s="18">
        <v>45435</v>
      </c>
      <c r="C2132" s="17" t="s">
        <v>58</v>
      </c>
      <c r="D2132" s="17" t="s">
        <v>89</v>
      </c>
      <c r="E2132" s="17" t="s">
        <v>168</v>
      </c>
      <c r="F2132" s="17" t="s">
        <v>172</v>
      </c>
      <c r="G2132" s="17">
        <v>1</v>
      </c>
      <c r="H2132" s="17">
        <v>77110</v>
      </c>
      <c r="I2132" s="17">
        <v>77110</v>
      </c>
      <c r="J2132" s="17">
        <v>4703</v>
      </c>
      <c r="K2132" s="17">
        <v>72407</v>
      </c>
      <c r="L2132" s="17">
        <v>10828.26107</v>
      </c>
      <c r="M2132" s="17">
        <v>2024</v>
      </c>
      <c r="N2132" s="17" t="s">
        <v>117</v>
      </c>
    </row>
    <row r="2133" spans="1:14" ht="14.25" customHeight="1">
      <c r="A2133" s="17">
        <v>12132</v>
      </c>
      <c r="B2133" s="18">
        <v>45397</v>
      </c>
      <c r="C2133" s="17" t="s">
        <v>45</v>
      </c>
      <c r="D2133" s="17" t="s">
        <v>170</v>
      </c>
      <c r="E2133" s="17" t="s">
        <v>165</v>
      </c>
      <c r="F2133" s="17" t="s">
        <v>166</v>
      </c>
      <c r="G2133" s="17">
        <v>9</v>
      </c>
      <c r="H2133" s="17">
        <v>29996</v>
      </c>
      <c r="I2133" s="17">
        <v>269964</v>
      </c>
      <c r="J2133" s="17">
        <v>3511</v>
      </c>
      <c r="K2133" s="17">
        <v>266453</v>
      </c>
      <c r="L2133" s="17">
        <v>39723.305229999998</v>
      </c>
      <c r="M2133" s="17">
        <v>2024</v>
      </c>
      <c r="N2133" s="17" t="s">
        <v>114</v>
      </c>
    </row>
    <row r="2134" spans="1:14" ht="14.25" customHeight="1">
      <c r="A2134" s="17">
        <v>12133</v>
      </c>
      <c r="B2134" s="18">
        <v>45711</v>
      </c>
      <c r="C2134" s="17" t="s">
        <v>45</v>
      </c>
      <c r="D2134" s="17" t="s">
        <v>89</v>
      </c>
      <c r="E2134" s="17" t="s">
        <v>168</v>
      </c>
      <c r="F2134" s="17" t="s">
        <v>166</v>
      </c>
      <c r="G2134" s="17">
        <v>4</v>
      </c>
      <c r="H2134" s="17">
        <v>74345</v>
      </c>
      <c r="I2134" s="17">
        <v>297380</v>
      </c>
      <c r="J2134" s="17">
        <v>2206</v>
      </c>
      <c r="K2134" s="17">
        <v>295174</v>
      </c>
      <c r="L2134" s="17">
        <v>60009.664479999999</v>
      </c>
      <c r="M2134" s="17">
        <v>2025</v>
      </c>
      <c r="N2134" s="17" t="s">
        <v>175</v>
      </c>
    </row>
    <row r="2135" spans="1:14" ht="14.25" customHeight="1">
      <c r="A2135" s="17">
        <v>12134</v>
      </c>
      <c r="B2135" s="18">
        <v>45961</v>
      </c>
      <c r="C2135" s="17" t="s">
        <v>167</v>
      </c>
      <c r="D2135" s="17" t="s">
        <v>170</v>
      </c>
      <c r="E2135" s="17" t="s">
        <v>162</v>
      </c>
      <c r="F2135" s="17" t="s">
        <v>166</v>
      </c>
      <c r="G2135" s="17">
        <v>7</v>
      </c>
      <c r="H2135" s="17">
        <v>51304</v>
      </c>
      <c r="I2135" s="17">
        <v>359128</v>
      </c>
      <c r="J2135" s="17">
        <v>3185</v>
      </c>
      <c r="K2135" s="17">
        <v>355943</v>
      </c>
      <c r="L2135" s="17">
        <v>49095.341330000003</v>
      </c>
      <c r="M2135" s="17">
        <v>2025</v>
      </c>
      <c r="N2135" s="17" t="s">
        <v>174</v>
      </c>
    </row>
    <row r="2136" spans="1:14" ht="14.25" customHeight="1">
      <c r="A2136" s="17">
        <v>12135</v>
      </c>
      <c r="B2136" s="18">
        <v>45949</v>
      </c>
      <c r="C2136" s="17" t="s">
        <v>45</v>
      </c>
      <c r="D2136" s="17" t="s">
        <v>89</v>
      </c>
      <c r="E2136" s="17" t="s">
        <v>165</v>
      </c>
      <c r="F2136" s="17" t="s">
        <v>163</v>
      </c>
      <c r="G2136" s="17">
        <v>6</v>
      </c>
      <c r="H2136" s="17">
        <v>34249</v>
      </c>
      <c r="I2136" s="17">
        <v>205494</v>
      </c>
      <c r="J2136" s="17">
        <v>4381</v>
      </c>
      <c r="K2136" s="17">
        <v>201113</v>
      </c>
      <c r="L2136" s="17">
        <v>47533.675569999999</v>
      </c>
      <c r="M2136" s="17">
        <v>2025</v>
      </c>
      <c r="N2136" s="17" t="s">
        <v>174</v>
      </c>
    </row>
    <row r="2137" spans="1:14" ht="14.25" customHeight="1">
      <c r="A2137" s="17">
        <v>12136</v>
      </c>
      <c r="B2137" s="18">
        <v>45293</v>
      </c>
      <c r="C2137" s="17" t="s">
        <v>45</v>
      </c>
      <c r="D2137" s="17" t="s">
        <v>111</v>
      </c>
      <c r="E2137" s="17" t="s">
        <v>162</v>
      </c>
      <c r="F2137" s="17" t="s">
        <v>166</v>
      </c>
      <c r="G2137" s="17">
        <v>9</v>
      </c>
      <c r="H2137" s="17">
        <v>75223</v>
      </c>
      <c r="I2137" s="17">
        <v>677007</v>
      </c>
      <c r="J2137" s="17">
        <v>864</v>
      </c>
      <c r="K2137" s="17">
        <v>676143</v>
      </c>
      <c r="L2137" s="17">
        <v>122185.73299999999</v>
      </c>
      <c r="M2137" s="17">
        <v>2024</v>
      </c>
      <c r="N2137" s="17" t="s">
        <v>171</v>
      </c>
    </row>
    <row r="2138" spans="1:14" ht="14.25" customHeight="1">
      <c r="A2138" s="17">
        <v>12137</v>
      </c>
      <c r="B2138" s="18">
        <v>45880</v>
      </c>
      <c r="C2138" s="17" t="s">
        <v>39</v>
      </c>
      <c r="D2138" s="17" t="s">
        <v>170</v>
      </c>
      <c r="E2138" s="17" t="s">
        <v>165</v>
      </c>
      <c r="F2138" s="17" t="s">
        <v>163</v>
      </c>
      <c r="G2138" s="17">
        <v>2</v>
      </c>
      <c r="H2138" s="17">
        <v>26123</v>
      </c>
      <c r="I2138" s="17">
        <v>52246</v>
      </c>
      <c r="J2138" s="17">
        <v>54</v>
      </c>
      <c r="K2138" s="17">
        <v>52192</v>
      </c>
      <c r="L2138" s="17">
        <v>12809.043390000001</v>
      </c>
      <c r="M2138" s="17">
        <v>2025</v>
      </c>
      <c r="N2138" s="17" t="s">
        <v>126</v>
      </c>
    </row>
    <row r="2139" spans="1:14" ht="14.25" customHeight="1">
      <c r="A2139" s="17">
        <v>12138</v>
      </c>
      <c r="B2139" s="18">
        <v>45935</v>
      </c>
      <c r="C2139" s="17" t="s">
        <v>167</v>
      </c>
      <c r="D2139" s="17" t="s">
        <v>86</v>
      </c>
      <c r="E2139" s="17" t="s">
        <v>165</v>
      </c>
      <c r="F2139" s="17" t="s">
        <v>166</v>
      </c>
      <c r="G2139" s="17">
        <v>7</v>
      </c>
      <c r="H2139" s="17">
        <v>38095</v>
      </c>
      <c r="I2139" s="17">
        <v>266665</v>
      </c>
      <c r="J2139" s="17">
        <v>4671</v>
      </c>
      <c r="K2139" s="17">
        <v>261994</v>
      </c>
      <c r="L2139" s="17">
        <v>29212.416590000001</v>
      </c>
      <c r="M2139" s="17">
        <v>2025</v>
      </c>
      <c r="N2139" s="17" t="s">
        <v>174</v>
      </c>
    </row>
    <row r="2140" spans="1:14" ht="14.25" customHeight="1">
      <c r="A2140" s="17">
        <v>12139</v>
      </c>
      <c r="B2140" s="18">
        <v>45381</v>
      </c>
      <c r="C2140" s="17" t="s">
        <v>167</v>
      </c>
      <c r="D2140" s="17" t="s">
        <v>111</v>
      </c>
      <c r="E2140" s="17" t="s">
        <v>162</v>
      </c>
      <c r="F2140" s="17" t="s">
        <v>163</v>
      </c>
      <c r="G2140" s="17">
        <v>5</v>
      </c>
      <c r="H2140" s="17">
        <v>65185</v>
      </c>
      <c r="I2140" s="17">
        <v>325925</v>
      </c>
      <c r="J2140" s="17">
        <v>2080</v>
      </c>
      <c r="K2140" s="17">
        <v>323845</v>
      </c>
      <c r="L2140" s="17">
        <v>48746.381679999999</v>
      </c>
      <c r="M2140" s="17">
        <v>2024</v>
      </c>
      <c r="N2140" s="17" t="s">
        <v>112</v>
      </c>
    </row>
    <row r="2141" spans="1:14" ht="14.25" customHeight="1">
      <c r="A2141" s="17">
        <v>12140</v>
      </c>
      <c r="B2141" s="18">
        <v>45636</v>
      </c>
      <c r="C2141" s="17" t="s">
        <v>45</v>
      </c>
      <c r="D2141" s="17" t="s">
        <v>89</v>
      </c>
      <c r="E2141" s="17" t="s">
        <v>165</v>
      </c>
      <c r="F2141" s="17" t="s">
        <v>163</v>
      </c>
      <c r="G2141" s="17">
        <v>7</v>
      </c>
      <c r="H2141" s="17">
        <v>58884</v>
      </c>
      <c r="I2141" s="17">
        <v>412188</v>
      </c>
      <c r="J2141" s="17">
        <v>557</v>
      </c>
      <c r="K2141" s="17">
        <v>411631</v>
      </c>
      <c r="L2141" s="17">
        <v>64716.85284</v>
      </c>
      <c r="M2141" s="17">
        <v>2024</v>
      </c>
      <c r="N2141" s="17" t="s">
        <v>169</v>
      </c>
    </row>
    <row r="2142" spans="1:14" ht="14.25" customHeight="1">
      <c r="A2142" s="17">
        <v>12141</v>
      </c>
      <c r="B2142" s="18">
        <v>45641</v>
      </c>
      <c r="C2142" s="17" t="s">
        <v>45</v>
      </c>
      <c r="D2142" s="17" t="s">
        <v>170</v>
      </c>
      <c r="E2142" s="17" t="s">
        <v>162</v>
      </c>
      <c r="F2142" s="17" t="s">
        <v>164</v>
      </c>
      <c r="G2142" s="17">
        <v>1</v>
      </c>
      <c r="H2142" s="17">
        <v>10291</v>
      </c>
      <c r="I2142" s="17">
        <v>10291</v>
      </c>
      <c r="J2142" s="17">
        <v>4826</v>
      </c>
      <c r="K2142" s="17">
        <v>5465</v>
      </c>
      <c r="L2142" s="17">
        <v>1145.262385</v>
      </c>
      <c r="M2142" s="17">
        <v>2024</v>
      </c>
      <c r="N2142" s="17" t="s">
        <v>169</v>
      </c>
    </row>
    <row r="2143" spans="1:14" ht="14.25" customHeight="1">
      <c r="A2143" s="17">
        <v>12142</v>
      </c>
      <c r="B2143" s="18">
        <v>45750</v>
      </c>
      <c r="C2143" s="17" t="s">
        <v>45</v>
      </c>
      <c r="D2143" s="17" t="s">
        <v>111</v>
      </c>
      <c r="E2143" s="17" t="s">
        <v>168</v>
      </c>
      <c r="F2143" s="17" t="s">
        <v>166</v>
      </c>
      <c r="G2143" s="17">
        <v>9</v>
      </c>
      <c r="H2143" s="17">
        <v>46193</v>
      </c>
      <c r="I2143" s="17">
        <v>415737</v>
      </c>
      <c r="J2143" s="17">
        <v>992</v>
      </c>
      <c r="K2143" s="17">
        <v>414745</v>
      </c>
      <c r="L2143" s="17">
        <v>54723.25475</v>
      </c>
      <c r="M2143" s="17">
        <v>2025</v>
      </c>
      <c r="N2143" s="17" t="s">
        <v>114</v>
      </c>
    </row>
    <row r="2144" spans="1:14" ht="14.25" customHeight="1">
      <c r="A2144" s="17">
        <v>12143</v>
      </c>
      <c r="B2144" s="18">
        <v>45554</v>
      </c>
      <c r="C2144" s="17" t="s">
        <v>58</v>
      </c>
      <c r="D2144" s="17" t="s">
        <v>86</v>
      </c>
      <c r="E2144" s="17" t="s">
        <v>165</v>
      </c>
      <c r="F2144" s="17" t="s">
        <v>164</v>
      </c>
      <c r="G2144" s="17">
        <v>1</v>
      </c>
      <c r="H2144" s="17">
        <v>8122</v>
      </c>
      <c r="I2144" s="17">
        <v>8122</v>
      </c>
      <c r="J2144" s="17">
        <v>4896</v>
      </c>
      <c r="K2144" s="17">
        <v>3226</v>
      </c>
      <c r="L2144" s="17">
        <v>504.22985849999998</v>
      </c>
      <c r="M2144" s="17">
        <v>2024</v>
      </c>
      <c r="N2144" s="17" t="s">
        <v>129</v>
      </c>
    </row>
    <row r="2145" spans="1:14" ht="14.25" customHeight="1">
      <c r="A2145" s="17">
        <v>12144</v>
      </c>
      <c r="B2145" s="18">
        <v>45642</v>
      </c>
      <c r="C2145" s="17" t="s">
        <v>50</v>
      </c>
      <c r="D2145" s="17" t="s">
        <v>170</v>
      </c>
      <c r="E2145" s="17" t="s">
        <v>162</v>
      </c>
      <c r="F2145" s="17" t="s">
        <v>172</v>
      </c>
      <c r="G2145" s="17">
        <v>5</v>
      </c>
      <c r="H2145" s="17">
        <v>9876</v>
      </c>
      <c r="I2145" s="17">
        <v>49380</v>
      </c>
      <c r="J2145" s="17">
        <v>4291</v>
      </c>
      <c r="K2145" s="17">
        <v>45089</v>
      </c>
      <c r="L2145" s="17">
        <v>10667.894249999999</v>
      </c>
      <c r="M2145" s="17">
        <v>2024</v>
      </c>
      <c r="N2145" s="17" t="s">
        <v>169</v>
      </c>
    </row>
    <row r="2146" spans="1:14" ht="14.25" customHeight="1">
      <c r="A2146" s="17">
        <v>12145</v>
      </c>
      <c r="B2146" s="18">
        <v>45399</v>
      </c>
      <c r="C2146" s="17" t="s">
        <v>58</v>
      </c>
      <c r="D2146" s="17" t="s">
        <v>111</v>
      </c>
      <c r="E2146" s="17" t="s">
        <v>165</v>
      </c>
      <c r="F2146" s="17" t="s">
        <v>166</v>
      </c>
      <c r="G2146" s="17">
        <v>8</v>
      </c>
      <c r="H2146" s="17">
        <v>79660</v>
      </c>
      <c r="I2146" s="17">
        <v>637280</v>
      </c>
      <c r="J2146" s="17">
        <v>447</v>
      </c>
      <c r="K2146" s="17">
        <v>636833</v>
      </c>
      <c r="L2146" s="17">
        <v>74625.767439999996</v>
      </c>
      <c r="M2146" s="17">
        <v>2024</v>
      </c>
      <c r="N2146" s="17" t="s">
        <v>114</v>
      </c>
    </row>
    <row r="2147" spans="1:14" ht="14.25" customHeight="1">
      <c r="A2147" s="17">
        <v>12146</v>
      </c>
      <c r="B2147" s="18">
        <v>45877</v>
      </c>
      <c r="C2147" s="17" t="s">
        <v>167</v>
      </c>
      <c r="D2147" s="17" t="s">
        <v>111</v>
      </c>
      <c r="E2147" s="17" t="s">
        <v>162</v>
      </c>
      <c r="F2147" s="17" t="s">
        <v>166</v>
      </c>
      <c r="G2147" s="17">
        <v>1</v>
      </c>
      <c r="H2147" s="17">
        <v>62147</v>
      </c>
      <c r="I2147" s="17">
        <v>62147</v>
      </c>
      <c r="J2147" s="17">
        <v>1821</v>
      </c>
      <c r="K2147" s="17">
        <v>60326</v>
      </c>
      <c r="L2147" s="17">
        <v>12776.96235</v>
      </c>
      <c r="M2147" s="17">
        <v>2025</v>
      </c>
      <c r="N2147" s="17" t="s">
        <v>126</v>
      </c>
    </row>
    <row r="2148" spans="1:14" ht="14.25" customHeight="1">
      <c r="A2148" s="17">
        <v>12147</v>
      </c>
      <c r="B2148" s="18">
        <v>45330</v>
      </c>
      <c r="C2148" s="17" t="s">
        <v>39</v>
      </c>
      <c r="D2148" s="17" t="s">
        <v>111</v>
      </c>
      <c r="E2148" s="17" t="s">
        <v>168</v>
      </c>
      <c r="F2148" s="17" t="s">
        <v>166</v>
      </c>
      <c r="G2148" s="17">
        <v>7</v>
      </c>
      <c r="H2148" s="17">
        <v>6823</v>
      </c>
      <c r="I2148" s="17">
        <v>47761</v>
      </c>
      <c r="J2148" s="17">
        <v>3819</v>
      </c>
      <c r="K2148" s="17">
        <v>43942</v>
      </c>
      <c r="L2148" s="17">
        <v>9024.4901160000009</v>
      </c>
      <c r="M2148" s="17">
        <v>2024</v>
      </c>
      <c r="N2148" s="17" t="s">
        <v>175</v>
      </c>
    </row>
    <row r="2149" spans="1:14" ht="14.25" customHeight="1">
      <c r="A2149" s="17">
        <v>12148</v>
      </c>
      <c r="B2149" s="18">
        <v>45450</v>
      </c>
      <c r="C2149" s="17" t="s">
        <v>50</v>
      </c>
      <c r="D2149" s="17" t="s">
        <v>83</v>
      </c>
      <c r="E2149" s="17" t="s">
        <v>168</v>
      </c>
      <c r="F2149" s="17" t="s">
        <v>166</v>
      </c>
      <c r="G2149" s="17">
        <v>2</v>
      </c>
      <c r="H2149" s="17">
        <v>57652</v>
      </c>
      <c r="I2149" s="17">
        <v>115304</v>
      </c>
      <c r="J2149" s="17">
        <v>2972</v>
      </c>
      <c r="K2149" s="17">
        <v>112332</v>
      </c>
      <c r="L2149" s="17">
        <v>13432.184440000001</v>
      </c>
      <c r="M2149" s="17">
        <v>2024</v>
      </c>
      <c r="N2149" s="17" t="s">
        <v>120</v>
      </c>
    </row>
    <row r="2150" spans="1:14" ht="14.25" customHeight="1">
      <c r="A2150" s="17">
        <v>12149</v>
      </c>
      <c r="B2150" s="18">
        <v>45874</v>
      </c>
      <c r="C2150" s="17" t="s">
        <v>39</v>
      </c>
      <c r="D2150" s="17" t="s">
        <v>89</v>
      </c>
      <c r="E2150" s="17" t="s">
        <v>165</v>
      </c>
      <c r="F2150" s="17" t="s">
        <v>164</v>
      </c>
      <c r="G2150" s="17">
        <v>7</v>
      </c>
      <c r="H2150" s="17">
        <v>63204</v>
      </c>
      <c r="I2150" s="17">
        <v>442428</v>
      </c>
      <c r="J2150" s="17">
        <v>91</v>
      </c>
      <c r="K2150" s="17">
        <v>442337</v>
      </c>
      <c r="L2150" s="17">
        <v>89915.43578</v>
      </c>
      <c r="M2150" s="17">
        <v>2025</v>
      </c>
      <c r="N2150" s="17" t="s">
        <v>126</v>
      </c>
    </row>
    <row r="2151" spans="1:14" ht="14.25" customHeight="1">
      <c r="A2151" s="17">
        <v>12150</v>
      </c>
      <c r="B2151" s="18">
        <v>45603</v>
      </c>
      <c r="C2151" s="17" t="s">
        <v>167</v>
      </c>
      <c r="D2151" s="17" t="s">
        <v>170</v>
      </c>
      <c r="E2151" s="17" t="s">
        <v>165</v>
      </c>
      <c r="F2151" s="17" t="s">
        <v>164</v>
      </c>
      <c r="G2151" s="17">
        <v>7</v>
      </c>
      <c r="H2151" s="17">
        <v>55382</v>
      </c>
      <c r="I2151" s="17">
        <v>387674</v>
      </c>
      <c r="J2151" s="17">
        <v>607</v>
      </c>
      <c r="K2151" s="17">
        <v>387067</v>
      </c>
      <c r="L2151" s="17">
        <v>71788.3753</v>
      </c>
      <c r="M2151" s="17">
        <v>2024</v>
      </c>
      <c r="N2151" s="17" t="s">
        <v>173</v>
      </c>
    </row>
    <row r="2152" spans="1:14" ht="14.25" customHeight="1">
      <c r="A2152" s="17">
        <v>12151</v>
      </c>
      <c r="B2152" s="18">
        <v>45532</v>
      </c>
      <c r="C2152" s="17" t="s">
        <v>167</v>
      </c>
      <c r="D2152" s="17" t="s">
        <v>170</v>
      </c>
      <c r="E2152" s="17" t="s">
        <v>162</v>
      </c>
      <c r="F2152" s="17" t="s">
        <v>163</v>
      </c>
      <c r="G2152" s="17">
        <v>9</v>
      </c>
      <c r="H2152" s="17">
        <v>15387</v>
      </c>
      <c r="I2152" s="17">
        <v>138483</v>
      </c>
      <c r="J2152" s="17">
        <v>1251</v>
      </c>
      <c r="K2152" s="17">
        <v>137232</v>
      </c>
      <c r="L2152" s="17">
        <v>19641.789809999998</v>
      </c>
      <c r="M2152" s="17">
        <v>2024</v>
      </c>
      <c r="N2152" s="17" t="s">
        <v>126</v>
      </c>
    </row>
    <row r="2153" spans="1:14" ht="14.25" customHeight="1">
      <c r="A2153" s="17">
        <v>12152</v>
      </c>
      <c r="B2153" s="18">
        <v>45736</v>
      </c>
      <c r="C2153" s="17" t="s">
        <v>39</v>
      </c>
      <c r="D2153" s="17" t="s">
        <v>170</v>
      </c>
      <c r="E2153" s="17" t="s">
        <v>162</v>
      </c>
      <c r="F2153" s="17" t="s">
        <v>164</v>
      </c>
      <c r="G2153" s="17">
        <v>6</v>
      </c>
      <c r="H2153" s="17">
        <v>56175</v>
      </c>
      <c r="I2153" s="17">
        <v>337050</v>
      </c>
      <c r="J2153" s="17">
        <v>285</v>
      </c>
      <c r="K2153" s="17">
        <v>336765</v>
      </c>
      <c r="L2153" s="17">
        <v>49393.719680000002</v>
      </c>
      <c r="M2153" s="17">
        <v>2025</v>
      </c>
      <c r="N2153" s="17" t="s">
        <v>112</v>
      </c>
    </row>
    <row r="2154" spans="1:14" ht="14.25" customHeight="1">
      <c r="A2154" s="17">
        <v>12153</v>
      </c>
      <c r="B2154" s="18">
        <v>45589</v>
      </c>
      <c r="C2154" s="17" t="s">
        <v>39</v>
      </c>
      <c r="D2154" s="17" t="s">
        <v>111</v>
      </c>
      <c r="E2154" s="17" t="s">
        <v>165</v>
      </c>
      <c r="F2154" s="17" t="s">
        <v>163</v>
      </c>
      <c r="G2154" s="17">
        <v>4</v>
      </c>
      <c r="H2154" s="17">
        <v>23980</v>
      </c>
      <c r="I2154" s="17">
        <v>95920</v>
      </c>
      <c r="J2154" s="17">
        <v>2921</v>
      </c>
      <c r="K2154" s="17">
        <v>92999</v>
      </c>
      <c r="L2154" s="17">
        <v>20920.01729</v>
      </c>
      <c r="M2154" s="17">
        <v>2024</v>
      </c>
      <c r="N2154" s="17" t="s">
        <v>174</v>
      </c>
    </row>
    <row r="2155" spans="1:14" ht="14.25" customHeight="1">
      <c r="A2155" s="17">
        <v>12154</v>
      </c>
      <c r="B2155" s="18">
        <v>45327</v>
      </c>
      <c r="C2155" s="17" t="s">
        <v>39</v>
      </c>
      <c r="D2155" s="17" t="s">
        <v>89</v>
      </c>
      <c r="E2155" s="17" t="s">
        <v>162</v>
      </c>
      <c r="F2155" s="17" t="s">
        <v>172</v>
      </c>
      <c r="G2155" s="17">
        <v>7</v>
      </c>
      <c r="H2155" s="17">
        <v>29224</v>
      </c>
      <c r="I2155" s="17">
        <v>204568</v>
      </c>
      <c r="J2155" s="17">
        <v>3306</v>
      </c>
      <c r="K2155" s="17">
        <v>201262</v>
      </c>
      <c r="L2155" s="17">
        <v>27100.380720000001</v>
      </c>
      <c r="M2155" s="17">
        <v>2024</v>
      </c>
      <c r="N2155" s="17" t="s">
        <v>175</v>
      </c>
    </row>
    <row r="2156" spans="1:14" ht="14.25" customHeight="1">
      <c r="A2156" s="17">
        <v>12155</v>
      </c>
      <c r="B2156" s="18">
        <v>45375</v>
      </c>
      <c r="C2156" s="17" t="s">
        <v>167</v>
      </c>
      <c r="D2156" s="17" t="s">
        <v>86</v>
      </c>
      <c r="E2156" s="17" t="s">
        <v>162</v>
      </c>
      <c r="F2156" s="17" t="s">
        <v>164</v>
      </c>
      <c r="G2156" s="17">
        <v>7</v>
      </c>
      <c r="H2156" s="17">
        <v>12121</v>
      </c>
      <c r="I2156" s="17">
        <v>84847</v>
      </c>
      <c r="J2156" s="17">
        <v>101</v>
      </c>
      <c r="K2156" s="17">
        <v>84746</v>
      </c>
      <c r="L2156" s="17">
        <v>14993.014810000001</v>
      </c>
      <c r="M2156" s="17">
        <v>2024</v>
      </c>
      <c r="N2156" s="17" t="s">
        <v>112</v>
      </c>
    </row>
    <row r="2157" spans="1:14" ht="14.25" customHeight="1">
      <c r="A2157" s="17">
        <v>12156</v>
      </c>
      <c r="B2157" s="18">
        <v>45743</v>
      </c>
      <c r="C2157" s="17" t="s">
        <v>45</v>
      </c>
      <c r="D2157" s="17" t="s">
        <v>170</v>
      </c>
      <c r="E2157" s="17" t="s">
        <v>162</v>
      </c>
      <c r="F2157" s="17" t="s">
        <v>163</v>
      </c>
      <c r="G2157" s="17">
        <v>4</v>
      </c>
      <c r="H2157" s="17">
        <v>72966</v>
      </c>
      <c r="I2157" s="17">
        <v>291864</v>
      </c>
      <c r="J2157" s="17">
        <v>3835</v>
      </c>
      <c r="K2157" s="17">
        <v>288029</v>
      </c>
      <c r="L2157" s="17">
        <v>58231.531649999997</v>
      </c>
      <c r="M2157" s="17">
        <v>2025</v>
      </c>
      <c r="N2157" s="17" t="s">
        <v>112</v>
      </c>
    </row>
    <row r="2158" spans="1:14" ht="14.25" customHeight="1">
      <c r="A2158" s="17">
        <v>12157</v>
      </c>
      <c r="B2158" s="18">
        <v>45676</v>
      </c>
      <c r="C2158" s="17" t="s">
        <v>39</v>
      </c>
      <c r="D2158" s="17" t="s">
        <v>89</v>
      </c>
      <c r="E2158" s="17" t="s">
        <v>165</v>
      </c>
      <c r="F2158" s="17" t="s">
        <v>166</v>
      </c>
      <c r="G2158" s="17">
        <v>2</v>
      </c>
      <c r="H2158" s="17">
        <v>78490</v>
      </c>
      <c r="I2158" s="17">
        <v>156980</v>
      </c>
      <c r="J2158" s="17">
        <v>4235</v>
      </c>
      <c r="K2158" s="17">
        <v>152745</v>
      </c>
      <c r="L2158" s="17">
        <v>18250.775150000001</v>
      </c>
      <c r="M2158" s="17">
        <v>2025</v>
      </c>
      <c r="N2158" s="17" t="s">
        <v>171</v>
      </c>
    </row>
    <row r="2159" spans="1:14" ht="14.25" customHeight="1">
      <c r="A2159" s="17">
        <v>12158</v>
      </c>
      <c r="B2159" s="18">
        <v>45463</v>
      </c>
      <c r="C2159" s="17" t="s">
        <v>50</v>
      </c>
      <c r="D2159" s="17" t="s">
        <v>89</v>
      </c>
      <c r="E2159" s="17" t="s">
        <v>168</v>
      </c>
      <c r="F2159" s="17" t="s">
        <v>172</v>
      </c>
      <c r="G2159" s="17">
        <v>9</v>
      </c>
      <c r="H2159" s="17">
        <v>16881</v>
      </c>
      <c r="I2159" s="17">
        <v>151929</v>
      </c>
      <c r="J2159" s="17">
        <v>4930</v>
      </c>
      <c r="K2159" s="17">
        <v>146999</v>
      </c>
      <c r="L2159" s="17">
        <v>35258.163009999997</v>
      </c>
      <c r="M2159" s="17">
        <v>2024</v>
      </c>
      <c r="N2159" s="17" t="s">
        <v>120</v>
      </c>
    </row>
    <row r="2160" spans="1:14" ht="14.25" customHeight="1">
      <c r="A2160" s="17">
        <v>12159</v>
      </c>
      <c r="B2160" s="18">
        <v>45667</v>
      </c>
      <c r="C2160" s="17" t="s">
        <v>167</v>
      </c>
      <c r="D2160" s="17" t="s">
        <v>83</v>
      </c>
      <c r="E2160" s="17" t="s">
        <v>168</v>
      </c>
      <c r="F2160" s="17" t="s">
        <v>163</v>
      </c>
      <c r="G2160" s="17">
        <v>8</v>
      </c>
      <c r="H2160" s="17">
        <v>55809</v>
      </c>
      <c r="I2160" s="17">
        <v>446472</v>
      </c>
      <c r="J2160" s="17">
        <v>1678</v>
      </c>
      <c r="K2160" s="17">
        <v>444794</v>
      </c>
      <c r="L2160" s="17">
        <v>61868.686930000003</v>
      </c>
      <c r="M2160" s="17">
        <v>2025</v>
      </c>
      <c r="N2160" s="17" t="s">
        <v>171</v>
      </c>
    </row>
    <row r="2161" spans="1:14" ht="14.25" customHeight="1">
      <c r="A2161" s="17">
        <v>12160</v>
      </c>
      <c r="B2161" s="18">
        <v>45976</v>
      </c>
      <c r="C2161" s="17" t="s">
        <v>58</v>
      </c>
      <c r="D2161" s="17" t="s">
        <v>170</v>
      </c>
      <c r="E2161" s="17" t="s">
        <v>162</v>
      </c>
      <c r="F2161" s="17" t="s">
        <v>172</v>
      </c>
      <c r="G2161" s="17">
        <v>5</v>
      </c>
      <c r="H2161" s="17">
        <v>28097</v>
      </c>
      <c r="I2161" s="17">
        <v>140485</v>
      </c>
      <c r="J2161" s="17">
        <v>3823</v>
      </c>
      <c r="K2161" s="17">
        <v>136662</v>
      </c>
      <c r="L2161" s="17">
        <v>20202.09274</v>
      </c>
      <c r="M2161" s="17">
        <v>2025</v>
      </c>
      <c r="N2161" s="17" t="s">
        <v>173</v>
      </c>
    </row>
    <row r="2162" spans="1:14" ht="14.25" customHeight="1">
      <c r="A2162" s="17">
        <v>12161</v>
      </c>
      <c r="B2162" s="18">
        <v>45653</v>
      </c>
      <c r="C2162" s="17" t="s">
        <v>58</v>
      </c>
      <c r="D2162" s="17" t="s">
        <v>111</v>
      </c>
      <c r="E2162" s="17" t="s">
        <v>165</v>
      </c>
      <c r="F2162" s="17" t="s">
        <v>166</v>
      </c>
      <c r="G2162" s="17">
        <v>5</v>
      </c>
      <c r="H2162" s="17">
        <v>7978</v>
      </c>
      <c r="I2162" s="17">
        <v>39890</v>
      </c>
      <c r="J2162" s="17">
        <v>534</v>
      </c>
      <c r="K2162" s="17">
        <v>39356</v>
      </c>
      <c r="L2162" s="17">
        <v>7867.9476480000003</v>
      </c>
      <c r="M2162" s="17">
        <v>2024</v>
      </c>
      <c r="N2162" s="17" t="s">
        <v>169</v>
      </c>
    </row>
    <row r="2163" spans="1:14" ht="14.25" customHeight="1">
      <c r="A2163" s="17">
        <v>12162</v>
      </c>
      <c r="B2163" s="18">
        <v>45850</v>
      </c>
      <c r="C2163" s="17" t="s">
        <v>50</v>
      </c>
      <c r="D2163" s="17" t="s">
        <v>89</v>
      </c>
      <c r="E2163" s="17" t="s">
        <v>162</v>
      </c>
      <c r="F2163" s="17" t="s">
        <v>166</v>
      </c>
      <c r="G2163" s="17">
        <v>1</v>
      </c>
      <c r="H2163" s="17">
        <v>9332</v>
      </c>
      <c r="I2163" s="17">
        <v>9332</v>
      </c>
      <c r="J2163" s="17">
        <v>15</v>
      </c>
      <c r="K2163" s="17">
        <v>9317</v>
      </c>
      <c r="L2163" s="17">
        <v>1040.9767360000001</v>
      </c>
      <c r="M2163" s="17">
        <v>2025</v>
      </c>
      <c r="N2163" s="17" t="s">
        <v>123</v>
      </c>
    </row>
    <row r="2164" spans="1:14" ht="14.25" customHeight="1">
      <c r="A2164" s="17">
        <v>12163</v>
      </c>
      <c r="B2164" s="18">
        <v>45432</v>
      </c>
      <c r="C2164" s="17" t="s">
        <v>45</v>
      </c>
      <c r="D2164" s="17" t="s">
        <v>89</v>
      </c>
      <c r="E2164" s="17" t="s">
        <v>168</v>
      </c>
      <c r="F2164" s="17" t="s">
        <v>163</v>
      </c>
      <c r="G2164" s="17">
        <v>9</v>
      </c>
      <c r="H2164" s="17">
        <v>20089</v>
      </c>
      <c r="I2164" s="17">
        <v>180801</v>
      </c>
      <c r="J2164" s="17">
        <v>560</v>
      </c>
      <c r="K2164" s="17">
        <v>180241</v>
      </c>
      <c r="L2164" s="17">
        <v>34992.330829999999</v>
      </c>
      <c r="M2164" s="17">
        <v>2024</v>
      </c>
      <c r="N2164" s="17" t="s">
        <v>117</v>
      </c>
    </row>
    <row r="2165" spans="1:14" ht="14.25" customHeight="1">
      <c r="A2165" s="17">
        <v>12164</v>
      </c>
      <c r="B2165" s="18">
        <v>45409</v>
      </c>
      <c r="C2165" s="17" t="s">
        <v>39</v>
      </c>
      <c r="D2165" s="17" t="s">
        <v>86</v>
      </c>
      <c r="E2165" s="17" t="s">
        <v>162</v>
      </c>
      <c r="F2165" s="17" t="s">
        <v>163</v>
      </c>
      <c r="G2165" s="17">
        <v>8</v>
      </c>
      <c r="H2165" s="17">
        <v>61804</v>
      </c>
      <c r="I2165" s="17">
        <v>494432</v>
      </c>
      <c r="J2165" s="17">
        <v>2925</v>
      </c>
      <c r="K2165" s="17">
        <v>491507</v>
      </c>
      <c r="L2165" s="17">
        <v>116685.9706</v>
      </c>
      <c r="M2165" s="17">
        <v>2024</v>
      </c>
      <c r="N2165" s="17" t="s">
        <v>114</v>
      </c>
    </row>
    <row r="2166" spans="1:14" ht="14.25" customHeight="1">
      <c r="A2166" s="17">
        <v>12165</v>
      </c>
      <c r="B2166" s="18">
        <v>45568</v>
      </c>
      <c r="C2166" s="17" t="s">
        <v>167</v>
      </c>
      <c r="D2166" s="17" t="s">
        <v>83</v>
      </c>
      <c r="E2166" s="17" t="s">
        <v>168</v>
      </c>
      <c r="F2166" s="17" t="s">
        <v>166</v>
      </c>
      <c r="G2166" s="17">
        <v>5</v>
      </c>
      <c r="H2166" s="17">
        <v>69752</v>
      </c>
      <c r="I2166" s="17">
        <v>348760</v>
      </c>
      <c r="J2166" s="17">
        <v>2383</v>
      </c>
      <c r="K2166" s="17">
        <v>346377</v>
      </c>
      <c r="L2166" s="17">
        <v>47579.585890000002</v>
      </c>
      <c r="M2166" s="17">
        <v>2024</v>
      </c>
      <c r="N2166" s="17" t="s">
        <v>174</v>
      </c>
    </row>
    <row r="2167" spans="1:14" ht="14.25" customHeight="1">
      <c r="A2167" s="17">
        <v>12166</v>
      </c>
      <c r="B2167" s="18">
        <v>46017</v>
      </c>
      <c r="C2167" s="17" t="s">
        <v>39</v>
      </c>
      <c r="D2167" s="17" t="s">
        <v>89</v>
      </c>
      <c r="E2167" s="17" t="s">
        <v>165</v>
      </c>
      <c r="F2167" s="17" t="s">
        <v>163</v>
      </c>
      <c r="G2167" s="17">
        <v>6</v>
      </c>
      <c r="H2167" s="17">
        <v>28484</v>
      </c>
      <c r="I2167" s="17">
        <v>170904</v>
      </c>
      <c r="J2167" s="17">
        <v>909</v>
      </c>
      <c r="K2167" s="17">
        <v>169995</v>
      </c>
      <c r="L2167" s="17">
        <v>26227.875599999999</v>
      </c>
      <c r="M2167" s="17">
        <v>2025</v>
      </c>
      <c r="N2167" s="17" t="s">
        <v>169</v>
      </c>
    </row>
    <row r="2168" spans="1:14" ht="14.25" customHeight="1">
      <c r="A2168" s="17">
        <v>12167</v>
      </c>
      <c r="B2168" s="18">
        <v>45511</v>
      </c>
      <c r="C2168" s="17" t="s">
        <v>167</v>
      </c>
      <c r="D2168" s="17" t="s">
        <v>89</v>
      </c>
      <c r="E2168" s="17" t="s">
        <v>162</v>
      </c>
      <c r="F2168" s="17" t="s">
        <v>166</v>
      </c>
      <c r="G2168" s="17">
        <v>8</v>
      </c>
      <c r="H2168" s="17">
        <v>65408</v>
      </c>
      <c r="I2168" s="17">
        <v>523264</v>
      </c>
      <c r="J2168" s="17">
        <v>1413</v>
      </c>
      <c r="K2168" s="17">
        <v>521851</v>
      </c>
      <c r="L2168" s="17">
        <v>70371.656210000001</v>
      </c>
      <c r="M2168" s="17">
        <v>2024</v>
      </c>
      <c r="N2168" s="17" t="s">
        <v>126</v>
      </c>
    </row>
    <row r="2169" spans="1:14" ht="14.25" customHeight="1">
      <c r="A2169" s="17">
        <v>12168</v>
      </c>
      <c r="B2169" s="18">
        <v>45317</v>
      </c>
      <c r="C2169" s="17" t="s">
        <v>58</v>
      </c>
      <c r="D2169" s="17" t="s">
        <v>111</v>
      </c>
      <c r="E2169" s="17" t="s">
        <v>165</v>
      </c>
      <c r="F2169" s="17" t="s">
        <v>164</v>
      </c>
      <c r="G2169" s="17">
        <v>6</v>
      </c>
      <c r="H2169" s="17">
        <v>59018</v>
      </c>
      <c r="I2169" s="17">
        <v>354108</v>
      </c>
      <c r="J2169" s="17">
        <v>118</v>
      </c>
      <c r="K2169" s="17">
        <v>353990</v>
      </c>
      <c r="L2169" s="17">
        <v>78874.39241</v>
      </c>
      <c r="M2169" s="17">
        <v>2024</v>
      </c>
      <c r="N2169" s="17" t="s">
        <v>171</v>
      </c>
    </row>
    <row r="2170" spans="1:14" ht="14.25" customHeight="1">
      <c r="A2170" s="17">
        <v>12169</v>
      </c>
      <c r="B2170" s="18">
        <v>45812</v>
      </c>
      <c r="C2170" s="17" t="s">
        <v>39</v>
      </c>
      <c r="D2170" s="17" t="s">
        <v>111</v>
      </c>
      <c r="E2170" s="17" t="s">
        <v>162</v>
      </c>
      <c r="F2170" s="17" t="s">
        <v>163</v>
      </c>
      <c r="G2170" s="17">
        <v>4</v>
      </c>
      <c r="H2170" s="17">
        <v>23148</v>
      </c>
      <c r="I2170" s="17">
        <v>92592</v>
      </c>
      <c r="J2170" s="17">
        <v>4062</v>
      </c>
      <c r="K2170" s="17">
        <v>88530</v>
      </c>
      <c r="L2170" s="17">
        <v>11078.748089999999</v>
      </c>
      <c r="M2170" s="17">
        <v>2025</v>
      </c>
      <c r="N2170" s="17" t="s">
        <v>120</v>
      </c>
    </row>
    <row r="2171" spans="1:14" ht="14.25" customHeight="1">
      <c r="A2171" s="17">
        <v>12170</v>
      </c>
      <c r="B2171" s="18">
        <v>45301</v>
      </c>
      <c r="C2171" s="17" t="s">
        <v>50</v>
      </c>
      <c r="D2171" s="17" t="s">
        <v>86</v>
      </c>
      <c r="E2171" s="17" t="s">
        <v>162</v>
      </c>
      <c r="F2171" s="17" t="s">
        <v>172</v>
      </c>
      <c r="G2171" s="17">
        <v>3</v>
      </c>
      <c r="H2171" s="17">
        <v>8830</v>
      </c>
      <c r="I2171" s="17">
        <v>26490</v>
      </c>
      <c r="J2171" s="17">
        <v>3113</v>
      </c>
      <c r="K2171" s="17">
        <v>23377</v>
      </c>
      <c r="L2171" s="17">
        <v>3553.1692389999998</v>
      </c>
      <c r="M2171" s="17">
        <v>2024</v>
      </c>
      <c r="N2171" s="17" t="s">
        <v>171</v>
      </c>
    </row>
    <row r="2172" spans="1:14" ht="14.25" customHeight="1">
      <c r="A2172" s="17">
        <v>12171</v>
      </c>
      <c r="B2172" s="18">
        <v>45669</v>
      </c>
      <c r="C2172" s="17" t="s">
        <v>45</v>
      </c>
      <c r="D2172" s="17" t="s">
        <v>86</v>
      </c>
      <c r="E2172" s="17" t="s">
        <v>162</v>
      </c>
      <c r="F2172" s="17" t="s">
        <v>166</v>
      </c>
      <c r="G2172" s="17">
        <v>7</v>
      </c>
      <c r="H2172" s="17">
        <v>73494</v>
      </c>
      <c r="I2172" s="17">
        <v>514458</v>
      </c>
      <c r="J2172" s="17">
        <v>3060</v>
      </c>
      <c r="K2172" s="17">
        <v>511398</v>
      </c>
      <c r="L2172" s="17">
        <v>97244.00361</v>
      </c>
      <c r="M2172" s="17">
        <v>2025</v>
      </c>
      <c r="N2172" s="17" t="s">
        <v>171</v>
      </c>
    </row>
    <row r="2173" spans="1:14" ht="14.25" customHeight="1">
      <c r="A2173" s="17">
        <v>12172</v>
      </c>
      <c r="B2173" s="18">
        <v>45924</v>
      </c>
      <c r="C2173" s="17" t="s">
        <v>50</v>
      </c>
      <c r="D2173" s="17" t="s">
        <v>86</v>
      </c>
      <c r="E2173" s="17" t="s">
        <v>162</v>
      </c>
      <c r="F2173" s="17" t="s">
        <v>164</v>
      </c>
      <c r="G2173" s="17">
        <v>2</v>
      </c>
      <c r="H2173" s="17">
        <v>30998</v>
      </c>
      <c r="I2173" s="17">
        <v>61996</v>
      </c>
      <c r="J2173" s="17">
        <v>1491</v>
      </c>
      <c r="K2173" s="17">
        <v>60505</v>
      </c>
      <c r="L2173" s="17">
        <v>9722.134892</v>
      </c>
      <c r="M2173" s="17">
        <v>2025</v>
      </c>
      <c r="N2173" s="17" t="s">
        <v>129</v>
      </c>
    </row>
    <row r="2174" spans="1:14" ht="14.25" customHeight="1">
      <c r="A2174" s="17">
        <v>12173</v>
      </c>
      <c r="B2174" s="18">
        <v>45928</v>
      </c>
      <c r="C2174" s="17" t="s">
        <v>45</v>
      </c>
      <c r="D2174" s="17" t="s">
        <v>111</v>
      </c>
      <c r="E2174" s="17" t="s">
        <v>162</v>
      </c>
      <c r="F2174" s="17" t="s">
        <v>163</v>
      </c>
      <c r="G2174" s="17">
        <v>7</v>
      </c>
      <c r="H2174" s="17">
        <v>72076</v>
      </c>
      <c r="I2174" s="17">
        <v>504532</v>
      </c>
      <c r="J2174" s="17">
        <v>2096</v>
      </c>
      <c r="K2174" s="17">
        <v>502436</v>
      </c>
      <c r="L2174" s="17">
        <v>55177.721080000003</v>
      </c>
      <c r="M2174" s="17">
        <v>2025</v>
      </c>
      <c r="N2174" s="17" t="s">
        <v>129</v>
      </c>
    </row>
    <row r="2175" spans="1:14" ht="14.25" customHeight="1">
      <c r="A2175" s="17">
        <v>12174</v>
      </c>
      <c r="B2175" s="18">
        <v>45973</v>
      </c>
      <c r="C2175" s="17" t="s">
        <v>39</v>
      </c>
      <c r="D2175" s="17" t="s">
        <v>111</v>
      </c>
      <c r="E2175" s="17" t="s">
        <v>165</v>
      </c>
      <c r="F2175" s="17" t="s">
        <v>166</v>
      </c>
      <c r="G2175" s="17">
        <v>1</v>
      </c>
      <c r="H2175" s="17">
        <v>35677</v>
      </c>
      <c r="I2175" s="17">
        <v>35677</v>
      </c>
      <c r="J2175" s="17">
        <v>2254</v>
      </c>
      <c r="K2175" s="17">
        <v>33423</v>
      </c>
      <c r="L2175" s="17">
        <v>8093.650181</v>
      </c>
      <c r="M2175" s="17">
        <v>2025</v>
      </c>
      <c r="N2175" s="17" t="s">
        <v>173</v>
      </c>
    </row>
    <row r="2176" spans="1:14" ht="14.25" customHeight="1">
      <c r="A2176" s="17">
        <v>12175</v>
      </c>
      <c r="B2176" s="18">
        <v>45875</v>
      </c>
      <c r="C2176" s="17" t="s">
        <v>39</v>
      </c>
      <c r="D2176" s="17" t="s">
        <v>83</v>
      </c>
      <c r="E2176" s="17" t="s">
        <v>165</v>
      </c>
      <c r="F2176" s="17" t="s">
        <v>164</v>
      </c>
      <c r="G2176" s="17">
        <v>5</v>
      </c>
      <c r="H2176" s="17">
        <v>34101</v>
      </c>
      <c r="I2176" s="17">
        <v>170505</v>
      </c>
      <c r="J2176" s="17">
        <v>513</v>
      </c>
      <c r="K2176" s="17">
        <v>169992</v>
      </c>
      <c r="L2176" s="17">
        <v>25615.25578</v>
      </c>
      <c r="M2176" s="17">
        <v>2025</v>
      </c>
      <c r="N2176" s="17" t="s">
        <v>126</v>
      </c>
    </row>
    <row r="2177" spans="1:14" ht="14.25" customHeight="1">
      <c r="A2177" s="17">
        <v>12176</v>
      </c>
      <c r="B2177" s="18">
        <v>45443</v>
      </c>
      <c r="C2177" s="17" t="s">
        <v>45</v>
      </c>
      <c r="D2177" s="17" t="s">
        <v>170</v>
      </c>
      <c r="E2177" s="17" t="s">
        <v>168</v>
      </c>
      <c r="F2177" s="17" t="s">
        <v>163</v>
      </c>
      <c r="G2177" s="17">
        <v>9</v>
      </c>
      <c r="H2177" s="17">
        <v>12053</v>
      </c>
      <c r="I2177" s="17">
        <v>108477</v>
      </c>
      <c r="J2177" s="17">
        <v>1233</v>
      </c>
      <c r="K2177" s="17">
        <v>107244</v>
      </c>
      <c r="L2177" s="17">
        <v>17893.412799999998</v>
      </c>
      <c r="M2177" s="17">
        <v>2024</v>
      </c>
      <c r="N2177" s="17" t="s">
        <v>117</v>
      </c>
    </row>
    <row r="2178" spans="1:14" ht="14.25" customHeight="1">
      <c r="A2178" s="17">
        <v>12177</v>
      </c>
      <c r="B2178" s="18">
        <v>46011</v>
      </c>
      <c r="C2178" s="17" t="s">
        <v>58</v>
      </c>
      <c r="D2178" s="17" t="s">
        <v>170</v>
      </c>
      <c r="E2178" s="17" t="s">
        <v>162</v>
      </c>
      <c r="F2178" s="17" t="s">
        <v>166</v>
      </c>
      <c r="G2178" s="17">
        <v>1</v>
      </c>
      <c r="H2178" s="17">
        <v>10670</v>
      </c>
      <c r="I2178" s="17">
        <v>10670</v>
      </c>
      <c r="J2178" s="17">
        <v>4132</v>
      </c>
      <c r="K2178" s="17">
        <v>6538</v>
      </c>
      <c r="L2178" s="17">
        <v>818.11171019999995</v>
      </c>
      <c r="M2178" s="17">
        <v>2025</v>
      </c>
      <c r="N2178" s="17" t="s">
        <v>169</v>
      </c>
    </row>
    <row r="2179" spans="1:14" ht="14.25" customHeight="1">
      <c r="A2179" s="17">
        <v>12178</v>
      </c>
      <c r="B2179" s="18">
        <v>45340</v>
      </c>
      <c r="C2179" s="17" t="s">
        <v>167</v>
      </c>
      <c r="D2179" s="17" t="s">
        <v>83</v>
      </c>
      <c r="E2179" s="17" t="s">
        <v>168</v>
      </c>
      <c r="F2179" s="17" t="s">
        <v>166</v>
      </c>
      <c r="G2179" s="17">
        <v>8</v>
      </c>
      <c r="H2179" s="17">
        <v>15281</v>
      </c>
      <c r="I2179" s="17">
        <v>122248</v>
      </c>
      <c r="J2179" s="17">
        <v>1479</v>
      </c>
      <c r="K2179" s="17">
        <v>120769</v>
      </c>
      <c r="L2179" s="17">
        <v>27753.02245</v>
      </c>
      <c r="M2179" s="17">
        <v>2024</v>
      </c>
      <c r="N2179" s="17" t="s">
        <v>175</v>
      </c>
    </row>
    <row r="2180" spans="1:14" ht="14.25" customHeight="1">
      <c r="A2180" s="17">
        <v>12179</v>
      </c>
      <c r="B2180" s="18">
        <v>45445</v>
      </c>
      <c r="C2180" s="17" t="s">
        <v>50</v>
      </c>
      <c r="D2180" s="17" t="s">
        <v>170</v>
      </c>
      <c r="E2180" s="17" t="s">
        <v>165</v>
      </c>
      <c r="F2180" s="17" t="s">
        <v>166</v>
      </c>
      <c r="G2180" s="17">
        <v>9</v>
      </c>
      <c r="H2180" s="17">
        <v>58341</v>
      </c>
      <c r="I2180" s="17">
        <v>525069</v>
      </c>
      <c r="J2180" s="17">
        <v>3349</v>
      </c>
      <c r="K2180" s="17">
        <v>521720</v>
      </c>
      <c r="L2180" s="17">
        <v>74978.634080000003</v>
      </c>
      <c r="M2180" s="17">
        <v>2024</v>
      </c>
      <c r="N2180" s="17" t="s">
        <v>120</v>
      </c>
    </row>
    <row r="2181" spans="1:14" ht="14.25" customHeight="1">
      <c r="A2181" s="17">
        <v>12180</v>
      </c>
      <c r="B2181" s="18">
        <v>45584</v>
      </c>
      <c r="C2181" s="17" t="s">
        <v>50</v>
      </c>
      <c r="D2181" s="17" t="s">
        <v>111</v>
      </c>
      <c r="E2181" s="17" t="s">
        <v>168</v>
      </c>
      <c r="F2181" s="17" t="s">
        <v>163</v>
      </c>
      <c r="G2181" s="17">
        <v>9</v>
      </c>
      <c r="H2181" s="17">
        <v>73069</v>
      </c>
      <c r="I2181" s="17">
        <v>657621</v>
      </c>
      <c r="J2181" s="17">
        <v>1540</v>
      </c>
      <c r="K2181" s="17">
        <v>656081</v>
      </c>
      <c r="L2181" s="17">
        <v>67558.928320000006</v>
      </c>
      <c r="M2181" s="17">
        <v>2024</v>
      </c>
      <c r="N2181" s="17" t="s">
        <v>174</v>
      </c>
    </row>
    <row r="2182" spans="1:14" ht="14.25" customHeight="1">
      <c r="A2182" s="17">
        <v>12181</v>
      </c>
      <c r="B2182" s="18">
        <v>45871</v>
      </c>
      <c r="C2182" s="17" t="s">
        <v>50</v>
      </c>
      <c r="D2182" s="17" t="s">
        <v>170</v>
      </c>
      <c r="E2182" s="17" t="s">
        <v>165</v>
      </c>
      <c r="F2182" s="17" t="s">
        <v>164</v>
      </c>
      <c r="G2182" s="17">
        <v>8</v>
      </c>
      <c r="H2182" s="17">
        <v>15756</v>
      </c>
      <c r="I2182" s="17">
        <v>126048</v>
      </c>
      <c r="J2182" s="17">
        <v>129</v>
      </c>
      <c r="K2182" s="17">
        <v>125919</v>
      </c>
      <c r="L2182" s="17">
        <v>18568.06452</v>
      </c>
      <c r="M2182" s="17">
        <v>2025</v>
      </c>
      <c r="N2182" s="17" t="s">
        <v>126</v>
      </c>
    </row>
    <row r="2183" spans="1:14" ht="14.25" customHeight="1">
      <c r="A2183" s="17">
        <v>12182</v>
      </c>
      <c r="B2183" s="18">
        <v>45341</v>
      </c>
      <c r="C2183" s="17" t="s">
        <v>39</v>
      </c>
      <c r="D2183" s="17" t="s">
        <v>111</v>
      </c>
      <c r="E2183" s="17" t="s">
        <v>162</v>
      </c>
      <c r="F2183" s="17" t="s">
        <v>166</v>
      </c>
      <c r="G2183" s="17">
        <v>4</v>
      </c>
      <c r="H2183" s="17">
        <v>70075</v>
      </c>
      <c r="I2183" s="17">
        <v>280300</v>
      </c>
      <c r="J2183" s="17">
        <v>3716</v>
      </c>
      <c r="K2183" s="17">
        <v>276584</v>
      </c>
      <c r="L2183" s="17">
        <v>68484.674570000003</v>
      </c>
      <c r="M2183" s="17">
        <v>2024</v>
      </c>
      <c r="N2183" s="17" t="s">
        <v>175</v>
      </c>
    </row>
    <row r="2184" spans="1:14" ht="14.25" customHeight="1">
      <c r="A2184" s="17">
        <v>12183</v>
      </c>
      <c r="B2184" s="18">
        <v>45955</v>
      </c>
      <c r="C2184" s="17" t="s">
        <v>50</v>
      </c>
      <c r="D2184" s="17" t="s">
        <v>83</v>
      </c>
      <c r="E2184" s="17" t="s">
        <v>168</v>
      </c>
      <c r="F2184" s="17" t="s">
        <v>164</v>
      </c>
      <c r="G2184" s="17">
        <v>7</v>
      </c>
      <c r="H2184" s="17">
        <v>59421</v>
      </c>
      <c r="I2184" s="17">
        <v>415947</v>
      </c>
      <c r="J2184" s="17">
        <v>3743</v>
      </c>
      <c r="K2184" s="17">
        <v>412204</v>
      </c>
      <c r="L2184" s="17">
        <v>50299.782930000001</v>
      </c>
      <c r="M2184" s="17">
        <v>2025</v>
      </c>
      <c r="N2184" s="17" t="s">
        <v>174</v>
      </c>
    </row>
    <row r="2185" spans="1:14" ht="14.25" customHeight="1">
      <c r="A2185" s="17">
        <v>12184</v>
      </c>
      <c r="B2185" s="18">
        <v>45822</v>
      </c>
      <c r="C2185" s="17" t="s">
        <v>167</v>
      </c>
      <c r="D2185" s="17" t="s">
        <v>86</v>
      </c>
      <c r="E2185" s="17" t="s">
        <v>168</v>
      </c>
      <c r="F2185" s="17" t="s">
        <v>164</v>
      </c>
      <c r="G2185" s="17">
        <v>1</v>
      </c>
      <c r="H2185" s="17">
        <v>65108</v>
      </c>
      <c r="I2185" s="17">
        <v>65108</v>
      </c>
      <c r="J2185" s="17">
        <v>1771</v>
      </c>
      <c r="K2185" s="17">
        <v>63337</v>
      </c>
      <c r="L2185" s="17">
        <v>6630.140797</v>
      </c>
      <c r="M2185" s="17">
        <v>2025</v>
      </c>
      <c r="N2185" s="17" t="s">
        <v>120</v>
      </c>
    </row>
    <row r="2186" spans="1:14" ht="14.25" customHeight="1">
      <c r="A2186" s="17">
        <v>12185</v>
      </c>
      <c r="B2186" s="18">
        <v>45903</v>
      </c>
      <c r="C2186" s="17" t="s">
        <v>167</v>
      </c>
      <c r="D2186" s="17" t="s">
        <v>83</v>
      </c>
      <c r="E2186" s="17" t="s">
        <v>168</v>
      </c>
      <c r="F2186" s="17" t="s">
        <v>172</v>
      </c>
      <c r="G2186" s="17">
        <v>7</v>
      </c>
      <c r="H2186" s="17">
        <v>70323</v>
      </c>
      <c r="I2186" s="17">
        <v>492261</v>
      </c>
      <c r="J2186" s="17">
        <v>4454</v>
      </c>
      <c r="K2186" s="17">
        <v>487807</v>
      </c>
      <c r="L2186" s="17">
        <v>91086.41502</v>
      </c>
      <c r="M2186" s="17">
        <v>2025</v>
      </c>
      <c r="N2186" s="17" t="s">
        <v>129</v>
      </c>
    </row>
    <row r="2187" spans="1:14" ht="14.25" customHeight="1">
      <c r="A2187" s="17">
        <v>12186</v>
      </c>
      <c r="B2187" s="18">
        <v>45351</v>
      </c>
      <c r="C2187" s="17" t="s">
        <v>45</v>
      </c>
      <c r="D2187" s="17" t="s">
        <v>170</v>
      </c>
      <c r="E2187" s="17" t="s">
        <v>168</v>
      </c>
      <c r="F2187" s="17" t="s">
        <v>164</v>
      </c>
      <c r="G2187" s="17">
        <v>6</v>
      </c>
      <c r="H2187" s="17">
        <v>22048</v>
      </c>
      <c r="I2187" s="17">
        <v>132288</v>
      </c>
      <c r="J2187" s="17">
        <v>3075</v>
      </c>
      <c r="K2187" s="17">
        <v>129213</v>
      </c>
      <c r="L2187" s="17">
        <v>20124.922419999999</v>
      </c>
      <c r="M2187" s="17">
        <v>2024</v>
      </c>
      <c r="N2187" s="17" t="s">
        <v>175</v>
      </c>
    </row>
    <row r="2188" spans="1:14" ht="14.25" customHeight="1">
      <c r="A2188" s="17">
        <v>12187</v>
      </c>
      <c r="B2188" s="18">
        <v>45458</v>
      </c>
      <c r="C2188" s="17" t="s">
        <v>39</v>
      </c>
      <c r="D2188" s="17" t="s">
        <v>111</v>
      </c>
      <c r="E2188" s="17" t="s">
        <v>162</v>
      </c>
      <c r="F2188" s="17" t="s">
        <v>164</v>
      </c>
      <c r="G2188" s="17">
        <v>5</v>
      </c>
      <c r="H2188" s="17">
        <v>57606</v>
      </c>
      <c r="I2188" s="17">
        <v>288030</v>
      </c>
      <c r="J2188" s="17">
        <v>505</v>
      </c>
      <c r="K2188" s="17">
        <v>287525</v>
      </c>
      <c r="L2188" s="17">
        <v>63038.790939999999</v>
      </c>
      <c r="M2188" s="17">
        <v>2024</v>
      </c>
      <c r="N2188" s="17" t="s">
        <v>120</v>
      </c>
    </row>
    <row r="2189" spans="1:14" ht="14.25" customHeight="1">
      <c r="A2189" s="17">
        <v>12188</v>
      </c>
      <c r="B2189" s="18">
        <v>45493</v>
      </c>
      <c r="C2189" s="17" t="s">
        <v>167</v>
      </c>
      <c r="D2189" s="17" t="s">
        <v>170</v>
      </c>
      <c r="E2189" s="17" t="s">
        <v>165</v>
      </c>
      <c r="F2189" s="17" t="s">
        <v>164</v>
      </c>
      <c r="G2189" s="17">
        <v>1</v>
      </c>
      <c r="H2189" s="17">
        <v>14876</v>
      </c>
      <c r="I2189" s="17">
        <v>14876</v>
      </c>
      <c r="J2189" s="17">
        <v>4913</v>
      </c>
      <c r="K2189" s="17">
        <v>9963</v>
      </c>
      <c r="L2189" s="17">
        <v>2090.069669</v>
      </c>
      <c r="M2189" s="17">
        <v>2024</v>
      </c>
      <c r="N2189" s="17" t="s">
        <v>123</v>
      </c>
    </row>
    <row r="2190" spans="1:14" ht="14.25" customHeight="1">
      <c r="A2190" s="17">
        <v>12189</v>
      </c>
      <c r="B2190" s="18">
        <v>45437</v>
      </c>
      <c r="C2190" s="17" t="s">
        <v>58</v>
      </c>
      <c r="D2190" s="17" t="s">
        <v>170</v>
      </c>
      <c r="E2190" s="17" t="s">
        <v>165</v>
      </c>
      <c r="F2190" s="17" t="s">
        <v>164</v>
      </c>
      <c r="G2190" s="17">
        <v>8</v>
      </c>
      <c r="H2190" s="17">
        <v>63075</v>
      </c>
      <c r="I2190" s="17">
        <v>504600</v>
      </c>
      <c r="J2190" s="17">
        <v>4889</v>
      </c>
      <c r="K2190" s="17">
        <v>499711</v>
      </c>
      <c r="L2190" s="17">
        <v>63869.48919</v>
      </c>
      <c r="M2190" s="17">
        <v>2024</v>
      </c>
      <c r="N2190" s="17" t="s">
        <v>117</v>
      </c>
    </row>
    <row r="2191" spans="1:14" ht="14.25" customHeight="1">
      <c r="A2191" s="17">
        <v>12190</v>
      </c>
      <c r="B2191" s="18">
        <v>45967</v>
      </c>
      <c r="C2191" s="17" t="s">
        <v>39</v>
      </c>
      <c r="D2191" s="17" t="s">
        <v>86</v>
      </c>
      <c r="E2191" s="17" t="s">
        <v>162</v>
      </c>
      <c r="F2191" s="17" t="s">
        <v>164</v>
      </c>
      <c r="G2191" s="17">
        <v>1</v>
      </c>
      <c r="H2191" s="17">
        <v>20171</v>
      </c>
      <c r="I2191" s="17">
        <v>20171</v>
      </c>
      <c r="J2191" s="17">
        <v>838</v>
      </c>
      <c r="K2191" s="17">
        <v>19333</v>
      </c>
      <c r="L2191" s="17">
        <v>3570.705453</v>
      </c>
      <c r="M2191" s="17">
        <v>2025</v>
      </c>
      <c r="N2191" s="17" t="s">
        <v>173</v>
      </c>
    </row>
    <row r="2192" spans="1:14" ht="14.25" customHeight="1">
      <c r="A2192" s="17">
        <v>12191</v>
      </c>
      <c r="B2192" s="18">
        <v>45730</v>
      </c>
      <c r="C2192" s="17" t="s">
        <v>39</v>
      </c>
      <c r="D2192" s="17" t="s">
        <v>170</v>
      </c>
      <c r="E2192" s="17" t="s">
        <v>165</v>
      </c>
      <c r="F2192" s="17" t="s">
        <v>163</v>
      </c>
      <c r="G2192" s="17">
        <v>1</v>
      </c>
      <c r="H2192" s="17">
        <v>47204</v>
      </c>
      <c r="I2192" s="17">
        <v>47204</v>
      </c>
      <c r="J2192" s="17">
        <v>3871</v>
      </c>
      <c r="K2192" s="17">
        <v>43333</v>
      </c>
      <c r="L2192" s="17">
        <v>4544.1324269999996</v>
      </c>
      <c r="M2192" s="17">
        <v>2025</v>
      </c>
      <c r="N2192" s="17" t="s">
        <v>112</v>
      </c>
    </row>
    <row r="2193" spans="1:14" ht="14.25" customHeight="1">
      <c r="A2193" s="17">
        <v>12192</v>
      </c>
      <c r="B2193" s="18">
        <v>45533</v>
      </c>
      <c r="C2193" s="17" t="s">
        <v>167</v>
      </c>
      <c r="D2193" s="17" t="s">
        <v>86</v>
      </c>
      <c r="E2193" s="17" t="s">
        <v>168</v>
      </c>
      <c r="F2193" s="17" t="s">
        <v>172</v>
      </c>
      <c r="G2193" s="17">
        <v>3</v>
      </c>
      <c r="H2193" s="17">
        <v>10166</v>
      </c>
      <c r="I2193" s="17">
        <v>30498</v>
      </c>
      <c r="J2193" s="17">
        <v>4718</v>
      </c>
      <c r="K2193" s="17">
        <v>25780</v>
      </c>
      <c r="L2193" s="17">
        <v>4277.4623080000001</v>
      </c>
      <c r="M2193" s="17">
        <v>2024</v>
      </c>
      <c r="N2193" s="17" t="s">
        <v>126</v>
      </c>
    </row>
    <row r="2194" spans="1:14" ht="14.25" customHeight="1">
      <c r="A2194" s="17">
        <v>12193</v>
      </c>
      <c r="B2194" s="18">
        <v>45872</v>
      </c>
      <c r="C2194" s="17" t="s">
        <v>58</v>
      </c>
      <c r="D2194" s="17" t="s">
        <v>111</v>
      </c>
      <c r="E2194" s="17" t="s">
        <v>162</v>
      </c>
      <c r="F2194" s="17" t="s">
        <v>166</v>
      </c>
      <c r="G2194" s="17">
        <v>8</v>
      </c>
      <c r="H2194" s="17">
        <v>48734</v>
      </c>
      <c r="I2194" s="17">
        <v>389872</v>
      </c>
      <c r="J2194" s="17">
        <v>2676</v>
      </c>
      <c r="K2194" s="17">
        <v>387196</v>
      </c>
      <c r="L2194" s="17">
        <v>80191.382700000002</v>
      </c>
      <c r="M2194" s="17">
        <v>2025</v>
      </c>
      <c r="N2194" s="17" t="s">
        <v>126</v>
      </c>
    </row>
    <row r="2195" spans="1:14" ht="14.25" customHeight="1">
      <c r="A2195" s="17">
        <v>12194</v>
      </c>
      <c r="B2195" s="18">
        <v>45978</v>
      </c>
      <c r="C2195" s="17" t="s">
        <v>45</v>
      </c>
      <c r="D2195" s="17" t="s">
        <v>111</v>
      </c>
      <c r="E2195" s="17" t="s">
        <v>165</v>
      </c>
      <c r="F2195" s="17" t="s">
        <v>172</v>
      </c>
      <c r="G2195" s="17">
        <v>8</v>
      </c>
      <c r="H2195" s="17">
        <v>69441</v>
      </c>
      <c r="I2195" s="17">
        <v>555528</v>
      </c>
      <c r="J2195" s="17">
        <v>96</v>
      </c>
      <c r="K2195" s="17">
        <v>555432</v>
      </c>
      <c r="L2195" s="17">
        <v>90115.408769999995</v>
      </c>
      <c r="M2195" s="17">
        <v>2025</v>
      </c>
      <c r="N2195" s="17" t="s">
        <v>173</v>
      </c>
    </row>
    <row r="2196" spans="1:14" ht="14.25" customHeight="1">
      <c r="A2196" s="17">
        <v>12195</v>
      </c>
      <c r="B2196" s="18">
        <v>45852</v>
      </c>
      <c r="C2196" s="17" t="s">
        <v>167</v>
      </c>
      <c r="D2196" s="17" t="s">
        <v>86</v>
      </c>
      <c r="E2196" s="17" t="s">
        <v>162</v>
      </c>
      <c r="F2196" s="17" t="s">
        <v>172</v>
      </c>
      <c r="G2196" s="17">
        <v>7</v>
      </c>
      <c r="H2196" s="17">
        <v>50078</v>
      </c>
      <c r="I2196" s="17">
        <v>350546</v>
      </c>
      <c r="J2196" s="17">
        <v>1963</v>
      </c>
      <c r="K2196" s="17">
        <v>348583</v>
      </c>
      <c r="L2196" s="17">
        <v>41025.821609999999</v>
      </c>
      <c r="M2196" s="17">
        <v>2025</v>
      </c>
      <c r="N2196" s="17" t="s">
        <v>123</v>
      </c>
    </row>
    <row r="2197" spans="1:14" ht="14.25" customHeight="1">
      <c r="A2197" s="17">
        <v>12196</v>
      </c>
      <c r="B2197" s="18">
        <v>45774</v>
      </c>
      <c r="C2197" s="17" t="s">
        <v>58</v>
      </c>
      <c r="D2197" s="17" t="s">
        <v>83</v>
      </c>
      <c r="E2197" s="17" t="s">
        <v>162</v>
      </c>
      <c r="F2197" s="17" t="s">
        <v>166</v>
      </c>
      <c r="G2197" s="17">
        <v>5</v>
      </c>
      <c r="H2197" s="17">
        <v>32778</v>
      </c>
      <c r="I2197" s="17">
        <v>163890</v>
      </c>
      <c r="J2197" s="17">
        <v>2866</v>
      </c>
      <c r="K2197" s="17">
        <v>161024</v>
      </c>
      <c r="L2197" s="17">
        <v>17588.657650000001</v>
      </c>
      <c r="M2197" s="17">
        <v>2025</v>
      </c>
      <c r="N2197" s="17" t="s">
        <v>114</v>
      </c>
    </row>
    <row r="2198" spans="1:14" ht="14.25" customHeight="1">
      <c r="A2198" s="17">
        <v>12197</v>
      </c>
      <c r="B2198" s="18">
        <v>45399</v>
      </c>
      <c r="C2198" s="17" t="s">
        <v>39</v>
      </c>
      <c r="D2198" s="17" t="s">
        <v>111</v>
      </c>
      <c r="E2198" s="17" t="s">
        <v>165</v>
      </c>
      <c r="F2198" s="17" t="s">
        <v>164</v>
      </c>
      <c r="G2198" s="17">
        <v>8</v>
      </c>
      <c r="H2198" s="17">
        <v>25924</v>
      </c>
      <c r="I2198" s="17">
        <v>207392</v>
      </c>
      <c r="J2198" s="17">
        <v>4026</v>
      </c>
      <c r="K2198" s="17">
        <v>203366</v>
      </c>
      <c r="L2198" s="17">
        <v>46377.39615</v>
      </c>
      <c r="M2198" s="17">
        <v>2024</v>
      </c>
      <c r="N2198" s="17" t="s">
        <v>114</v>
      </c>
    </row>
    <row r="2199" spans="1:14" ht="14.25" customHeight="1">
      <c r="A2199" s="17">
        <v>12198</v>
      </c>
      <c r="B2199" s="18">
        <v>45517</v>
      </c>
      <c r="C2199" s="17" t="s">
        <v>58</v>
      </c>
      <c r="D2199" s="17" t="s">
        <v>83</v>
      </c>
      <c r="E2199" s="17" t="s">
        <v>165</v>
      </c>
      <c r="F2199" s="17" t="s">
        <v>166</v>
      </c>
      <c r="G2199" s="17">
        <v>2</v>
      </c>
      <c r="H2199" s="17">
        <v>50832</v>
      </c>
      <c r="I2199" s="17">
        <v>101664</v>
      </c>
      <c r="J2199" s="17">
        <v>598</v>
      </c>
      <c r="K2199" s="17">
        <v>101066</v>
      </c>
      <c r="L2199" s="17">
        <v>23619.027580000002</v>
      </c>
      <c r="M2199" s="17">
        <v>2024</v>
      </c>
      <c r="N2199" s="17" t="s">
        <v>126</v>
      </c>
    </row>
    <row r="2200" spans="1:14" ht="14.25" customHeight="1">
      <c r="A2200" s="17">
        <v>12199</v>
      </c>
      <c r="B2200" s="18">
        <v>45964</v>
      </c>
      <c r="C2200" s="17" t="s">
        <v>39</v>
      </c>
      <c r="D2200" s="17" t="s">
        <v>111</v>
      </c>
      <c r="E2200" s="17" t="s">
        <v>162</v>
      </c>
      <c r="F2200" s="17" t="s">
        <v>164</v>
      </c>
      <c r="G2200" s="17">
        <v>8</v>
      </c>
      <c r="H2200" s="17">
        <v>71243</v>
      </c>
      <c r="I2200" s="17">
        <v>569944</v>
      </c>
      <c r="J2200" s="17">
        <v>2981</v>
      </c>
      <c r="K2200" s="17">
        <v>566963</v>
      </c>
      <c r="L2200" s="17">
        <v>85874.411359999998</v>
      </c>
      <c r="M2200" s="17">
        <v>2025</v>
      </c>
      <c r="N2200" s="17" t="s">
        <v>173</v>
      </c>
    </row>
    <row r="2201" spans="1:14" ht="14.25" customHeight="1">
      <c r="A2201" s="17">
        <v>12200</v>
      </c>
      <c r="B2201" s="18">
        <v>45922</v>
      </c>
      <c r="C2201" s="17" t="s">
        <v>167</v>
      </c>
      <c r="D2201" s="17" t="s">
        <v>111</v>
      </c>
      <c r="E2201" s="17" t="s">
        <v>162</v>
      </c>
      <c r="F2201" s="17" t="s">
        <v>166</v>
      </c>
      <c r="G2201" s="17">
        <v>2</v>
      </c>
      <c r="H2201" s="17">
        <v>30048</v>
      </c>
      <c r="I2201" s="17">
        <v>60096</v>
      </c>
      <c r="J2201" s="17">
        <v>3963</v>
      </c>
      <c r="K2201" s="17">
        <v>56133</v>
      </c>
      <c r="L2201" s="17">
        <v>6995.6227650000001</v>
      </c>
      <c r="M2201" s="17">
        <v>2025</v>
      </c>
      <c r="N2201" s="17" t="s">
        <v>129</v>
      </c>
    </row>
    <row r="2202" spans="1:14" ht="14.25" customHeight="1">
      <c r="A2202" s="17">
        <v>12201</v>
      </c>
      <c r="B2202" s="18">
        <v>45952</v>
      </c>
      <c r="C2202" s="17" t="s">
        <v>167</v>
      </c>
      <c r="D2202" s="17" t="s">
        <v>89</v>
      </c>
      <c r="E2202" s="17" t="s">
        <v>165</v>
      </c>
      <c r="F2202" s="17" t="s">
        <v>163</v>
      </c>
      <c r="G2202" s="17">
        <v>5</v>
      </c>
      <c r="H2202" s="17">
        <v>37815</v>
      </c>
      <c r="I2202" s="17">
        <v>189075</v>
      </c>
      <c r="J2202" s="17">
        <v>428</v>
      </c>
      <c r="K2202" s="17">
        <v>188647</v>
      </c>
      <c r="L2202" s="17">
        <v>46556.65191</v>
      </c>
      <c r="M2202" s="17">
        <v>2025</v>
      </c>
      <c r="N2202" s="17" t="s">
        <v>174</v>
      </c>
    </row>
    <row r="2203" spans="1:14" ht="14.25" customHeight="1">
      <c r="A2203" s="17">
        <v>12202</v>
      </c>
      <c r="B2203" s="18">
        <v>45953</v>
      </c>
      <c r="C2203" s="17" t="s">
        <v>50</v>
      </c>
      <c r="D2203" s="17" t="s">
        <v>170</v>
      </c>
      <c r="E2203" s="17" t="s">
        <v>162</v>
      </c>
      <c r="F2203" s="17" t="s">
        <v>172</v>
      </c>
      <c r="G2203" s="17">
        <v>4</v>
      </c>
      <c r="H2203" s="17">
        <v>39682</v>
      </c>
      <c r="I2203" s="17">
        <v>158728</v>
      </c>
      <c r="J2203" s="17">
        <v>3781</v>
      </c>
      <c r="K2203" s="17">
        <v>154947</v>
      </c>
      <c r="L2203" s="17">
        <v>28181.69382</v>
      </c>
      <c r="M2203" s="17">
        <v>2025</v>
      </c>
      <c r="N2203" s="17" t="s">
        <v>174</v>
      </c>
    </row>
    <row r="2204" spans="1:14" ht="14.25" customHeight="1">
      <c r="A2204" s="17">
        <v>12203</v>
      </c>
      <c r="B2204" s="18">
        <v>45723</v>
      </c>
      <c r="C2204" s="17" t="s">
        <v>50</v>
      </c>
      <c r="D2204" s="17" t="s">
        <v>170</v>
      </c>
      <c r="E2204" s="17" t="s">
        <v>165</v>
      </c>
      <c r="F2204" s="17" t="s">
        <v>164</v>
      </c>
      <c r="G2204" s="17">
        <v>1</v>
      </c>
      <c r="H2204" s="17">
        <v>22489</v>
      </c>
      <c r="I2204" s="17">
        <v>22489</v>
      </c>
      <c r="J2204" s="17">
        <v>1324</v>
      </c>
      <c r="K2204" s="17">
        <v>21165</v>
      </c>
      <c r="L2204" s="17">
        <v>3629.7606000000001</v>
      </c>
      <c r="M2204" s="17">
        <v>2025</v>
      </c>
      <c r="N2204" s="17" t="s">
        <v>112</v>
      </c>
    </row>
    <row r="2205" spans="1:14" ht="14.25" customHeight="1">
      <c r="A2205" s="17">
        <v>12204</v>
      </c>
      <c r="B2205" s="18">
        <v>45946</v>
      </c>
      <c r="C2205" s="17" t="s">
        <v>50</v>
      </c>
      <c r="D2205" s="17" t="s">
        <v>83</v>
      </c>
      <c r="E2205" s="17" t="s">
        <v>162</v>
      </c>
      <c r="F2205" s="17" t="s">
        <v>172</v>
      </c>
      <c r="G2205" s="17">
        <v>5</v>
      </c>
      <c r="H2205" s="17">
        <v>64234</v>
      </c>
      <c r="I2205" s="17">
        <v>321170</v>
      </c>
      <c r="J2205" s="17">
        <v>2590</v>
      </c>
      <c r="K2205" s="17">
        <v>318580</v>
      </c>
      <c r="L2205" s="17">
        <v>67297.209419999999</v>
      </c>
      <c r="M2205" s="17">
        <v>2025</v>
      </c>
      <c r="N2205" s="17" t="s">
        <v>174</v>
      </c>
    </row>
    <row r="2206" spans="1:14" ht="14.25" customHeight="1">
      <c r="A2206" s="17">
        <v>12205</v>
      </c>
      <c r="B2206" s="18">
        <v>45710</v>
      </c>
      <c r="C2206" s="17" t="s">
        <v>167</v>
      </c>
      <c r="D2206" s="17" t="s">
        <v>170</v>
      </c>
      <c r="E2206" s="17" t="s">
        <v>162</v>
      </c>
      <c r="F2206" s="17" t="s">
        <v>164</v>
      </c>
      <c r="G2206" s="17">
        <v>7</v>
      </c>
      <c r="H2206" s="17">
        <v>62701</v>
      </c>
      <c r="I2206" s="17">
        <v>438907</v>
      </c>
      <c r="J2206" s="17">
        <v>2414</v>
      </c>
      <c r="K2206" s="17">
        <v>436493</v>
      </c>
      <c r="L2206" s="17">
        <v>54705.842689999998</v>
      </c>
      <c r="M2206" s="17">
        <v>2025</v>
      </c>
      <c r="N2206" s="17" t="s">
        <v>175</v>
      </c>
    </row>
    <row r="2207" spans="1:14" ht="14.25" customHeight="1">
      <c r="A2207" s="17">
        <v>12206</v>
      </c>
      <c r="B2207" s="18">
        <v>45746</v>
      </c>
      <c r="C2207" s="17" t="s">
        <v>45</v>
      </c>
      <c r="D2207" s="17" t="s">
        <v>83</v>
      </c>
      <c r="E2207" s="17" t="s">
        <v>162</v>
      </c>
      <c r="F2207" s="17" t="s">
        <v>166</v>
      </c>
      <c r="G2207" s="17">
        <v>1</v>
      </c>
      <c r="H2207" s="17">
        <v>21951</v>
      </c>
      <c r="I2207" s="17">
        <v>21951</v>
      </c>
      <c r="J2207" s="17">
        <v>1767</v>
      </c>
      <c r="K2207" s="17">
        <v>20184</v>
      </c>
      <c r="L2207" s="17">
        <v>3774.3768869999999</v>
      </c>
      <c r="M2207" s="17">
        <v>2025</v>
      </c>
      <c r="N2207" s="17" t="s">
        <v>112</v>
      </c>
    </row>
    <row r="2208" spans="1:14" ht="14.25" customHeight="1">
      <c r="A2208" s="17">
        <v>12207</v>
      </c>
      <c r="B2208" s="18">
        <v>45451</v>
      </c>
      <c r="C2208" s="17" t="s">
        <v>167</v>
      </c>
      <c r="D2208" s="17" t="s">
        <v>111</v>
      </c>
      <c r="E2208" s="17" t="s">
        <v>165</v>
      </c>
      <c r="F2208" s="17" t="s">
        <v>166</v>
      </c>
      <c r="G2208" s="17">
        <v>2</v>
      </c>
      <c r="H2208" s="17">
        <v>55018</v>
      </c>
      <c r="I2208" s="17">
        <v>110036</v>
      </c>
      <c r="J2208" s="17">
        <v>1516</v>
      </c>
      <c r="K2208" s="17">
        <v>108520</v>
      </c>
      <c r="L2208" s="17">
        <v>25342.062839999999</v>
      </c>
      <c r="M2208" s="17">
        <v>2024</v>
      </c>
      <c r="N2208" s="17" t="s">
        <v>120</v>
      </c>
    </row>
    <row r="2209" spans="1:14" ht="14.25" customHeight="1">
      <c r="A2209" s="17">
        <v>12208</v>
      </c>
      <c r="B2209" s="18">
        <v>45814</v>
      </c>
      <c r="C2209" s="17" t="s">
        <v>58</v>
      </c>
      <c r="D2209" s="17" t="s">
        <v>89</v>
      </c>
      <c r="E2209" s="17" t="s">
        <v>168</v>
      </c>
      <c r="F2209" s="17" t="s">
        <v>166</v>
      </c>
      <c r="G2209" s="17">
        <v>9</v>
      </c>
      <c r="H2209" s="17">
        <v>16452</v>
      </c>
      <c r="I2209" s="17">
        <v>148068</v>
      </c>
      <c r="J2209" s="17">
        <v>1339</v>
      </c>
      <c r="K2209" s="17">
        <v>146729</v>
      </c>
      <c r="L2209" s="17">
        <v>15180.622380000001</v>
      </c>
      <c r="M2209" s="17">
        <v>2025</v>
      </c>
      <c r="N2209" s="17" t="s">
        <v>120</v>
      </c>
    </row>
    <row r="2210" spans="1:14" ht="14.25" customHeight="1">
      <c r="A2210" s="17">
        <v>12209</v>
      </c>
      <c r="B2210" s="18">
        <v>45941</v>
      </c>
      <c r="C2210" s="17" t="s">
        <v>167</v>
      </c>
      <c r="D2210" s="17" t="s">
        <v>89</v>
      </c>
      <c r="E2210" s="17" t="s">
        <v>165</v>
      </c>
      <c r="F2210" s="17" t="s">
        <v>163</v>
      </c>
      <c r="G2210" s="17">
        <v>5</v>
      </c>
      <c r="H2210" s="17">
        <v>33635</v>
      </c>
      <c r="I2210" s="17">
        <v>168175</v>
      </c>
      <c r="J2210" s="17">
        <v>4094</v>
      </c>
      <c r="K2210" s="17">
        <v>164081</v>
      </c>
      <c r="L2210" s="17">
        <v>32970.593009999997</v>
      </c>
      <c r="M2210" s="17">
        <v>2025</v>
      </c>
      <c r="N2210" s="17" t="s">
        <v>174</v>
      </c>
    </row>
    <row r="2211" spans="1:14" ht="14.25" customHeight="1">
      <c r="A2211" s="17">
        <v>12210</v>
      </c>
      <c r="B2211" s="18">
        <v>45881</v>
      </c>
      <c r="C2211" s="17" t="s">
        <v>167</v>
      </c>
      <c r="D2211" s="17" t="s">
        <v>111</v>
      </c>
      <c r="E2211" s="17" t="s">
        <v>162</v>
      </c>
      <c r="F2211" s="17" t="s">
        <v>166</v>
      </c>
      <c r="G2211" s="17">
        <v>7</v>
      </c>
      <c r="H2211" s="17">
        <v>32933</v>
      </c>
      <c r="I2211" s="17">
        <v>230531</v>
      </c>
      <c r="J2211" s="17">
        <v>4659</v>
      </c>
      <c r="K2211" s="17">
        <v>225872</v>
      </c>
      <c r="L2211" s="17">
        <v>41269.884760000001</v>
      </c>
      <c r="M2211" s="17">
        <v>2025</v>
      </c>
      <c r="N2211" s="17" t="s">
        <v>126</v>
      </c>
    </row>
    <row r="2212" spans="1:14" ht="14.25" customHeight="1">
      <c r="A2212" s="17">
        <v>12211</v>
      </c>
      <c r="B2212" s="18">
        <v>45368</v>
      </c>
      <c r="C2212" s="17" t="s">
        <v>39</v>
      </c>
      <c r="D2212" s="17" t="s">
        <v>86</v>
      </c>
      <c r="E2212" s="17" t="s">
        <v>168</v>
      </c>
      <c r="F2212" s="17" t="s">
        <v>166</v>
      </c>
      <c r="G2212" s="17">
        <v>2</v>
      </c>
      <c r="H2212" s="17">
        <v>39581</v>
      </c>
      <c r="I2212" s="17">
        <v>79162</v>
      </c>
      <c r="J2212" s="17">
        <v>3403</v>
      </c>
      <c r="K2212" s="17">
        <v>75759</v>
      </c>
      <c r="L2212" s="17">
        <v>18380.657490000001</v>
      </c>
      <c r="M2212" s="17">
        <v>2024</v>
      </c>
      <c r="N2212" s="17" t="s">
        <v>112</v>
      </c>
    </row>
    <row r="2213" spans="1:14" ht="14.25" customHeight="1">
      <c r="A2213" s="17">
        <v>12212</v>
      </c>
      <c r="B2213" s="18">
        <v>45800</v>
      </c>
      <c r="C2213" s="17" t="s">
        <v>39</v>
      </c>
      <c r="D2213" s="17" t="s">
        <v>86</v>
      </c>
      <c r="E2213" s="17" t="s">
        <v>168</v>
      </c>
      <c r="F2213" s="17" t="s">
        <v>163</v>
      </c>
      <c r="G2213" s="17">
        <v>7</v>
      </c>
      <c r="H2213" s="17">
        <v>43281</v>
      </c>
      <c r="I2213" s="17">
        <v>302967</v>
      </c>
      <c r="J2213" s="17">
        <v>2546</v>
      </c>
      <c r="K2213" s="17">
        <v>300421</v>
      </c>
      <c r="L2213" s="17">
        <v>41699.869760000001</v>
      </c>
      <c r="M2213" s="17">
        <v>2025</v>
      </c>
      <c r="N2213" s="17" t="s">
        <v>117</v>
      </c>
    </row>
    <row r="2214" spans="1:14" ht="14.25" customHeight="1">
      <c r="A2214" s="17">
        <v>12213</v>
      </c>
      <c r="B2214" s="18">
        <v>45732</v>
      </c>
      <c r="C2214" s="17" t="s">
        <v>39</v>
      </c>
      <c r="D2214" s="17" t="s">
        <v>170</v>
      </c>
      <c r="E2214" s="17" t="s">
        <v>162</v>
      </c>
      <c r="F2214" s="17" t="s">
        <v>172</v>
      </c>
      <c r="G2214" s="17">
        <v>7</v>
      </c>
      <c r="H2214" s="17">
        <v>26187</v>
      </c>
      <c r="I2214" s="17">
        <v>183309</v>
      </c>
      <c r="J2214" s="17">
        <v>976</v>
      </c>
      <c r="K2214" s="17">
        <v>182333</v>
      </c>
      <c r="L2214" s="17">
        <v>41723.943460000002</v>
      </c>
      <c r="M2214" s="17">
        <v>2025</v>
      </c>
      <c r="N2214" s="17" t="s">
        <v>112</v>
      </c>
    </row>
    <row r="2215" spans="1:14" ht="14.25" customHeight="1">
      <c r="A2215" s="17">
        <v>12214</v>
      </c>
      <c r="B2215" s="18">
        <v>45545</v>
      </c>
      <c r="C2215" s="17" t="s">
        <v>167</v>
      </c>
      <c r="D2215" s="17" t="s">
        <v>83</v>
      </c>
      <c r="E2215" s="17" t="s">
        <v>165</v>
      </c>
      <c r="F2215" s="17" t="s">
        <v>172</v>
      </c>
      <c r="G2215" s="17">
        <v>7</v>
      </c>
      <c r="H2215" s="17">
        <v>27953</v>
      </c>
      <c r="I2215" s="17">
        <v>195671</v>
      </c>
      <c r="J2215" s="17">
        <v>1614</v>
      </c>
      <c r="K2215" s="17">
        <v>194057</v>
      </c>
      <c r="L2215" s="17">
        <v>28399.82575</v>
      </c>
      <c r="M2215" s="17">
        <v>2024</v>
      </c>
      <c r="N2215" s="17" t="s">
        <v>129</v>
      </c>
    </row>
    <row r="2216" spans="1:14" ht="14.25" customHeight="1">
      <c r="A2216" s="17">
        <v>12215</v>
      </c>
      <c r="B2216" s="18">
        <v>45611</v>
      </c>
      <c r="C2216" s="17" t="s">
        <v>45</v>
      </c>
      <c r="D2216" s="17" t="s">
        <v>89</v>
      </c>
      <c r="E2216" s="17" t="s">
        <v>168</v>
      </c>
      <c r="F2216" s="17" t="s">
        <v>164</v>
      </c>
      <c r="G2216" s="17">
        <v>5</v>
      </c>
      <c r="H2216" s="17">
        <v>38818</v>
      </c>
      <c r="I2216" s="17">
        <v>194090</v>
      </c>
      <c r="J2216" s="17">
        <v>1584</v>
      </c>
      <c r="K2216" s="17">
        <v>192506</v>
      </c>
      <c r="L2216" s="17">
        <v>31663.297640000001</v>
      </c>
      <c r="M2216" s="17">
        <v>2024</v>
      </c>
      <c r="N2216" s="17" t="s">
        <v>173</v>
      </c>
    </row>
    <row r="2217" spans="1:14" ht="14.25" customHeight="1">
      <c r="A2217" s="17">
        <v>12216</v>
      </c>
      <c r="B2217" s="18">
        <v>45554</v>
      </c>
      <c r="C2217" s="17" t="s">
        <v>58</v>
      </c>
      <c r="D2217" s="17" t="s">
        <v>170</v>
      </c>
      <c r="E2217" s="17" t="s">
        <v>168</v>
      </c>
      <c r="F2217" s="17" t="s">
        <v>172</v>
      </c>
      <c r="G2217" s="17">
        <v>9</v>
      </c>
      <c r="H2217" s="17">
        <v>29702</v>
      </c>
      <c r="I2217" s="17">
        <v>267318</v>
      </c>
      <c r="J2217" s="17">
        <v>4061</v>
      </c>
      <c r="K2217" s="17">
        <v>263257</v>
      </c>
      <c r="L2217" s="17">
        <v>34748.116670000003</v>
      </c>
      <c r="M2217" s="17">
        <v>2024</v>
      </c>
      <c r="N2217" s="17" t="s">
        <v>129</v>
      </c>
    </row>
    <row r="2218" spans="1:14" ht="14.25" customHeight="1">
      <c r="A2218" s="17">
        <v>12217</v>
      </c>
      <c r="B2218" s="18">
        <v>45888</v>
      </c>
      <c r="C2218" s="17" t="s">
        <v>58</v>
      </c>
      <c r="D2218" s="17" t="s">
        <v>111</v>
      </c>
      <c r="E2218" s="17" t="s">
        <v>165</v>
      </c>
      <c r="F2218" s="17" t="s">
        <v>164</v>
      </c>
      <c r="G2218" s="17">
        <v>2</v>
      </c>
      <c r="H2218" s="17">
        <v>11278</v>
      </c>
      <c r="I2218" s="17">
        <v>22556</v>
      </c>
      <c r="J2218" s="17">
        <v>4651</v>
      </c>
      <c r="K2218" s="17">
        <v>17905</v>
      </c>
      <c r="L2218" s="17">
        <v>4109.8895709999997</v>
      </c>
      <c r="M2218" s="17">
        <v>2025</v>
      </c>
      <c r="N2218" s="17" t="s">
        <v>126</v>
      </c>
    </row>
    <row r="2219" spans="1:14" ht="14.25" customHeight="1">
      <c r="A2219" s="17">
        <v>12218</v>
      </c>
      <c r="B2219" s="18">
        <v>45949</v>
      </c>
      <c r="C2219" s="17" t="s">
        <v>45</v>
      </c>
      <c r="D2219" s="17" t="s">
        <v>89</v>
      </c>
      <c r="E2219" s="17" t="s">
        <v>165</v>
      </c>
      <c r="F2219" s="17" t="s">
        <v>164</v>
      </c>
      <c r="G2219" s="17">
        <v>4</v>
      </c>
      <c r="H2219" s="17">
        <v>49566</v>
      </c>
      <c r="I2219" s="17">
        <v>198264</v>
      </c>
      <c r="J2219" s="17">
        <v>1270</v>
      </c>
      <c r="K2219" s="17">
        <v>196994</v>
      </c>
      <c r="L2219" s="17">
        <v>25473.579600000001</v>
      </c>
      <c r="M2219" s="17">
        <v>2025</v>
      </c>
      <c r="N2219" s="17" t="s">
        <v>174</v>
      </c>
    </row>
    <row r="2220" spans="1:14" ht="14.25" customHeight="1">
      <c r="A2220" s="17">
        <v>12219</v>
      </c>
      <c r="B2220" s="18">
        <v>45845</v>
      </c>
      <c r="C2220" s="17" t="s">
        <v>45</v>
      </c>
      <c r="D2220" s="17" t="s">
        <v>83</v>
      </c>
      <c r="E2220" s="17" t="s">
        <v>168</v>
      </c>
      <c r="F2220" s="17" t="s">
        <v>172</v>
      </c>
      <c r="G2220" s="17">
        <v>2</v>
      </c>
      <c r="H2220" s="17">
        <v>64722</v>
      </c>
      <c r="I2220" s="17">
        <v>129444</v>
      </c>
      <c r="J2220" s="17">
        <v>218</v>
      </c>
      <c r="K2220" s="17">
        <v>129226</v>
      </c>
      <c r="L2220" s="17">
        <v>29573.62196</v>
      </c>
      <c r="M2220" s="17">
        <v>2025</v>
      </c>
      <c r="N2220" s="17" t="s">
        <v>123</v>
      </c>
    </row>
    <row r="2221" spans="1:14" ht="14.25" customHeight="1">
      <c r="A2221" s="17">
        <v>12220</v>
      </c>
      <c r="B2221" s="18">
        <v>45665</v>
      </c>
      <c r="C2221" s="17" t="s">
        <v>58</v>
      </c>
      <c r="D2221" s="17" t="s">
        <v>83</v>
      </c>
      <c r="E2221" s="17" t="s">
        <v>165</v>
      </c>
      <c r="F2221" s="17" t="s">
        <v>172</v>
      </c>
      <c r="G2221" s="17">
        <v>8</v>
      </c>
      <c r="H2221" s="17">
        <v>23036</v>
      </c>
      <c r="I2221" s="17">
        <v>184288</v>
      </c>
      <c r="J2221" s="17">
        <v>533</v>
      </c>
      <c r="K2221" s="17">
        <v>183755</v>
      </c>
      <c r="L2221" s="17">
        <v>30933.685570000001</v>
      </c>
      <c r="M2221" s="17">
        <v>2025</v>
      </c>
      <c r="N2221" s="17" t="s">
        <v>171</v>
      </c>
    </row>
    <row r="2222" spans="1:14" ht="14.25" customHeight="1">
      <c r="A2222" s="17">
        <v>12221</v>
      </c>
      <c r="B2222" s="18">
        <v>45928</v>
      </c>
      <c r="C2222" s="17" t="s">
        <v>50</v>
      </c>
      <c r="D2222" s="17" t="s">
        <v>86</v>
      </c>
      <c r="E2222" s="17" t="s">
        <v>168</v>
      </c>
      <c r="F2222" s="17" t="s">
        <v>163</v>
      </c>
      <c r="G2222" s="17">
        <v>1</v>
      </c>
      <c r="H2222" s="17">
        <v>29583</v>
      </c>
      <c r="I2222" s="17">
        <v>29583</v>
      </c>
      <c r="J2222" s="17">
        <v>1495</v>
      </c>
      <c r="K2222" s="17">
        <v>28088</v>
      </c>
      <c r="L2222" s="17">
        <v>6327.1822030000003</v>
      </c>
      <c r="M2222" s="17">
        <v>2025</v>
      </c>
      <c r="N2222" s="17" t="s">
        <v>129</v>
      </c>
    </row>
    <row r="2223" spans="1:14" ht="14.25" customHeight="1">
      <c r="A2223" s="17">
        <v>12222</v>
      </c>
      <c r="B2223" s="18">
        <v>45458</v>
      </c>
      <c r="C2223" s="17" t="s">
        <v>39</v>
      </c>
      <c r="D2223" s="17" t="s">
        <v>170</v>
      </c>
      <c r="E2223" s="17" t="s">
        <v>162</v>
      </c>
      <c r="F2223" s="17" t="s">
        <v>164</v>
      </c>
      <c r="G2223" s="17">
        <v>9</v>
      </c>
      <c r="H2223" s="17">
        <v>75244</v>
      </c>
      <c r="I2223" s="17">
        <v>677196</v>
      </c>
      <c r="J2223" s="17">
        <v>1373</v>
      </c>
      <c r="K2223" s="17">
        <v>675823</v>
      </c>
      <c r="L2223" s="17">
        <v>94394.417719999998</v>
      </c>
      <c r="M2223" s="17">
        <v>2024</v>
      </c>
      <c r="N2223" s="17" t="s">
        <v>120</v>
      </c>
    </row>
    <row r="2224" spans="1:14" ht="14.25" customHeight="1">
      <c r="A2224" s="17">
        <v>12223</v>
      </c>
      <c r="B2224" s="18">
        <v>45750</v>
      </c>
      <c r="C2224" s="17" t="s">
        <v>39</v>
      </c>
      <c r="D2224" s="17" t="s">
        <v>111</v>
      </c>
      <c r="E2224" s="17" t="s">
        <v>165</v>
      </c>
      <c r="F2224" s="17" t="s">
        <v>172</v>
      </c>
      <c r="G2224" s="17">
        <v>5</v>
      </c>
      <c r="H2224" s="17">
        <v>14476</v>
      </c>
      <c r="I2224" s="17">
        <v>72380</v>
      </c>
      <c r="J2224" s="17">
        <v>4139</v>
      </c>
      <c r="K2224" s="17">
        <v>68241</v>
      </c>
      <c r="L2224" s="17">
        <v>8182.745637</v>
      </c>
      <c r="M2224" s="17">
        <v>2025</v>
      </c>
      <c r="N2224" s="17" t="s">
        <v>114</v>
      </c>
    </row>
    <row r="2225" spans="1:14" ht="14.25" customHeight="1">
      <c r="A2225" s="17">
        <v>12224</v>
      </c>
      <c r="B2225" s="18">
        <v>45571</v>
      </c>
      <c r="C2225" s="17" t="s">
        <v>58</v>
      </c>
      <c r="D2225" s="17" t="s">
        <v>89</v>
      </c>
      <c r="E2225" s="17" t="s">
        <v>168</v>
      </c>
      <c r="F2225" s="17" t="s">
        <v>172</v>
      </c>
      <c r="G2225" s="17">
        <v>3</v>
      </c>
      <c r="H2225" s="17">
        <v>75854</v>
      </c>
      <c r="I2225" s="17">
        <v>227562</v>
      </c>
      <c r="J2225" s="17">
        <v>3823</v>
      </c>
      <c r="K2225" s="17">
        <v>223739</v>
      </c>
      <c r="L2225" s="17">
        <v>40998.871769999998</v>
      </c>
      <c r="M2225" s="17">
        <v>2024</v>
      </c>
      <c r="N2225" s="17" t="s">
        <v>174</v>
      </c>
    </row>
    <row r="2226" spans="1:14" ht="14.25" customHeight="1">
      <c r="A2226" s="17">
        <v>12225</v>
      </c>
      <c r="B2226" s="18">
        <v>45991</v>
      </c>
      <c r="C2226" s="17" t="s">
        <v>45</v>
      </c>
      <c r="D2226" s="17" t="s">
        <v>83</v>
      </c>
      <c r="E2226" s="17" t="s">
        <v>165</v>
      </c>
      <c r="F2226" s="17" t="s">
        <v>163</v>
      </c>
      <c r="G2226" s="17">
        <v>4</v>
      </c>
      <c r="H2226" s="17">
        <v>43627</v>
      </c>
      <c r="I2226" s="17">
        <v>174508</v>
      </c>
      <c r="J2226" s="17">
        <v>3949</v>
      </c>
      <c r="K2226" s="17">
        <v>170559</v>
      </c>
      <c r="L2226" s="17">
        <v>30089.26151</v>
      </c>
      <c r="M2226" s="17">
        <v>2025</v>
      </c>
      <c r="N2226" s="17" t="s">
        <v>173</v>
      </c>
    </row>
    <row r="2227" spans="1:14" ht="14.25" customHeight="1">
      <c r="A2227" s="17">
        <v>12226</v>
      </c>
      <c r="B2227" s="18">
        <v>45593</v>
      </c>
      <c r="C2227" s="17" t="s">
        <v>50</v>
      </c>
      <c r="D2227" s="17" t="s">
        <v>89</v>
      </c>
      <c r="E2227" s="17" t="s">
        <v>165</v>
      </c>
      <c r="F2227" s="17" t="s">
        <v>172</v>
      </c>
      <c r="G2227" s="17">
        <v>1</v>
      </c>
      <c r="H2227" s="17">
        <v>50441</v>
      </c>
      <c r="I2227" s="17">
        <v>50441</v>
      </c>
      <c r="J2227" s="17">
        <v>64</v>
      </c>
      <c r="K2227" s="17">
        <v>50377</v>
      </c>
      <c r="L2227" s="17">
        <v>7732.4214819999997</v>
      </c>
      <c r="M2227" s="17">
        <v>2024</v>
      </c>
      <c r="N2227" s="17" t="s">
        <v>174</v>
      </c>
    </row>
    <row r="2228" spans="1:14" ht="14.25" customHeight="1">
      <c r="A2228" s="17">
        <v>12227</v>
      </c>
      <c r="B2228" s="18">
        <v>45822</v>
      </c>
      <c r="C2228" s="17" t="s">
        <v>58</v>
      </c>
      <c r="D2228" s="17" t="s">
        <v>111</v>
      </c>
      <c r="E2228" s="17" t="s">
        <v>168</v>
      </c>
      <c r="F2228" s="17" t="s">
        <v>166</v>
      </c>
      <c r="G2228" s="17">
        <v>3</v>
      </c>
      <c r="H2228" s="17">
        <v>29754</v>
      </c>
      <c r="I2228" s="17">
        <v>89262</v>
      </c>
      <c r="J2228" s="17">
        <v>4341</v>
      </c>
      <c r="K2228" s="17">
        <v>84921</v>
      </c>
      <c r="L2228" s="17">
        <v>16935.218649999999</v>
      </c>
      <c r="M2228" s="17">
        <v>2025</v>
      </c>
      <c r="N2228" s="17" t="s">
        <v>120</v>
      </c>
    </row>
    <row r="2229" spans="1:14" ht="14.25" customHeight="1">
      <c r="A2229" s="17">
        <v>12228</v>
      </c>
      <c r="B2229" s="18">
        <v>45871</v>
      </c>
      <c r="C2229" s="17" t="s">
        <v>39</v>
      </c>
      <c r="D2229" s="17" t="s">
        <v>89</v>
      </c>
      <c r="E2229" s="17" t="s">
        <v>162</v>
      </c>
      <c r="F2229" s="17" t="s">
        <v>166</v>
      </c>
      <c r="G2229" s="17">
        <v>8</v>
      </c>
      <c r="H2229" s="17">
        <v>69751</v>
      </c>
      <c r="I2229" s="17">
        <v>558008</v>
      </c>
      <c r="J2229" s="17">
        <v>3142</v>
      </c>
      <c r="K2229" s="17">
        <v>554866</v>
      </c>
      <c r="L2229" s="17">
        <v>63405.328119999998</v>
      </c>
      <c r="M2229" s="17">
        <v>2025</v>
      </c>
      <c r="N2229" s="17" t="s">
        <v>126</v>
      </c>
    </row>
    <row r="2230" spans="1:14" ht="14.25" customHeight="1">
      <c r="A2230" s="17">
        <v>12229</v>
      </c>
      <c r="B2230" s="18">
        <v>45509</v>
      </c>
      <c r="C2230" s="17" t="s">
        <v>167</v>
      </c>
      <c r="D2230" s="17" t="s">
        <v>170</v>
      </c>
      <c r="E2230" s="17" t="s">
        <v>168</v>
      </c>
      <c r="F2230" s="17" t="s">
        <v>164</v>
      </c>
      <c r="G2230" s="17">
        <v>2</v>
      </c>
      <c r="H2230" s="17">
        <v>24979</v>
      </c>
      <c r="I2230" s="17">
        <v>49958</v>
      </c>
      <c r="J2230" s="17">
        <v>1724</v>
      </c>
      <c r="K2230" s="17">
        <v>48234</v>
      </c>
      <c r="L2230" s="17">
        <v>9323.6399770000007</v>
      </c>
      <c r="M2230" s="17">
        <v>2024</v>
      </c>
      <c r="N2230" s="17" t="s">
        <v>126</v>
      </c>
    </row>
    <row r="2231" spans="1:14" ht="14.25" customHeight="1">
      <c r="A2231" s="17">
        <v>12230</v>
      </c>
      <c r="B2231" s="18">
        <v>45393</v>
      </c>
      <c r="C2231" s="17" t="s">
        <v>45</v>
      </c>
      <c r="D2231" s="17" t="s">
        <v>86</v>
      </c>
      <c r="E2231" s="17" t="s">
        <v>165</v>
      </c>
      <c r="F2231" s="17" t="s">
        <v>163</v>
      </c>
      <c r="G2231" s="17">
        <v>2</v>
      </c>
      <c r="H2231" s="17">
        <v>75446</v>
      </c>
      <c r="I2231" s="17">
        <v>150892</v>
      </c>
      <c r="J2231" s="17">
        <v>2205</v>
      </c>
      <c r="K2231" s="17">
        <v>148687</v>
      </c>
      <c r="L2231" s="17">
        <v>19591.506740000001</v>
      </c>
      <c r="M2231" s="17">
        <v>2024</v>
      </c>
      <c r="N2231" s="17" t="s">
        <v>114</v>
      </c>
    </row>
    <row r="2232" spans="1:14" ht="14.25" customHeight="1">
      <c r="A2232" s="17">
        <v>12231</v>
      </c>
      <c r="B2232" s="18">
        <v>45845</v>
      </c>
      <c r="C2232" s="17" t="s">
        <v>167</v>
      </c>
      <c r="D2232" s="17" t="s">
        <v>89</v>
      </c>
      <c r="E2232" s="17" t="s">
        <v>168</v>
      </c>
      <c r="F2232" s="17" t="s">
        <v>172</v>
      </c>
      <c r="G2232" s="17">
        <v>9</v>
      </c>
      <c r="H2232" s="17">
        <v>66161</v>
      </c>
      <c r="I2232" s="17">
        <v>595449</v>
      </c>
      <c r="J2232" s="17">
        <v>2985</v>
      </c>
      <c r="K2232" s="17">
        <v>592464</v>
      </c>
      <c r="L2232" s="17">
        <v>70706.539810000002</v>
      </c>
      <c r="M2232" s="17">
        <v>2025</v>
      </c>
      <c r="N2232" s="17" t="s">
        <v>123</v>
      </c>
    </row>
    <row r="2233" spans="1:14" ht="14.25" customHeight="1">
      <c r="A2233" s="17">
        <v>12232</v>
      </c>
      <c r="B2233" s="18">
        <v>45579</v>
      </c>
      <c r="C2233" s="17" t="s">
        <v>58</v>
      </c>
      <c r="D2233" s="17" t="s">
        <v>86</v>
      </c>
      <c r="E2233" s="17" t="s">
        <v>165</v>
      </c>
      <c r="F2233" s="17" t="s">
        <v>164</v>
      </c>
      <c r="G2233" s="17">
        <v>5</v>
      </c>
      <c r="H2233" s="17">
        <v>41022</v>
      </c>
      <c r="I2233" s="17">
        <v>205110</v>
      </c>
      <c r="J2233" s="17">
        <v>3913</v>
      </c>
      <c r="K2233" s="17">
        <v>201197</v>
      </c>
      <c r="L2233" s="17">
        <v>47571.265549999996</v>
      </c>
      <c r="M2233" s="17">
        <v>2024</v>
      </c>
      <c r="N2233" s="17" t="s">
        <v>174</v>
      </c>
    </row>
    <row r="2234" spans="1:14" ht="14.25" customHeight="1">
      <c r="A2234" s="17">
        <v>12233</v>
      </c>
      <c r="B2234" s="18">
        <v>45458</v>
      </c>
      <c r="C2234" s="17" t="s">
        <v>39</v>
      </c>
      <c r="D2234" s="17" t="s">
        <v>111</v>
      </c>
      <c r="E2234" s="17" t="s">
        <v>168</v>
      </c>
      <c r="F2234" s="17" t="s">
        <v>172</v>
      </c>
      <c r="G2234" s="17">
        <v>5</v>
      </c>
      <c r="H2234" s="17">
        <v>68257</v>
      </c>
      <c r="I2234" s="17">
        <v>341285</v>
      </c>
      <c r="J2234" s="17">
        <v>1048</v>
      </c>
      <c r="K2234" s="17">
        <v>340237</v>
      </c>
      <c r="L2234" s="17">
        <v>57489.629560000001</v>
      </c>
      <c r="M2234" s="17">
        <v>2024</v>
      </c>
      <c r="N2234" s="17" t="s">
        <v>120</v>
      </c>
    </row>
    <row r="2235" spans="1:14" ht="14.25" customHeight="1">
      <c r="A2235" s="17">
        <v>12234</v>
      </c>
      <c r="B2235" s="18">
        <v>45912</v>
      </c>
      <c r="C2235" s="17" t="s">
        <v>50</v>
      </c>
      <c r="D2235" s="17" t="s">
        <v>86</v>
      </c>
      <c r="E2235" s="17" t="s">
        <v>162</v>
      </c>
      <c r="F2235" s="17" t="s">
        <v>166</v>
      </c>
      <c r="G2235" s="17">
        <v>1</v>
      </c>
      <c r="H2235" s="17">
        <v>9453</v>
      </c>
      <c r="I2235" s="17">
        <v>9453</v>
      </c>
      <c r="J2235" s="17">
        <v>3654</v>
      </c>
      <c r="K2235" s="17">
        <v>5799</v>
      </c>
      <c r="L2235" s="17">
        <v>1243.9581659999999</v>
      </c>
      <c r="M2235" s="17">
        <v>2025</v>
      </c>
      <c r="N2235" s="17" t="s">
        <v>129</v>
      </c>
    </row>
    <row r="2236" spans="1:14" ht="14.25" customHeight="1">
      <c r="A2236" s="17">
        <v>12235</v>
      </c>
      <c r="B2236" s="18">
        <v>45327</v>
      </c>
      <c r="C2236" s="17" t="s">
        <v>167</v>
      </c>
      <c r="D2236" s="17" t="s">
        <v>89</v>
      </c>
      <c r="E2236" s="17" t="s">
        <v>162</v>
      </c>
      <c r="F2236" s="17" t="s">
        <v>172</v>
      </c>
      <c r="G2236" s="17">
        <v>6</v>
      </c>
      <c r="H2236" s="17">
        <v>56575</v>
      </c>
      <c r="I2236" s="17">
        <v>339450</v>
      </c>
      <c r="J2236" s="17">
        <v>2872</v>
      </c>
      <c r="K2236" s="17">
        <v>336578</v>
      </c>
      <c r="L2236" s="17">
        <v>38157.019630000003</v>
      </c>
      <c r="M2236" s="17">
        <v>2024</v>
      </c>
      <c r="N2236" s="17" t="s">
        <v>175</v>
      </c>
    </row>
    <row r="2237" spans="1:14" ht="14.25" customHeight="1">
      <c r="A2237" s="17">
        <v>12236</v>
      </c>
      <c r="B2237" s="18">
        <v>45644</v>
      </c>
      <c r="C2237" s="17" t="s">
        <v>50</v>
      </c>
      <c r="D2237" s="17" t="s">
        <v>89</v>
      </c>
      <c r="E2237" s="17" t="s">
        <v>162</v>
      </c>
      <c r="F2237" s="17" t="s">
        <v>172</v>
      </c>
      <c r="G2237" s="17">
        <v>8</v>
      </c>
      <c r="H2237" s="17">
        <v>62260</v>
      </c>
      <c r="I2237" s="17">
        <v>498080</v>
      </c>
      <c r="J2237" s="17">
        <v>4255</v>
      </c>
      <c r="K2237" s="17">
        <v>493825</v>
      </c>
      <c r="L2237" s="17">
        <v>53639.139009999999</v>
      </c>
      <c r="M2237" s="17">
        <v>2024</v>
      </c>
      <c r="N2237" s="17" t="s">
        <v>169</v>
      </c>
    </row>
    <row r="2238" spans="1:14" ht="14.25" customHeight="1">
      <c r="A2238" s="17">
        <v>12237</v>
      </c>
      <c r="B2238" s="18">
        <v>45967</v>
      </c>
      <c r="C2238" s="17" t="s">
        <v>39</v>
      </c>
      <c r="D2238" s="17" t="s">
        <v>83</v>
      </c>
      <c r="E2238" s="17" t="s">
        <v>162</v>
      </c>
      <c r="F2238" s="17" t="s">
        <v>172</v>
      </c>
      <c r="G2238" s="17">
        <v>6</v>
      </c>
      <c r="H2238" s="17">
        <v>45705</v>
      </c>
      <c r="I2238" s="17">
        <v>274230</v>
      </c>
      <c r="J2238" s="17">
        <v>1004</v>
      </c>
      <c r="K2238" s="17">
        <v>273226</v>
      </c>
      <c r="L2238" s="17">
        <v>47603.573609999999</v>
      </c>
      <c r="M2238" s="17">
        <v>2025</v>
      </c>
      <c r="N2238" s="17" t="s">
        <v>173</v>
      </c>
    </row>
    <row r="2239" spans="1:14" ht="14.25" customHeight="1">
      <c r="A2239" s="17">
        <v>12238</v>
      </c>
      <c r="B2239" s="18">
        <v>45364</v>
      </c>
      <c r="C2239" s="17" t="s">
        <v>167</v>
      </c>
      <c r="D2239" s="17" t="s">
        <v>89</v>
      </c>
      <c r="E2239" s="17" t="s">
        <v>168</v>
      </c>
      <c r="F2239" s="17" t="s">
        <v>166</v>
      </c>
      <c r="G2239" s="17">
        <v>7</v>
      </c>
      <c r="H2239" s="17">
        <v>60833</v>
      </c>
      <c r="I2239" s="17">
        <v>425831</v>
      </c>
      <c r="J2239" s="17">
        <v>2122</v>
      </c>
      <c r="K2239" s="17">
        <v>423709</v>
      </c>
      <c r="L2239" s="17">
        <v>62426.179429999997</v>
      </c>
      <c r="M2239" s="17">
        <v>2024</v>
      </c>
      <c r="N2239" s="17" t="s">
        <v>112</v>
      </c>
    </row>
    <row r="2240" spans="1:14" ht="14.25" customHeight="1">
      <c r="A2240" s="17">
        <v>12239</v>
      </c>
      <c r="B2240" s="18">
        <v>45939</v>
      </c>
      <c r="C2240" s="17" t="s">
        <v>50</v>
      </c>
      <c r="D2240" s="17" t="s">
        <v>86</v>
      </c>
      <c r="E2240" s="17" t="s">
        <v>162</v>
      </c>
      <c r="F2240" s="17" t="s">
        <v>166</v>
      </c>
      <c r="G2240" s="17">
        <v>4</v>
      </c>
      <c r="H2240" s="17">
        <v>59029</v>
      </c>
      <c r="I2240" s="17">
        <v>236116</v>
      </c>
      <c r="J2240" s="17">
        <v>4574</v>
      </c>
      <c r="K2240" s="17">
        <v>231542</v>
      </c>
      <c r="L2240" s="17">
        <v>23324.63665</v>
      </c>
      <c r="M2240" s="17">
        <v>2025</v>
      </c>
      <c r="N2240" s="17" t="s">
        <v>174</v>
      </c>
    </row>
    <row r="2241" spans="1:14" ht="14.25" customHeight="1">
      <c r="A2241" s="17">
        <v>12240</v>
      </c>
      <c r="B2241" s="18">
        <v>45644</v>
      </c>
      <c r="C2241" s="17" t="s">
        <v>50</v>
      </c>
      <c r="D2241" s="17" t="s">
        <v>83</v>
      </c>
      <c r="E2241" s="17" t="s">
        <v>168</v>
      </c>
      <c r="F2241" s="17" t="s">
        <v>163</v>
      </c>
      <c r="G2241" s="17">
        <v>2</v>
      </c>
      <c r="H2241" s="17">
        <v>9177</v>
      </c>
      <c r="I2241" s="17">
        <v>18354</v>
      </c>
      <c r="J2241" s="17">
        <v>3981</v>
      </c>
      <c r="K2241" s="17">
        <v>14373</v>
      </c>
      <c r="L2241" s="17">
        <v>1832.4740899999999</v>
      </c>
      <c r="M2241" s="17">
        <v>2024</v>
      </c>
      <c r="N2241" s="17" t="s">
        <v>169</v>
      </c>
    </row>
    <row r="2242" spans="1:14" ht="14.25" customHeight="1">
      <c r="A2242" s="17">
        <v>12241</v>
      </c>
      <c r="B2242" s="18">
        <v>45361</v>
      </c>
      <c r="C2242" s="17" t="s">
        <v>167</v>
      </c>
      <c r="D2242" s="17" t="s">
        <v>89</v>
      </c>
      <c r="E2242" s="17" t="s">
        <v>165</v>
      </c>
      <c r="F2242" s="17" t="s">
        <v>166</v>
      </c>
      <c r="G2242" s="17">
        <v>1</v>
      </c>
      <c r="H2242" s="17">
        <v>73965</v>
      </c>
      <c r="I2242" s="17">
        <v>73965</v>
      </c>
      <c r="J2242" s="17">
        <v>4482</v>
      </c>
      <c r="K2242" s="17">
        <v>69483</v>
      </c>
      <c r="L2242" s="17">
        <v>9228.4768710000008</v>
      </c>
      <c r="M2242" s="17">
        <v>2024</v>
      </c>
      <c r="N2242" s="17" t="s">
        <v>112</v>
      </c>
    </row>
    <row r="2243" spans="1:14" ht="14.25" customHeight="1">
      <c r="A2243" s="17">
        <v>12242</v>
      </c>
      <c r="B2243" s="18">
        <v>45716</v>
      </c>
      <c r="C2243" s="17" t="s">
        <v>39</v>
      </c>
      <c r="D2243" s="17" t="s">
        <v>89</v>
      </c>
      <c r="E2243" s="17" t="s">
        <v>165</v>
      </c>
      <c r="F2243" s="17" t="s">
        <v>164</v>
      </c>
      <c r="G2243" s="17">
        <v>6</v>
      </c>
      <c r="H2243" s="17">
        <v>37952</v>
      </c>
      <c r="I2243" s="17">
        <v>227712</v>
      </c>
      <c r="J2243" s="17">
        <v>471</v>
      </c>
      <c r="K2243" s="17">
        <v>227241</v>
      </c>
      <c r="L2243" s="17">
        <v>32558.170880000001</v>
      </c>
      <c r="M2243" s="17">
        <v>2025</v>
      </c>
      <c r="N2243" s="17" t="s">
        <v>175</v>
      </c>
    </row>
    <row r="2244" spans="1:14" ht="14.25" customHeight="1">
      <c r="A2244" s="17">
        <v>12243</v>
      </c>
      <c r="B2244" s="18">
        <v>45999</v>
      </c>
      <c r="C2244" s="17" t="s">
        <v>50</v>
      </c>
      <c r="D2244" s="17" t="s">
        <v>111</v>
      </c>
      <c r="E2244" s="17" t="s">
        <v>165</v>
      </c>
      <c r="F2244" s="17" t="s">
        <v>172</v>
      </c>
      <c r="G2244" s="17">
        <v>9</v>
      </c>
      <c r="H2244" s="17">
        <v>75514</v>
      </c>
      <c r="I2244" s="17">
        <v>679626</v>
      </c>
      <c r="J2244" s="17">
        <v>3405</v>
      </c>
      <c r="K2244" s="17">
        <v>676221</v>
      </c>
      <c r="L2244" s="17">
        <v>156633.2978</v>
      </c>
      <c r="M2244" s="17">
        <v>2025</v>
      </c>
      <c r="N2244" s="17" t="s">
        <v>169</v>
      </c>
    </row>
    <row r="2245" spans="1:14" ht="14.25" customHeight="1">
      <c r="A2245" s="17">
        <v>12244</v>
      </c>
      <c r="B2245" s="18">
        <v>45852</v>
      </c>
      <c r="C2245" s="17" t="s">
        <v>58</v>
      </c>
      <c r="D2245" s="17" t="s">
        <v>83</v>
      </c>
      <c r="E2245" s="17" t="s">
        <v>162</v>
      </c>
      <c r="F2245" s="17" t="s">
        <v>166</v>
      </c>
      <c r="G2245" s="17">
        <v>5</v>
      </c>
      <c r="H2245" s="17">
        <v>56084</v>
      </c>
      <c r="I2245" s="17">
        <v>280420</v>
      </c>
      <c r="J2245" s="17">
        <v>308</v>
      </c>
      <c r="K2245" s="17">
        <v>280112</v>
      </c>
      <c r="L2245" s="17">
        <v>45683.57243</v>
      </c>
      <c r="M2245" s="17">
        <v>2025</v>
      </c>
      <c r="N2245" s="17" t="s">
        <v>123</v>
      </c>
    </row>
    <row r="2246" spans="1:14" ht="14.25" customHeight="1">
      <c r="A2246" s="17">
        <v>12245</v>
      </c>
      <c r="B2246" s="18">
        <v>45933</v>
      </c>
      <c r="C2246" s="17" t="s">
        <v>167</v>
      </c>
      <c r="D2246" s="17" t="s">
        <v>111</v>
      </c>
      <c r="E2246" s="17" t="s">
        <v>162</v>
      </c>
      <c r="F2246" s="17" t="s">
        <v>164</v>
      </c>
      <c r="G2246" s="17">
        <v>2</v>
      </c>
      <c r="H2246" s="17">
        <v>76710</v>
      </c>
      <c r="I2246" s="17">
        <v>153420</v>
      </c>
      <c r="J2246" s="17">
        <v>2934</v>
      </c>
      <c r="K2246" s="17">
        <v>150486</v>
      </c>
      <c r="L2246" s="17">
        <v>30385.359410000001</v>
      </c>
      <c r="M2246" s="17">
        <v>2025</v>
      </c>
      <c r="N2246" s="17" t="s">
        <v>174</v>
      </c>
    </row>
    <row r="2247" spans="1:14" ht="14.25" customHeight="1">
      <c r="A2247" s="17">
        <v>12246</v>
      </c>
      <c r="B2247" s="18">
        <v>45808</v>
      </c>
      <c r="C2247" s="17" t="s">
        <v>45</v>
      </c>
      <c r="D2247" s="17" t="s">
        <v>111</v>
      </c>
      <c r="E2247" s="17" t="s">
        <v>162</v>
      </c>
      <c r="F2247" s="17" t="s">
        <v>166</v>
      </c>
      <c r="G2247" s="17">
        <v>1</v>
      </c>
      <c r="H2247" s="17">
        <v>26796</v>
      </c>
      <c r="I2247" s="17">
        <v>26796</v>
      </c>
      <c r="J2247" s="17">
        <v>4796</v>
      </c>
      <c r="K2247" s="17">
        <v>22000</v>
      </c>
      <c r="L2247" s="17">
        <v>2260.7071059999998</v>
      </c>
      <c r="M2247" s="17">
        <v>2025</v>
      </c>
      <c r="N2247" s="17" t="s">
        <v>117</v>
      </c>
    </row>
    <row r="2248" spans="1:14" ht="14.25" customHeight="1">
      <c r="A2248" s="17">
        <v>12247</v>
      </c>
      <c r="B2248" s="18">
        <v>45719</v>
      </c>
      <c r="C2248" s="17" t="s">
        <v>45</v>
      </c>
      <c r="D2248" s="17" t="s">
        <v>111</v>
      </c>
      <c r="E2248" s="17" t="s">
        <v>165</v>
      </c>
      <c r="F2248" s="17" t="s">
        <v>172</v>
      </c>
      <c r="G2248" s="17">
        <v>3</v>
      </c>
      <c r="H2248" s="17">
        <v>55348</v>
      </c>
      <c r="I2248" s="17">
        <v>166044</v>
      </c>
      <c r="J2248" s="17">
        <v>3047</v>
      </c>
      <c r="K2248" s="17">
        <v>162997</v>
      </c>
      <c r="L2248" s="17">
        <v>36199.816559999999</v>
      </c>
      <c r="M2248" s="17">
        <v>2025</v>
      </c>
      <c r="N2248" s="17" t="s">
        <v>112</v>
      </c>
    </row>
    <row r="2249" spans="1:14" ht="14.25" customHeight="1">
      <c r="A2249" s="17">
        <v>12248</v>
      </c>
      <c r="B2249" s="18">
        <v>45830</v>
      </c>
      <c r="C2249" s="17" t="s">
        <v>39</v>
      </c>
      <c r="D2249" s="17" t="s">
        <v>170</v>
      </c>
      <c r="E2249" s="17" t="s">
        <v>165</v>
      </c>
      <c r="F2249" s="17" t="s">
        <v>164</v>
      </c>
      <c r="G2249" s="17">
        <v>4</v>
      </c>
      <c r="H2249" s="17">
        <v>58333</v>
      </c>
      <c r="I2249" s="17">
        <v>233332</v>
      </c>
      <c r="J2249" s="17">
        <v>1921</v>
      </c>
      <c r="K2249" s="17">
        <v>231411</v>
      </c>
      <c r="L2249" s="17">
        <v>31483.314200000001</v>
      </c>
      <c r="M2249" s="17">
        <v>2025</v>
      </c>
      <c r="N2249" s="17" t="s">
        <v>120</v>
      </c>
    </row>
    <row r="2250" spans="1:14" ht="14.25" customHeight="1">
      <c r="A2250" s="17">
        <v>12249</v>
      </c>
      <c r="B2250" s="18">
        <v>45451</v>
      </c>
      <c r="C2250" s="17" t="s">
        <v>58</v>
      </c>
      <c r="D2250" s="17" t="s">
        <v>111</v>
      </c>
      <c r="E2250" s="17" t="s">
        <v>165</v>
      </c>
      <c r="F2250" s="17" t="s">
        <v>166</v>
      </c>
      <c r="G2250" s="17">
        <v>7</v>
      </c>
      <c r="H2250" s="17">
        <v>22722</v>
      </c>
      <c r="I2250" s="17">
        <v>159054</v>
      </c>
      <c r="J2250" s="17">
        <v>2999</v>
      </c>
      <c r="K2250" s="17">
        <v>156055</v>
      </c>
      <c r="L2250" s="17">
        <v>22839.569869999999</v>
      </c>
      <c r="M2250" s="17">
        <v>2024</v>
      </c>
      <c r="N2250" s="17" t="s">
        <v>120</v>
      </c>
    </row>
    <row r="2251" spans="1:14" ht="14.25" customHeight="1">
      <c r="A2251" s="17">
        <v>12250</v>
      </c>
      <c r="B2251" s="18">
        <v>45440</v>
      </c>
      <c r="C2251" s="17" t="s">
        <v>50</v>
      </c>
      <c r="D2251" s="17" t="s">
        <v>86</v>
      </c>
      <c r="E2251" s="17" t="s">
        <v>165</v>
      </c>
      <c r="F2251" s="17" t="s">
        <v>166</v>
      </c>
      <c r="G2251" s="17">
        <v>9</v>
      </c>
      <c r="H2251" s="17">
        <v>77082</v>
      </c>
      <c r="I2251" s="17">
        <v>693738</v>
      </c>
      <c r="J2251" s="17">
        <v>2017</v>
      </c>
      <c r="K2251" s="17">
        <v>691721</v>
      </c>
      <c r="L2251" s="17">
        <v>73867.823659999995</v>
      </c>
      <c r="M2251" s="17">
        <v>2024</v>
      </c>
      <c r="N2251" s="17" t="s">
        <v>117</v>
      </c>
    </row>
    <row r="2252" spans="1:14" ht="14.25" customHeight="1">
      <c r="A2252" s="17">
        <v>12251</v>
      </c>
      <c r="B2252" s="18">
        <v>45521</v>
      </c>
      <c r="C2252" s="17" t="s">
        <v>45</v>
      </c>
      <c r="D2252" s="17" t="s">
        <v>89</v>
      </c>
      <c r="E2252" s="17" t="s">
        <v>168</v>
      </c>
      <c r="F2252" s="17" t="s">
        <v>164</v>
      </c>
      <c r="G2252" s="17">
        <v>8</v>
      </c>
      <c r="H2252" s="17">
        <v>30258</v>
      </c>
      <c r="I2252" s="17">
        <v>242064</v>
      </c>
      <c r="J2252" s="17">
        <v>4881</v>
      </c>
      <c r="K2252" s="17">
        <v>237183</v>
      </c>
      <c r="L2252" s="17">
        <v>38294.128879999997</v>
      </c>
      <c r="M2252" s="17">
        <v>2024</v>
      </c>
      <c r="N2252" s="17" t="s">
        <v>126</v>
      </c>
    </row>
    <row r="2253" spans="1:14" ht="14.25" customHeight="1">
      <c r="A2253" s="17">
        <v>12252</v>
      </c>
      <c r="B2253" s="18">
        <v>46003</v>
      </c>
      <c r="C2253" s="17" t="s">
        <v>39</v>
      </c>
      <c r="D2253" s="17" t="s">
        <v>170</v>
      </c>
      <c r="E2253" s="17" t="s">
        <v>168</v>
      </c>
      <c r="F2253" s="17" t="s">
        <v>163</v>
      </c>
      <c r="G2253" s="17">
        <v>9</v>
      </c>
      <c r="H2253" s="17">
        <v>16706</v>
      </c>
      <c r="I2253" s="17">
        <v>150354</v>
      </c>
      <c r="J2253" s="17">
        <v>1478</v>
      </c>
      <c r="K2253" s="17">
        <v>148876</v>
      </c>
      <c r="L2253" s="17">
        <v>33926.83294</v>
      </c>
      <c r="M2253" s="17">
        <v>2025</v>
      </c>
      <c r="N2253" s="17" t="s">
        <v>169</v>
      </c>
    </row>
    <row r="2254" spans="1:14" ht="14.25" customHeight="1">
      <c r="A2254" s="17">
        <v>12253</v>
      </c>
      <c r="B2254" s="18">
        <v>45853</v>
      </c>
      <c r="C2254" s="17" t="s">
        <v>58</v>
      </c>
      <c r="D2254" s="17" t="s">
        <v>111</v>
      </c>
      <c r="E2254" s="17" t="s">
        <v>162</v>
      </c>
      <c r="F2254" s="17" t="s">
        <v>164</v>
      </c>
      <c r="G2254" s="17">
        <v>7</v>
      </c>
      <c r="H2254" s="17">
        <v>33943</v>
      </c>
      <c r="I2254" s="17">
        <v>237601</v>
      </c>
      <c r="J2254" s="17">
        <v>2352</v>
      </c>
      <c r="K2254" s="17">
        <v>235249</v>
      </c>
      <c r="L2254" s="17">
        <v>36889.428319999999</v>
      </c>
      <c r="M2254" s="17">
        <v>2025</v>
      </c>
      <c r="N2254" s="17" t="s">
        <v>123</v>
      </c>
    </row>
    <row r="2255" spans="1:14" ht="14.25" customHeight="1">
      <c r="A2255" s="17">
        <v>12254</v>
      </c>
      <c r="B2255" s="18">
        <v>45358</v>
      </c>
      <c r="C2255" s="17" t="s">
        <v>58</v>
      </c>
      <c r="D2255" s="17" t="s">
        <v>89</v>
      </c>
      <c r="E2255" s="17" t="s">
        <v>162</v>
      </c>
      <c r="F2255" s="17" t="s">
        <v>164</v>
      </c>
      <c r="G2255" s="17">
        <v>8</v>
      </c>
      <c r="H2255" s="17">
        <v>69324</v>
      </c>
      <c r="I2255" s="17">
        <v>554592</v>
      </c>
      <c r="J2255" s="17">
        <v>4197</v>
      </c>
      <c r="K2255" s="17">
        <v>550395</v>
      </c>
      <c r="L2255" s="17">
        <v>130053.2697</v>
      </c>
      <c r="M2255" s="17">
        <v>2024</v>
      </c>
      <c r="N2255" s="17" t="s">
        <v>112</v>
      </c>
    </row>
    <row r="2256" spans="1:14" ht="14.25" customHeight="1">
      <c r="A2256" s="17">
        <v>12255</v>
      </c>
      <c r="B2256" s="18">
        <v>45672</v>
      </c>
      <c r="C2256" s="17" t="s">
        <v>39</v>
      </c>
      <c r="D2256" s="17" t="s">
        <v>83</v>
      </c>
      <c r="E2256" s="17" t="s">
        <v>165</v>
      </c>
      <c r="F2256" s="17" t="s">
        <v>164</v>
      </c>
      <c r="G2256" s="17">
        <v>8</v>
      </c>
      <c r="H2256" s="17">
        <v>27315</v>
      </c>
      <c r="I2256" s="17">
        <v>218520</v>
      </c>
      <c r="J2256" s="17">
        <v>4870</v>
      </c>
      <c r="K2256" s="17">
        <v>213650</v>
      </c>
      <c r="L2256" s="17">
        <v>49164.52706</v>
      </c>
      <c r="M2256" s="17">
        <v>2025</v>
      </c>
      <c r="N2256" s="17" t="s">
        <v>171</v>
      </c>
    </row>
    <row r="2257" spans="1:14" ht="14.25" customHeight="1">
      <c r="A2257" s="17">
        <v>12256</v>
      </c>
      <c r="B2257" s="18">
        <v>45349</v>
      </c>
      <c r="C2257" s="17" t="s">
        <v>39</v>
      </c>
      <c r="D2257" s="17" t="s">
        <v>83</v>
      </c>
      <c r="E2257" s="17" t="s">
        <v>168</v>
      </c>
      <c r="F2257" s="17" t="s">
        <v>164</v>
      </c>
      <c r="G2257" s="17">
        <v>1</v>
      </c>
      <c r="H2257" s="17">
        <v>15352</v>
      </c>
      <c r="I2257" s="17">
        <v>15352</v>
      </c>
      <c r="J2257" s="17">
        <v>3459</v>
      </c>
      <c r="K2257" s="17">
        <v>11893</v>
      </c>
      <c r="L2257" s="17">
        <v>1299.8352239999999</v>
      </c>
      <c r="M2257" s="17">
        <v>2024</v>
      </c>
      <c r="N2257" s="17" t="s">
        <v>175</v>
      </c>
    </row>
    <row r="2258" spans="1:14" ht="14.25" customHeight="1">
      <c r="A2258" s="17">
        <v>12257</v>
      </c>
      <c r="B2258" s="18">
        <v>45550</v>
      </c>
      <c r="C2258" s="17" t="s">
        <v>50</v>
      </c>
      <c r="D2258" s="17" t="s">
        <v>89</v>
      </c>
      <c r="E2258" s="17" t="s">
        <v>168</v>
      </c>
      <c r="F2258" s="17" t="s">
        <v>166</v>
      </c>
      <c r="G2258" s="17">
        <v>9</v>
      </c>
      <c r="H2258" s="17">
        <v>39497</v>
      </c>
      <c r="I2258" s="17">
        <v>355473</v>
      </c>
      <c r="J2258" s="17">
        <v>3754</v>
      </c>
      <c r="K2258" s="17">
        <v>351719</v>
      </c>
      <c r="L2258" s="17">
        <v>51277.39142</v>
      </c>
      <c r="M2258" s="17">
        <v>2024</v>
      </c>
      <c r="N2258" s="17" t="s">
        <v>129</v>
      </c>
    </row>
    <row r="2259" spans="1:14" ht="14.25" customHeight="1">
      <c r="A2259" s="17">
        <v>12258</v>
      </c>
      <c r="B2259" s="18">
        <v>45633</v>
      </c>
      <c r="C2259" s="17" t="s">
        <v>39</v>
      </c>
      <c r="D2259" s="17" t="s">
        <v>86</v>
      </c>
      <c r="E2259" s="17" t="s">
        <v>162</v>
      </c>
      <c r="F2259" s="17" t="s">
        <v>164</v>
      </c>
      <c r="G2259" s="17">
        <v>2</v>
      </c>
      <c r="H2259" s="17">
        <v>49974</v>
      </c>
      <c r="I2259" s="17">
        <v>99948</v>
      </c>
      <c r="J2259" s="17">
        <v>1231</v>
      </c>
      <c r="K2259" s="17">
        <v>98717</v>
      </c>
      <c r="L2259" s="17">
        <v>23352.749800000001</v>
      </c>
      <c r="M2259" s="17">
        <v>2024</v>
      </c>
      <c r="N2259" s="17" t="s">
        <v>169</v>
      </c>
    </row>
    <row r="2260" spans="1:14" ht="14.25" customHeight="1">
      <c r="A2260" s="17">
        <v>12259</v>
      </c>
      <c r="B2260" s="18">
        <v>45421</v>
      </c>
      <c r="C2260" s="17" t="s">
        <v>50</v>
      </c>
      <c r="D2260" s="17" t="s">
        <v>89</v>
      </c>
      <c r="E2260" s="17" t="s">
        <v>168</v>
      </c>
      <c r="F2260" s="17" t="s">
        <v>164</v>
      </c>
      <c r="G2260" s="17">
        <v>7</v>
      </c>
      <c r="H2260" s="17">
        <v>32228</v>
      </c>
      <c r="I2260" s="17">
        <v>225596</v>
      </c>
      <c r="J2260" s="17">
        <v>3120</v>
      </c>
      <c r="K2260" s="17">
        <v>222476</v>
      </c>
      <c r="L2260" s="17">
        <v>23242.366139999998</v>
      </c>
      <c r="M2260" s="17">
        <v>2024</v>
      </c>
      <c r="N2260" s="17" t="s">
        <v>117</v>
      </c>
    </row>
    <row r="2261" spans="1:14" ht="14.25" customHeight="1">
      <c r="A2261" s="17">
        <v>12260</v>
      </c>
      <c r="B2261" s="18">
        <v>46018</v>
      </c>
      <c r="C2261" s="17" t="s">
        <v>50</v>
      </c>
      <c r="D2261" s="17" t="s">
        <v>89</v>
      </c>
      <c r="E2261" s="17" t="s">
        <v>162</v>
      </c>
      <c r="F2261" s="17" t="s">
        <v>172</v>
      </c>
      <c r="G2261" s="17">
        <v>5</v>
      </c>
      <c r="H2261" s="17">
        <v>13882</v>
      </c>
      <c r="I2261" s="17">
        <v>69410</v>
      </c>
      <c r="J2261" s="17">
        <v>571</v>
      </c>
      <c r="K2261" s="17">
        <v>68839</v>
      </c>
      <c r="L2261" s="17">
        <v>14791.521479999999</v>
      </c>
      <c r="M2261" s="17">
        <v>2025</v>
      </c>
      <c r="N2261" s="17" t="s">
        <v>169</v>
      </c>
    </row>
    <row r="2262" spans="1:14" ht="14.25" customHeight="1">
      <c r="A2262" s="17">
        <v>12261</v>
      </c>
      <c r="B2262" s="18">
        <v>45463</v>
      </c>
      <c r="C2262" s="17" t="s">
        <v>167</v>
      </c>
      <c r="D2262" s="17" t="s">
        <v>170</v>
      </c>
      <c r="E2262" s="17" t="s">
        <v>165</v>
      </c>
      <c r="F2262" s="17" t="s">
        <v>166</v>
      </c>
      <c r="G2262" s="17">
        <v>4</v>
      </c>
      <c r="H2262" s="17">
        <v>21268</v>
      </c>
      <c r="I2262" s="17">
        <v>85072</v>
      </c>
      <c r="J2262" s="17">
        <v>3589</v>
      </c>
      <c r="K2262" s="17">
        <v>81483</v>
      </c>
      <c r="L2262" s="17">
        <v>19227.070650000001</v>
      </c>
      <c r="M2262" s="17">
        <v>2024</v>
      </c>
      <c r="N2262" s="17" t="s">
        <v>120</v>
      </c>
    </row>
    <row r="2263" spans="1:14" ht="14.25" customHeight="1">
      <c r="A2263" s="17">
        <v>12262</v>
      </c>
      <c r="B2263" s="18">
        <v>45905</v>
      </c>
      <c r="C2263" s="17" t="s">
        <v>58</v>
      </c>
      <c r="D2263" s="17" t="s">
        <v>83</v>
      </c>
      <c r="E2263" s="17" t="s">
        <v>165</v>
      </c>
      <c r="F2263" s="17" t="s">
        <v>172</v>
      </c>
      <c r="G2263" s="17">
        <v>1</v>
      </c>
      <c r="H2263" s="17">
        <v>75846</v>
      </c>
      <c r="I2263" s="17">
        <v>75846</v>
      </c>
      <c r="J2263" s="17">
        <v>147</v>
      </c>
      <c r="K2263" s="17">
        <v>75699</v>
      </c>
      <c r="L2263" s="17">
        <v>16318.714250000001</v>
      </c>
      <c r="M2263" s="17">
        <v>2025</v>
      </c>
      <c r="N2263" s="17" t="s">
        <v>129</v>
      </c>
    </row>
    <row r="2264" spans="1:14" ht="14.25" customHeight="1">
      <c r="A2264" s="17">
        <v>12263</v>
      </c>
      <c r="B2264" s="18">
        <v>45500</v>
      </c>
      <c r="C2264" s="17" t="s">
        <v>58</v>
      </c>
      <c r="D2264" s="17" t="s">
        <v>83</v>
      </c>
      <c r="E2264" s="17" t="s">
        <v>162</v>
      </c>
      <c r="F2264" s="17" t="s">
        <v>166</v>
      </c>
      <c r="G2264" s="17">
        <v>1</v>
      </c>
      <c r="H2264" s="17">
        <v>29463</v>
      </c>
      <c r="I2264" s="17">
        <v>29463</v>
      </c>
      <c r="J2264" s="17">
        <v>3443</v>
      </c>
      <c r="K2264" s="17">
        <v>26020</v>
      </c>
      <c r="L2264" s="17">
        <v>5505.1072789999998</v>
      </c>
      <c r="M2264" s="17">
        <v>2024</v>
      </c>
      <c r="N2264" s="17" t="s">
        <v>123</v>
      </c>
    </row>
    <row r="2265" spans="1:14" ht="14.25" customHeight="1">
      <c r="A2265" s="17">
        <v>12264</v>
      </c>
      <c r="B2265" s="18">
        <v>45645</v>
      </c>
      <c r="C2265" s="17" t="s">
        <v>58</v>
      </c>
      <c r="D2265" s="17" t="s">
        <v>111</v>
      </c>
      <c r="E2265" s="17" t="s">
        <v>165</v>
      </c>
      <c r="F2265" s="17" t="s">
        <v>163</v>
      </c>
      <c r="G2265" s="17">
        <v>3</v>
      </c>
      <c r="H2265" s="17">
        <v>54314</v>
      </c>
      <c r="I2265" s="17">
        <v>162942</v>
      </c>
      <c r="J2265" s="17">
        <v>596</v>
      </c>
      <c r="K2265" s="17">
        <v>162346</v>
      </c>
      <c r="L2265" s="17">
        <v>36771.915509999999</v>
      </c>
      <c r="M2265" s="17">
        <v>2024</v>
      </c>
      <c r="N2265" s="17" t="s">
        <v>169</v>
      </c>
    </row>
    <row r="2266" spans="1:14" ht="14.25" customHeight="1">
      <c r="A2266" s="17">
        <v>12265</v>
      </c>
      <c r="B2266" s="18">
        <v>45762</v>
      </c>
      <c r="C2266" s="17" t="s">
        <v>167</v>
      </c>
      <c r="D2266" s="17" t="s">
        <v>89</v>
      </c>
      <c r="E2266" s="17" t="s">
        <v>165</v>
      </c>
      <c r="F2266" s="17" t="s">
        <v>163</v>
      </c>
      <c r="G2266" s="17">
        <v>1</v>
      </c>
      <c r="H2266" s="17">
        <v>14827</v>
      </c>
      <c r="I2266" s="17">
        <v>14827</v>
      </c>
      <c r="J2266" s="17">
        <v>1070</v>
      </c>
      <c r="K2266" s="17">
        <v>13757</v>
      </c>
      <c r="L2266" s="17">
        <v>2749.5900489999999</v>
      </c>
      <c r="M2266" s="17">
        <v>2025</v>
      </c>
      <c r="N2266" s="17" t="s">
        <v>114</v>
      </c>
    </row>
    <row r="2267" spans="1:14" ht="14.25" customHeight="1">
      <c r="A2267" s="17">
        <v>12266</v>
      </c>
      <c r="B2267" s="18">
        <v>45407</v>
      </c>
      <c r="C2267" s="17" t="s">
        <v>50</v>
      </c>
      <c r="D2267" s="17" t="s">
        <v>89</v>
      </c>
      <c r="E2267" s="17" t="s">
        <v>168</v>
      </c>
      <c r="F2267" s="17" t="s">
        <v>166</v>
      </c>
      <c r="G2267" s="17">
        <v>8</v>
      </c>
      <c r="H2267" s="17">
        <v>38062</v>
      </c>
      <c r="I2267" s="17">
        <v>304496</v>
      </c>
      <c r="J2267" s="17">
        <v>3745</v>
      </c>
      <c r="K2267" s="17">
        <v>300751</v>
      </c>
      <c r="L2267" s="17">
        <v>49162.090279999997</v>
      </c>
      <c r="M2267" s="17">
        <v>2024</v>
      </c>
      <c r="N2267" s="17" t="s">
        <v>114</v>
      </c>
    </row>
    <row r="2268" spans="1:14" ht="14.25" customHeight="1">
      <c r="A2268" s="17">
        <v>12267</v>
      </c>
      <c r="B2268" s="18">
        <v>45555</v>
      </c>
      <c r="C2268" s="17" t="s">
        <v>50</v>
      </c>
      <c r="D2268" s="17" t="s">
        <v>86</v>
      </c>
      <c r="E2268" s="17" t="s">
        <v>168</v>
      </c>
      <c r="F2268" s="17" t="s">
        <v>163</v>
      </c>
      <c r="G2268" s="17">
        <v>3</v>
      </c>
      <c r="H2268" s="17">
        <v>12240</v>
      </c>
      <c r="I2268" s="17">
        <v>36720</v>
      </c>
      <c r="J2268" s="17">
        <v>4250</v>
      </c>
      <c r="K2268" s="17">
        <v>32470</v>
      </c>
      <c r="L2268" s="17">
        <v>3552.6509129999999</v>
      </c>
      <c r="M2268" s="17">
        <v>2024</v>
      </c>
      <c r="N2268" s="17" t="s">
        <v>129</v>
      </c>
    </row>
    <row r="2269" spans="1:14" ht="14.25" customHeight="1">
      <c r="A2269" s="17">
        <v>12268</v>
      </c>
      <c r="B2269" s="18">
        <v>45953</v>
      </c>
      <c r="C2269" s="17" t="s">
        <v>39</v>
      </c>
      <c r="D2269" s="17" t="s">
        <v>83</v>
      </c>
      <c r="E2269" s="17" t="s">
        <v>168</v>
      </c>
      <c r="F2269" s="17" t="s">
        <v>163</v>
      </c>
      <c r="G2269" s="17">
        <v>2</v>
      </c>
      <c r="H2269" s="17">
        <v>6585</v>
      </c>
      <c r="I2269" s="17">
        <v>13170</v>
      </c>
      <c r="J2269" s="17">
        <v>4325</v>
      </c>
      <c r="K2269" s="17">
        <v>8845</v>
      </c>
      <c r="L2269" s="17">
        <v>1929.935808</v>
      </c>
      <c r="M2269" s="17">
        <v>2025</v>
      </c>
      <c r="N2269" s="17" t="s">
        <v>174</v>
      </c>
    </row>
    <row r="2270" spans="1:14" ht="14.25" customHeight="1">
      <c r="A2270" s="17">
        <v>12269</v>
      </c>
      <c r="B2270" s="18">
        <v>45733</v>
      </c>
      <c r="C2270" s="17" t="s">
        <v>167</v>
      </c>
      <c r="D2270" s="17" t="s">
        <v>86</v>
      </c>
      <c r="E2270" s="17" t="s">
        <v>168</v>
      </c>
      <c r="F2270" s="17" t="s">
        <v>166</v>
      </c>
      <c r="G2270" s="17">
        <v>6</v>
      </c>
      <c r="H2270" s="17">
        <v>57532</v>
      </c>
      <c r="I2270" s="17">
        <v>345192</v>
      </c>
      <c r="J2270" s="17">
        <v>3371</v>
      </c>
      <c r="K2270" s="17">
        <v>341821</v>
      </c>
      <c r="L2270" s="17">
        <v>80597.305619999999</v>
      </c>
      <c r="M2270" s="17">
        <v>2025</v>
      </c>
      <c r="N2270" s="17" t="s">
        <v>112</v>
      </c>
    </row>
    <row r="2271" spans="1:14" ht="14.25" customHeight="1">
      <c r="A2271" s="17">
        <v>12270</v>
      </c>
      <c r="B2271" s="18">
        <v>45839</v>
      </c>
      <c r="C2271" s="17" t="s">
        <v>39</v>
      </c>
      <c r="D2271" s="17" t="s">
        <v>170</v>
      </c>
      <c r="E2271" s="17" t="s">
        <v>168</v>
      </c>
      <c r="F2271" s="17" t="s">
        <v>164</v>
      </c>
      <c r="G2271" s="17">
        <v>4</v>
      </c>
      <c r="H2271" s="17">
        <v>15541</v>
      </c>
      <c r="I2271" s="17">
        <v>62164</v>
      </c>
      <c r="J2271" s="17">
        <v>157</v>
      </c>
      <c r="K2271" s="17">
        <v>62007</v>
      </c>
      <c r="L2271" s="17">
        <v>10958.991260000001</v>
      </c>
      <c r="M2271" s="17">
        <v>2025</v>
      </c>
      <c r="N2271" s="17" t="s">
        <v>123</v>
      </c>
    </row>
    <row r="2272" spans="1:14" ht="14.25" customHeight="1">
      <c r="A2272" s="17">
        <v>12271</v>
      </c>
      <c r="B2272" s="18">
        <v>45744</v>
      </c>
      <c r="C2272" s="17" t="s">
        <v>167</v>
      </c>
      <c r="D2272" s="17" t="s">
        <v>111</v>
      </c>
      <c r="E2272" s="17" t="s">
        <v>162</v>
      </c>
      <c r="F2272" s="17" t="s">
        <v>172</v>
      </c>
      <c r="G2272" s="17">
        <v>4</v>
      </c>
      <c r="H2272" s="17">
        <v>10427</v>
      </c>
      <c r="I2272" s="17">
        <v>41708</v>
      </c>
      <c r="J2272" s="17">
        <v>922</v>
      </c>
      <c r="K2272" s="17">
        <v>40786</v>
      </c>
      <c r="L2272" s="17">
        <v>7336.4458320000003</v>
      </c>
      <c r="M2272" s="17">
        <v>2025</v>
      </c>
      <c r="N2272" s="17" t="s">
        <v>112</v>
      </c>
    </row>
    <row r="2273" spans="1:14" ht="14.25" customHeight="1">
      <c r="A2273" s="17">
        <v>12272</v>
      </c>
      <c r="B2273" s="18">
        <v>45768</v>
      </c>
      <c r="C2273" s="17" t="s">
        <v>39</v>
      </c>
      <c r="D2273" s="17" t="s">
        <v>86</v>
      </c>
      <c r="E2273" s="17" t="s">
        <v>162</v>
      </c>
      <c r="F2273" s="17" t="s">
        <v>166</v>
      </c>
      <c r="G2273" s="17">
        <v>2</v>
      </c>
      <c r="H2273" s="17">
        <v>14033</v>
      </c>
      <c r="I2273" s="17">
        <v>28066</v>
      </c>
      <c r="J2273" s="17">
        <v>3318</v>
      </c>
      <c r="K2273" s="17">
        <v>24748</v>
      </c>
      <c r="L2273" s="17">
        <v>3971.8819429999999</v>
      </c>
      <c r="M2273" s="17">
        <v>2025</v>
      </c>
      <c r="N2273" s="17" t="s">
        <v>114</v>
      </c>
    </row>
    <row r="2274" spans="1:14" ht="14.25" customHeight="1">
      <c r="A2274" s="17">
        <v>12273</v>
      </c>
      <c r="B2274" s="18">
        <v>45578</v>
      </c>
      <c r="C2274" s="17" t="s">
        <v>45</v>
      </c>
      <c r="D2274" s="17" t="s">
        <v>83</v>
      </c>
      <c r="E2274" s="17" t="s">
        <v>168</v>
      </c>
      <c r="F2274" s="17" t="s">
        <v>166</v>
      </c>
      <c r="G2274" s="17">
        <v>2</v>
      </c>
      <c r="H2274" s="17">
        <v>36070</v>
      </c>
      <c r="I2274" s="17">
        <v>72140</v>
      </c>
      <c r="J2274" s="17">
        <v>2346</v>
      </c>
      <c r="K2274" s="17">
        <v>69794</v>
      </c>
      <c r="L2274" s="17">
        <v>15950.18974</v>
      </c>
      <c r="M2274" s="17">
        <v>2024</v>
      </c>
      <c r="N2274" s="17" t="s">
        <v>174</v>
      </c>
    </row>
    <row r="2275" spans="1:14" ht="14.25" customHeight="1">
      <c r="A2275" s="17">
        <v>12274</v>
      </c>
      <c r="B2275" s="18">
        <v>45594</v>
      </c>
      <c r="C2275" s="17" t="s">
        <v>58</v>
      </c>
      <c r="D2275" s="17" t="s">
        <v>170</v>
      </c>
      <c r="E2275" s="17" t="s">
        <v>165</v>
      </c>
      <c r="F2275" s="17" t="s">
        <v>166</v>
      </c>
      <c r="G2275" s="17">
        <v>6</v>
      </c>
      <c r="H2275" s="17">
        <v>54104</v>
      </c>
      <c r="I2275" s="17">
        <v>324624</v>
      </c>
      <c r="J2275" s="17">
        <v>4050</v>
      </c>
      <c r="K2275" s="17">
        <v>320574</v>
      </c>
      <c r="L2275" s="17">
        <v>32769.23315</v>
      </c>
      <c r="M2275" s="17">
        <v>2024</v>
      </c>
      <c r="N2275" s="17" t="s">
        <v>174</v>
      </c>
    </row>
    <row r="2276" spans="1:14" ht="14.25" customHeight="1">
      <c r="A2276" s="17">
        <v>12275</v>
      </c>
      <c r="B2276" s="18">
        <v>45602</v>
      </c>
      <c r="C2276" s="17" t="s">
        <v>58</v>
      </c>
      <c r="D2276" s="17" t="s">
        <v>89</v>
      </c>
      <c r="E2276" s="17" t="s">
        <v>165</v>
      </c>
      <c r="F2276" s="17" t="s">
        <v>172</v>
      </c>
      <c r="G2276" s="17">
        <v>5</v>
      </c>
      <c r="H2276" s="17">
        <v>17199</v>
      </c>
      <c r="I2276" s="17">
        <v>85995</v>
      </c>
      <c r="J2276" s="17">
        <v>1246</v>
      </c>
      <c r="K2276" s="17">
        <v>84749</v>
      </c>
      <c r="L2276" s="17">
        <v>16414.37975</v>
      </c>
      <c r="M2276" s="17">
        <v>2024</v>
      </c>
      <c r="N2276" s="17" t="s">
        <v>173</v>
      </c>
    </row>
    <row r="2277" spans="1:14" ht="14.25" customHeight="1">
      <c r="A2277" s="17">
        <v>12276</v>
      </c>
      <c r="B2277" s="18">
        <v>45499</v>
      </c>
      <c r="C2277" s="17" t="s">
        <v>50</v>
      </c>
      <c r="D2277" s="17" t="s">
        <v>170</v>
      </c>
      <c r="E2277" s="17" t="s">
        <v>162</v>
      </c>
      <c r="F2277" s="17" t="s">
        <v>166</v>
      </c>
      <c r="G2277" s="17">
        <v>9</v>
      </c>
      <c r="H2277" s="17">
        <v>17776</v>
      </c>
      <c r="I2277" s="17">
        <v>159984</v>
      </c>
      <c r="J2277" s="17">
        <v>765</v>
      </c>
      <c r="K2277" s="17">
        <v>159219</v>
      </c>
      <c r="L2277" s="17">
        <v>37593.510900000001</v>
      </c>
      <c r="M2277" s="17">
        <v>2024</v>
      </c>
      <c r="N2277" s="17" t="s">
        <v>123</v>
      </c>
    </row>
    <row r="2278" spans="1:14" ht="14.25" customHeight="1">
      <c r="A2278" s="17">
        <v>12277</v>
      </c>
      <c r="B2278" s="18">
        <v>45909</v>
      </c>
      <c r="C2278" s="17" t="s">
        <v>45</v>
      </c>
      <c r="D2278" s="17" t="s">
        <v>86</v>
      </c>
      <c r="E2278" s="17" t="s">
        <v>162</v>
      </c>
      <c r="F2278" s="17" t="s">
        <v>172</v>
      </c>
      <c r="G2278" s="17">
        <v>4</v>
      </c>
      <c r="H2278" s="17">
        <v>27727</v>
      </c>
      <c r="I2278" s="17">
        <v>110908</v>
      </c>
      <c r="J2278" s="17">
        <v>3651</v>
      </c>
      <c r="K2278" s="17">
        <v>107257</v>
      </c>
      <c r="L2278" s="17">
        <v>12386.39755</v>
      </c>
      <c r="M2278" s="17">
        <v>2025</v>
      </c>
      <c r="N2278" s="17" t="s">
        <v>129</v>
      </c>
    </row>
    <row r="2279" spans="1:14" ht="14.25" customHeight="1">
      <c r="A2279" s="17">
        <v>12278</v>
      </c>
      <c r="B2279" s="18">
        <v>45737</v>
      </c>
      <c r="C2279" s="17" t="s">
        <v>58</v>
      </c>
      <c r="D2279" s="17" t="s">
        <v>83</v>
      </c>
      <c r="E2279" s="17" t="s">
        <v>162</v>
      </c>
      <c r="F2279" s="17" t="s">
        <v>172</v>
      </c>
      <c r="G2279" s="17">
        <v>5</v>
      </c>
      <c r="H2279" s="17">
        <v>7931</v>
      </c>
      <c r="I2279" s="17">
        <v>39655</v>
      </c>
      <c r="J2279" s="17">
        <v>2612</v>
      </c>
      <c r="K2279" s="17">
        <v>37043</v>
      </c>
      <c r="L2279" s="17">
        <v>9033.8497939999997</v>
      </c>
      <c r="M2279" s="17">
        <v>2025</v>
      </c>
      <c r="N2279" s="17" t="s">
        <v>112</v>
      </c>
    </row>
    <row r="2280" spans="1:14" ht="14.25" customHeight="1">
      <c r="A2280" s="17">
        <v>12279</v>
      </c>
      <c r="B2280" s="18">
        <v>45961</v>
      </c>
      <c r="C2280" s="17" t="s">
        <v>50</v>
      </c>
      <c r="D2280" s="17" t="s">
        <v>86</v>
      </c>
      <c r="E2280" s="17" t="s">
        <v>165</v>
      </c>
      <c r="F2280" s="17" t="s">
        <v>163</v>
      </c>
      <c r="G2280" s="17">
        <v>1</v>
      </c>
      <c r="H2280" s="17">
        <v>61193</v>
      </c>
      <c r="I2280" s="17">
        <v>61193</v>
      </c>
      <c r="J2280" s="17">
        <v>4562</v>
      </c>
      <c r="K2280" s="17">
        <v>56631</v>
      </c>
      <c r="L2280" s="17">
        <v>13883.187320000001</v>
      </c>
      <c r="M2280" s="17">
        <v>2025</v>
      </c>
      <c r="N2280" s="17" t="s">
        <v>174</v>
      </c>
    </row>
    <row r="2281" spans="1:14" ht="14.25" customHeight="1">
      <c r="A2281" s="17">
        <v>12280</v>
      </c>
      <c r="B2281" s="18">
        <v>45924</v>
      </c>
      <c r="C2281" s="17" t="s">
        <v>45</v>
      </c>
      <c r="D2281" s="17" t="s">
        <v>89</v>
      </c>
      <c r="E2281" s="17" t="s">
        <v>162</v>
      </c>
      <c r="F2281" s="17" t="s">
        <v>164</v>
      </c>
      <c r="G2281" s="17">
        <v>2</v>
      </c>
      <c r="H2281" s="17">
        <v>10699</v>
      </c>
      <c r="I2281" s="17">
        <v>21398</v>
      </c>
      <c r="J2281" s="17">
        <v>3828</v>
      </c>
      <c r="K2281" s="17">
        <v>17570</v>
      </c>
      <c r="L2281" s="17">
        <v>4207.4588180000001</v>
      </c>
      <c r="M2281" s="17">
        <v>2025</v>
      </c>
      <c r="N2281" s="17" t="s">
        <v>129</v>
      </c>
    </row>
    <row r="2282" spans="1:14" ht="14.25" customHeight="1">
      <c r="A2282" s="17">
        <v>12281</v>
      </c>
      <c r="B2282" s="18">
        <v>45346</v>
      </c>
      <c r="C2282" s="17" t="s">
        <v>58</v>
      </c>
      <c r="D2282" s="17" t="s">
        <v>89</v>
      </c>
      <c r="E2282" s="17" t="s">
        <v>165</v>
      </c>
      <c r="F2282" s="17" t="s">
        <v>163</v>
      </c>
      <c r="G2282" s="17">
        <v>3</v>
      </c>
      <c r="H2282" s="17">
        <v>62789</v>
      </c>
      <c r="I2282" s="17">
        <v>188367</v>
      </c>
      <c r="J2282" s="17">
        <v>4581</v>
      </c>
      <c r="K2282" s="17">
        <v>183786</v>
      </c>
      <c r="L2282" s="17">
        <v>31130.024519999999</v>
      </c>
      <c r="M2282" s="17">
        <v>2024</v>
      </c>
      <c r="N2282" s="17" t="s">
        <v>175</v>
      </c>
    </row>
    <row r="2283" spans="1:14" ht="14.25" customHeight="1">
      <c r="A2283" s="17">
        <v>12282</v>
      </c>
      <c r="B2283" s="18">
        <v>45303</v>
      </c>
      <c r="C2283" s="17" t="s">
        <v>39</v>
      </c>
      <c r="D2283" s="17" t="s">
        <v>83</v>
      </c>
      <c r="E2283" s="17" t="s">
        <v>162</v>
      </c>
      <c r="F2283" s="17" t="s">
        <v>166</v>
      </c>
      <c r="G2283" s="17">
        <v>5</v>
      </c>
      <c r="H2283" s="17">
        <v>32321</v>
      </c>
      <c r="I2283" s="17">
        <v>161605</v>
      </c>
      <c r="J2283" s="17">
        <v>443</v>
      </c>
      <c r="K2283" s="17">
        <v>161162</v>
      </c>
      <c r="L2283" s="17">
        <v>25374.231739999999</v>
      </c>
      <c r="M2283" s="17">
        <v>2024</v>
      </c>
      <c r="N2283" s="17" t="s">
        <v>171</v>
      </c>
    </row>
    <row r="2284" spans="1:14" ht="14.25" customHeight="1">
      <c r="A2284" s="17">
        <v>12283</v>
      </c>
      <c r="B2284" s="18">
        <v>45948</v>
      </c>
      <c r="C2284" s="17" t="s">
        <v>167</v>
      </c>
      <c r="D2284" s="17" t="s">
        <v>111</v>
      </c>
      <c r="E2284" s="17" t="s">
        <v>165</v>
      </c>
      <c r="F2284" s="17" t="s">
        <v>166</v>
      </c>
      <c r="G2284" s="17">
        <v>5</v>
      </c>
      <c r="H2284" s="17">
        <v>66032</v>
      </c>
      <c r="I2284" s="17">
        <v>330160</v>
      </c>
      <c r="J2284" s="17">
        <v>904</v>
      </c>
      <c r="K2284" s="17">
        <v>329256</v>
      </c>
      <c r="L2284" s="17">
        <v>67791.229189999998</v>
      </c>
      <c r="M2284" s="17">
        <v>2025</v>
      </c>
      <c r="N2284" s="17" t="s">
        <v>174</v>
      </c>
    </row>
    <row r="2285" spans="1:14" ht="14.25" customHeight="1">
      <c r="A2285" s="17">
        <v>12284</v>
      </c>
      <c r="B2285" s="18">
        <v>45691</v>
      </c>
      <c r="C2285" s="17" t="s">
        <v>45</v>
      </c>
      <c r="D2285" s="17" t="s">
        <v>170</v>
      </c>
      <c r="E2285" s="17" t="s">
        <v>162</v>
      </c>
      <c r="F2285" s="17" t="s">
        <v>172</v>
      </c>
      <c r="G2285" s="17">
        <v>4</v>
      </c>
      <c r="H2285" s="17">
        <v>12636</v>
      </c>
      <c r="I2285" s="17">
        <v>50544</v>
      </c>
      <c r="J2285" s="17">
        <v>2910</v>
      </c>
      <c r="K2285" s="17">
        <v>47634</v>
      </c>
      <c r="L2285" s="17">
        <v>7040.4734760000001</v>
      </c>
      <c r="M2285" s="17">
        <v>2025</v>
      </c>
      <c r="N2285" s="17" t="s">
        <v>175</v>
      </c>
    </row>
    <row r="2286" spans="1:14" ht="14.25" customHeight="1">
      <c r="A2286" s="17">
        <v>12285</v>
      </c>
      <c r="B2286" s="18">
        <v>45939</v>
      </c>
      <c r="C2286" s="17" t="s">
        <v>50</v>
      </c>
      <c r="D2286" s="17" t="s">
        <v>170</v>
      </c>
      <c r="E2286" s="17" t="s">
        <v>162</v>
      </c>
      <c r="F2286" s="17" t="s">
        <v>163</v>
      </c>
      <c r="G2286" s="17">
        <v>3</v>
      </c>
      <c r="H2286" s="17">
        <v>72396</v>
      </c>
      <c r="I2286" s="17">
        <v>217188</v>
      </c>
      <c r="J2286" s="17">
        <v>3209</v>
      </c>
      <c r="K2286" s="17">
        <v>213979</v>
      </c>
      <c r="L2286" s="17">
        <v>23591.532029999998</v>
      </c>
      <c r="M2286" s="17">
        <v>2025</v>
      </c>
      <c r="N2286" s="17" t="s">
        <v>174</v>
      </c>
    </row>
    <row r="2287" spans="1:14" ht="14.25" customHeight="1">
      <c r="A2287" s="17">
        <v>12286</v>
      </c>
      <c r="B2287" s="18">
        <v>45806</v>
      </c>
      <c r="C2287" s="17" t="s">
        <v>45</v>
      </c>
      <c r="D2287" s="17" t="s">
        <v>89</v>
      </c>
      <c r="E2287" s="17" t="s">
        <v>165</v>
      </c>
      <c r="F2287" s="17" t="s">
        <v>172</v>
      </c>
      <c r="G2287" s="17">
        <v>9</v>
      </c>
      <c r="H2287" s="17">
        <v>19989</v>
      </c>
      <c r="I2287" s="17">
        <v>179901</v>
      </c>
      <c r="J2287" s="17">
        <v>1801</v>
      </c>
      <c r="K2287" s="17">
        <v>178100</v>
      </c>
      <c r="L2287" s="17">
        <v>41891.493090000004</v>
      </c>
      <c r="M2287" s="17">
        <v>2025</v>
      </c>
      <c r="N2287" s="17" t="s">
        <v>117</v>
      </c>
    </row>
    <row r="2288" spans="1:14" ht="14.25" customHeight="1">
      <c r="A2288" s="17">
        <v>12287</v>
      </c>
      <c r="B2288" s="18">
        <v>45947</v>
      </c>
      <c r="C2288" s="17" t="s">
        <v>50</v>
      </c>
      <c r="D2288" s="17" t="s">
        <v>86</v>
      </c>
      <c r="E2288" s="17" t="s">
        <v>162</v>
      </c>
      <c r="F2288" s="17" t="s">
        <v>163</v>
      </c>
      <c r="G2288" s="17">
        <v>1</v>
      </c>
      <c r="H2288" s="17">
        <v>56086</v>
      </c>
      <c r="I2288" s="17">
        <v>56086</v>
      </c>
      <c r="J2288" s="17">
        <v>925</v>
      </c>
      <c r="K2288" s="17">
        <v>55161</v>
      </c>
      <c r="L2288" s="17">
        <v>10768.994269999999</v>
      </c>
      <c r="M2288" s="17">
        <v>2025</v>
      </c>
      <c r="N2288" s="17" t="s">
        <v>174</v>
      </c>
    </row>
    <row r="2289" spans="1:14" ht="14.25" customHeight="1">
      <c r="A2289" s="17">
        <v>12288</v>
      </c>
      <c r="B2289" s="18">
        <v>45833</v>
      </c>
      <c r="C2289" s="17" t="s">
        <v>45</v>
      </c>
      <c r="D2289" s="17" t="s">
        <v>86</v>
      </c>
      <c r="E2289" s="17" t="s">
        <v>168</v>
      </c>
      <c r="F2289" s="17" t="s">
        <v>163</v>
      </c>
      <c r="G2289" s="17">
        <v>6</v>
      </c>
      <c r="H2289" s="17">
        <v>41062</v>
      </c>
      <c r="I2289" s="17">
        <v>246372</v>
      </c>
      <c r="J2289" s="17">
        <v>3721</v>
      </c>
      <c r="K2289" s="17">
        <v>242651</v>
      </c>
      <c r="L2289" s="17">
        <v>31805.036919999999</v>
      </c>
      <c r="M2289" s="17">
        <v>2025</v>
      </c>
      <c r="N2289" s="17" t="s">
        <v>120</v>
      </c>
    </row>
    <row r="2290" spans="1:14" ht="14.25" customHeight="1">
      <c r="A2290" s="17">
        <v>12289</v>
      </c>
      <c r="B2290" s="18">
        <v>45528</v>
      </c>
      <c r="C2290" s="17" t="s">
        <v>50</v>
      </c>
      <c r="D2290" s="17" t="s">
        <v>111</v>
      </c>
      <c r="E2290" s="17" t="s">
        <v>165</v>
      </c>
      <c r="F2290" s="17" t="s">
        <v>163</v>
      </c>
      <c r="G2290" s="17">
        <v>7</v>
      </c>
      <c r="H2290" s="17">
        <v>67125</v>
      </c>
      <c r="I2290" s="17">
        <v>469875</v>
      </c>
      <c r="J2290" s="17">
        <v>4387</v>
      </c>
      <c r="K2290" s="17">
        <v>465488</v>
      </c>
      <c r="L2290" s="17">
        <v>47834.144659999998</v>
      </c>
      <c r="M2290" s="17">
        <v>2024</v>
      </c>
      <c r="N2290" s="17" t="s">
        <v>126</v>
      </c>
    </row>
    <row r="2291" spans="1:14" ht="14.25" customHeight="1">
      <c r="A2291" s="17">
        <v>12290</v>
      </c>
      <c r="B2291" s="18">
        <v>45570</v>
      </c>
      <c r="C2291" s="17" t="s">
        <v>58</v>
      </c>
      <c r="D2291" s="17" t="s">
        <v>86</v>
      </c>
      <c r="E2291" s="17" t="s">
        <v>162</v>
      </c>
      <c r="F2291" s="17" t="s">
        <v>163</v>
      </c>
      <c r="G2291" s="17">
        <v>4</v>
      </c>
      <c r="H2291" s="17">
        <v>35398</v>
      </c>
      <c r="I2291" s="17">
        <v>141592</v>
      </c>
      <c r="J2291" s="17">
        <v>751</v>
      </c>
      <c r="K2291" s="17">
        <v>140841</v>
      </c>
      <c r="L2291" s="17">
        <v>29369.206839999999</v>
      </c>
      <c r="M2291" s="17">
        <v>2024</v>
      </c>
      <c r="N2291" s="17" t="s">
        <v>174</v>
      </c>
    </row>
    <row r="2292" spans="1:14" ht="14.25" customHeight="1">
      <c r="A2292" s="17">
        <v>12291</v>
      </c>
      <c r="B2292" s="18">
        <v>45639</v>
      </c>
      <c r="C2292" s="17" t="s">
        <v>39</v>
      </c>
      <c r="D2292" s="17" t="s">
        <v>170</v>
      </c>
      <c r="E2292" s="17" t="s">
        <v>165</v>
      </c>
      <c r="F2292" s="17" t="s">
        <v>163</v>
      </c>
      <c r="G2292" s="17">
        <v>3</v>
      </c>
      <c r="H2292" s="17">
        <v>75283</v>
      </c>
      <c r="I2292" s="17">
        <v>225849</v>
      </c>
      <c r="J2292" s="17">
        <v>1234</v>
      </c>
      <c r="K2292" s="17">
        <v>224615</v>
      </c>
      <c r="L2292" s="17">
        <v>51194.248200000002</v>
      </c>
      <c r="M2292" s="17">
        <v>2024</v>
      </c>
      <c r="N2292" s="17" t="s">
        <v>169</v>
      </c>
    </row>
    <row r="2293" spans="1:14" ht="14.25" customHeight="1">
      <c r="A2293" s="17">
        <v>12292</v>
      </c>
      <c r="B2293" s="18">
        <v>45918</v>
      </c>
      <c r="C2293" s="17" t="s">
        <v>58</v>
      </c>
      <c r="D2293" s="17" t="s">
        <v>86</v>
      </c>
      <c r="E2293" s="17" t="s">
        <v>162</v>
      </c>
      <c r="F2293" s="17" t="s">
        <v>164</v>
      </c>
      <c r="G2293" s="17">
        <v>8</v>
      </c>
      <c r="H2293" s="17">
        <v>75774</v>
      </c>
      <c r="I2293" s="17">
        <v>606192</v>
      </c>
      <c r="J2293" s="17">
        <v>2922</v>
      </c>
      <c r="K2293" s="17">
        <v>603270</v>
      </c>
      <c r="L2293" s="17">
        <v>97034.251940000002</v>
      </c>
      <c r="M2293" s="17">
        <v>2025</v>
      </c>
      <c r="N2293" s="17" t="s">
        <v>129</v>
      </c>
    </row>
    <row r="2294" spans="1:14" ht="14.25" customHeight="1">
      <c r="A2294" s="17">
        <v>12293</v>
      </c>
      <c r="B2294" s="18">
        <v>45395</v>
      </c>
      <c r="C2294" s="17" t="s">
        <v>39</v>
      </c>
      <c r="D2294" s="17" t="s">
        <v>111</v>
      </c>
      <c r="E2294" s="17" t="s">
        <v>168</v>
      </c>
      <c r="F2294" s="17" t="s">
        <v>166</v>
      </c>
      <c r="G2294" s="17">
        <v>9</v>
      </c>
      <c r="H2294" s="17">
        <v>7834</v>
      </c>
      <c r="I2294" s="17">
        <v>70506</v>
      </c>
      <c r="J2294" s="17">
        <v>662</v>
      </c>
      <c r="K2294" s="17">
        <v>69844</v>
      </c>
      <c r="L2294" s="17">
        <v>7831.9381960000001</v>
      </c>
      <c r="M2294" s="17">
        <v>2024</v>
      </c>
      <c r="N2294" s="17" t="s">
        <v>114</v>
      </c>
    </row>
    <row r="2295" spans="1:14" ht="14.25" customHeight="1">
      <c r="A2295" s="17">
        <v>12294</v>
      </c>
      <c r="B2295" s="18">
        <v>45921</v>
      </c>
      <c r="C2295" s="17" t="s">
        <v>58</v>
      </c>
      <c r="D2295" s="17" t="s">
        <v>170</v>
      </c>
      <c r="E2295" s="17" t="s">
        <v>162</v>
      </c>
      <c r="F2295" s="17" t="s">
        <v>163</v>
      </c>
      <c r="G2295" s="17">
        <v>1</v>
      </c>
      <c r="H2295" s="17">
        <v>53203</v>
      </c>
      <c r="I2295" s="17">
        <v>53203</v>
      </c>
      <c r="J2295" s="17">
        <v>3195</v>
      </c>
      <c r="K2295" s="17">
        <v>50008</v>
      </c>
      <c r="L2295" s="17">
        <v>9866.2376280000008</v>
      </c>
      <c r="M2295" s="17">
        <v>2025</v>
      </c>
      <c r="N2295" s="17" t="s">
        <v>129</v>
      </c>
    </row>
    <row r="2296" spans="1:14" ht="14.25" customHeight="1">
      <c r="A2296" s="17">
        <v>12295</v>
      </c>
      <c r="B2296" s="18">
        <v>45808</v>
      </c>
      <c r="C2296" s="17" t="s">
        <v>58</v>
      </c>
      <c r="D2296" s="17" t="s">
        <v>86</v>
      </c>
      <c r="E2296" s="17" t="s">
        <v>162</v>
      </c>
      <c r="F2296" s="17" t="s">
        <v>163</v>
      </c>
      <c r="G2296" s="17">
        <v>9</v>
      </c>
      <c r="H2296" s="17">
        <v>50676</v>
      </c>
      <c r="I2296" s="17">
        <v>456084</v>
      </c>
      <c r="J2296" s="17">
        <v>1584</v>
      </c>
      <c r="K2296" s="17">
        <v>454500</v>
      </c>
      <c r="L2296" s="17">
        <v>65693.138139999995</v>
      </c>
      <c r="M2296" s="17">
        <v>2025</v>
      </c>
      <c r="N2296" s="17" t="s">
        <v>117</v>
      </c>
    </row>
    <row r="2297" spans="1:14" ht="14.25" customHeight="1">
      <c r="A2297" s="17">
        <v>12296</v>
      </c>
      <c r="B2297" s="18">
        <v>45539</v>
      </c>
      <c r="C2297" s="17" t="s">
        <v>45</v>
      </c>
      <c r="D2297" s="17" t="s">
        <v>170</v>
      </c>
      <c r="E2297" s="17" t="s">
        <v>168</v>
      </c>
      <c r="F2297" s="17" t="s">
        <v>172</v>
      </c>
      <c r="G2297" s="17">
        <v>7</v>
      </c>
      <c r="H2297" s="17">
        <v>31230</v>
      </c>
      <c r="I2297" s="17">
        <v>218610</v>
      </c>
      <c r="J2297" s="17">
        <v>919</v>
      </c>
      <c r="K2297" s="17">
        <v>217691</v>
      </c>
      <c r="L2297" s="17">
        <v>26469.485980000001</v>
      </c>
      <c r="M2297" s="17">
        <v>2024</v>
      </c>
      <c r="N2297" s="17" t="s">
        <v>129</v>
      </c>
    </row>
    <row r="2298" spans="1:14" ht="14.25" customHeight="1">
      <c r="A2298" s="17">
        <v>12297</v>
      </c>
      <c r="B2298" s="18">
        <v>45655</v>
      </c>
      <c r="C2298" s="17" t="s">
        <v>167</v>
      </c>
      <c r="D2298" s="17" t="s">
        <v>89</v>
      </c>
      <c r="E2298" s="17" t="s">
        <v>165</v>
      </c>
      <c r="F2298" s="17" t="s">
        <v>166</v>
      </c>
      <c r="G2298" s="17">
        <v>1</v>
      </c>
      <c r="H2298" s="17">
        <v>77652</v>
      </c>
      <c r="I2298" s="17">
        <v>77652</v>
      </c>
      <c r="J2298" s="17">
        <v>4219</v>
      </c>
      <c r="K2298" s="17">
        <v>73433</v>
      </c>
      <c r="L2298" s="17">
        <v>12965.29254</v>
      </c>
      <c r="M2298" s="17">
        <v>2024</v>
      </c>
      <c r="N2298" s="17" t="s">
        <v>169</v>
      </c>
    </row>
    <row r="2299" spans="1:14" ht="14.25" customHeight="1">
      <c r="A2299" s="17">
        <v>12298</v>
      </c>
      <c r="B2299" s="18">
        <v>45612</v>
      </c>
      <c r="C2299" s="17" t="s">
        <v>50</v>
      </c>
      <c r="D2299" s="17" t="s">
        <v>89</v>
      </c>
      <c r="E2299" s="17" t="s">
        <v>162</v>
      </c>
      <c r="F2299" s="17" t="s">
        <v>166</v>
      </c>
      <c r="G2299" s="17">
        <v>7</v>
      </c>
      <c r="H2299" s="17">
        <v>73464</v>
      </c>
      <c r="I2299" s="17">
        <v>514248</v>
      </c>
      <c r="J2299" s="17">
        <v>67</v>
      </c>
      <c r="K2299" s="17">
        <v>514181</v>
      </c>
      <c r="L2299" s="17">
        <v>88581.333249999996</v>
      </c>
      <c r="M2299" s="17">
        <v>2024</v>
      </c>
      <c r="N2299" s="17" t="s">
        <v>173</v>
      </c>
    </row>
    <row r="2300" spans="1:14" ht="14.25" customHeight="1">
      <c r="A2300" s="17">
        <v>12299</v>
      </c>
      <c r="B2300" s="18">
        <v>45924</v>
      </c>
      <c r="C2300" s="17" t="s">
        <v>50</v>
      </c>
      <c r="D2300" s="17" t="s">
        <v>89</v>
      </c>
      <c r="E2300" s="17" t="s">
        <v>162</v>
      </c>
      <c r="F2300" s="17" t="s">
        <v>166</v>
      </c>
      <c r="G2300" s="17">
        <v>5</v>
      </c>
      <c r="H2300" s="17">
        <v>27134</v>
      </c>
      <c r="I2300" s="17">
        <v>135670</v>
      </c>
      <c r="J2300" s="17">
        <v>4570</v>
      </c>
      <c r="K2300" s="17">
        <v>131100</v>
      </c>
      <c r="L2300" s="17">
        <v>23272.290089999999</v>
      </c>
      <c r="M2300" s="17">
        <v>2025</v>
      </c>
      <c r="N2300" s="17" t="s">
        <v>129</v>
      </c>
    </row>
    <row r="2301" spans="1:14" ht="14.25" customHeight="1">
      <c r="A2301" s="17">
        <v>12300</v>
      </c>
      <c r="B2301" s="18">
        <v>45577</v>
      </c>
      <c r="C2301" s="17" t="s">
        <v>50</v>
      </c>
      <c r="D2301" s="17" t="s">
        <v>86</v>
      </c>
      <c r="E2301" s="17" t="s">
        <v>168</v>
      </c>
      <c r="F2301" s="17" t="s">
        <v>163</v>
      </c>
      <c r="G2301" s="17">
        <v>7</v>
      </c>
      <c r="H2301" s="17">
        <v>13190</v>
      </c>
      <c r="I2301" s="17">
        <v>92330</v>
      </c>
      <c r="J2301" s="17">
        <v>4453</v>
      </c>
      <c r="K2301" s="17">
        <v>87877</v>
      </c>
      <c r="L2301" s="17">
        <v>19648.405119999999</v>
      </c>
      <c r="M2301" s="17">
        <v>2024</v>
      </c>
      <c r="N2301" s="17" t="s">
        <v>174</v>
      </c>
    </row>
    <row r="2302" spans="1:14" ht="14.25" customHeight="1">
      <c r="A2302" s="17">
        <v>12301</v>
      </c>
      <c r="B2302" s="18">
        <v>45440</v>
      </c>
      <c r="C2302" s="17" t="s">
        <v>39</v>
      </c>
      <c r="D2302" s="17" t="s">
        <v>111</v>
      </c>
      <c r="E2302" s="17" t="s">
        <v>165</v>
      </c>
      <c r="F2302" s="17" t="s">
        <v>172</v>
      </c>
      <c r="G2302" s="17">
        <v>9</v>
      </c>
      <c r="H2302" s="17">
        <v>9350</v>
      </c>
      <c r="I2302" s="17">
        <v>84150</v>
      </c>
      <c r="J2302" s="17">
        <v>1766</v>
      </c>
      <c r="K2302" s="17">
        <v>82384</v>
      </c>
      <c r="L2302" s="17">
        <v>14226.224200000001</v>
      </c>
      <c r="M2302" s="17">
        <v>2024</v>
      </c>
      <c r="N2302" s="17" t="s">
        <v>117</v>
      </c>
    </row>
    <row r="2303" spans="1:14" ht="14.25" customHeight="1">
      <c r="A2303" s="17">
        <v>12302</v>
      </c>
      <c r="B2303" s="18">
        <v>45375</v>
      </c>
      <c r="C2303" s="17" t="s">
        <v>50</v>
      </c>
      <c r="D2303" s="17" t="s">
        <v>170</v>
      </c>
      <c r="E2303" s="17" t="s">
        <v>165</v>
      </c>
      <c r="F2303" s="17" t="s">
        <v>166</v>
      </c>
      <c r="G2303" s="17">
        <v>8</v>
      </c>
      <c r="H2303" s="17">
        <v>39055</v>
      </c>
      <c r="I2303" s="17">
        <v>312440</v>
      </c>
      <c r="J2303" s="17">
        <v>1953</v>
      </c>
      <c r="K2303" s="17">
        <v>310487</v>
      </c>
      <c r="L2303" s="17">
        <v>72989.621450000006</v>
      </c>
      <c r="M2303" s="17">
        <v>2024</v>
      </c>
      <c r="N2303" s="17" t="s">
        <v>112</v>
      </c>
    </row>
    <row r="2304" spans="1:14" ht="14.25" customHeight="1">
      <c r="A2304" s="17">
        <v>12303</v>
      </c>
      <c r="B2304" s="18">
        <v>45697</v>
      </c>
      <c r="C2304" s="17" t="s">
        <v>50</v>
      </c>
      <c r="D2304" s="17" t="s">
        <v>83</v>
      </c>
      <c r="E2304" s="17" t="s">
        <v>168</v>
      </c>
      <c r="F2304" s="17" t="s">
        <v>172</v>
      </c>
      <c r="G2304" s="17">
        <v>6</v>
      </c>
      <c r="H2304" s="17">
        <v>48686</v>
      </c>
      <c r="I2304" s="17">
        <v>292116</v>
      </c>
      <c r="J2304" s="17">
        <v>2568</v>
      </c>
      <c r="K2304" s="17">
        <v>289548</v>
      </c>
      <c r="L2304" s="17">
        <v>65516.48719</v>
      </c>
      <c r="M2304" s="17">
        <v>2025</v>
      </c>
      <c r="N2304" s="17" t="s">
        <v>175</v>
      </c>
    </row>
    <row r="2305" spans="1:14" ht="14.25" customHeight="1">
      <c r="A2305" s="17">
        <v>12304</v>
      </c>
      <c r="B2305" s="18">
        <v>45747</v>
      </c>
      <c r="C2305" s="17" t="s">
        <v>45</v>
      </c>
      <c r="D2305" s="17" t="s">
        <v>89</v>
      </c>
      <c r="E2305" s="17" t="s">
        <v>168</v>
      </c>
      <c r="F2305" s="17" t="s">
        <v>164</v>
      </c>
      <c r="G2305" s="17">
        <v>2</v>
      </c>
      <c r="H2305" s="17">
        <v>33700</v>
      </c>
      <c r="I2305" s="17">
        <v>67400</v>
      </c>
      <c r="J2305" s="17">
        <v>3708</v>
      </c>
      <c r="K2305" s="17">
        <v>63692</v>
      </c>
      <c r="L2305" s="17">
        <v>12589.831560000001</v>
      </c>
      <c r="M2305" s="17">
        <v>2025</v>
      </c>
      <c r="N2305" s="17" t="s">
        <v>112</v>
      </c>
    </row>
    <row r="2306" spans="1:14" ht="14.25" customHeight="1">
      <c r="A2306" s="17">
        <v>12305</v>
      </c>
      <c r="B2306" s="18">
        <v>45452</v>
      </c>
      <c r="C2306" s="17" t="s">
        <v>58</v>
      </c>
      <c r="D2306" s="17" t="s">
        <v>89</v>
      </c>
      <c r="E2306" s="17" t="s">
        <v>162</v>
      </c>
      <c r="F2306" s="17" t="s">
        <v>164</v>
      </c>
      <c r="G2306" s="17">
        <v>8</v>
      </c>
      <c r="H2306" s="17">
        <v>77146</v>
      </c>
      <c r="I2306" s="17">
        <v>617168</v>
      </c>
      <c r="J2306" s="17">
        <v>4928</v>
      </c>
      <c r="K2306" s="17">
        <v>612240</v>
      </c>
      <c r="L2306" s="17">
        <v>66445.047200000001</v>
      </c>
      <c r="M2306" s="17">
        <v>2024</v>
      </c>
      <c r="N2306" s="17" t="s">
        <v>120</v>
      </c>
    </row>
    <row r="2307" spans="1:14" ht="14.25" customHeight="1">
      <c r="A2307" s="17">
        <v>12306</v>
      </c>
      <c r="B2307" s="18">
        <v>45751</v>
      </c>
      <c r="C2307" s="17" t="s">
        <v>50</v>
      </c>
      <c r="D2307" s="17" t="s">
        <v>83</v>
      </c>
      <c r="E2307" s="17" t="s">
        <v>168</v>
      </c>
      <c r="F2307" s="17" t="s">
        <v>172</v>
      </c>
      <c r="G2307" s="17">
        <v>4</v>
      </c>
      <c r="H2307" s="17">
        <v>34420</v>
      </c>
      <c r="I2307" s="17">
        <v>137680</v>
      </c>
      <c r="J2307" s="17">
        <v>2671</v>
      </c>
      <c r="K2307" s="17">
        <v>135009</v>
      </c>
      <c r="L2307" s="17">
        <v>31017.191559999999</v>
      </c>
      <c r="M2307" s="17">
        <v>2025</v>
      </c>
      <c r="N2307" s="17" t="s">
        <v>114</v>
      </c>
    </row>
    <row r="2308" spans="1:14" ht="14.25" customHeight="1">
      <c r="A2308" s="17">
        <v>12307</v>
      </c>
      <c r="B2308" s="18">
        <v>45841</v>
      </c>
      <c r="C2308" s="17" t="s">
        <v>167</v>
      </c>
      <c r="D2308" s="17" t="s">
        <v>83</v>
      </c>
      <c r="E2308" s="17" t="s">
        <v>168</v>
      </c>
      <c r="F2308" s="17" t="s">
        <v>163</v>
      </c>
      <c r="G2308" s="17">
        <v>8</v>
      </c>
      <c r="H2308" s="17">
        <v>30177</v>
      </c>
      <c r="I2308" s="17">
        <v>241416</v>
      </c>
      <c r="J2308" s="17">
        <v>3399</v>
      </c>
      <c r="K2308" s="17">
        <v>238017</v>
      </c>
      <c r="L2308" s="17">
        <v>56132.930659999998</v>
      </c>
      <c r="M2308" s="17">
        <v>2025</v>
      </c>
      <c r="N2308" s="17" t="s">
        <v>123</v>
      </c>
    </row>
    <row r="2309" spans="1:14" ht="14.25" customHeight="1">
      <c r="A2309" s="17">
        <v>12308</v>
      </c>
      <c r="B2309" s="18">
        <v>45791</v>
      </c>
      <c r="C2309" s="17" t="s">
        <v>50</v>
      </c>
      <c r="D2309" s="17" t="s">
        <v>86</v>
      </c>
      <c r="E2309" s="17" t="s">
        <v>168</v>
      </c>
      <c r="F2309" s="17" t="s">
        <v>166</v>
      </c>
      <c r="G2309" s="17">
        <v>7</v>
      </c>
      <c r="H2309" s="17">
        <v>44651</v>
      </c>
      <c r="I2309" s="17">
        <v>312557</v>
      </c>
      <c r="J2309" s="17">
        <v>1353</v>
      </c>
      <c r="K2309" s="17">
        <v>311204</v>
      </c>
      <c r="L2309" s="17">
        <v>48627.825270000001</v>
      </c>
      <c r="M2309" s="17">
        <v>2025</v>
      </c>
      <c r="N2309" s="17" t="s">
        <v>117</v>
      </c>
    </row>
    <row r="2310" spans="1:14" ht="14.25" customHeight="1">
      <c r="A2310" s="17">
        <v>12309</v>
      </c>
      <c r="B2310" s="18">
        <v>45800</v>
      </c>
      <c r="C2310" s="17" t="s">
        <v>39</v>
      </c>
      <c r="D2310" s="17" t="s">
        <v>170</v>
      </c>
      <c r="E2310" s="17" t="s">
        <v>165</v>
      </c>
      <c r="F2310" s="17" t="s">
        <v>164</v>
      </c>
      <c r="G2310" s="17">
        <v>4</v>
      </c>
      <c r="H2310" s="17">
        <v>59339</v>
      </c>
      <c r="I2310" s="17">
        <v>237356</v>
      </c>
      <c r="J2310" s="17">
        <v>442</v>
      </c>
      <c r="K2310" s="17">
        <v>236914</v>
      </c>
      <c r="L2310" s="17">
        <v>42389.307699999998</v>
      </c>
      <c r="M2310" s="17">
        <v>2025</v>
      </c>
      <c r="N2310" s="17" t="s">
        <v>117</v>
      </c>
    </row>
    <row r="2311" spans="1:14" ht="14.25" customHeight="1">
      <c r="A2311" s="17">
        <v>12310</v>
      </c>
      <c r="B2311" s="18">
        <v>45945</v>
      </c>
      <c r="C2311" s="17" t="s">
        <v>39</v>
      </c>
      <c r="D2311" s="17" t="s">
        <v>89</v>
      </c>
      <c r="E2311" s="17" t="s">
        <v>168</v>
      </c>
      <c r="F2311" s="17" t="s">
        <v>164</v>
      </c>
      <c r="G2311" s="17">
        <v>8</v>
      </c>
      <c r="H2311" s="17">
        <v>54282</v>
      </c>
      <c r="I2311" s="17">
        <v>434256</v>
      </c>
      <c r="J2311" s="17">
        <v>600</v>
      </c>
      <c r="K2311" s="17">
        <v>433656</v>
      </c>
      <c r="L2311" s="17">
        <v>61645.544990000002</v>
      </c>
      <c r="M2311" s="17">
        <v>2025</v>
      </c>
      <c r="N2311" s="17" t="s">
        <v>174</v>
      </c>
    </row>
    <row r="2312" spans="1:14" ht="14.25" customHeight="1">
      <c r="A2312" s="17">
        <v>12311</v>
      </c>
      <c r="B2312" s="18">
        <v>45772</v>
      </c>
      <c r="C2312" s="17" t="s">
        <v>39</v>
      </c>
      <c r="D2312" s="17" t="s">
        <v>111</v>
      </c>
      <c r="E2312" s="17" t="s">
        <v>162</v>
      </c>
      <c r="F2312" s="17" t="s">
        <v>172</v>
      </c>
      <c r="G2312" s="17">
        <v>2</v>
      </c>
      <c r="H2312" s="17">
        <v>46070</v>
      </c>
      <c r="I2312" s="17">
        <v>92140</v>
      </c>
      <c r="J2312" s="17">
        <v>3166</v>
      </c>
      <c r="K2312" s="17">
        <v>88974</v>
      </c>
      <c r="L2312" s="17">
        <v>9093.8056649999999</v>
      </c>
      <c r="M2312" s="17">
        <v>2025</v>
      </c>
      <c r="N2312" s="17" t="s">
        <v>114</v>
      </c>
    </row>
    <row r="2313" spans="1:14" ht="14.25" customHeight="1">
      <c r="A2313" s="17">
        <v>12312</v>
      </c>
      <c r="B2313" s="18">
        <v>45954</v>
      </c>
      <c r="C2313" s="17" t="s">
        <v>50</v>
      </c>
      <c r="D2313" s="17" t="s">
        <v>86</v>
      </c>
      <c r="E2313" s="17" t="s">
        <v>162</v>
      </c>
      <c r="F2313" s="17" t="s">
        <v>163</v>
      </c>
      <c r="G2313" s="17">
        <v>9</v>
      </c>
      <c r="H2313" s="17">
        <v>65703</v>
      </c>
      <c r="I2313" s="17">
        <v>591327</v>
      </c>
      <c r="J2313" s="17">
        <v>3942</v>
      </c>
      <c r="K2313" s="17">
        <v>587385</v>
      </c>
      <c r="L2313" s="17">
        <v>100981.8542</v>
      </c>
      <c r="M2313" s="17">
        <v>2025</v>
      </c>
      <c r="N2313" s="17" t="s">
        <v>174</v>
      </c>
    </row>
    <row r="2314" spans="1:14" ht="14.25" customHeight="1">
      <c r="A2314" s="17">
        <v>12313</v>
      </c>
      <c r="B2314" s="18">
        <v>45405</v>
      </c>
      <c r="C2314" s="17" t="s">
        <v>45</v>
      </c>
      <c r="D2314" s="17" t="s">
        <v>86</v>
      </c>
      <c r="E2314" s="17" t="s">
        <v>162</v>
      </c>
      <c r="F2314" s="17" t="s">
        <v>172</v>
      </c>
      <c r="G2314" s="17">
        <v>6</v>
      </c>
      <c r="H2314" s="17">
        <v>30406</v>
      </c>
      <c r="I2314" s="17">
        <v>182436</v>
      </c>
      <c r="J2314" s="17">
        <v>2809</v>
      </c>
      <c r="K2314" s="17">
        <v>179627</v>
      </c>
      <c r="L2314" s="17">
        <v>21448.15465</v>
      </c>
      <c r="M2314" s="17">
        <v>2024</v>
      </c>
      <c r="N2314" s="17" t="s">
        <v>114</v>
      </c>
    </row>
    <row r="2315" spans="1:14" ht="14.25" customHeight="1">
      <c r="A2315" s="17">
        <v>12314</v>
      </c>
      <c r="B2315" s="18">
        <v>45869</v>
      </c>
      <c r="C2315" s="17" t="s">
        <v>167</v>
      </c>
      <c r="D2315" s="17" t="s">
        <v>111</v>
      </c>
      <c r="E2315" s="17" t="s">
        <v>168</v>
      </c>
      <c r="F2315" s="17" t="s">
        <v>172</v>
      </c>
      <c r="G2315" s="17">
        <v>7</v>
      </c>
      <c r="H2315" s="17">
        <v>63009</v>
      </c>
      <c r="I2315" s="17">
        <v>441063</v>
      </c>
      <c r="J2315" s="17">
        <v>3388</v>
      </c>
      <c r="K2315" s="17">
        <v>437675</v>
      </c>
      <c r="L2315" s="17">
        <v>55802.996379999997</v>
      </c>
      <c r="M2315" s="17">
        <v>2025</v>
      </c>
      <c r="N2315" s="17" t="s">
        <v>123</v>
      </c>
    </row>
    <row r="2316" spans="1:14" ht="14.25" customHeight="1">
      <c r="A2316" s="17">
        <v>12315</v>
      </c>
      <c r="B2316" s="18">
        <v>45652</v>
      </c>
      <c r="C2316" s="17" t="s">
        <v>50</v>
      </c>
      <c r="D2316" s="17" t="s">
        <v>111</v>
      </c>
      <c r="E2316" s="17" t="s">
        <v>165</v>
      </c>
      <c r="F2316" s="17" t="s">
        <v>172</v>
      </c>
      <c r="G2316" s="17">
        <v>1</v>
      </c>
      <c r="H2316" s="17">
        <v>6066</v>
      </c>
      <c r="I2316" s="17">
        <v>6066</v>
      </c>
      <c r="J2316" s="17">
        <v>4582</v>
      </c>
      <c r="K2316" s="17">
        <v>1484</v>
      </c>
      <c r="L2316" s="17">
        <v>255.40622669999999</v>
      </c>
      <c r="M2316" s="17">
        <v>2024</v>
      </c>
      <c r="N2316" s="17" t="s">
        <v>169</v>
      </c>
    </row>
    <row r="2317" spans="1:14" ht="14.25" customHeight="1">
      <c r="A2317" s="17">
        <v>12316</v>
      </c>
      <c r="B2317" s="18">
        <v>45632</v>
      </c>
      <c r="C2317" s="17" t="s">
        <v>45</v>
      </c>
      <c r="D2317" s="17" t="s">
        <v>111</v>
      </c>
      <c r="E2317" s="17" t="s">
        <v>168</v>
      </c>
      <c r="F2317" s="17" t="s">
        <v>172</v>
      </c>
      <c r="G2317" s="17">
        <v>3</v>
      </c>
      <c r="H2317" s="17">
        <v>75506</v>
      </c>
      <c r="I2317" s="17">
        <v>226518</v>
      </c>
      <c r="J2317" s="17">
        <v>2786</v>
      </c>
      <c r="K2317" s="17">
        <v>223732</v>
      </c>
      <c r="L2317" s="17">
        <v>51470.833319999998</v>
      </c>
      <c r="M2317" s="17">
        <v>2024</v>
      </c>
      <c r="N2317" s="17" t="s">
        <v>169</v>
      </c>
    </row>
    <row r="2318" spans="1:14" ht="14.25" customHeight="1">
      <c r="A2318" s="17">
        <v>12317</v>
      </c>
      <c r="B2318" s="18">
        <v>45740</v>
      </c>
      <c r="C2318" s="17" t="s">
        <v>45</v>
      </c>
      <c r="D2318" s="17" t="s">
        <v>83</v>
      </c>
      <c r="E2318" s="17" t="s">
        <v>168</v>
      </c>
      <c r="F2318" s="17" t="s">
        <v>172</v>
      </c>
      <c r="G2318" s="17">
        <v>5</v>
      </c>
      <c r="H2318" s="17">
        <v>57940</v>
      </c>
      <c r="I2318" s="17">
        <v>289700</v>
      </c>
      <c r="J2318" s="17">
        <v>2695</v>
      </c>
      <c r="K2318" s="17">
        <v>287005</v>
      </c>
      <c r="L2318" s="17">
        <v>65062.569990000004</v>
      </c>
      <c r="M2318" s="17">
        <v>2025</v>
      </c>
      <c r="N2318" s="17" t="s">
        <v>112</v>
      </c>
    </row>
    <row r="2319" spans="1:14" ht="14.25" customHeight="1">
      <c r="A2319" s="17">
        <v>12318</v>
      </c>
      <c r="B2319" s="18">
        <v>45471</v>
      </c>
      <c r="C2319" s="17" t="s">
        <v>50</v>
      </c>
      <c r="D2319" s="17" t="s">
        <v>89</v>
      </c>
      <c r="E2319" s="17" t="s">
        <v>162</v>
      </c>
      <c r="F2319" s="17" t="s">
        <v>163</v>
      </c>
      <c r="G2319" s="17">
        <v>7</v>
      </c>
      <c r="H2319" s="17">
        <v>55469</v>
      </c>
      <c r="I2319" s="17">
        <v>388283</v>
      </c>
      <c r="J2319" s="17">
        <v>3648</v>
      </c>
      <c r="K2319" s="17">
        <v>384635</v>
      </c>
      <c r="L2319" s="17">
        <v>94143.363840000005</v>
      </c>
      <c r="M2319" s="17">
        <v>2024</v>
      </c>
      <c r="N2319" s="17" t="s">
        <v>120</v>
      </c>
    </row>
    <row r="2320" spans="1:14" ht="14.25" customHeight="1">
      <c r="A2320" s="17">
        <v>12319</v>
      </c>
      <c r="B2320" s="18">
        <v>45993</v>
      </c>
      <c r="C2320" s="17" t="s">
        <v>50</v>
      </c>
      <c r="D2320" s="17" t="s">
        <v>83</v>
      </c>
      <c r="E2320" s="17" t="s">
        <v>168</v>
      </c>
      <c r="F2320" s="17" t="s">
        <v>172</v>
      </c>
      <c r="G2320" s="17">
        <v>1</v>
      </c>
      <c r="H2320" s="17">
        <v>28350</v>
      </c>
      <c r="I2320" s="17">
        <v>28350</v>
      </c>
      <c r="J2320" s="17">
        <v>2052</v>
      </c>
      <c r="K2320" s="17">
        <v>26298</v>
      </c>
      <c r="L2320" s="17">
        <v>4533.8302359999998</v>
      </c>
      <c r="M2320" s="17">
        <v>2025</v>
      </c>
      <c r="N2320" s="17" t="s">
        <v>169</v>
      </c>
    </row>
    <row r="2321" spans="1:14" ht="14.25" customHeight="1">
      <c r="A2321" s="17">
        <v>12320</v>
      </c>
      <c r="B2321" s="18">
        <v>45698</v>
      </c>
      <c r="C2321" s="17" t="s">
        <v>45</v>
      </c>
      <c r="D2321" s="17" t="s">
        <v>89</v>
      </c>
      <c r="E2321" s="17" t="s">
        <v>165</v>
      </c>
      <c r="F2321" s="17" t="s">
        <v>163</v>
      </c>
      <c r="G2321" s="17">
        <v>9</v>
      </c>
      <c r="H2321" s="17">
        <v>9114</v>
      </c>
      <c r="I2321" s="17">
        <v>82026</v>
      </c>
      <c r="J2321" s="17">
        <v>631</v>
      </c>
      <c r="K2321" s="17">
        <v>81395</v>
      </c>
      <c r="L2321" s="17">
        <v>14879.11478</v>
      </c>
      <c r="M2321" s="17">
        <v>2025</v>
      </c>
      <c r="N2321" s="17" t="s">
        <v>175</v>
      </c>
    </row>
    <row r="2322" spans="1:14" ht="14.25" customHeight="1">
      <c r="A2322" s="17">
        <v>12321</v>
      </c>
      <c r="B2322" s="18">
        <v>45957</v>
      </c>
      <c r="C2322" s="17" t="s">
        <v>45</v>
      </c>
      <c r="D2322" s="17" t="s">
        <v>83</v>
      </c>
      <c r="E2322" s="17" t="s">
        <v>162</v>
      </c>
      <c r="F2322" s="17" t="s">
        <v>166</v>
      </c>
      <c r="G2322" s="17">
        <v>5</v>
      </c>
      <c r="H2322" s="17">
        <v>54199</v>
      </c>
      <c r="I2322" s="17">
        <v>270995</v>
      </c>
      <c r="J2322" s="17">
        <v>3442</v>
      </c>
      <c r="K2322" s="17">
        <v>267553</v>
      </c>
      <c r="L2322" s="17">
        <v>59749.249730000003</v>
      </c>
      <c r="M2322" s="17">
        <v>2025</v>
      </c>
      <c r="N2322" s="17" t="s">
        <v>174</v>
      </c>
    </row>
    <row r="2323" spans="1:14" ht="14.25" customHeight="1">
      <c r="A2323" s="17">
        <v>12322</v>
      </c>
      <c r="B2323" s="18">
        <v>45487</v>
      </c>
      <c r="C2323" s="17" t="s">
        <v>45</v>
      </c>
      <c r="D2323" s="17" t="s">
        <v>170</v>
      </c>
      <c r="E2323" s="17" t="s">
        <v>165</v>
      </c>
      <c r="F2323" s="17" t="s">
        <v>166</v>
      </c>
      <c r="G2323" s="17">
        <v>3</v>
      </c>
      <c r="H2323" s="17">
        <v>70133</v>
      </c>
      <c r="I2323" s="17">
        <v>210399</v>
      </c>
      <c r="J2323" s="17">
        <v>1754</v>
      </c>
      <c r="K2323" s="17">
        <v>208645</v>
      </c>
      <c r="L2323" s="17">
        <v>42762.003810000002</v>
      </c>
      <c r="M2323" s="17">
        <v>2024</v>
      </c>
      <c r="N2323" s="17" t="s">
        <v>123</v>
      </c>
    </row>
    <row r="2324" spans="1:14" ht="14.25" customHeight="1">
      <c r="A2324" s="17">
        <v>12323</v>
      </c>
      <c r="B2324" s="18">
        <v>45757</v>
      </c>
      <c r="C2324" s="17" t="s">
        <v>50</v>
      </c>
      <c r="D2324" s="17" t="s">
        <v>89</v>
      </c>
      <c r="E2324" s="17" t="s">
        <v>165</v>
      </c>
      <c r="F2324" s="17" t="s">
        <v>166</v>
      </c>
      <c r="G2324" s="17">
        <v>7</v>
      </c>
      <c r="H2324" s="17">
        <v>26245</v>
      </c>
      <c r="I2324" s="17">
        <v>183715</v>
      </c>
      <c r="J2324" s="17">
        <v>3033</v>
      </c>
      <c r="K2324" s="17">
        <v>180682</v>
      </c>
      <c r="L2324" s="17">
        <v>23023.099590000002</v>
      </c>
      <c r="M2324" s="17">
        <v>2025</v>
      </c>
      <c r="N2324" s="17" t="s">
        <v>114</v>
      </c>
    </row>
    <row r="2325" spans="1:14" ht="14.25" customHeight="1">
      <c r="A2325" s="17">
        <v>12324</v>
      </c>
      <c r="B2325" s="18">
        <v>45602</v>
      </c>
      <c r="C2325" s="17" t="s">
        <v>45</v>
      </c>
      <c r="D2325" s="17" t="s">
        <v>86</v>
      </c>
      <c r="E2325" s="17" t="s">
        <v>165</v>
      </c>
      <c r="F2325" s="17" t="s">
        <v>166</v>
      </c>
      <c r="G2325" s="17">
        <v>8</v>
      </c>
      <c r="H2325" s="17">
        <v>48266</v>
      </c>
      <c r="I2325" s="17">
        <v>386128</v>
      </c>
      <c r="J2325" s="17">
        <v>1578</v>
      </c>
      <c r="K2325" s="17">
        <v>384550</v>
      </c>
      <c r="L2325" s="17">
        <v>61422.71514</v>
      </c>
      <c r="M2325" s="17">
        <v>2024</v>
      </c>
      <c r="N2325" s="17" t="s">
        <v>173</v>
      </c>
    </row>
    <row r="2326" spans="1:14" ht="14.25" customHeight="1">
      <c r="A2326" s="17">
        <v>12325</v>
      </c>
      <c r="B2326" s="18">
        <v>45553</v>
      </c>
      <c r="C2326" s="17" t="s">
        <v>39</v>
      </c>
      <c r="D2326" s="17" t="s">
        <v>89</v>
      </c>
      <c r="E2326" s="17" t="s">
        <v>168</v>
      </c>
      <c r="F2326" s="17" t="s">
        <v>164</v>
      </c>
      <c r="G2326" s="17">
        <v>3</v>
      </c>
      <c r="H2326" s="17">
        <v>17595</v>
      </c>
      <c r="I2326" s="17">
        <v>52785</v>
      </c>
      <c r="J2326" s="17">
        <v>25</v>
      </c>
      <c r="K2326" s="17">
        <v>52760</v>
      </c>
      <c r="L2326" s="17">
        <v>12629.36664</v>
      </c>
      <c r="M2326" s="17">
        <v>2024</v>
      </c>
      <c r="N2326" s="17" t="s">
        <v>129</v>
      </c>
    </row>
    <row r="2327" spans="1:14" ht="14.25" customHeight="1">
      <c r="A2327" s="17">
        <v>12326</v>
      </c>
      <c r="B2327" s="18">
        <v>45710</v>
      </c>
      <c r="C2327" s="17" t="s">
        <v>50</v>
      </c>
      <c r="D2327" s="17" t="s">
        <v>89</v>
      </c>
      <c r="E2327" s="17" t="s">
        <v>168</v>
      </c>
      <c r="F2327" s="17" t="s">
        <v>163</v>
      </c>
      <c r="G2327" s="17">
        <v>7</v>
      </c>
      <c r="H2327" s="17">
        <v>44218</v>
      </c>
      <c r="I2327" s="17">
        <v>309526</v>
      </c>
      <c r="J2327" s="17">
        <v>2209</v>
      </c>
      <c r="K2327" s="17">
        <v>307317</v>
      </c>
      <c r="L2327" s="17">
        <v>37467.803290000003</v>
      </c>
      <c r="M2327" s="17">
        <v>2025</v>
      </c>
      <c r="N2327" s="17" t="s">
        <v>175</v>
      </c>
    </row>
    <row r="2328" spans="1:14" ht="14.25" customHeight="1">
      <c r="A2328" s="17">
        <v>12327</v>
      </c>
      <c r="B2328" s="18">
        <v>45697</v>
      </c>
      <c r="C2328" s="17" t="s">
        <v>39</v>
      </c>
      <c r="D2328" s="17" t="s">
        <v>89</v>
      </c>
      <c r="E2328" s="17" t="s">
        <v>168</v>
      </c>
      <c r="F2328" s="17" t="s">
        <v>166</v>
      </c>
      <c r="G2328" s="17">
        <v>7</v>
      </c>
      <c r="H2328" s="17">
        <v>30143</v>
      </c>
      <c r="I2328" s="17">
        <v>211001</v>
      </c>
      <c r="J2328" s="17">
        <v>2902</v>
      </c>
      <c r="K2328" s="17">
        <v>208099</v>
      </c>
      <c r="L2328" s="17">
        <v>27344.927810000001</v>
      </c>
      <c r="M2328" s="17">
        <v>2025</v>
      </c>
      <c r="N2328" s="17" t="s">
        <v>175</v>
      </c>
    </row>
    <row r="2329" spans="1:14" ht="14.25" customHeight="1">
      <c r="A2329" s="17">
        <v>12328</v>
      </c>
      <c r="B2329" s="18">
        <v>45434</v>
      </c>
      <c r="C2329" s="17" t="s">
        <v>58</v>
      </c>
      <c r="D2329" s="17" t="s">
        <v>170</v>
      </c>
      <c r="E2329" s="17" t="s">
        <v>168</v>
      </c>
      <c r="F2329" s="17" t="s">
        <v>164</v>
      </c>
      <c r="G2329" s="17">
        <v>4</v>
      </c>
      <c r="H2329" s="17">
        <v>51178</v>
      </c>
      <c r="I2329" s="17">
        <v>204712</v>
      </c>
      <c r="J2329" s="17">
        <v>1129</v>
      </c>
      <c r="K2329" s="17">
        <v>203583</v>
      </c>
      <c r="L2329" s="17">
        <v>32593.436000000002</v>
      </c>
      <c r="M2329" s="17">
        <v>2024</v>
      </c>
      <c r="N2329" s="17" t="s">
        <v>117</v>
      </c>
    </row>
    <row r="2330" spans="1:14" ht="14.25" customHeight="1">
      <c r="A2330" s="17">
        <v>12329</v>
      </c>
      <c r="B2330" s="18">
        <v>45633</v>
      </c>
      <c r="C2330" s="17" t="s">
        <v>50</v>
      </c>
      <c r="D2330" s="17" t="s">
        <v>83</v>
      </c>
      <c r="E2330" s="17" t="s">
        <v>162</v>
      </c>
      <c r="F2330" s="17" t="s">
        <v>163</v>
      </c>
      <c r="G2330" s="17">
        <v>9</v>
      </c>
      <c r="H2330" s="17">
        <v>76700</v>
      </c>
      <c r="I2330" s="17">
        <v>690300</v>
      </c>
      <c r="J2330" s="17">
        <v>4996</v>
      </c>
      <c r="K2330" s="17">
        <v>685304</v>
      </c>
      <c r="L2330" s="17">
        <v>165145.3254</v>
      </c>
      <c r="M2330" s="17">
        <v>2024</v>
      </c>
      <c r="N2330" s="17" t="s">
        <v>169</v>
      </c>
    </row>
    <row r="2331" spans="1:14" ht="14.25" customHeight="1">
      <c r="A2331" s="17">
        <v>12330</v>
      </c>
      <c r="B2331" s="18">
        <v>45607</v>
      </c>
      <c r="C2331" s="17" t="s">
        <v>58</v>
      </c>
      <c r="D2331" s="17" t="s">
        <v>86</v>
      </c>
      <c r="E2331" s="17" t="s">
        <v>168</v>
      </c>
      <c r="F2331" s="17" t="s">
        <v>164</v>
      </c>
      <c r="G2331" s="17">
        <v>1</v>
      </c>
      <c r="H2331" s="17">
        <v>12787</v>
      </c>
      <c r="I2331" s="17">
        <v>12787</v>
      </c>
      <c r="J2331" s="17">
        <v>4104</v>
      </c>
      <c r="K2331" s="17">
        <v>8683</v>
      </c>
      <c r="L2331" s="17">
        <v>1016.5424389999999</v>
      </c>
      <c r="M2331" s="17">
        <v>2024</v>
      </c>
      <c r="N2331" s="17" t="s">
        <v>173</v>
      </c>
    </row>
    <row r="2332" spans="1:14" ht="14.25" customHeight="1">
      <c r="A2332" s="17">
        <v>12331</v>
      </c>
      <c r="B2332" s="18">
        <v>45392</v>
      </c>
      <c r="C2332" s="17" t="s">
        <v>45</v>
      </c>
      <c r="D2332" s="17" t="s">
        <v>83</v>
      </c>
      <c r="E2332" s="17" t="s">
        <v>162</v>
      </c>
      <c r="F2332" s="17" t="s">
        <v>164</v>
      </c>
      <c r="G2332" s="17">
        <v>1</v>
      </c>
      <c r="H2332" s="17">
        <v>69517</v>
      </c>
      <c r="I2332" s="17">
        <v>69517</v>
      </c>
      <c r="J2332" s="17">
        <v>4145</v>
      </c>
      <c r="K2332" s="17">
        <v>65372</v>
      </c>
      <c r="L2332" s="17">
        <v>13135.938260000001</v>
      </c>
      <c r="M2332" s="17">
        <v>2024</v>
      </c>
      <c r="N2332" s="17" t="s">
        <v>114</v>
      </c>
    </row>
    <row r="2333" spans="1:14" ht="14.25" customHeight="1">
      <c r="A2333" s="17">
        <v>12332</v>
      </c>
      <c r="B2333" s="18">
        <v>45535</v>
      </c>
      <c r="C2333" s="17" t="s">
        <v>45</v>
      </c>
      <c r="D2333" s="17" t="s">
        <v>83</v>
      </c>
      <c r="E2333" s="17" t="s">
        <v>165</v>
      </c>
      <c r="F2333" s="17" t="s">
        <v>172</v>
      </c>
      <c r="G2333" s="17">
        <v>5</v>
      </c>
      <c r="H2333" s="17">
        <v>50286</v>
      </c>
      <c r="I2333" s="17">
        <v>251430</v>
      </c>
      <c r="J2333" s="17">
        <v>441</v>
      </c>
      <c r="K2333" s="17">
        <v>250989</v>
      </c>
      <c r="L2333" s="17">
        <v>30073.095020000001</v>
      </c>
      <c r="M2333" s="17">
        <v>2024</v>
      </c>
      <c r="N2333" s="17" t="s">
        <v>126</v>
      </c>
    </row>
    <row r="2334" spans="1:14" ht="14.25" customHeight="1">
      <c r="A2334" s="17">
        <v>12333</v>
      </c>
      <c r="B2334" s="18">
        <v>45781</v>
      </c>
      <c r="C2334" s="17" t="s">
        <v>167</v>
      </c>
      <c r="D2334" s="17" t="s">
        <v>111</v>
      </c>
      <c r="E2334" s="17" t="s">
        <v>162</v>
      </c>
      <c r="F2334" s="17" t="s">
        <v>164</v>
      </c>
      <c r="G2334" s="17">
        <v>3</v>
      </c>
      <c r="H2334" s="17">
        <v>5081</v>
      </c>
      <c r="I2334" s="17">
        <v>15243</v>
      </c>
      <c r="J2334" s="17">
        <v>3895</v>
      </c>
      <c r="K2334" s="17">
        <v>11348</v>
      </c>
      <c r="L2334" s="17">
        <v>2027.605663</v>
      </c>
      <c r="M2334" s="17">
        <v>2025</v>
      </c>
      <c r="N2334" s="17" t="s">
        <v>117</v>
      </c>
    </row>
    <row r="2335" spans="1:14" ht="14.25" customHeight="1">
      <c r="A2335" s="17">
        <v>12334</v>
      </c>
      <c r="B2335" s="18">
        <v>45303</v>
      </c>
      <c r="C2335" s="17" t="s">
        <v>45</v>
      </c>
      <c r="D2335" s="17" t="s">
        <v>170</v>
      </c>
      <c r="E2335" s="17" t="s">
        <v>168</v>
      </c>
      <c r="F2335" s="17" t="s">
        <v>164</v>
      </c>
      <c r="G2335" s="17">
        <v>9</v>
      </c>
      <c r="H2335" s="17">
        <v>8005</v>
      </c>
      <c r="I2335" s="17">
        <v>72045</v>
      </c>
      <c r="J2335" s="17">
        <v>4797</v>
      </c>
      <c r="K2335" s="17">
        <v>67248</v>
      </c>
      <c r="L2335" s="17">
        <v>12137.223470000001</v>
      </c>
      <c r="M2335" s="17">
        <v>2024</v>
      </c>
      <c r="N2335" s="17" t="s">
        <v>171</v>
      </c>
    </row>
    <row r="2336" spans="1:14" ht="14.25" customHeight="1">
      <c r="A2336" s="17">
        <v>12335</v>
      </c>
      <c r="B2336" s="18">
        <v>45530</v>
      </c>
      <c r="C2336" s="17" t="s">
        <v>58</v>
      </c>
      <c r="D2336" s="17" t="s">
        <v>111</v>
      </c>
      <c r="E2336" s="17" t="s">
        <v>162</v>
      </c>
      <c r="F2336" s="17" t="s">
        <v>163</v>
      </c>
      <c r="G2336" s="17">
        <v>5</v>
      </c>
      <c r="H2336" s="17">
        <v>78944</v>
      </c>
      <c r="I2336" s="17">
        <v>394720</v>
      </c>
      <c r="J2336" s="17">
        <v>4849</v>
      </c>
      <c r="K2336" s="17">
        <v>389871</v>
      </c>
      <c r="L2336" s="17">
        <v>41479.902419999999</v>
      </c>
      <c r="M2336" s="17">
        <v>2024</v>
      </c>
      <c r="N2336" s="17" t="s">
        <v>126</v>
      </c>
    </row>
    <row r="2337" spans="1:14" ht="14.25" customHeight="1">
      <c r="A2337" s="17">
        <v>12336</v>
      </c>
      <c r="B2337" s="18">
        <v>45852</v>
      </c>
      <c r="C2337" s="17" t="s">
        <v>45</v>
      </c>
      <c r="D2337" s="17" t="s">
        <v>170</v>
      </c>
      <c r="E2337" s="17" t="s">
        <v>168</v>
      </c>
      <c r="F2337" s="17" t="s">
        <v>164</v>
      </c>
      <c r="G2337" s="17">
        <v>7</v>
      </c>
      <c r="H2337" s="17">
        <v>5334</v>
      </c>
      <c r="I2337" s="17">
        <v>37338</v>
      </c>
      <c r="J2337" s="17">
        <v>1828</v>
      </c>
      <c r="K2337" s="17">
        <v>35510</v>
      </c>
      <c r="L2337" s="17">
        <v>8633.1084129999999</v>
      </c>
      <c r="M2337" s="17">
        <v>2025</v>
      </c>
      <c r="N2337" s="17" t="s">
        <v>123</v>
      </c>
    </row>
    <row r="2338" spans="1:14" ht="14.25" customHeight="1">
      <c r="A2338" s="17">
        <v>12337</v>
      </c>
      <c r="B2338" s="18">
        <v>45333</v>
      </c>
      <c r="C2338" s="17" t="s">
        <v>50</v>
      </c>
      <c r="D2338" s="17" t="s">
        <v>83</v>
      </c>
      <c r="E2338" s="17" t="s">
        <v>168</v>
      </c>
      <c r="F2338" s="17" t="s">
        <v>172</v>
      </c>
      <c r="G2338" s="17">
        <v>1</v>
      </c>
      <c r="H2338" s="17">
        <v>63217</v>
      </c>
      <c r="I2338" s="17">
        <v>63217</v>
      </c>
      <c r="J2338" s="17">
        <v>1535</v>
      </c>
      <c r="K2338" s="17">
        <v>61682</v>
      </c>
      <c r="L2338" s="17">
        <v>13631.314560000001</v>
      </c>
      <c r="M2338" s="17">
        <v>2024</v>
      </c>
      <c r="N2338" s="17" t="s">
        <v>175</v>
      </c>
    </row>
    <row r="2339" spans="1:14" ht="14.25" customHeight="1">
      <c r="A2339" s="17">
        <v>12338</v>
      </c>
      <c r="B2339" s="18">
        <v>45969</v>
      </c>
      <c r="C2339" s="17" t="s">
        <v>45</v>
      </c>
      <c r="D2339" s="17" t="s">
        <v>83</v>
      </c>
      <c r="E2339" s="17" t="s">
        <v>162</v>
      </c>
      <c r="F2339" s="17" t="s">
        <v>166</v>
      </c>
      <c r="G2339" s="17">
        <v>2</v>
      </c>
      <c r="H2339" s="17">
        <v>30169</v>
      </c>
      <c r="I2339" s="17">
        <v>60338</v>
      </c>
      <c r="J2339" s="17">
        <v>4325</v>
      </c>
      <c r="K2339" s="17">
        <v>56013</v>
      </c>
      <c r="L2339" s="17">
        <v>8145.8658589999995</v>
      </c>
      <c r="M2339" s="17">
        <v>2025</v>
      </c>
      <c r="N2339" s="17" t="s">
        <v>173</v>
      </c>
    </row>
    <row r="2340" spans="1:14" ht="14.25" customHeight="1">
      <c r="A2340" s="17">
        <v>12339</v>
      </c>
      <c r="B2340" s="18">
        <v>45885</v>
      </c>
      <c r="C2340" s="17" t="s">
        <v>167</v>
      </c>
      <c r="D2340" s="17" t="s">
        <v>170</v>
      </c>
      <c r="E2340" s="17" t="s">
        <v>162</v>
      </c>
      <c r="F2340" s="17" t="s">
        <v>166</v>
      </c>
      <c r="G2340" s="17">
        <v>4</v>
      </c>
      <c r="H2340" s="17">
        <v>28452</v>
      </c>
      <c r="I2340" s="17">
        <v>113808</v>
      </c>
      <c r="J2340" s="17">
        <v>559</v>
      </c>
      <c r="K2340" s="17">
        <v>113249</v>
      </c>
      <c r="L2340" s="17">
        <v>13543.860559999999</v>
      </c>
      <c r="M2340" s="17">
        <v>2025</v>
      </c>
      <c r="N2340" s="17" t="s">
        <v>126</v>
      </c>
    </row>
    <row r="2341" spans="1:14" ht="14.25" customHeight="1">
      <c r="A2341" s="17">
        <v>12340</v>
      </c>
      <c r="B2341" s="18">
        <v>45720</v>
      </c>
      <c r="C2341" s="17" t="s">
        <v>45</v>
      </c>
      <c r="D2341" s="17" t="s">
        <v>83</v>
      </c>
      <c r="E2341" s="17" t="s">
        <v>165</v>
      </c>
      <c r="F2341" s="17" t="s">
        <v>163</v>
      </c>
      <c r="G2341" s="17">
        <v>9</v>
      </c>
      <c r="H2341" s="17">
        <v>31254</v>
      </c>
      <c r="I2341" s="17">
        <v>281286</v>
      </c>
      <c r="J2341" s="17">
        <v>1173</v>
      </c>
      <c r="K2341" s="17">
        <v>280113</v>
      </c>
      <c r="L2341" s="17">
        <v>42533.480320000002</v>
      </c>
      <c r="M2341" s="17">
        <v>2025</v>
      </c>
      <c r="N2341" s="17" t="s">
        <v>112</v>
      </c>
    </row>
    <row r="2342" spans="1:14" ht="14.25" customHeight="1">
      <c r="A2342" s="17">
        <v>12341</v>
      </c>
      <c r="B2342" s="18">
        <v>45449</v>
      </c>
      <c r="C2342" s="17" t="s">
        <v>58</v>
      </c>
      <c r="D2342" s="17" t="s">
        <v>83</v>
      </c>
      <c r="E2342" s="17" t="s">
        <v>165</v>
      </c>
      <c r="F2342" s="17" t="s">
        <v>163</v>
      </c>
      <c r="G2342" s="17">
        <v>5</v>
      </c>
      <c r="H2342" s="17">
        <v>74433</v>
      </c>
      <c r="I2342" s="17">
        <v>372165</v>
      </c>
      <c r="J2342" s="17">
        <v>1878</v>
      </c>
      <c r="K2342" s="17">
        <v>370287</v>
      </c>
      <c r="L2342" s="17">
        <v>86699.546919999993</v>
      </c>
      <c r="M2342" s="17">
        <v>2024</v>
      </c>
      <c r="N2342" s="17" t="s">
        <v>120</v>
      </c>
    </row>
    <row r="2343" spans="1:14" ht="14.25" customHeight="1">
      <c r="A2343" s="17">
        <v>12342</v>
      </c>
      <c r="B2343" s="18">
        <v>45507</v>
      </c>
      <c r="C2343" s="17" t="s">
        <v>58</v>
      </c>
      <c r="D2343" s="17" t="s">
        <v>86</v>
      </c>
      <c r="E2343" s="17" t="s">
        <v>165</v>
      </c>
      <c r="F2343" s="17" t="s">
        <v>164</v>
      </c>
      <c r="G2343" s="17">
        <v>5</v>
      </c>
      <c r="H2343" s="17">
        <v>62110</v>
      </c>
      <c r="I2343" s="17">
        <v>310550</v>
      </c>
      <c r="J2343" s="17">
        <v>2255</v>
      </c>
      <c r="K2343" s="17">
        <v>308295</v>
      </c>
      <c r="L2343" s="17">
        <v>36965.353419999999</v>
      </c>
      <c r="M2343" s="17">
        <v>2024</v>
      </c>
      <c r="N2343" s="17" t="s">
        <v>126</v>
      </c>
    </row>
    <row r="2344" spans="1:14" ht="14.25" customHeight="1">
      <c r="A2344" s="17">
        <v>12343</v>
      </c>
      <c r="B2344" s="18">
        <v>45961</v>
      </c>
      <c r="C2344" s="17" t="s">
        <v>45</v>
      </c>
      <c r="D2344" s="17" t="s">
        <v>111</v>
      </c>
      <c r="E2344" s="17" t="s">
        <v>165</v>
      </c>
      <c r="F2344" s="17" t="s">
        <v>163</v>
      </c>
      <c r="G2344" s="17">
        <v>9</v>
      </c>
      <c r="H2344" s="17">
        <v>62253</v>
      </c>
      <c r="I2344" s="17">
        <v>560277</v>
      </c>
      <c r="J2344" s="17">
        <v>1084</v>
      </c>
      <c r="K2344" s="17">
        <v>559193</v>
      </c>
      <c r="L2344" s="17">
        <v>85219.651419999995</v>
      </c>
      <c r="M2344" s="17">
        <v>2025</v>
      </c>
      <c r="N2344" s="17" t="s">
        <v>174</v>
      </c>
    </row>
    <row r="2345" spans="1:14" ht="14.25" customHeight="1">
      <c r="A2345" s="17">
        <v>12344</v>
      </c>
      <c r="B2345" s="18">
        <v>45753</v>
      </c>
      <c r="C2345" s="17" t="s">
        <v>58</v>
      </c>
      <c r="D2345" s="17" t="s">
        <v>111</v>
      </c>
      <c r="E2345" s="17" t="s">
        <v>165</v>
      </c>
      <c r="F2345" s="17" t="s">
        <v>164</v>
      </c>
      <c r="G2345" s="17">
        <v>8</v>
      </c>
      <c r="H2345" s="17">
        <v>75184</v>
      </c>
      <c r="I2345" s="17">
        <v>601472</v>
      </c>
      <c r="J2345" s="17">
        <v>3914</v>
      </c>
      <c r="K2345" s="17">
        <v>597558</v>
      </c>
      <c r="L2345" s="17">
        <v>104062.1345</v>
      </c>
      <c r="M2345" s="17">
        <v>2025</v>
      </c>
      <c r="N2345" s="17" t="s">
        <v>114</v>
      </c>
    </row>
    <row r="2346" spans="1:14" ht="14.25" customHeight="1">
      <c r="A2346" s="17">
        <v>12345</v>
      </c>
      <c r="B2346" s="18">
        <v>45425</v>
      </c>
      <c r="C2346" s="17" t="s">
        <v>58</v>
      </c>
      <c r="D2346" s="17" t="s">
        <v>111</v>
      </c>
      <c r="E2346" s="17" t="s">
        <v>162</v>
      </c>
      <c r="F2346" s="17" t="s">
        <v>163</v>
      </c>
      <c r="G2346" s="17">
        <v>2</v>
      </c>
      <c r="H2346" s="17">
        <v>24970</v>
      </c>
      <c r="I2346" s="17">
        <v>49940</v>
      </c>
      <c r="J2346" s="17">
        <v>238</v>
      </c>
      <c r="K2346" s="17">
        <v>49702</v>
      </c>
      <c r="L2346" s="17">
        <v>5215.3624470000004</v>
      </c>
      <c r="M2346" s="17">
        <v>2024</v>
      </c>
      <c r="N2346" s="17" t="s">
        <v>117</v>
      </c>
    </row>
    <row r="2347" spans="1:14" ht="14.25" customHeight="1">
      <c r="A2347" s="17">
        <v>12346</v>
      </c>
      <c r="B2347" s="18">
        <v>45358</v>
      </c>
      <c r="C2347" s="17" t="s">
        <v>167</v>
      </c>
      <c r="D2347" s="17" t="s">
        <v>89</v>
      </c>
      <c r="E2347" s="17" t="s">
        <v>165</v>
      </c>
      <c r="F2347" s="17" t="s">
        <v>166</v>
      </c>
      <c r="G2347" s="17">
        <v>7</v>
      </c>
      <c r="H2347" s="17">
        <v>8794</v>
      </c>
      <c r="I2347" s="17">
        <v>61558</v>
      </c>
      <c r="J2347" s="17">
        <v>2914</v>
      </c>
      <c r="K2347" s="17">
        <v>58644</v>
      </c>
      <c r="L2347" s="17">
        <v>8222.1853570000003</v>
      </c>
      <c r="M2347" s="17">
        <v>2024</v>
      </c>
      <c r="N2347" s="17" t="s">
        <v>112</v>
      </c>
    </row>
    <row r="2348" spans="1:14" ht="14.25" customHeight="1">
      <c r="A2348" s="17">
        <v>12347</v>
      </c>
      <c r="B2348" s="18">
        <v>45298</v>
      </c>
      <c r="C2348" s="17" t="s">
        <v>50</v>
      </c>
      <c r="D2348" s="17" t="s">
        <v>86</v>
      </c>
      <c r="E2348" s="17" t="s">
        <v>162</v>
      </c>
      <c r="F2348" s="17" t="s">
        <v>166</v>
      </c>
      <c r="G2348" s="17">
        <v>1</v>
      </c>
      <c r="H2348" s="17">
        <v>34184</v>
      </c>
      <c r="I2348" s="17">
        <v>34184</v>
      </c>
      <c r="J2348" s="17">
        <v>2095</v>
      </c>
      <c r="K2348" s="17">
        <v>32089</v>
      </c>
      <c r="L2348" s="17">
        <v>6075.8944019999999</v>
      </c>
      <c r="M2348" s="17">
        <v>2024</v>
      </c>
      <c r="N2348" s="17" t="s">
        <v>171</v>
      </c>
    </row>
    <row r="2349" spans="1:14" ht="14.25" customHeight="1">
      <c r="A2349" s="17">
        <v>12348</v>
      </c>
      <c r="B2349" s="18">
        <v>45817</v>
      </c>
      <c r="C2349" s="17" t="s">
        <v>167</v>
      </c>
      <c r="D2349" s="17" t="s">
        <v>111</v>
      </c>
      <c r="E2349" s="17" t="s">
        <v>165</v>
      </c>
      <c r="F2349" s="17" t="s">
        <v>166</v>
      </c>
      <c r="G2349" s="17">
        <v>9</v>
      </c>
      <c r="H2349" s="17">
        <v>43365</v>
      </c>
      <c r="I2349" s="17">
        <v>390285</v>
      </c>
      <c r="J2349" s="17">
        <v>1471</v>
      </c>
      <c r="K2349" s="17">
        <v>388814</v>
      </c>
      <c r="L2349" s="17">
        <v>57775.6947</v>
      </c>
      <c r="M2349" s="17">
        <v>2025</v>
      </c>
      <c r="N2349" s="17" t="s">
        <v>120</v>
      </c>
    </row>
    <row r="2350" spans="1:14" ht="14.25" customHeight="1">
      <c r="A2350" s="17">
        <v>12349</v>
      </c>
      <c r="B2350" s="18">
        <v>45364</v>
      </c>
      <c r="C2350" s="17" t="s">
        <v>39</v>
      </c>
      <c r="D2350" s="17" t="s">
        <v>111</v>
      </c>
      <c r="E2350" s="17" t="s">
        <v>168</v>
      </c>
      <c r="F2350" s="17" t="s">
        <v>166</v>
      </c>
      <c r="G2350" s="17">
        <v>3</v>
      </c>
      <c r="H2350" s="17">
        <v>36217</v>
      </c>
      <c r="I2350" s="17">
        <v>108651</v>
      </c>
      <c r="J2350" s="17">
        <v>2045</v>
      </c>
      <c r="K2350" s="17">
        <v>106606</v>
      </c>
      <c r="L2350" s="17">
        <v>24581.08526</v>
      </c>
      <c r="M2350" s="17">
        <v>2024</v>
      </c>
      <c r="N2350" s="17" t="s">
        <v>112</v>
      </c>
    </row>
    <row r="2351" spans="1:14" ht="14.25" customHeight="1">
      <c r="A2351" s="17">
        <v>12350</v>
      </c>
      <c r="B2351" s="18">
        <v>45690</v>
      </c>
      <c r="C2351" s="17" t="s">
        <v>167</v>
      </c>
      <c r="D2351" s="17" t="s">
        <v>86</v>
      </c>
      <c r="E2351" s="17" t="s">
        <v>165</v>
      </c>
      <c r="F2351" s="17" t="s">
        <v>164</v>
      </c>
      <c r="G2351" s="17">
        <v>2</v>
      </c>
      <c r="H2351" s="17">
        <v>10051</v>
      </c>
      <c r="I2351" s="17">
        <v>20102</v>
      </c>
      <c r="J2351" s="17">
        <v>4612</v>
      </c>
      <c r="K2351" s="17">
        <v>15490</v>
      </c>
      <c r="L2351" s="17">
        <v>3725.5744500000001</v>
      </c>
      <c r="M2351" s="17">
        <v>2025</v>
      </c>
      <c r="N2351" s="17" t="s">
        <v>175</v>
      </c>
    </row>
    <row r="2352" spans="1:14" ht="14.25" customHeight="1">
      <c r="A2352" s="17">
        <v>12351</v>
      </c>
      <c r="B2352" s="18">
        <v>45696</v>
      </c>
      <c r="C2352" s="17" t="s">
        <v>45</v>
      </c>
      <c r="D2352" s="17" t="s">
        <v>83</v>
      </c>
      <c r="E2352" s="17" t="s">
        <v>168</v>
      </c>
      <c r="F2352" s="17" t="s">
        <v>164</v>
      </c>
      <c r="G2352" s="17">
        <v>4</v>
      </c>
      <c r="H2352" s="17">
        <v>75080</v>
      </c>
      <c r="I2352" s="17">
        <v>300320</v>
      </c>
      <c r="J2352" s="17">
        <v>3683</v>
      </c>
      <c r="K2352" s="17">
        <v>296637</v>
      </c>
      <c r="L2352" s="17">
        <v>49310.392650000002</v>
      </c>
      <c r="M2352" s="17">
        <v>2025</v>
      </c>
      <c r="N2352" s="17" t="s">
        <v>175</v>
      </c>
    </row>
    <row r="2353" spans="1:14" ht="14.25" customHeight="1">
      <c r="A2353" s="17">
        <v>12352</v>
      </c>
      <c r="B2353" s="18">
        <v>45966</v>
      </c>
      <c r="C2353" s="17" t="s">
        <v>50</v>
      </c>
      <c r="D2353" s="17" t="s">
        <v>111</v>
      </c>
      <c r="E2353" s="17" t="s">
        <v>162</v>
      </c>
      <c r="F2353" s="17" t="s">
        <v>164</v>
      </c>
      <c r="G2353" s="17">
        <v>4</v>
      </c>
      <c r="H2353" s="17">
        <v>17875</v>
      </c>
      <c r="I2353" s="17">
        <v>71500</v>
      </c>
      <c r="J2353" s="17">
        <v>204</v>
      </c>
      <c r="K2353" s="17">
        <v>71296</v>
      </c>
      <c r="L2353" s="17">
        <v>12819.23977</v>
      </c>
      <c r="M2353" s="17">
        <v>2025</v>
      </c>
      <c r="N2353" s="17" t="s">
        <v>173</v>
      </c>
    </row>
    <row r="2354" spans="1:14" ht="14.25" customHeight="1">
      <c r="A2354" s="17">
        <v>12353</v>
      </c>
      <c r="B2354" s="18">
        <v>45869</v>
      </c>
      <c r="C2354" s="17" t="s">
        <v>45</v>
      </c>
      <c r="D2354" s="17" t="s">
        <v>83</v>
      </c>
      <c r="E2354" s="17" t="s">
        <v>165</v>
      </c>
      <c r="F2354" s="17" t="s">
        <v>166</v>
      </c>
      <c r="G2354" s="17">
        <v>3</v>
      </c>
      <c r="H2354" s="17">
        <v>74891</v>
      </c>
      <c r="I2354" s="17">
        <v>224673</v>
      </c>
      <c r="J2354" s="17">
        <v>3600</v>
      </c>
      <c r="K2354" s="17">
        <v>221073</v>
      </c>
      <c r="L2354" s="17">
        <v>43025.501450000003</v>
      </c>
      <c r="M2354" s="17">
        <v>2025</v>
      </c>
      <c r="N2354" s="17" t="s">
        <v>123</v>
      </c>
    </row>
    <row r="2355" spans="1:14" ht="14.25" customHeight="1">
      <c r="A2355" s="17">
        <v>12354</v>
      </c>
      <c r="B2355" s="18">
        <v>45421</v>
      </c>
      <c r="C2355" s="17" t="s">
        <v>39</v>
      </c>
      <c r="D2355" s="17" t="s">
        <v>111</v>
      </c>
      <c r="E2355" s="17" t="s">
        <v>162</v>
      </c>
      <c r="F2355" s="17" t="s">
        <v>172</v>
      </c>
      <c r="G2355" s="17">
        <v>2</v>
      </c>
      <c r="H2355" s="17">
        <v>24992</v>
      </c>
      <c r="I2355" s="17">
        <v>49984</v>
      </c>
      <c r="J2355" s="17">
        <v>2137</v>
      </c>
      <c r="K2355" s="17">
        <v>47847</v>
      </c>
      <c r="L2355" s="17">
        <v>9554.1006780000007</v>
      </c>
      <c r="M2355" s="17">
        <v>2024</v>
      </c>
      <c r="N2355" s="17" t="s">
        <v>117</v>
      </c>
    </row>
    <row r="2356" spans="1:14" ht="14.25" customHeight="1">
      <c r="A2356" s="17">
        <v>12355</v>
      </c>
      <c r="B2356" s="18">
        <v>45757</v>
      </c>
      <c r="C2356" s="17" t="s">
        <v>50</v>
      </c>
      <c r="D2356" s="17" t="s">
        <v>170</v>
      </c>
      <c r="E2356" s="17" t="s">
        <v>165</v>
      </c>
      <c r="F2356" s="17" t="s">
        <v>166</v>
      </c>
      <c r="G2356" s="17">
        <v>5</v>
      </c>
      <c r="H2356" s="17">
        <v>56662</v>
      </c>
      <c r="I2356" s="17">
        <v>283310</v>
      </c>
      <c r="J2356" s="17">
        <v>1213</v>
      </c>
      <c r="K2356" s="17">
        <v>282097</v>
      </c>
      <c r="L2356" s="17">
        <v>30886.43145</v>
      </c>
      <c r="M2356" s="17">
        <v>2025</v>
      </c>
      <c r="N2356" s="17" t="s">
        <v>114</v>
      </c>
    </row>
    <row r="2357" spans="1:14" ht="14.25" customHeight="1">
      <c r="A2357" s="17">
        <v>12356</v>
      </c>
      <c r="B2357" s="18">
        <v>45497</v>
      </c>
      <c r="C2357" s="17" t="s">
        <v>58</v>
      </c>
      <c r="D2357" s="17" t="s">
        <v>89</v>
      </c>
      <c r="E2357" s="17" t="s">
        <v>162</v>
      </c>
      <c r="F2357" s="17" t="s">
        <v>166</v>
      </c>
      <c r="G2357" s="17">
        <v>4</v>
      </c>
      <c r="H2357" s="17">
        <v>63475</v>
      </c>
      <c r="I2357" s="17">
        <v>253900</v>
      </c>
      <c r="J2357" s="17">
        <v>3834</v>
      </c>
      <c r="K2357" s="17">
        <v>250066</v>
      </c>
      <c r="L2357" s="17">
        <v>27020.110059999999</v>
      </c>
      <c r="M2357" s="17">
        <v>2024</v>
      </c>
      <c r="N2357" s="17" t="s">
        <v>123</v>
      </c>
    </row>
    <row r="2358" spans="1:14" ht="14.25" customHeight="1">
      <c r="A2358" s="17">
        <v>12357</v>
      </c>
      <c r="B2358" s="18">
        <v>45557</v>
      </c>
      <c r="C2358" s="17" t="s">
        <v>167</v>
      </c>
      <c r="D2358" s="17" t="s">
        <v>111</v>
      </c>
      <c r="E2358" s="17" t="s">
        <v>165</v>
      </c>
      <c r="F2358" s="17" t="s">
        <v>172</v>
      </c>
      <c r="G2358" s="17">
        <v>5</v>
      </c>
      <c r="H2358" s="17">
        <v>36074</v>
      </c>
      <c r="I2358" s="17">
        <v>180370</v>
      </c>
      <c r="J2358" s="17">
        <v>3091</v>
      </c>
      <c r="K2358" s="17">
        <v>177279</v>
      </c>
      <c r="L2358" s="17">
        <v>40745.477599999998</v>
      </c>
      <c r="M2358" s="17">
        <v>2024</v>
      </c>
      <c r="N2358" s="17" t="s">
        <v>129</v>
      </c>
    </row>
    <row r="2359" spans="1:14" ht="14.25" customHeight="1">
      <c r="A2359" s="17">
        <v>12358</v>
      </c>
      <c r="B2359" s="18">
        <v>45828</v>
      </c>
      <c r="C2359" s="17" t="s">
        <v>45</v>
      </c>
      <c r="D2359" s="17" t="s">
        <v>170</v>
      </c>
      <c r="E2359" s="17" t="s">
        <v>165</v>
      </c>
      <c r="F2359" s="17" t="s">
        <v>172</v>
      </c>
      <c r="G2359" s="17">
        <v>8</v>
      </c>
      <c r="H2359" s="17">
        <v>73052</v>
      </c>
      <c r="I2359" s="17">
        <v>584416</v>
      </c>
      <c r="J2359" s="17">
        <v>1382</v>
      </c>
      <c r="K2359" s="17">
        <v>583034</v>
      </c>
      <c r="L2359" s="17">
        <v>77532.331839999999</v>
      </c>
      <c r="M2359" s="17">
        <v>2025</v>
      </c>
      <c r="N2359" s="17" t="s">
        <v>120</v>
      </c>
    </row>
    <row r="2360" spans="1:14" ht="14.25" customHeight="1">
      <c r="A2360" s="17">
        <v>12359</v>
      </c>
      <c r="B2360" s="18">
        <v>45544</v>
      </c>
      <c r="C2360" s="17" t="s">
        <v>39</v>
      </c>
      <c r="D2360" s="17" t="s">
        <v>86</v>
      </c>
      <c r="E2360" s="17" t="s">
        <v>168</v>
      </c>
      <c r="F2360" s="17" t="s">
        <v>163</v>
      </c>
      <c r="G2360" s="17">
        <v>2</v>
      </c>
      <c r="H2360" s="17">
        <v>27622</v>
      </c>
      <c r="I2360" s="17">
        <v>55244</v>
      </c>
      <c r="J2360" s="17">
        <v>3680</v>
      </c>
      <c r="K2360" s="17">
        <v>51564</v>
      </c>
      <c r="L2360" s="17">
        <v>9674.2224229999993</v>
      </c>
      <c r="M2360" s="17">
        <v>2024</v>
      </c>
      <c r="N2360" s="17" t="s">
        <v>129</v>
      </c>
    </row>
    <row r="2361" spans="1:14" ht="14.25" customHeight="1">
      <c r="A2361" s="17">
        <v>12360</v>
      </c>
      <c r="B2361" s="18">
        <v>45580</v>
      </c>
      <c r="C2361" s="17" t="s">
        <v>58</v>
      </c>
      <c r="D2361" s="17" t="s">
        <v>170</v>
      </c>
      <c r="E2361" s="17" t="s">
        <v>162</v>
      </c>
      <c r="F2361" s="17" t="s">
        <v>166</v>
      </c>
      <c r="G2361" s="17">
        <v>9</v>
      </c>
      <c r="H2361" s="17">
        <v>72015</v>
      </c>
      <c r="I2361" s="17">
        <v>648135</v>
      </c>
      <c r="J2361" s="17">
        <v>1679</v>
      </c>
      <c r="K2361" s="17">
        <v>646456</v>
      </c>
      <c r="L2361" s="17">
        <v>125219.0264</v>
      </c>
      <c r="M2361" s="17">
        <v>2024</v>
      </c>
      <c r="N2361" s="17" t="s">
        <v>174</v>
      </c>
    </row>
    <row r="2362" spans="1:14" ht="14.25" customHeight="1">
      <c r="A2362" s="17">
        <v>12361</v>
      </c>
      <c r="B2362" s="18">
        <v>45455</v>
      </c>
      <c r="C2362" s="17" t="s">
        <v>167</v>
      </c>
      <c r="D2362" s="17" t="s">
        <v>86</v>
      </c>
      <c r="E2362" s="17" t="s">
        <v>162</v>
      </c>
      <c r="F2362" s="17" t="s">
        <v>172</v>
      </c>
      <c r="G2362" s="17">
        <v>1</v>
      </c>
      <c r="H2362" s="17">
        <v>45982</v>
      </c>
      <c r="I2362" s="17">
        <v>45982</v>
      </c>
      <c r="J2362" s="17">
        <v>6</v>
      </c>
      <c r="K2362" s="17">
        <v>45976</v>
      </c>
      <c r="L2362" s="17">
        <v>5731.8114429999996</v>
      </c>
      <c r="M2362" s="17">
        <v>2024</v>
      </c>
      <c r="N2362" s="17" t="s">
        <v>120</v>
      </c>
    </row>
    <row r="2363" spans="1:14" ht="14.25" customHeight="1">
      <c r="A2363" s="17">
        <v>12362</v>
      </c>
      <c r="B2363" s="18">
        <v>45386</v>
      </c>
      <c r="C2363" s="17" t="s">
        <v>58</v>
      </c>
      <c r="D2363" s="17" t="s">
        <v>111</v>
      </c>
      <c r="E2363" s="17" t="s">
        <v>162</v>
      </c>
      <c r="F2363" s="17" t="s">
        <v>163</v>
      </c>
      <c r="G2363" s="17">
        <v>8</v>
      </c>
      <c r="H2363" s="17">
        <v>64069</v>
      </c>
      <c r="I2363" s="17">
        <v>512552</v>
      </c>
      <c r="J2363" s="17">
        <v>1885</v>
      </c>
      <c r="K2363" s="17">
        <v>510667</v>
      </c>
      <c r="L2363" s="17">
        <v>109405.03969999999</v>
      </c>
      <c r="M2363" s="17">
        <v>2024</v>
      </c>
      <c r="N2363" s="17" t="s">
        <v>114</v>
      </c>
    </row>
    <row r="2364" spans="1:14" ht="14.25" customHeight="1">
      <c r="A2364" s="17">
        <v>12363</v>
      </c>
      <c r="B2364" s="18">
        <v>45401</v>
      </c>
      <c r="C2364" s="17" t="s">
        <v>167</v>
      </c>
      <c r="D2364" s="17" t="s">
        <v>86</v>
      </c>
      <c r="E2364" s="17" t="s">
        <v>162</v>
      </c>
      <c r="F2364" s="17" t="s">
        <v>172</v>
      </c>
      <c r="G2364" s="17">
        <v>5</v>
      </c>
      <c r="H2364" s="17">
        <v>50078</v>
      </c>
      <c r="I2364" s="17">
        <v>250390</v>
      </c>
      <c r="J2364" s="17">
        <v>3498</v>
      </c>
      <c r="K2364" s="17">
        <v>246892</v>
      </c>
      <c r="L2364" s="17">
        <v>56758.456839999999</v>
      </c>
      <c r="M2364" s="17">
        <v>2024</v>
      </c>
      <c r="N2364" s="17" t="s">
        <v>114</v>
      </c>
    </row>
    <row r="2365" spans="1:14" ht="14.25" customHeight="1">
      <c r="A2365" s="17">
        <v>12364</v>
      </c>
      <c r="B2365" s="18">
        <v>45627</v>
      </c>
      <c r="C2365" s="17" t="s">
        <v>50</v>
      </c>
      <c r="D2365" s="17" t="s">
        <v>170</v>
      </c>
      <c r="E2365" s="17" t="s">
        <v>162</v>
      </c>
      <c r="F2365" s="17" t="s">
        <v>172</v>
      </c>
      <c r="G2365" s="17">
        <v>2</v>
      </c>
      <c r="H2365" s="17">
        <v>55873</v>
      </c>
      <c r="I2365" s="17">
        <v>111746</v>
      </c>
      <c r="J2365" s="17">
        <v>295</v>
      </c>
      <c r="K2365" s="17">
        <v>111451</v>
      </c>
      <c r="L2365" s="17">
        <v>15915.94419</v>
      </c>
      <c r="M2365" s="17">
        <v>2024</v>
      </c>
      <c r="N2365" s="17" t="s">
        <v>169</v>
      </c>
    </row>
    <row r="2366" spans="1:14" ht="14.25" customHeight="1">
      <c r="A2366" s="17">
        <v>12365</v>
      </c>
      <c r="B2366" s="18">
        <v>45529</v>
      </c>
      <c r="C2366" s="17" t="s">
        <v>58</v>
      </c>
      <c r="D2366" s="17" t="s">
        <v>89</v>
      </c>
      <c r="E2366" s="17" t="s">
        <v>168</v>
      </c>
      <c r="F2366" s="17" t="s">
        <v>163</v>
      </c>
      <c r="G2366" s="17">
        <v>8</v>
      </c>
      <c r="H2366" s="17">
        <v>68798</v>
      </c>
      <c r="I2366" s="17">
        <v>550384</v>
      </c>
      <c r="J2366" s="17">
        <v>263</v>
      </c>
      <c r="K2366" s="17">
        <v>550121</v>
      </c>
      <c r="L2366" s="17">
        <v>127449.8477</v>
      </c>
      <c r="M2366" s="17">
        <v>2024</v>
      </c>
      <c r="N2366" s="17" t="s">
        <v>126</v>
      </c>
    </row>
    <row r="2367" spans="1:14" ht="14.25" customHeight="1">
      <c r="A2367" s="17">
        <v>12366</v>
      </c>
      <c r="B2367" s="18">
        <v>45672</v>
      </c>
      <c r="C2367" s="17" t="s">
        <v>58</v>
      </c>
      <c r="D2367" s="17" t="s">
        <v>83</v>
      </c>
      <c r="E2367" s="17" t="s">
        <v>165</v>
      </c>
      <c r="F2367" s="17" t="s">
        <v>166</v>
      </c>
      <c r="G2367" s="17">
        <v>5</v>
      </c>
      <c r="H2367" s="17">
        <v>63784</v>
      </c>
      <c r="I2367" s="17">
        <v>318920</v>
      </c>
      <c r="J2367" s="17">
        <v>2137</v>
      </c>
      <c r="K2367" s="17">
        <v>316783</v>
      </c>
      <c r="L2367" s="17">
        <v>35528.979610000002</v>
      </c>
      <c r="M2367" s="17">
        <v>2025</v>
      </c>
      <c r="N2367" s="17" t="s">
        <v>171</v>
      </c>
    </row>
    <row r="2368" spans="1:14" ht="14.25" customHeight="1">
      <c r="A2368" s="17">
        <v>12367</v>
      </c>
      <c r="B2368" s="18">
        <v>45727</v>
      </c>
      <c r="C2368" s="17" t="s">
        <v>58</v>
      </c>
      <c r="D2368" s="17" t="s">
        <v>83</v>
      </c>
      <c r="E2368" s="17" t="s">
        <v>168</v>
      </c>
      <c r="F2368" s="17" t="s">
        <v>163</v>
      </c>
      <c r="G2368" s="17">
        <v>3</v>
      </c>
      <c r="H2368" s="17">
        <v>26836</v>
      </c>
      <c r="I2368" s="17">
        <v>80508</v>
      </c>
      <c r="J2368" s="17">
        <v>4948</v>
      </c>
      <c r="K2368" s="17">
        <v>75560</v>
      </c>
      <c r="L2368" s="17">
        <v>16628.458139999999</v>
      </c>
      <c r="M2368" s="17">
        <v>2025</v>
      </c>
      <c r="N2368" s="17" t="s">
        <v>112</v>
      </c>
    </row>
    <row r="2369" spans="1:14" ht="14.25" customHeight="1">
      <c r="A2369" s="17">
        <v>12368</v>
      </c>
      <c r="B2369" s="18">
        <v>45774</v>
      </c>
      <c r="C2369" s="17" t="s">
        <v>50</v>
      </c>
      <c r="D2369" s="17" t="s">
        <v>89</v>
      </c>
      <c r="E2369" s="17" t="s">
        <v>162</v>
      </c>
      <c r="F2369" s="17" t="s">
        <v>166</v>
      </c>
      <c r="G2369" s="17">
        <v>7</v>
      </c>
      <c r="H2369" s="17">
        <v>73083</v>
      </c>
      <c r="I2369" s="17">
        <v>511581</v>
      </c>
      <c r="J2369" s="17">
        <v>3865</v>
      </c>
      <c r="K2369" s="17">
        <v>507716</v>
      </c>
      <c r="L2369" s="17">
        <v>99520.801730000007</v>
      </c>
      <c r="M2369" s="17">
        <v>2025</v>
      </c>
      <c r="N2369" s="17" t="s">
        <v>114</v>
      </c>
    </row>
    <row r="2370" spans="1:14" ht="14.25" customHeight="1">
      <c r="A2370" s="17">
        <v>12369</v>
      </c>
      <c r="B2370" s="18">
        <v>45316</v>
      </c>
      <c r="C2370" s="17" t="s">
        <v>39</v>
      </c>
      <c r="D2370" s="17" t="s">
        <v>83</v>
      </c>
      <c r="E2370" s="17" t="s">
        <v>162</v>
      </c>
      <c r="F2370" s="17" t="s">
        <v>172</v>
      </c>
      <c r="G2370" s="17">
        <v>4</v>
      </c>
      <c r="H2370" s="17">
        <v>33130</v>
      </c>
      <c r="I2370" s="17">
        <v>132520</v>
      </c>
      <c r="J2370" s="17">
        <v>4496</v>
      </c>
      <c r="K2370" s="17">
        <v>128024</v>
      </c>
      <c r="L2370" s="17">
        <v>24000.226360000001</v>
      </c>
      <c r="M2370" s="17">
        <v>2024</v>
      </c>
      <c r="N2370" s="17" t="s">
        <v>171</v>
      </c>
    </row>
    <row r="2371" spans="1:14" ht="14.25" customHeight="1">
      <c r="A2371" s="17">
        <v>12370</v>
      </c>
      <c r="B2371" s="18">
        <v>45944</v>
      </c>
      <c r="C2371" s="17" t="s">
        <v>167</v>
      </c>
      <c r="D2371" s="17" t="s">
        <v>111</v>
      </c>
      <c r="E2371" s="17" t="s">
        <v>165</v>
      </c>
      <c r="F2371" s="17" t="s">
        <v>163</v>
      </c>
      <c r="G2371" s="17">
        <v>6</v>
      </c>
      <c r="H2371" s="17">
        <v>53975</v>
      </c>
      <c r="I2371" s="17">
        <v>323850</v>
      </c>
      <c r="J2371" s="17">
        <v>4452</v>
      </c>
      <c r="K2371" s="17">
        <v>319398</v>
      </c>
      <c r="L2371" s="17">
        <v>42965.390760000002</v>
      </c>
      <c r="M2371" s="17">
        <v>2025</v>
      </c>
      <c r="N2371" s="17" t="s">
        <v>174</v>
      </c>
    </row>
    <row r="2372" spans="1:14" ht="14.25" customHeight="1">
      <c r="A2372" s="17">
        <v>12371</v>
      </c>
      <c r="B2372" s="18">
        <v>45408</v>
      </c>
      <c r="C2372" s="17" t="s">
        <v>58</v>
      </c>
      <c r="D2372" s="17" t="s">
        <v>111</v>
      </c>
      <c r="E2372" s="17" t="s">
        <v>168</v>
      </c>
      <c r="F2372" s="17" t="s">
        <v>164</v>
      </c>
      <c r="G2372" s="17">
        <v>8</v>
      </c>
      <c r="H2372" s="17">
        <v>70995</v>
      </c>
      <c r="I2372" s="17">
        <v>567960</v>
      </c>
      <c r="J2372" s="17">
        <v>2546</v>
      </c>
      <c r="K2372" s="17">
        <v>565414</v>
      </c>
      <c r="L2372" s="17">
        <v>87229.963159999999</v>
      </c>
      <c r="M2372" s="17">
        <v>2024</v>
      </c>
      <c r="N2372" s="17" t="s">
        <v>114</v>
      </c>
    </row>
    <row r="2373" spans="1:14" ht="14.25" customHeight="1">
      <c r="A2373" s="17">
        <v>12372</v>
      </c>
      <c r="B2373" s="18">
        <v>45773</v>
      </c>
      <c r="C2373" s="17" t="s">
        <v>50</v>
      </c>
      <c r="D2373" s="17" t="s">
        <v>170</v>
      </c>
      <c r="E2373" s="17" t="s">
        <v>165</v>
      </c>
      <c r="F2373" s="17" t="s">
        <v>172</v>
      </c>
      <c r="G2373" s="17">
        <v>1</v>
      </c>
      <c r="H2373" s="17">
        <v>72772</v>
      </c>
      <c r="I2373" s="17">
        <v>72772</v>
      </c>
      <c r="J2373" s="17">
        <v>4929</v>
      </c>
      <c r="K2373" s="17">
        <v>67843</v>
      </c>
      <c r="L2373" s="17">
        <v>16047.967049999999</v>
      </c>
      <c r="M2373" s="17">
        <v>2025</v>
      </c>
      <c r="N2373" s="17" t="s">
        <v>114</v>
      </c>
    </row>
    <row r="2374" spans="1:14" ht="14.25" customHeight="1">
      <c r="A2374" s="17">
        <v>12373</v>
      </c>
      <c r="B2374" s="18">
        <v>45683</v>
      </c>
      <c r="C2374" s="17" t="s">
        <v>39</v>
      </c>
      <c r="D2374" s="17" t="s">
        <v>170</v>
      </c>
      <c r="E2374" s="17" t="s">
        <v>165</v>
      </c>
      <c r="F2374" s="17" t="s">
        <v>163</v>
      </c>
      <c r="G2374" s="17">
        <v>2</v>
      </c>
      <c r="H2374" s="17">
        <v>25830</v>
      </c>
      <c r="I2374" s="17">
        <v>51660</v>
      </c>
      <c r="J2374" s="17">
        <v>4530</v>
      </c>
      <c r="K2374" s="17">
        <v>47130</v>
      </c>
      <c r="L2374" s="17">
        <v>8005.5566099999996</v>
      </c>
      <c r="M2374" s="17">
        <v>2025</v>
      </c>
      <c r="N2374" s="17" t="s">
        <v>171</v>
      </c>
    </row>
    <row r="2375" spans="1:14" ht="14.25" customHeight="1">
      <c r="A2375" s="17">
        <v>12374</v>
      </c>
      <c r="B2375" s="18">
        <v>45828</v>
      </c>
      <c r="C2375" s="17" t="s">
        <v>167</v>
      </c>
      <c r="D2375" s="17" t="s">
        <v>86</v>
      </c>
      <c r="E2375" s="17" t="s">
        <v>168</v>
      </c>
      <c r="F2375" s="17" t="s">
        <v>172</v>
      </c>
      <c r="G2375" s="17">
        <v>8</v>
      </c>
      <c r="H2375" s="17">
        <v>71116</v>
      </c>
      <c r="I2375" s="17">
        <v>568928</v>
      </c>
      <c r="J2375" s="17">
        <v>118</v>
      </c>
      <c r="K2375" s="17">
        <v>568810</v>
      </c>
      <c r="L2375" s="17">
        <v>107594.4004</v>
      </c>
      <c r="M2375" s="17">
        <v>2025</v>
      </c>
      <c r="N2375" s="17" t="s">
        <v>120</v>
      </c>
    </row>
    <row r="2376" spans="1:14" ht="14.25" customHeight="1">
      <c r="A2376" s="17">
        <v>12375</v>
      </c>
      <c r="B2376" s="18">
        <v>45370</v>
      </c>
      <c r="C2376" s="17" t="s">
        <v>50</v>
      </c>
      <c r="D2376" s="17" t="s">
        <v>170</v>
      </c>
      <c r="E2376" s="17" t="s">
        <v>165</v>
      </c>
      <c r="F2376" s="17" t="s">
        <v>163</v>
      </c>
      <c r="G2376" s="17">
        <v>7</v>
      </c>
      <c r="H2376" s="17">
        <v>19439</v>
      </c>
      <c r="I2376" s="17">
        <v>136073</v>
      </c>
      <c r="J2376" s="17">
        <v>2395</v>
      </c>
      <c r="K2376" s="17">
        <v>133678</v>
      </c>
      <c r="L2376" s="17">
        <v>32133.214179999999</v>
      </c>
      <c r="M2376" s="17">
        <v>2024</v>
      </c>
      <c r="N2376" s="17" t="s">
        <v>112</v>
      </c>
    </row>
    <row r="2377" spans="1:14" ht="14.25" customHeight="1">
      <c r="A2377" s="17">
        <v>12376</v>
      </c>
      <c r="B2377" s="18">
        <v>45871</v>
      </c>
      <c r="C2377" s="17" t="s">
        <v>167</v>
      </c>
      <c r="D2377" s="17" t="s">
        <v>111</v>
      </c>
      <c r="E2377" s="17" t="s">
        <v>168</v>
      </c>
      <c r="F2377" s="17" t="s">
        <v>166</v>
      </c>
      <c r="G2377" s="17">
        <v>9</v>
      </c>
      <c r="H2377" s="17">
        <v>9715</v>
      </c>
      <c r="I2377" s="17">
        <v>87435</v>
      </c>
      <c r="J2377" s="17">
        <v>3367</v>
      </c>
      <c r="K2377" s="17">
        <v>84068</v>
      </c>
      <c r="L2377" s="17">
        <v>14289.312529999999</v>
      </c>
      <c r="M2377" s="17">
        <v>2025</v>
      </c>
      <c r="N2377" s="17" t="s">
        <v>126</v>
      </c>
    </row>
    <row r="2378" spans="1:14" ht="14.25" customHeight="1">
      <c r="A2378" s="17">
        <v>12377</v>
      </c>
      <c r="B2378" s="18">
        <v>45464</v>
      </c>
      <c r="C2378" s="17" t="s">
        <v>58</v>
      </c>
      <c r="D2378" s="17" t="s">
        <v>170</v>
      </c>
      <c r="E2378" s="17" t="s">
        <v>168</v>
      </c>
      <c r="F2378" s="17" t="s">
        <v>164</v>
      </c>
      <c r="G2378" s="17">
        <v>2</v>
      </c>
      <c r="H2378" s="17">
        <v>31107</v>
      </c>
      <c r="I2378" s="17">
        <v>62214</v>
      </c>
      <c r="J2378" s="17">
        <v>1702</v>
      </c>
      <c r="K2378" s="17">
        <v>60512</v>
      </c>
      <c r="L2378" s="17">
        <v>9575.442223</v>
      </c>
      <c r="M2378" s="17">
        <v>2024</v>
      </c>
      <c r="N2378" s="17" t="s">
        <v>120</v>
      </c>
    </row>
    <row r="2379" spans="1:14" ht="14.25" customHeight="1">
      <c r="A2379" s="17">
        <v>12378</v>
      </c>
      <c r="B2379" s="18">
        <v>45303</v>
      </c>
      <c r="C2379" s="17" t="s">
        <v>39</v>
      </c>
      <c r="D2379" s="17" t="s">
        <v>83</v>
      </c>
      <c r="E2379" s="17" t="s">
        <v>162</v>
      </c>
      <c r="F2379" s="17" t="s">
        <v>172</v>
      </c>
      <c r="G2379" s="17">
        <v>8</v>
      </c>
      <c r="H2379" s="17">
        <v>48394</v>
      </c>
      <c r="I2379" s="17">
        <v>387152</v>
      </c>
      <c r="J2379" s="17">
        <v>529</v>
      </c>
      <c r="K2379" s="17">
        <v>386623</v>
      </c>
      <c r="L2379" s="17">
        <v>90462.171969999996</v>
      </c>
      <c r="M2379" s="17">
        <v>2024</v>
      </c>
      <c r="N2379" s="17" t="s">
        <v>171</v>
      </c>
    </row>
    <row r="2380" spans="1:14" ht="14.25" customHeight="1">
      <c r="A2380" s="17">
        <v>12379</v>
      </c>
      <c r="B2380" s="18">
        <v>45419</v>
      </c>
      <c r="C2380" s="17" t="s">
        <v>50</v>
      </c>
      <c r="D2380" s="17" t="s">
        <v>86</v>
      </c>
      <c r="E2380" s="17" t="s">
        <v>165</v>
      </c>
      <c r="F2380" s="17" t="s">
        <v>164</v>
      </c>
      <c r="G2380" s="17">
        <v>6</v>
      </c>
      <c r="H2380" s="17">
        <v>43665</v>
      </c>
      <c r="I2380" s="17">
        <v>261990</v>
      </c>
      <c r="J2380" s="17">
        <v>3674</v>
      </c>
      <c r="K2380" s="17">
        <v>258316</v>
      </c>
      <c r="L2380" s="17">
        <v>61126.139929999998</v>
      </c>
      <c r="M2380" s="17">
        <v>2024</v>
      </c>
      <c r="N2380" s="17" t="s">
        <v>117</v>
      </c>
    </row>
    <row r="2381" spans="1:14" ht="14.25" customHeight="1">
      <c r="A2381" s="17">
        <v>12380</v>
      </c>
      <c r="B2381" s="18">
        <v>45899</v>
      </c>
      <c r="C2381" s="17" t="s">
        <v>39</v>
      </c>
      <c r="D2381" s="17" t="s">
        <v>86</v>
      </c>
      <c r="E2381" s="17" t="s">
        <v>162</v>
      </c>
      <c r="F2381" s="17" t="s">
        <v>166</v>
      </c>
      <c r="G2381" s="17">
        <v>1</v>
      </c>
      <c r="H2381" s="17">
        <v>37425</v>
      </c>
      <c r="I2381" s="17">
        <v>37425</v>
      </c>
      <c r="J2381" s="17">
        <v>302</v>
      </c>
      <c r="K2381" s="17">
        <v>37123</v>
      </c>
      <c r="L2381" s="17">
        <v>5687.0854149999996</v>
      </c>
      <c r="M2381" s="17">
        <v>2025</v>
      </c>
      <c r="N2381" s="17" t="s">
        <v>126</v>
      </c>
    </row>
    <row r="2382" spans="1:14" ht="14.25" customHeight="1">
      <c r="A2382" s="17">
        <v>12381</v>
      </c>
      <c r="B2382" s="18">
        <v>45383</v>
      </c>
      <c r="C2382" s="17" t="s">
        <v>58</v>
      </c>
      <c r="D2382" s="17" t="s">
        <v>111</v>
      </c>
      <c r="E2382" s="17" t="s">
        <v>165</v>
      </c>
      <c r="F2382" s="17" t="s">
        <v>163</v>
      </c>
      <c r="G2382" s="17">
        <v>4</v>
      </c>
      <c r="H2382" s="17">
        <v>64874</v>
      </c>
      <c r="I2382" s="17">
        <v>259496</v>
      </c>
      <c r="J2382" s="17">
        <v>4067</v>
      </c>
      <c r="K2382" s="17">
        <v>255429</v>
      </c>
      <c r="L2382" s="17">
        <v>48224.599889999998</v>
      </c>
      <c r="M2382" s="17">
        <v>2024</v>
      </c>
      <c r="N2382" s="17" t="s">
        <v>114</v>
      </c>
    </row>
    <row r="2383" spans="1:14" ht="14.25" customHeight="1">
      <c r="A2383" s="17">
        <v>12382</v>
      </c>
      <c r="B2383" s="18">
        <v>45944</v>
      </c>
      <c r="C2383" s="17" t="s">
        <v>39</v>
      </c>
      <c r="D2383" s="17" t="s">
        <v>170</v>
      </c>
      <c r="E2383" s="17" t="s">
        <v>165</v>
      </c>
      <c r="F2383" s="17" t="s">
        <v>164</v>
      </c>
      <c r="G2383" s="17">
        <v>2</v>
      </c>
      <c r="H2383" s="17">
        <v>46432</v>
      </c>
      <c r="I2383" s="17">
        <v>92864</v>
      </c>
      <c r="J2383" s="17">
        <v>4251</v>
      </c>
      <c r="K2383" s="17">
        <v>88613</v>
      </c>
      <c r="L2383" s="17">
        <v>21671.121370000001</v>
      </c>
      <c r="M2383" s="17">
        <v>2025</v>
      </c>
      <c r="N2383" s="17" t="s">
        <v>174</v>
      </c>
    </row>
    <row r="2384" spans="1:14" ht="14.25" customHeight="1">
      <c r="A2384" s="17">
        <v>12383</v>
      </c>
      <c r="B2384" s="18">
        <v>45834</v>
      </c>
      <c r="C2384" s="17" t="s">
        <v>39</v>
      </c>
      <c r="D2384" s="17" t="s">
        <v>83</v>
      </c>
      <c r="E2384" s="17" t="s">
        <v>162</v>
      </c>
      <c r="F2384" s="17" t="s">
        <v>163</v>
      </c>
      <c r="G2384" s="17">
        <v>7</v>
      </c>
      <c r="H2384" s="17">
        <v>48949</v>
      </c>
      <c r="I2384" s="17">
        <v>342643</v>
      </c>
      <c r="J2384" s="17">
        <v>3968</v>
      </c>
      <c r="K2384" s="17">
        <v>338675</v>
      </c>
      <c r="L2384" s="17">
        <v>36685.480649999998</v>
      </c>
      <c r="M2384" s="17">
        <v>2025</v>
      </c>
      <c r="N2384" s="17" t="s">
        <v>120</v>
      </c>
    </row>
    <row r="2385" spans="1:14" ht="14.25" customHeight="1">
      <c r="A2385" s="17">
        <v>12384</v>
      </c>
      <c r="B2385" s="18">
        <v>45823</v>
      </c>
      <c r="C2385" s="17" t="s">
        <v>45</v>
      </c>
      <c r="D2385" s="17" t="s">
        <v>170</v>
      </c>
      <c r="E2385" s="17" t="s">
        <v>162</v>
      </c>
      <c r="F2385" s="17" t="s">
        <v>166</v>
      </c>
      <c r="G2385" s="17">
        <v>9</v>
      </c>
      <c r="H2385" s="17">
        <v>8669</v>
      </c>
      <c r="I2385" s="17">
        <v>78021</v>
      </c>
      <c r="J2385" s="17">
        <v>13</v>
      </c>
      <c r="K2385" s="17">
        <v>78008</v>
      </c>
      <c r="L2385" s="17">
        <v>8266.5360710000004</v>
      </c>
      <c r="M2385" s="17">
        <v>2025</v>
      </c>
      <c r="N2385" s="17" t="s">
        <v>120</v>
      </c>
    </row>
    <row r="2386" spans="1:14" ht="14.25" customHeight="1">
      <c r="A2386" s="17">
        <v>12385</v>
      </c>
      <c r="B2386" s="18">
        <v>45949</v>
      </c>
      <c r="C2386" s="17" t="s">
        <v>39</v>
      </c>
      <c r="D2386" s="17" t="s">
        <v>89</v>
      </c>
      <c r="E2386" s="17" t="s">
        <v>162</v>
      </c>
      <c r="F2386" s="17" t="s">
        <v>172</v>
      </c>
      <c r="G2386" s="17">
        <v>6</v>
      </c>
      <c r="H2386" s="17">
        <v>20436</v>
      </c>
      <c r="I2386" s="17">
        <v>122616</v>
      </c>
      <c r="J2386" s="17">
        <v>2803</v>
      </c>
      <c r="K2386" s="17">
        <v>119813</v>
      </c>
      <c r="L2386" s="17">
        <v>21265.25908</v>
      </c>
      <c r="M2386" s="17">
        <v>2025</v>
      </c>
      <c r="N2386" s="17" t="s">
        <v>174</v>
      </c>
    </row>
    <row r="2387" spans="1:14" ht="14.25" customHeight="1">
      <c r="A2387" s="17">
        <v>12386</v>
      </c>
      <c r="B2387" s="18">
        <v>45738</v>
      </c>
      <c r="C2387" s="17" t="s">
        <v>167</v>
      </c>
      <c r="D2387" s="17" t="s">
        <v>170</v>
      </c>
      <c r="E2387" s="17" t="s">
        <v>168</v>
      </c>
      <c r="F2387" s="17" t="s">
        <v>166</v>
      </c>
      <c r="G2387" s="17">
        <v>4</v>
      </c>
      <c r="H2387" s="17">
        <v>41030</v>
      </c>
      <c r="I2387" s="17">
        <v>164120</v>
      </c>
      <c r="J2387" s="17">
        <v>888</v>
      </c>
      <c r="K2387" s="17">
        <v>163232</v>
      </c>
      <c r="L2387" s="17">
        <v>23454.15667</v>
      </c>
      <c r="M2387" s="17">
        <v>2025</v>
      </c>
      <c r="N2387" s="17" t="s">
        <v>112</v>
      </c>
    </row>
    <row r="2388" spans="1:14" ht="14.25" customHeight="1">
      <c r="A2388" s="17">
        <v>12387</v>
      </c>
      <c r="B2388" s="18">
        <v>45681</v>
      </c>
      <c r="C2388" s="17" t="s">
        <v>50</v>
      </c>
      <c r="D2388" s="17" t="s">
        <v>111</v>
      </c>
      <c r="E2388" s="17" t="s">
        <v>165</v>
      </c>
      <c r="F2388" s="17" t="s">
        <v>164</v>
      </c>
      <c r="G2388" s="17">
        <v>5</v>
      </c>
      <c r="H2388" s="17">
        <v>9638</v>
      </c>
      <c r="I2388" s="17">
        <v>48190</v>
      </c>
      <c r="J2388" s="17">
        <v>3528</v>
      </c>
      <c r="K2388" s="17">
        <v>44662</v>
      </c>
      <c r="L2388" s="17">
        <v>8364.1869339999994</v>
      </c>
      <c r="M2388" s="17">
        <v>2025</v>
      </c>
      <c r="N2388" s="17" t="s">
        <v>171</v>
      </c>
    </row>
    <row r="2389" spans="1:14" ht="14.25" customHeight="1">
      <c r="A2389" s="17">
        <v>12388</v>
      </c>
      <c r="B2389" s="18">
        <v>45963</v>
      </c>
      <c r="C2389" s="17" t="s">
        <v>45</v>
      </c>
      <c r="D2389" s="17" t="s">
        <v>170</v>
      </c>
      <c r="E2389" s="17" t="s">
        <v>168</v>
      </c>
      <c r="F2389" s="17" t="s">
        <v>164</v>
      </c>
      <c r="G2389" s="17">
        <v>1</v>
      </c>
      <c r="H2389" s="17">
        <v>73402</v>
      </c>
      <c r="I2389" s="17">
        <v>73402</v>
      </c>
      <c r="J2389" s="17">
        <v>1196</v>
      </c>
      <c r="K2389" s="17">
        <v>72206</v>
      </c>
      <c r="L2389" s="17">
        <v>15065.37054</v>
      </c>
      <c r="M2389" s="17">
        <v>2025</v>
      </c>
      <c r="N2389" s="17" t="s">
        <v>173</v>
      </c>
    </row>
    <row r="2390" spans="1:14" ht="14.25" customHeight="1">
      <c r="A2390" s="17">
        <v>12389</v>
      </c>
      <c r="B2390" s="18">
        <v>45334</v>
      </c>
      <c r="C2390" s="17" t="s">
        <v>50</v>
      </c>
      <c r="D2390" s="17" t="s">
        <v>86</v>
      </c>
      <c r="E2390" s="17" t="s">
        <v>165</v>
      </c>
      <c r="F2390" s="17" t="s">
        <v>164</v>
      </c>
      <c r="G2390" s="17">
        <v>4</v>
      </c>
      <c r="H2390" s="17">
        <v>62000</v>
      </c>
      <c r="I2390" s="17">
        <v>248000</v>
      </c>
      <c r="J2390" s="17">
        <v>4540</v>
      </c>
      <c r="K2390" s="17">
        <v>243460</v>
      </c>
      <c r="L2390" s="17">
        <v>26868.525730000001</v>
      </c>
      <c r="M2390" s="17">
        <v>2024</v>
      </c>
      <c r="N2390" s="17" t="s">
        <v>175</v>
      </c>
    </row>
    <row r="2391" spans="1:14" ht="14.25" customHeight="1">
      <c r="A2391" s="17">
        <v>12390</v>
      </c>
      <c r="B2391" s="18">
        <v>45545</v>
      </c>
      <c r="C2391" s="17" t="s">
        <v>50</v>
      </c>
      <c r="D2391" s="17" t="s">
        <v>83</v>
      </c>
      <c r="E2391" s="17" t="s">
        <v>165</v>
      </c>
      <c r="F2391" s="17" t="s">
        <v>163</v>
      </c>
      <c r="G2391" s="17">
        <v>3</v>
      </c>
      <c r="H2391" s="17">
        <v>14251</v>
      </c>
      <c r="I2391" s="17">
        <v>42753</v>
      </c>
      <c r="J2391" s="17">
        <v>2169</v>
      </c>
      <c r="K2391" s="17">
        <v>40584</v>
      </c>
      <c r="L2391" s="17">
        <v>9429.9002459999992</v>
      </c>
      <c r="M2391" s="17">
        <v>2024</v>
      </c>
      <c r="N2391" s="17" t="s">
        <v>129</v>
      </c>
    </row>
    <row r="2392" spans="1:14" ht="14.25" customHeight="1">
      <c r="A2392" s="17">
        <v>12391</v>
      </c>
      <c r="B2392" s="18">
        <v>45421</v>
      </c>
      <c r="C2392" s="17" t="s">
        <v>58</v>
      </c>
      <c r="D2392" s="17" t="s">
        <v>111</v>
      </c>
      <c r="E2392" s="17" t="s">
        <v>168</v>
      </c>
      <c r="F2392" s="17" t="s">
        <v>172</v>
      </c>
      <c r="G2392" s="17">
        <v>9</v>
      </c>
      <c r="H2392" s="17">
        <v>13948</v>
      </c>
      <c r="I2392" s="17">
        <v>125532</v>
      </c>
      <c r="J2392" s="17">
        <v>3568</v>
      </c>
      <c r="K2392" s="17">
        <v>121964</v>
      </c>
      <c r="L2392" s="17">
        <v>17261.93693</v>
      </c>
      <c r="M2392" s="17">
        <v>2024</v>
      </c>
      <c r="N2392" s="17" t="s">
        <v>117</v>
      </c>
    </row>
    <row r="2393" spans="1:14" ht="14.25" customHeight="1">
      <c r="A2393" s="17">
        <v>12392</v>
      </c>
      <c r="B2393" s="18">
        <v>45351</v>
      </c>
      <c r="C2393" s="17" t="s">
        <v>58</v>
      </c>
      <c r="D2393" s="17" t="s">
        <v>89</v>
      </c>
      <c r="E2393" s="17" t="s">
        <v>168</v>
      </c>
      <c r="F2393" s="17" t="s">
        <v>164</v>
      </c>
      <c r="G2393" s="17">
        <v>6</v>
      </c>
      <c r="H2393" s="17">
        <v>57647</v>
      </c>
      <c r="I2393" s="17">
        <v>345882</v>
      </c>
      <c r="J2393" s="17">
        <v>2231</v>
      </c>
      <c r="K2393" s="17">
        <v>343651</v>
      </c>
      <c r="L2393" s="17">
        <v>54022.666539999998</v>
      </c>
      <c r="M2393" s="17">
        <v>2024</v>
      </c>
      <c r="N2393" s="17" t="s">
        <v>175</v>
      </c>
    </row>
    <row r="2394" spans="1:14" ht="14.25" customHeight="1">
      <c r="A2394" s="17">
        <v>12393</v>
      </c>
      <c r="B2394" s="18">
        <v>45954</v>
      </c>
      <c r="C2394" s="17" t="s">
        <v>45</v>
      </c>
      <c r="D2394" s="17" t="s">
        <v>83</v>
      </c>
      <c r="E2394" s="17" t="s">
        <v>165</v>
      </c>
      <c r="F2394" s="17" t="s">
        <v>164</v>
      </c>
      <c r="G2394" s="17">
        <v>4</v>
      </c>
      <c r="H2394" s="17">
        <v>70723</v>
      </c>
      <c r="I2394" s="17">
        <v>282892</v>
      </c>
      <c r="J2394" s="17">
        <v>1843</v>
      </c>
      <c r="K2394" s="17">
        <v>281049</v>
      </c>
      <c r="L2394" s="17">
        <v>42313.476320000002</v>
      </c>
      <c r="M2394" s="17">
        <v>2025</v>
      </c>
      <c r="N2394" s="17" t="s">
        <v>174</v>
      </c>
    </row>
    <row r="2395" spans="1:14" ht="14.25" customHeight="1">
      <c r="A2395" s="17">
        <v>12394</v>
      </c>
      <c r="B2395" s="18">
        <v>45758</v>
      </c>
      <c r="C2395" s="17" t="s">
        <v>58</v>
      </c>
      <c r="D2395" s="17" t="s">
        <v>83</v>
      </c>
      <c r="E2395" s="17" t="s">
        <v>162</v>
      </c>
      <c r="F2395" s="17" t="s">
        <v>164</v>
      </c>
      <c r="G2395" s="17">
        <v>3</v>
      </c>
      <c r="H2395" s="17">
        <v>62245</v>
      </c>
      <c r="I2395" s="17">
        <v>186735</v>
      </c>
      <c r="J2395" s="17">
        <v>3651</v>
      </c>
      <c r="K2395" s="17">
        <v>183084</v>
      </c>
      <c r="L2395" s="17">
        <v>41372.448770000003</v>
      </c>
      <c r="M2395" s="17">
        <v>2025</v>
      </c>
      <c r="N2395" s="17" t="s">
        <v>114</v>
      </c>
    </row>
    <row r="2396" spans="1:14" ht="14.25" customHeight="1">
      <c r="A2396" s="17">
        <v>12395</v>
      </c>
      <c r="B2396" s="18">
        <v>45578</v>
      </c>
      <c r="C2396" s="17" t="s">
        <v>58</v>
      </c>
      <c r="D2396" s="17" t="s">
        <v>86</v>
      </c>
      <c r="E2396" s="17" t="s">
        <v>162</v>
      </c>
      <c r="F2396" s="17" t="s">
        <v>166</v>
      </c>
      <c r="G2396" s="17">
        <v>4</v>
      </c>
      <c r="H2396" s="17">
        <v>24098</v>
      </c>
      <c r="I2396" s="17">
        <v>96392</v>
      </c>
      <c r="J2396" s="17">
        <v>3876</v>
      </c>
      <c r="K2396" s="17">
        <v>92516</v>
      </c>
      <c r="L2396" s="17">
        <v>11619.80884</v>
      </c>
      <c r="M2396" s="17">
        <v>2024</v>
      </c>
      <c r="N2396" s="17" t="s">
        <v>174</v>
      </c>
    </row>
    <row r="2397" spans="1:14" ht="14.25" customHeight="1">
      <c r="A2397" s="17">
        <v>12396</v>
      </c>
      <c r="B2397" s="18">
        <v>45808</v>
      </c>
      <c r="C2397" s="17" t="s">
        <v>58</v>
      </c>
      <c r="D2397" s="17" t="s">
        <v>86</v>
      </c>
      <c r="E2397" s="17" t="s">
        <v>162</v>
      </c>
      <c r="F2397" s="17" t="s">
        <v>164</v>
      </c>
      <c r="G2397" s="17">
        <v>8</v>
      </c>
      <c r="H2397" s="17">
        <v>12408</v>
      </c>
      <c r="I2397" s="17">
        <v>99264</v>
      </c>
      <c r="J2397" s="17">
        <v>2718</v>
      </c>
      <c r="K2397" s="17">
        <v>96546</v>
      </c>
      <c r="L2397" s="17">
        <v>10069.84268</v>
      </c>
      <c r="M2397" s="17">
        <v>2025</v>
      </c>
      <c r="N2397" s="17" t="s">
        <v>117</v>
      </c>
    </row>
    <row r="2398" spans="1:14" ht="14.25" customHeight="1">
      <c r="A2398" s="17">
        <v>12397</v>
      </c>
      <c r="B2398" s="18">
        <v>45758</v>
      </c>
      <c r="C2398" s="17" t="s">
        <v>50</v>
      </c>
      <c r="D2398" s="17" t="s">
        <v>86</v>
      </c>
      <c r="E2398" s="17" t="s">
        <v>162</v>
      </c>
      <c r="F2398" s="17" t="s">
        <v>166</v>
      </c>
      <c r="G2398" s="17">
        <v>5</v>
      </c>
      <c r="H2398" s="17">
        <v>74069</v>
      </c>
      <c r="I2398" s="17">
        <v>370345</v>
      </c>
      <c r="J2398" s="17">
        <v>48</v>
      </c>
      <c r="K2398" s="17">
        <v>370297</v>
      </c>
      <c r="L2398" s="17">
        <v>91007.983210000006</v>
      </c>
      <c r="M2398" s="17">
        <v>2025</v>
      </c>
      <c r="N2398" s="17" t="s">
        <v>114</v>
      </c>
    </row>
    <row r="2399" spans="1:14" ht="14.25" customHeight="1">
      <c r="A2399" s="17">
        <v>12398</v>
      </c>
      <c r="B2399" s="18">
        <v>45636</v>
      </c>
      <c r="C2399" s="17" t="s">
        <v>45</v>
      </c>
      <c r="D2399" s="17" t="s">
        <v>111</v>
      </c>
      <c r="E2399" s="17" t="s">
        <v>165</v>
      </c>
      <c r="F2399" s="17" t="s">
        <v>164</v>
      </c>
      <c r="G2399" s="17">
        <v>1</v>
      </c>
      <c r="H2399" s="17">
        <v>74676</v>
      </c>
      <c r="I2399" s="17">
        <v>74676</v>
      </c>
      <c r="J2399" s="17">
        <v>180</v>
      </c>
      <c r="K2399" s="17">
        <v>74496</v>
      </c>
      <c r="L2399" s="17">
        <v>18407.579529999999</v>
      </c>
      <c r="M2399" s="17">
        <v>2024</v>
      </c>
      <c r="N2399" s="17" t="s">
        <v>169</v>
      </c>
    </row>
    <row r="2400" spans="1:14" ht="14.25" customHeight="1">
      <c r="A2400" s="17">
        <v>12399</v>
      </c>
      <c r="B2400" s="18">
        <v>45933</v>
      </c>
      <c r="C2400" s="17" t="s">
        <v>50</v>
      </c>
      <c r="D2400" s="17" t="s">
        <v>170</v>
      </c>
      <c r="E2400" s="17" t="s">
        <v>162</v>
      </c>
      <c r="F2400" s="17" t="s">
        <v>166</v>
      </c>
      <c r="G2400" s="17">
        <v>5</v>
      </c>
      <c r="H2400" s="17">
        <v>68982</v>
      </c>
      <c r="I2400" s="17">
        <v>344910</v>
      </c>
      <c r="J2400" s="17">
        <v>3878</v>
      </c>
      <c r="K2400" s="17">
        <v>341032</v>
      </c>
      <c r="L2400" s="17">
        <v>47285.425170000002</v>
      </c>
      <c r="M2400" s="17">
        <v>2025</v>
      </c>
      <c r="N2400" s="17" t="s">
        <v>174</v>
      </c>
    </row>
    <row r="2401" spans="1:14" ht="14.25" customHeight="1">
      <c r="A2401" s="17">
        <v>12400</v>
      </c>
      <c r="B2401" s="18">
        <v>45673</v>
      </c>
      <c r="C2401" s="17" t="s">
        <v>167</v>
      </c>
      <c r="D2401" s="17" t="s">
        <v>83</v>
      </c>
      <c r="E2401" s="17" t="s">
        <v>162</v>
      </c>
      <c r="F2401" s="17" t="s">
        <v>163</v>
      </c>
      <c r="G2401" s="17">
        <v>8</v>
      </c>
      <c r="H2401" s="17">
        <v>57203</v>
      </c>
      <c r="I2401" s="17">
        <v>457624</v>
      </c>
      <c r="J2401" s="17">
        <v>1417</v>
      </c>
      <c r="K2401" s="17">
        <v>456207</v>
      </c>
      <c r="L2401" s="17">
        <v>46260.710639999998</v>
      </c>
      <c r="M2401" s="17">
        <v>2025</v>
      </c>
      <c r="N2401" s="17" t="s">
        <v>171</v>
      </c>
    </row>
    <row r="2402" spans="1:14" ht="14.25" customHeight="1">
      <c r="A2402" s="17">
        <v>12401</v>
      </c>
      <c r="B2402" s="18">
        <v>45981</v>
      </c>
      <c r="C2402" s="17" t="s">
        <v>50</v>
      </c>
      <c r="D2402" s="17" t="s">
        <v>170</v>
      </c>
      <c r="E2402" s="17" t="s">
        <v>162</v>
      </c>
      <c r="F2402" s="17" t="s">
        <v>163</v>
      </c>
      <c r="G2402" s="17">
        <v>4</v>
      </c>
      <c r="H2402" s="17">
        <v>59617</v>
      </c>
      <c r="I2402" s="17">
        <v>238468</v>
      </c>
      <c r="J2402" s="17">
        <v>3464</v>
      </c>
      <c r="K2402" s="17">
        <v>235004</v>
      </c>
      <c r="L2402" s="17">
        <v>46269.365400000002</v>
      </c>
      <c r="M2402" s="17">
        <v>2025</v>
      </c>
      <c r="N2402" s="17" t="s">
        <v>173</v>
      </c>
    </row>
    <row r="2403" spans="1:14" ht="14.25" customHeight="1">
      <c r="A2403" s="17">
        <v>12402</v>
      </c>
      <c r="B2403" s="18">
        <v>45544</v>
      </c>
      <c r="C2403" s="17" t="s">
        <v>167</v>
      </c>
      <c r="D2403" s="17" t="s">
        <v>170</v>
      </c>
      <c r="E2403" s="17" t="s">
        <v>165</v>
      </c>
      <c r="F2403" s="17" t="s">
        <v>166</v>
      </c>
      <c r="G2403" s="17">
        <v>2</v>
      </c>
      <c r="H2403" s="17">
        <v>11005</v>
      </c>
      <c r="I2403" s="17">
        <v>22010</v>
      </c>
      <c r="J2403" s="17">
        <v>3419</v>
      </c>
      <c r="K2403" s="17">
        <v>18591</v>
      </c>
      <c r="L2403" s="17">
        <v>3667.4371329999999</v>
      </c>
      <c r="M2403" s="17">
        <v>2024</v>
      </c>
      <c r="N2403" s="17" t="s">
        <v>129</v>
      </c>
    </row>
    <row r="2404" spans="1:14" ht="14.25" customHeight="1">
      <c r="A2404" s="17">
        <v>12403</v>
      </c>
      <c r="B2404" s="18">
        <v>45347</v>
      </c>
      <c r="C2404" s="17" t="s">
        <v>39</v>
      </c>
      <c r="D2404" s="17" t="s">
        <v>86</v>
      </c>
      <c r="E2404" s="17" t="s">
        <v>168</v>
      </c>
      <c r="F2404" s="17" t="s">
        <v>172</v>
      </c>
      <c r="G2404" s="17">
        <v>3</v>
      </c>
      <c r="H2404" s="17">
        <v>76406</v>
      </c>
      <c r="I2404" s="17">
        <v>229218</v>
      </c>
      <c r="J2404" s="17">
        <v>529</v>
      </c>
      <c r="K2404" s="17">
        <v>228689</v>
      </c>
      <c r="L2404" s="17">
        <v>55126.285499999998</v>
      </c>
      <c r="M2404" s="17">
        <v>2024</v>
      </c>
      <c r="N2404" s="17" t="s">
        <v>175</v>
      </c>
    </row>
    <row r="2405" spans="1:14" ht="14.25" customHeight="1">
      <c r="A2405" s="17">
        <v>12404</v>
      </c>
      <c r="B2405" s="18">
        <v>45754</v>
      </c>
      <c r="C2405" s="17" t="s">
        <v>39</v>
      </c>
      <c r="D2405" s="17" t="s">
        <v>170</v>
      </c>
      <c r="E2405" s="17" t="s">
        <v>162</v>
      </c>
      <c r="F2405" s="17" t="s">
        <v>172</v>
      </c>
      <c r="G2405" s="17">
        <v>9</v>
      </c>
      <c r="H2405" s="17">
        <v>74440</v>
      </c>
      <c r="I2405" s="17">
        <v>669960</v>
      </c>
      <c r="J2405" s="17">
        <v>4679</v>
      </c>
      <c r="K2405" s="17">
        <v>665281</v>
      </c>
      <c r="L2405" s="17">
        <v>96313.113979999995</v>
      </c>
      <c r="M2405" s="17">
        <v>2025</v>
      </c>
      <c r="N2405" s="17" t="s">
        <v>114</v>
      </c>
    </row>
    <row r="2406" spans="1:14" ht="14.25" customHeight="1">
      <c r="A2406" s="17">
        <v>12405</v>
      </c>
      <c r="B2406" s="18">
        <v>45748</v>
      </c>
      <c r="C2406" s="17" t="s">
        <v>167</v>
      </c>
      <c r="D2406" s="17" t="s">
        <v>83</v>
      </c>
      <c r="E2406" s="17" t="s">
        <v>165</v>
      </c>
      <c r="F2406" s="17" t="s">
        <v>166</v>
      </c>
      <c r="G2406" s="17">
        <v>7</v>
      </c>
      <c r="H2406" s="17">
        <v>53235</v>
      </c>
      <c r="I2406" s="17">
        <v>372645</v>
      </c>
      <c r="J2406" s="17">
        <v>1286</v>
      </c>
      <c r="K2406" s="17">
        <v>371359</v>
      </c>
      <c r="L2406" s="17">
        <v>47692.012300000002</v>
      </c>
      <c r="M2406" s="17">
        <v>2025</v>
      </c>
      <c r="N2406" s="17" t="s">
        <v>114</v>
      </c>
    </row>
    <row r="2407" spans="1:14" ht="14.25" customHeight="1">
      <c r="A2407" s="17">
        <v>12406</v>
      </c>
      <c r="B2407" s="18">
        <v>45374</v>
      </c>
      <c r="C2407" s="17" t="s">
        <v>167</v>
      </c>
      <c r="D2407" s="17" t="s">
        <v>83</v>
      </c>
      <c r="E2407" s="17" t="s">
        <v>165</v>
      </c>
      <c r="F2407" s="17" t="s">
        <v>163</v>
      </c>
      <c r="G2407" s="17">
        <v>3</v>
      </c>
      <c r="H2407" s="17">
        <v>16973</v>
      </c>
      <c r="I2407" s="17">
        <v>50919</v>
      </c>
      <c r="J2407" s="17">
        <v>2190</v>
      </c>
      <c r="K2407" s="17">
        <v>48729</v>
      </c>
      <c r="L2407" s="17">
        <v>9378.2543089999999</v>
      </c>
      <c r="M2407" s="17">
        <v>2024</v>
      </c>
      <c r="N2407" s="17" t="s">
        <v>112</v>
      </c>
    </row>
    <row r="2408" spans="1:14" ht="14.25" customHeight="1">
      <c r="A2408" s="17">
        <v>12407</v>
      </c>
      <c r="B2408" s="18">
        <v>45390</v>
      </c>
      <c r="C2408" s="17" t="s">
        <v>50</v>
      </c>
      <c r="D2408" s="17" t="s">
        <v>89</v>
      </c>
      <c r="E2408" s="17" t="s">
        <v>162</v>
      </c>
      <c r="F2408" s="17" t="s">
        <v>166</v>
      </c>
      <c r="G2408" s="17">
        <v>5</v>
      </c>
      <c r="H2408" s="17">
        <v>51976</v>
      </c>
      <c r="I2408" s="17">
        <v>259880</v>
      </c>
      <c r="J2408" s="17">
        <v>706</v>
      </c>
      <c r="K2408" s="17">
        <v>259174</v>
      </c>
      <c r="L2408" s="17">
        <v>47830.732709999997</v>
      </c>
      <c r="M2408" s="17">
        <v>2024</v>
      </c>
      <c r="N2408" s="17" t="s">
        <v>114</v>
      </c>
    </row>
    <row r="2409" spans="1:14" ht="14.25" customHeight="1">
      <c r="A2409" s="17">
        <v>12408</v>
      </c>
      <c r="B2409" s="18">
        <v>45440</v>
      </c>
      <c r="C2409" s="17" t="s">
        <v>167</v>
      </c>
      <c r="D2409" s="17" t="s">
        <v>111</v>
      </c>
      <c r="E2409" s="17" t="s">
        <v>168</v>
      </c>
      <c r="F2409" s="17" t="s">
        <v>172</v>
      </c>
      <c r="G2409" s="17">
        <v>3</v>
      </c>
      <c r="H2409" s="17">
        <v>72797</v>
      </c>
      <c r="I2409" s="17">
        <v>218391</v>
      </c>
      <c r="J2409" s="17">
        <v>3217</v>
      </c>
      <c r="K2409" s="17">
        <v>215174</v>
      </c>
      <c r="L2409" s="17">
        <v>44683.144529999998</v>
      </c>
      <c r="M2409" s="17">
        <v>2024</v>
      </c>
      <c r="N2409" s="17" t="s">
        <v>117</v>
      </c>
    </row>
    <row r="2410" spans="1:14" ht="14.25" customHeight="1">
      <c r="A2410" s="17">
        <v>12409</v>
      </c>
      <c r="B2410" s="18">
        <v>45620</v>
      </c>
      <c r="C2410" s="17" t="s">
        <v>45</v>
      </c>
      <c r="D2410" s="17" t="s">
        <v>170</v>
      </c>
      <c r="E2410" s="17" t="s">
        <v>168</v>
      </c>
      <c r="F2410" s="17" t="s">
        <v>166</v>
      </c>
      <c r="G2410" s="17">
        <v>4</v>
      </c>
      <c r="H2410" s="17">
        <v>63866</v>
      </c>
      <c r="I2410" s="17">
        <v>255464</v>
      </c>
      <c r="J2410" s="17">
        <v>293</v>
      </c>
      <c r="K2410" s="17">
        <v>255171</v>
      </c>
      <c r="L2410" s="17">
        <v>59395.92669</v>
      </c>
      <c r="M2410" s="17">
        <v>2024</v>
      </c>
      <c r="N2410" s="17" t="s">
        <v>173</v>
      </c>
    </row>
    <row r="2411" spans="1:14" ht="14.25" customHeight="1">
      <c r="A2411" s="17">
        <v>12410</v>
      </c>
      <c r="B2411" s="18">
        <v>45447</v>
      </c>
      <c r="C2411" s="17" t="s">
        <v>39</v>
      </c>
      <c r="D2411" s="17" t="s">
        <v>111</v>
      </c>
      <c r="E2411" s="17" t="s">
        <v>168</v>
      </c>
      <c r="F2411" s="17" t="s">
        <v>163</v>
      </c>
      <c r="G2411" s="17">
        <v>8</v>
      </c>
      <c r="H2411" s="17">
        <v>22804</v>
      </c>
      <c r="I2411" s="17">
        <v>182432</v>
      </c>
      <c r="J2411" s="17">
        <v>1561</v>
      </c>
      <c r="K2411" s="17">
        <v>180871</v>
      </c>
      <c r="L2411" s="17">
        <v>33273.350769999997</v>
      </c>
      <c r="M2411" s="17">
        <v>2024</v>
      </c>
      <c r="N2411" s="17" t="s">
        <v>120</v>
      </c>
    </row>
    <row r="2412" spans="1:14" ht="14.25" customHeight="1">
      <c r="A2412" s="17">
        <v>12411</v>
      </c>
      <c r="B2412" s="18">
        <v>45481</v>
      </c>
      <c r="C2412" s="17" t="s">
        <v>39</v>
      </c>
      <c r="D2412" s="17" t="s">
        <v>111</v>
      </c>
      <c r="E2412" s="17" t="s">
        <v>165</v>
      </c>
      <c r="F2412" s="17" t="s">
        <v>172</v>
      </c>
      <c r="G2412" s="17">
        <v>3</v>
      </c>
      <c r="H2412" s="17">
        <v>66936</v>
      </c>
      <c r="I2412" s="17">
        <v>200808</v>
      </c>
      <c r="J2412" s="17">
        <v>4517</v>
      </c>
      <c r="K2412" s="17">
        <v>196291</v>
      </c>
      <c r="L2412" s="17">
        <v>24047.863420000001</v>
      </c>
      <c r="M2412" s="17">
        <v>2024</v>
      </c>
      <c r="N2412" s="17" t="s">
        <v>123</v>
      </c>
    </row>
    <row r="2413" spans="1:14" ht="14.25" customHeight="1">
      <c r="A2413" s="17">
        <v>12412</v>
      </c>
      <c r="B2413" s="18">
        <v>45785</v>
      </c>
      <c r="C2413" s="17" t="s">
        <v>167</v>
      </c>
      <c r="D2413" s="17" t="s">
        <v>111</v>
      </c>
      <c r="E2413" s="17" t="s">
        <v>162</v>
      </c>
      <c r="F2413" s="17" t="s">
        <v>172</v>
      </c>
      <c r="G2413" s="17">
        <v>3</v>
      </c>
      <c r="H2413" s="17">
        <v>52276</v>
      </c>
      <c r="I2413" s="17">
        <v>156828</v>
      </c>
      <c r="J2413" s="17">
        <v>2611</v>
      </c>
      <c r="K2413" s="17">
        <v>154217</v>
      </c>
      <c r="L2413" s="17">
        <v>29257.947690000001</v>
      </c>
      <c r="M2413" s="17">
        <v>2025</v>
      </c>
      <c r="N2413" s="17" t="s">
        <v>117</v>
      </c>
    </row>
    <row r="2414" spans="1:14" ht="14.25" customHeight="1">
      <c r="A2414" s="17">
        <v>12413</v>
      </c>
      <c r="B2414" s="18">
        <v>45554</v>
      </c>
      <c r="C2414" s="17" t="s">
        <v>58</v>
      </c>
      <c r="D2414" s="17" t="s">
        <v>111</v>
      </c>
      <c r="E2414" s="17" t="s">
        <v>162</v>
      </c>
      <c r="F2414" s="17" t="s">
        <v>164</v>
      </c>
      <c r="G2414" s="17">
        <v>8</v>
      </c>
      <c r="H2414" s="17">
        <v>29680</v>
      </c>
      <c r="I2414" s="17">
        <v>237440</v>
      </c>
      <c r="J2414" s="17">
        <v>660</v>
      </c>
      <c r="K2414" s="17">
        <v>236780</v>
      </c>
      <c r="L2414" s="17">
        <v>36964.965369999998</v>
      </c>
      <c r="M2414" s="17">
        <v>2024</v>
      </c>
      <c r="N2414" s="17" t="s">
        <v>129</v>
      </c>
    </row>
    <row r="2415" spans="1:14" ht="14.25" customHeight="1">
      <c r="A2415" s="17">
        <v>12414</v>
      </c>
      <c r="B2415" s="18">
        <v>45371</v>
      </c>
      <c r="C2415" s="17" t="s">
        <v>58</v>
      </c>
      <c r="D2415" s="17" t="s">
        <v>83</v>
      </c>
      <c r="E2415" s="17" t="s">
        <v>165</v>
      </c>
      <c r="F2415" s="17" t="s">
        <v>164</v>
      </c>
      <c r="G2415" s="17">
        <v>7</v>
      </c>
      <c r="H2415" s="17">
        <v>65967</v>
      </c>
      <c r="I2415" s="17">
        <v>461769</v>
      </c>
      <c r="J2415" s="17">
        <v>3178</v>
      </c>
      <c r="K2415" s="17">
        <v>458591</v>
      </c>
      <c r="L2415" s="17">
        <v>77002.131429999994</v>
      </c>
      <c r="M2415" s="17">
        <v>2024</v>
      </c>
      <c r="N2415" s="17" t="s">
        <v>112</v>
      </c>
    </row>
    <row r="2416" spans="1:14" ht="14.25" customHeight="1">
      <c r="A2416" s="17">
        <v>12415</v>
      </c>
      <c r="B2416" s="18">
        <v>45691</v>
      </c>
      <c r="C2416" s="17" t="s">
        <v>167</v>
      </c>
      <c r="D2416" s="17" t="s">
        <v>170</v>
      </c>
      <c r="E2416" s="17" t="s">
        <v>162</v>
      </c>
      <c r="F2416" s="17" t="s">
        <v>172</v>
      </c>
      <c r="G2416" s="17">
        <v>7</v>
      </c>
      <c r="H2416" s="17">
        <v>21862</v>
      </c>
      <c r="I2416" s="17">
        <v>153034</v>
      </c>
      <c r="J2416" s="17">
        <v>3389</v>
      </c>
      <c r="K2416" s="17">
        <v>149645</v>
      </c>
      <c r="L2416" s="17">
        <v>36501.806250000001</v>
      </c>
      <c r="M2416" s="17">
        <v>2025</v>
      </c>
      <c r="N2416" s="17" t="s">
        <v>175</v>
      </c>
    </row>
    <row r="2417" spans="1:14" ht="14.25" customHeight="1">
      <c r="A2417" s="17">
        <v>12416</v>
      </c>
      <c r="B2417" s="18">
        <v>45900</v>
      </c>
      <c r="C2417" s="17" t="s">
        <v>45</v>
      </c>
      <c r="D2417" s="17" t="s">
        <v>89</v>
      </c>
      <c r="E2417" s="17" t="s">
        <v>162</v>
      </c>
      <c r="F2417" s="17" t="s">
        <v>172</v>
      </c>
      <c r="G2417" s="17">
        <v>2</v>
      </c>
      <c r="H2417" s="17">
        <v>44553</v>
      </c>
      <c r="I2417" s="17">
        <v>89106</v>
      </c>
      <c r="J2417" s="17">
        <v>2106</v>
      </c>
      <c r="K2417" s="17">
        <v>87000</v>
      </c>
      <c r="L2417" s="17">
        <v>15942.05906</v>
      </c>
      <c r="M2417" s="17">
        <v>2025</v>
      </c>
      <c r="N2417" s="17" t="s">
        <v>126</v>
      </c>
    </row>
    <row r="2418" spans="1:14" ht="14.25" customHeight="1">
      <c r="A2418" s="17">
        <v>12417</v>
      </c>
      <c r="B2418" s="18">
        <v>45551</v>
      </c>
      <c r="C2418" s="17" t="s">
        <v>58</v>
      </c>
      <c r="D2418" s="17" t="s">
        <v>111</v>
      </c>
      <c r="E2418" s="17" t="s">
        <v>168</v>
      </c>
      <c r="F2418" s="17" t="s">
        <v>166</v>
      </c>
      <c r="G2418" s="17">
        <v>7</v>
      </c>
      <c r="H2418" s="17">
        <v>13884</v>
      </c>
      <c r="I2418" s="17">
        <v>97188</v>
      </c>
      <c r="J2418" s="17">
        <v>3063</v>
      </c>
      <c r="K2418" s="17">
        <v>94125</v>
      </c>
      <c r="L2418" s="17">
        <v>11525.330819999999</v>
      </c>
      <c r="M2418" s="17">
        <v>2024</v>
      </c>
      <c r="N2418" s="17" t="s">
        <v>129</v>
      </c>
    </row>
    <row r="2419" spans="1:14" ht="14.25" customHeight="1">
      <c r="A2419" s="17">
        <v>12418</v>
      </c>
      <c r="B2419" s="18">
        <v>45906</v>
      </c>
      <c r="C2419" s="17" t="s">
        <v>167</v>
      </c>
      <c r="D2419" s="17" t="s">
        <v>89</v>
      </c>
      <c r="E2419" s="17" t="s">
        <v>162</v>
      </c>
      <c r="F2419" s="17" t="s">
        <v>163</v>
      </c>
      <c r="G2419" s="17">
        <v>3</v>
      </c>
      <c r="H2419" s="17">
        <v>73574</v>
      </c>
      <c r="I2419" s="17">
        <v>220722</v>
      </c>
      <c r="J2419" s="17">
        <v>2840</v>
      </c>
      <c r="K2419" s="17">
        <v>217882</v>
      </c>
      <c r="L2419" s="17">
        <v>36271.642549999997</v>
      </c>
      <c r="M2419" s="17">
        <v>2025</v>
      </c>
      <c r="N2419" s="17" t="s">
        <v>129</v>
      </c>
    </row>
    <row r="2420" spans="1:14" ht="14.25" customHeight="1">
      <c r="A2420" s="17">
        <v>12419</v>
      </c>
      <c r="B2420" s="18">
        <v>45843</v>
      </c>
      <c r="C2420" s="17" t="s">
        <v>45</v>
      </c>
      <c r="D2420" s="17" t="s">
        <v>83</v>
      </c>
      <c r="E2420" s="17" t="s">
        <v>162</v>
      </c>
      <c r="F2420" s="17" t="s">
        <v>172</v>
      </c>
      <c r="G2420" s="17">
        <v>7</v>
      </c>
      <c r="H2420" s="17">
        <v>65313</v>
      </c>
      <c r="I2420" s="17">
        <v>457191</v>
      </c>
      <c r="J2420" s="17">
        <v>3496</v>
      </c>
      <c r="K2420" s="17">
        <v>453695</v>
      </c>
      <c r="L2420" s="17">
        <v>60915.166530000002</v>
      </c>
      <c r="M2420" s="17">
        <v>2025</v>
      </c>
      <c r="N2420" s="17" t="s">
        <v>123</v>
      </c>
    </row>
    <row r="2421" spans="1:14" ht="14.25" customHeight="1">
      <c r="A2421" s="17">
        <v>12420</v>
      </c>
      <c r="B2421" s="18">
        <v>45392</v>
      </c>
      <c r="C2421" s="17" t="s">
        <v>45</v>
      </c>
      <c r="D2421" s="17" t="s">
        <v>83</v>
      </c>
      <c r="E2421" s="17" t="s">
        <v>165</v>
      </c>
      <c r="F2421" s="17" t="s">
        <v>163</v>
      </c>
      <c r="G2421" s="17">
        <v>4</v>
      </c>
      <c r="H2421" s="17">
        <v>37961</v>
      </c>
      <c r="I2421" s="17">
        <v>151844</v>
      </c>
      <c r="J2421" s="17">
        <v>2578</v>
      </c>
      <c r="K2421" s="17">
        <v>149266</v>
      </c>
      <c r="L2421" s="17">
        <v>17960.039499999999</v>
      </c>
      <c r="M2421" s="17">
        <v>2024</v>
      </c>
      <c r="N2421" s="17" t="s">
        <v>114</v>
      </c>
    </row>
    <row r="2422" spans="1:14" ht="14.25" customHeight="1">
      <c r="A2422" s="17">
        <v>12421</v>
      </c>
      <c r="B2422" s="18">
        <v>45650</v>
      </c>
      <c r="C2422" s="17" t="s">
        <v>50</v>
      </c>
      <c r="D2422" s="17" t="s">
        <v>86</v>
      </c>
      <c r="E2422" s="17" t="s">
        <v>165</v>
      </c>
      <c r="F2422" s="17" t="s">
        <v>172</v>
      </c>
      <c r="G2422" s="17">
        <v>8</v>
      </c>
      <c r="H2422" s="17">
        <v>36562</v>
      </c>
      <c r="I2422" s="17">
        <v>292496</v>
      </c>
      <c r="J2422" s="17">
        <v>2051</v>
      </c>
      <c r="K2422" s="17">
        <v>290445</v>
      </c>
      <c r="L2422" s="17">
        <v>60074.225509999997</v>
      </c>
      <c r="M2422" s="17">
        <v>2024</v>
      </c>
      <c r="N2422" s="17" t="s">
        <v>169</v>
      </c>
    </row>
    <row r="2423" spans="1:14" ht="14.25" customHeight="1">
      <c r="A2423" s="17">
        <v>12422</v>
      </c>
      <c r="B2423" s="18">
        <v>45671</v>
      </c>
      <c r="C2423" s="17" t="s">
        <v>45</v>
      </c>
      <c r="D2423" s="17" t="s">
        <v>111</v>
      </c>
      <c r="E2423" s="17" t="s">
        <v>168</v>
      </c>
      <c r="F2423" s="17" t="s">
        <v>163</v>
      </c>
      <c r="G2423" s="17">
        <v>8</v>
      </c>
      <c r="H2423" s="17">
        <v>31065</v>
      </c>
      <c r="I2423" s="17">
        <v>248520</v>
      </c>
      <c r="J2423" s="17">
        <v>2409</v>
      </c>
      <c r="K2423" s="17">
        <v>246111</v>
      </c>
      <c r="L2423" s="17">
        <v>47815.764329999998</v>
      </c>
      <c r="M2423" s="17">
        <v>2025</v>
      </c>
      <c r="N2423" s="17" t="s">
        <v>171</v>
      </c>
    </row>
    <row r="2424" spans="1:14" ht="14.25" customHeight="1">
      <c r="A2424" s="17">
        <v>12423</v>
      </c>
      <c r="B2424" s="18">
        <v>45512</v>
      </c>
      <c r="C2424" s="17" t="s">
        <v>58</v>
      </c>
      <c r="D2424" s="17" t="s">
        <v>86</v>
      </c>
      <c r="E2424" s="17" t="s">
        <v>165</v>
      </c>
      <c r="F2424" s="17" t="s">
        <v>164</v>
      </c>
      <c r="G2424" s="17">
        <v>6</v>
      </c>
      <c r="H2424" s="17">
        <v>37084</v>
      </c>
      <c r="I2424" s="17">
        <v>222504</v>
      </c>
      <c r="J2424" s="17">
        <v>2953</v>
      </c>
      <c r="K2424" s="17">
        <v>219551</v>
      </c>
      <c r="L2424" s="17">
        <v>38348.606509999998</v>
      </c>
      <c r="M2424" s="17">
        <v>2024</v>
      </c>
      <c r="N2424" s="17" t="s">
        <v>126</v>
      </c>
    </row>
    <row r="2425" spans="1:14" ht="14.25" customHeight="1">
      <c r="A2425" s="17">
        <v>12424</v>
      </c>
      <c r="B2425" s="18">
        <v>45711</v>
      </c>
      <c r="C2425" s="17" t="s">
        <v>58</v>
      </c>
      <c r="D2425" s="17" t="s">
        <v>89</v>
      </c>
      <c r="E2425" s="17" t="s">
        <v>168</v>
      </c>
      <c r="F2425" s="17" t="s">
        <v>172</v>
      </c>
      <c r="G2425" s="17">
        <v>3</v>
      </c>
      <c r="H2425" s="17">
        <v>56038</v>
      </c>
      <c r="I2425" s="17">
        <v>168114</v>
      </c>
      <c r="J2425" s="17">
        <v>368</v>
      </c>
      <c r="K2425" s="17">
        <v>167746</v>
      </c>
      <c r="L2425" s="17">
        <v>27424.079669999999</v>
      </c>
      <c r="M2425" s="17">
        <v>2025</v>
      </c>
      <c r="N2425" s="17" t="s">
        <v>175</v>
      </c>
    </row>
    <row r="2426" spans="1:14" ht="14.25" customHeight="1">
      <c r="A2426" s="17">
        <v>12425</v>
      </c>
      <c r="B2426" s="18">
        <v>45415</v>
      </c>
      <c r="C2426" s="17" t="s">
        <v>167</v>
      </c>
      <c r="D2426" s="17" t="s">
        <v>170</v>
      </c>
      <c r="E2426" s="17" t="s">
        <v>168</v>
      </c>
      <c r="F2426" s="17" t="s">
        <v>166</v>
      </c>
      <c r="G2426" s="17">
        <v>6</v>
      </c>
      <c r="H2426" s="17">
        <v>25957</v>
      </c>
      <c r="I2426" s="17">
        <v>155742</v>
      </c>
      <c r="J2426" s="17">
        <v>538</v>
      </c>
      <c r="K2426" s="17">
        <v>155204</v>
      </c>
      <c r="L2426" s="17">
        <v>23021.822100000001</v>
      </c>
      <c r="M2426" s="17">
        <v>2024</v>
      </c>
      <c r="N2426" s="17" t="s">
        <v>117</v>
      </c>
    </row>
    <row r="2427" spans="1:14" ht="14.25" customHeight="1">
      <c r="A2427" s="17">
        <v>12426</v>
      </c>
      <c r="B2427" s="18">
        <v>45713</v>
      </c>
      <c r="C2427" s="17" t="s">
        <v>167</v>
      </c>
      <c r="D2427" s="17" t="s">
        <v>86</v>
      </c>
      <c r="E2427" s="17" t="s">
        <v>162</v>
      </c>
      <c r="F2427" s="17" t="s">
        <v>163</v>
      </c>
      <c r="G2427" s="17">
        <v>6</v>
      </c>
      <c r="H2427" s="17">
        <v>73116</v>
      </c>
      <c r="I2427" s="17">
        <v>438696</v>
      </c>
      <c r="J2427" s="17">
        <v>2927</v>
      </c>
      <c r="K2427" s="17">
        <v>435769</v>
      </c>
      <c r="L2427" s="17">
        <v>49329.620280000003</v>
      </c>
      <c r="M2427" s="17">
        <v>2025</v>
      </c>
      <c r="N2427" s="17" t="s">
        <v>175</v>
      </c>
    </row>
    <row r="2428" spans="1:14" ht="14.25" customHeight="1">
      <c r="A2428" s="17">
        <v>12427</v>
      </c>
      <c r="B2428" s="18">
        <v>45522</v>
      </c>
      <c r="C2428" s="17" t="s">
        <v>45</v>
      </c>
      <c r="D2428" s="17" t="s">
        <v>83</v>
      </c>
      <c r="E2428" s="17" t="s">
        <v>168</v>
      </c>
      <c r="F2428" s="17" t="s">
        <v>172</v>
      </c>
      <c r="G2428" s="17">
        <v>3</v>
      </c>
      <c r="H2428" s="17">
        <v>67278</v>
      </c>
      <c r="I2428" s="17">
        <v>201834</v>
      </c>
      <c r="J2428" s="17">
        <v>2393</v>
      </c>
      <c r="K2428" s="17">
        <v>199441</v>
      </c>
      <c r="L2428" s="17">
        <v>28897.095669999999</v>
      </c>
      <c r="M2428" s="17">
        <v>2024</v>
      </c>
      <c r="N2428" s="17" t="s">
        <v>126</v>
      </c>
    </row>
    <row r="2429" spans="1:14" ht="14.25" customHeight="1">
      <c r="A2429" s="17">
        <v>12428</v>
      </c>
      <c r="B2429" s="18">
        <v>45981</v>
      </c>
      <c r="C2429" s="17" t="s">
        <v>39</v>
      </c>
      <c r="D2429" s="17" t="s">
        <v>111</v>
      </c>
      <c r="E2429" s="17" t="s">
        <v>162</v>
      </c>
      <c r="F2429" s="17" t="s">
        <v>164</v>
      </c>
      <c r="G2429" s="17">
        <v>4</v>
      </c>
      <c r="H2429" s="17">
        <v>37454</v>
      </c>
      <c r="I2429" s="17">
        <v>149816</v>
      </c>
      <c r="J2429" s="17">
        <v>730</v>
      </c>
      <c r="K2429" s="17">
        <v>149086</v>
      </c>
      <c r="L2429" s="17">
        <v>33657.535109999997</v>
      </c>
      <c r="M2429" s="17">
        <v>2025</v>
      </c>
      <c r="N2429" s="17" t="s">
        <v>173</v>
      </c>
    </row>
    <row r="2430" spans="1:14" ht="14.25" customHeight="1">
      <c r="A2430" s="17">
        <v>12429</v>
      </c>
      <c r="B2430" s="18">
        <v>45354</v>
      </c>
      <c r="C2430" s="17" t="s">
        <v>50</v>
      </c>
      <c r="D2430" s="17" t="s">
        <v>89</v>
      </c>
      <c r="E2430" s="17" t="s">
        <v>168</v>
      </c>
      <c r="F2430" s="17" t="s">
        <v>164</v>
      </c>
      <c r="G2430" s="17">
        <v>2</v>
      </c>
      <c r="H2430" s="17">
        <v>58796</v>
      </c>
      <c r="I2430" s="17">
        <v>117592</v>
      </c>
      <c r="J2430" s="17">
        <v>896</v>
      </c>
      <c r="K2430" s="17">
        <v>116696</v>
      </c>
      <c r="L2430" s="17">
        <v>25387.367579999998</v>
      </c>
      <c r="M2430" s="17">
        <v>2024</v>
      </c>
      <c r="N2430" s="17" t="s">
        <v>112</v>
      </c>
    </row>
    <row r="2431" spans="1:14" ht="14.25" customHeight="1">
      <c r="A2431" s="17">
        <v>12430</v>
      </c>
      <c r="B2431" s="18">
        <v>45776</v>
      </c>
      <c r="C2431" s="17" t="s">
        <v>39</v>
      </c>
      <c r="D2431" s="17" t="s">
        <v>83</v>
      </c>
      <c r="E2431" s="17" t="s">
        <v>165</v>
      </c>
      <c r="F2431" s="17" t="s">
        <v>164</v>
      </c>
      <c r="G2431" s="17">
        <v>1</v>
      </c>
      <c r="H2431" s="17">
        <v>16277</v>
      </c>
      <c r="I2431" s="17">
        <v>16277</v>
      </c>
      <c r="J2431" s="17">
        <v>4659</v>
      </c>
      <c r="K2431" s="17">
        <v>11618</v>
      </c>
      <c r="L2431" s="17">
        <v>2856.2580979999998</v>
      </c>
      <c r="M2431" s="17">
        <v>2025</v>
      </c>
      <c r="N2431" s="17" t="s">
        <v>114</v>
      </c>
    </row>
    <row r="2432" spans="1:14" ht="14.25" customHeight="1">
      <c r="A2432" s="17">
        <v>12431</v>
      </c>
      <c r="B2432" s="18">
        <v>45919</v>
      </c>
      <c r="C2432" s="17" t="s">
        <v>45</v>
      </c>
      <c r="D2432" s="17" t="s">
        <v>170</v>
      </c>
      <c r="E2432" s="17" t="s">
        <v>165</v>
      </c>
      <c r="F2432" s="17" t="s">
        <v>164</v>
      </c>
      <c r="G2432" s="17">
        <v>2</v>
      </c>
      <c r="H2432" s="17">
        <v>71411</v>
      </c>
      <c r="I2432" s="17">
        <v>142822</v>
      </c>
      <c r="J2432" s="17">
        <v>2368</v>
      </c>
      <c r="K2432" s="17">
        <v>140454</v>
      </c>
      <c r="L2432" s="17">
        <v>27867.487529999999</v>
      </c>
      <c r="M2432" s="17">
        <v>2025</v>
      </c>
      <c r="N2432" s="17" t="s">
        <v>129</v>
      </c>
    </row>
    <row r="2433" spans="1:14" ht="14.25" customHeight="1">
      <c r="A2433" s="17">
        <v>12432</v>
      </c>
      <c r="B2433" s="18">
        <v>45994</v>
      </c>
      <c r="C2433" s="17" t="s">
        <v>45</v>
      </c>
      <c r="D2433" s="17" t="s">
        <v>111</v>
      </c>
      <c r="E2433" s="17" t="s">
        <v>165</v>
      </c>
      <c r="F2433" s="17" t="s">
        <v>172</v>
      </c>
      <c r="G2433" s="17">
        <v>7</v>
      </c>
      <c r="H2433" s="17">
        <v>65069</v>
      </c>
      <c r="I2433" s="17">
        <v>455483</v>
      </c>
      <c r="J2433" s="17">
        <v>4559</v>
      </c>
      <c r="K2433" s="17">
        <v>450924</v>
      </c>
      <c r="L2433" s="17">
        <v>82539.818109999993</v>
      </c>
      <c r="M2433" s="17">
        <v>2025</v>
      </c>
      <c r="N2433" s="17" t="s">
        <v>169</v>
      </c>
    </row>
    <row r="2434" spans="1:14" ht="14.25" customHeight="1">
      <c r="A2434" s="17">
        <v>12433</v>
      </c>
      <c r="B2434" s="18">
        <v>45865</v>
      </c>
      <c r="C2434" s="17" t="s">
        <v>39</v>
      </c>
      <c r="D2434" s="17" t="s">
        <v>170</v>
      </c>
      <c r="E2434" s="17" t="s">
        <v>168</v>
      </c>
      <c r="F2434" s="17" t="s">
        <v>166</v>
      </c>
      <c r="G2434" s="17">
        <v>5</v>
      </c>
      <c r="H2434" s="17">
        <v>71732</v>
      </c>
      <c r="I2434" s="17">
        <v>358660</v>
      </c>
      <c r="J2434" s="17">
        <v>2680</v>
      </c>
      <c r="K2434" s="17">
        <v>355980</v>
      </c>
      <c r="L2434" s="17">
        <v>51405.887269999999</v>
      </c>
      <c r="M2434" s="17">
        <v>2025</v>
      </c>
      <c r="N2434" s="17" t="s">
        <v>123</v>
      </c>
    </row>
    <row r="2435" spans="1:14" ht="14.25" customHeight="1">
      <c r="A2435" s="17">
        <v>12434</v>
      </c>
      <c r="B2435" s="18">
        <v>45774</v>
      </c>
      <c r="C2435" s="17" t="s">
        <v>50</v>
      </c>
      <c r="D2435" s="17" t="s">
        <v>170</v>
      </c>
      <c r="E2435" s="17" t="s">
        <v>168</v>
      </c>
      <c r="F2435" s="17" t="s">
        <v>163</v>
      </c>
      <c r="G2435" s="17">
        <v>9</v>
      </c>
      <c r="H2435" s="17">
        <v>56861</v>
      </c>
      <c r="I2435" s="17">
        <v>511749</v>
      </c>
      <c r="J2435" s="17">
        <v>2380</v>
      </c>
      <c r="K2435" s="17">
        <v>509369</v>
      </c>
      <c r="L2435" s="17">
        <v>56809.433729999997</v>
      </c>
      <c r="M2435" s="17">
        <v>2025</v>
      </c>
      <c r="N2435" s="17" t="s">
        <v>114</v>
      </c>
    </row>
    <row r="2436" spans="1:14" ht="14.25" customHeight="1">
      <c r="A2436" s="17">
        <v>12435</v>
      </c>
      <c r="B2436" s="18">
        <v>45810</v>
      </c>
      <c r="C2436" s="17" t="s">
        <v>39</v>
      </c>
      <c r="D2436" s="17" t="s">
        <v>111</v>
      </c>
      <c r="E2436" s="17" t="s">
        <v>162</v>
      </c>
      <c r="F2436" s="17" t="s">
        <v>166</v>
      </c>
      <c r="G2436" s="17">
        <v>3</v>
      </c>
      <c r="H2436" s="17">
        <v>54487</v>
      </c>
      <c r="I2436" s="17">
        <v>163461</v>
      </c>
      <c r="J2436" s="17">
        <v>14</v>
      </c>
      <c r="K2436" s="17">
        <v>163447</v>
      </c>
      <c r="L2436" s="17">
        <v>31496.68651</v>
      </c>
      <c r="M2436" s="17">
        <v>2025</v>
      </c>
      <c r="N2436" s="17" t="s">
        <v>120</v>
      </c>
    </row>
    <row r="2437" spans="1:14" ht="14.25" customHeight="1">
      <c r="A2437" s="17">
        <v>12436</v>
      </c>
      <c r="B2437" s="18">
        <v>45446</v>
      </c>
      <c r="C2437" s="17" t="s">
        <v>167</v>
      </c>
      <c r="D2437" s="17" t="s">
        <v>111</v>
      </c>
      <c r="E2437" s="17" t="s">
        <v>162</v>
      </c>
      <c r="F2437" s="17" t="s">
        <v>163</v>
      </c>
      <c r="G2437" s="17">
        <v>2</v>
      </c>
      <c r="H2437" s="17">
        <v>46184</v>
      </c>
      <c r="I2437" s="17">
        <v>92368</v>
      </c>
      <c r="J2437" s="17">
        <v>3128</v>
      </c>
      <c r="K2437" s="17">
        <v>89240</v>
      </c>
      <c r="L2437" s="17">
        <v>15458.5391</v>
      </c>
      <c r="M2437" s="17">
        <v>2024</v>
      </c>
      <c r="N2437" s="17" t="s">
        <v>120</v>
      </c>
    </row>
    <row r="2438" spans="1:14" ht="14.25" customHeight="1">
      <c r="A2438" s="17">
        <v>12437</v>
      </c>
      <c r="B2438" s="18">
        <v>45383</v>
      </c>
      <c r="C2438" s="17" t="s">
        <v>58</v>
      </c>
      <c r="D2438" s="17" t="s">
        <v>170</v>
      </c>
      <c r="E2438" s="17" t="s">
        <v>162</v>
      </c>
      <c r="F2438" s="17" t="s">
        <v>166</v>
      </c>
      <c r="G2438" s="17">
        <v>4</v>
      </c>
      <c r="H2438" s="17">
        <v>28398</v>
      </c>
      <c r="I2438" s="17">
        <v>113592</v>
      </c>
      <c r="J2438" s="17">
        <v>1353</v>
      </c>
      <c r="K2438" s="17">
        <v>112239</v>
      </c>
      <c r="L2438" s="17">
        <v>24003.56465</v>
      </c>
      <c r="M2438" s="17">
        <v>2024</v>
      </c>
      <c r="N2438" s="17" t="s">
        <v>114</v>
      </c>
    </row>
    <row r="2439" spans="1:14" ht="14.25" customHeight="1">
      <c r="A2439" s="17">
        <v>12438</v>
      </c>
      <c r="B2439" s="18">
        <v>45817</v>
      </c>
      <c r="C2439" s="17" t="s">
        <v>167</v>
      </c>
      <c r="D2439" s="17" t="s">
        <v>89</v>
      </c>
      <c r="E2439" s="17" t="s">
        <v>162</v>
      </c>
      <c r="F2439" s="17" t="s">
        <v>172</v>
      </c>
      <c r="G2439" s="17">
        <v>2</v>
      </c>
      <c r="H2439" s="17">
        <v>33517</v>
      </c>
      <c r="I2439" s="17">
        <v>67034</v>
      </c>
      <c r="J2439" s="17">
        <v>3135</v>
      </c>
      <c r="K2439" s="17">
        <v>63899</v>
      </c>
      <c r="L2439" s="17">
        <v>10337.49647</v>
      </c>
      <c r="M2439" s="17">
        <v>2025</v>
      </c>
      <c r="N2439" s="17" t="s">
        <v>120</v>
      </c>
    </row>
    <row r="2440" spans="1:14" ht="14.25" customHeight="1">
      <c r="A2440" s="17">
        <v>12439</v>
      </c>
      <c r="B2440" s="18">
        <v>45746</v>
      </c>
      <c r="C2440" s="17" t="s">
        <v>58</v>
      </c>
      <c r="D2440" s="17" t="s">
        <v>111</v>
      </c>
      <c r="E2440" s="17" t="s">
        <v>168</v>
      </c>
      <c r="F2440" s="17" t="s">
        <v>172</v>
      </c>
      <c r="G2440" s="17">
        <v>7</v>
      </c>
      <c r="H2440" s="17">
        <v>71783</v>
      </c>
      <c r="I2440" s="17">
        <v>502481</v>
      </c>
      <c r="J2440" s="17">
        <v>2277</v>
      </c>
      <c r="K2440" s="17">
        <v>500204</v>
      </c>
      <c r="L2440" s="17">
        <v>123966.9097</v>
      </c>
      <c r="M2440" s="17">
        <v>2025</v>
      </c>
      <c r="N2440" s="17" t="s">
        <v>112</v>
      </c>
    </row>
    <row r="2441" spans="1:14" ht="14.25" customHeight="1">
      <c r="A2441" s="17">
        <v>12440</v>
      </c>
      <c r="B2441" s="18">
        <v>45889</v>
      </c>
      <c r="C2441" s="17" t="s">
        <v>45</v>
      </c>
      <c r="D2441" s="17" t="s">
        <v>83</v>
      </c>
      <c r="E2441" s="17" t="s">
        <v>168</v>
      </c>
      <c r="F2441" s="17" t="s">
        <v>163</v>
      </c>
      <c r="G2441" s="17">
        <v>6</v>
      </c>
      <c r="H2441" s="17">
        <v>29564</v>
      </c>
      <c r="I2441" s="17">
        <v>177384</v>
      </c>
      <c r="J2441" s="17">
        <v>10</v>
      </c>
      <c r="K2441" s="17">
        <v>177374</v>
      </c>
      <c r="L2441" s="17">
        <v>28316.306089999998</v>
      </c>
      <c r="M2441" s="17">
        <v>2025</v>
      </c>
      <c r="N2441" s="17" t="s">
        <v>126</v>
      </c>
    </row>
    <row r="2442" spans="1:14" ht="14.25" customHeight="1">
      <c r="A2442" s="17">
        <v>12441</v>
      </c>
      <c r="B2442" s="18">
        <v>45936</v>
      </c>
      <c r="C2442" s="17" t="s">
        <v>50</v>
      </c>
      <c r="D2442" s="17" t="s">
        <v>86</v>
      </c>
      <c r="E2442" s="17" t="s">
        <v>162</v>
      </c>
      <c r="F2442" s="17" t="s">
        <v>172</v>
      </c>
      <c r="G2442" s="17">
        <v>8</v>
      </c>
      <c r="H2442" s="17">
        <v>12111</v>
      </c>
      <c r="I2442" s="17">
        <v>96888</v>
      </c>
      <c r="J2442" s="17">
        <v>1656</v>
      </c>
      <c r="K2442" s="17">
        <v>95232</v>
      </c>
      <c r="L2442" s="17">
        <v>14281.06169</v>
      </c>
      <c r="M2442" s="17">
        <v>2025</v>
      </c>
      <c r="N2442" s="17" t="s">
        <v>174</v>
      </c>
    </row>
    <row r="2443" spans="1:14" ht="14.25" customHeight="1">
      <c r="A2443" s="17">
        <v>12442</v>
      </c>
      <c r="B2443" s="18">
        <v>45801</v>
      </c>
      <c r="C2443" s="17" t="s">
        <v>39</v>
      </c>
      <c r="D2443" s="17" t="s">
        <v>89</v>
      </c>
      <c r="E2443" s="17" t="s">
        <v>168</v>
      </c>
      <c r="F2443" s="17" t="s">
        <v>163</v>
      </c>
      <c r="G2443" s="17">
        <v>5</v>
      </c>
      <c r="H2443" s="17">
        <v>25973</v>
      </c>
      <c r="I2443" s="17">
        <v>129865</v>
      </c>
      <c r="J2443" s="17">
        <v>1247</v>
      </c>
      <c r="K2443" s="17">
        <v>128618</v>
      </c>
      <c r="L2443" s="17">
        <v>29665.478869999999</v>
      </c>
      <c r="M2443" s="17">
        <v>2025</v>
      </c>
      <c r="N2443" s="17" t="s">
        <v>117</v>
      </c>
    </row>
    <row r="2444" spans="1:14" ht="14.25" customHeight="1">
      <c r="A2444" s="17">
        <v>12443</v>
      </c>
      <c r="B2444" s="18">
        <v>45474</v>
      </c>
      <c r="C2444" s="17" t="s">
        <v>50</v>
      </c>
      <c r="D2444" s="17" t="s">
        <v>111</v>
      </c>
      <c r="E2444" s="17" t="s">
        <v>168</v>
      </c>
      <c r="F2444" s="17" t="s">
        <v>166</v>
      </c>
      <c r="G2444" s="17">
        <v>2</v>
      </c>
      <c r="H2444" s="17">
        <v>5310</v>
      </c>
      <c r="I2444" s="17">
        <v>10620</v>
      </c>
      <c r="J2444" s="17">
        <v>1660</v>
      </c>
      <c r="K2444" s="17">
        <v>8960</v>
      </c>
      <c r="L2444" s="17">
        <v>1427.5606330000001</v>
      </c>
      <c r="M2444" s="17">
        <v>2024</v>
      </c>
      <c r="N2444" s="17" t="s">
        <v>123</v>
      </c>
    </row>
    <row r="2445" spans="1:14" ht="14.25" customHeight="1">
      <c r="A2445" s="17">
        <v>12444</v>
      </c>
      <c r="B2445" s="18">
        <v>45677</v>
      </c>
      <c r="C2445" s="17" t="s">
        <v>39</v>
      </c>
      <c r="D2445" s="17" t="s">
        <v>111</v>
      </c>
      <c r="E2445" s="17" t="s">
        <v>168</v>
      </c>
      <c r="F2445" s="17" t="s">
        <v>172</v>
      </c>
      <c r="G2445" s="17">
        <v>4</v>
      </c>
      <c r="H2445" s="17">
        <v>22988</v>
      </c>
      <c r="I2445" s="17">
        <v>91952</v>
      </c>
      <c r="J2445" s="17">
        <v>1763</v>
      </c>
      <c r="K2445" s="17">
        <v>90189</v>
      </c>
      <c r="L2445" s="17">
        <v>20800.703750000001</v>
      </c>
      <c r="M2445" s="17">
        <v>2025</v>
      </c>
      <c r="N2445" s="17" t="s">
        <v>171</v>
      </c>
    </row>
    <row r="2446" spans="1:14" ht="14.25" customHeight="1">
      <c r="A2446" s="17">
        <v>12445</v>
      </c>
      <c r="B2446" s="18">
        <v>45865</v>
      </c>
      <c r="C2446" s="17" t="s">
        <v>167</v>
      </c>
      <c r="D2446" s="17" t="s">
        <v>89</v>
      </c>
      <c r="E2446" s="17" t="s">
        <v>168</v>
      </c>
      <c r="F2446" s="17" t="s">
        <v>172</v>
      </c>
      <c r="G2446" s="17">
        <v>1</v>
      </c>
      <c r="H2446" s="17">
        <v>27043</v>
      </c>
      <c r="I2446" s="17">
        <v>27043</v>
      </c>
      <c r="J2446" s="17">
        <v>541</v>
      </c>
      <c r="K2446" s="17">
        <v>26502</v>
      </c>
      <c r="L2446" s="17">
        <v>2758.9414919999999</v>
      </c>
      <c r="M2446" s="17">
        <v>2025</v>
      </c>
      <c r="N2446" s="17" t="s">
        <v>123</v>
      </c>
    </row>
    <row r="2447" spans="1:14" ht="14.25" customHeight="1">
      <c r="A2447" s="17">
        <v>12446</v>
      </c>
      <c r="B2447" s="18">
        <v>46022</v>
      </c>
      <c r="C2447" s="17" t="s">
        <v>167</v>
      </c>
      <c r="D2447" s="17" t="s">
        <v>86</v>
      </c>
      <c r="E2447" s="17" t="s">
        <v>162</v>
      </c>
      <c r="F2447" s="17" t="s">
        <v>163</v>
      </c>
      <c r="G2447" s="17">
        <v>2</v>
      </c>
      <c r="H2447" s="17">
        <v>58134</v>
      </c>
      <c r="I2447" s="17">
        <v>116268</v>
      </c>
      <c r="J2447" s="17">
        <v>1529</v>
      </c>
      <c r="K2447" s="17">
        <v>114739</v>
      </c>
      <c r="L2447" s="17">
        <v>23394.01959</v>
      </c>
      <c r="M2447" s="17">
        <v>2025</v>
      </c>
      <c r="N2447" s="17" t="s">
        <v>169</v>
      </c>
    </row>
    <row r="2448" spans="1:14" ht="14.25" customHeight="1">
      <c r="A2448" s="17">
        <v>12447</v>
      </c>
      <c r="B2448" s="18">
        <v>45696</v>
      </c>
      <c r="C2448" s="17" t="s">
        <v>39</v>
      </c>
      <c r="D2448" s="17" t="s">
        <v>170</v>
      </c>
      <c r="E2448" s="17" t="s">
        <v>162</v>
      </c>
      <c r="F2448" s="17" t="s">
        <v>163</v>
      </c>
      <c r="G2448" s="17">
        <v>4</v>
      </c>
      <c r="H2448" s="17">
        <v>60326</v>
      </c>
      <c r="I2448" s="17">
        <v>241304</v>
      </c>
      <c r="J2448" s="17">
        <v>1180</v>
      </c>
      <c r="K2448" s="17">
        <v>240124</v>
      </c>
      <c r="L2448" s="17">
        <v>26600.439910000001</v>
      </c>
      <c r="M2448" s="17">
        <v>2025</v>
      </c>
      <c r="N2448" s="17" t="s">
        <v>175</v>
      </c>
    </row>
    <row r="2449" spans="1:14" ht="14.25" customHeight="1">
      <c r="A2449" s="17">
        <v>12448</v>
      </c>
      <c r="B2449" s="18">
        <v>45537</v>
      </c>
      <c r="C2449" s="17" t="s">
        <v>50</v>
      </c>
      <c r="D2449" s="17" t="s">
        <v>83</v>
      </c>
      <c r="E2449" s="17" t="s">
        <v>168</v>
      </c>
      <c r="F2449" s="17" t="s">
        <v>163</v>
      </c>
      <c r="G2449" s="17">
        <v>6</v>
      </c>
      <c r="H2449" s="17">
        <v>22381</v>
      </c>
      <c r="I2449" s="17">
        <v>134286</v>
      </c>
      <c r="J2449" s="17">
        <v>2688</v>
      </c>
      <c r="K2449" s="17">
        <v>131598</v>
      </c>
      <c r="L2449" s="17">
        <v>16085.86435</v>
      </c>
      <c r="M2449" s="17">
        <v>2024</v>
      </c>
      <c r="N2449" s="17" t="s">
        <v>129</v>
      </c>
    </row>
    <row r="2450" spans="1:14" ht="14.25" customHeight="1">
      <c r="A2450" s="17">
        <v>12449</v>
      </c>
      <c r="B2450" s="18">
        <v>45882</v>
      </c>
      <c r="C2450" s="17" t="s">
        <v>39</v>
      </c>
      <c r="D2450" s="17" t="s">
        <v>111</v>
      </c>
      <c r="E2450" s="17" t="s">
        <v>165</v>
      </c>
      <c r="F2450" s="17" t="s">
        <v>163</v>
      </c>
      <c r="G2450" s="17">
        <v>4</v>
      </c>
      <c r="H2450" s="17">
        <v>38264</v>
      </c>
      <c r="I2450" s="17">
        <v>153056</v>
      </c>
      <c r="J2450" s="17">
        <v>2617</v>
      </c>
      <c r="K2450" s="17">
        <v>150439</v>
      </c>
      <c r="L2450" s="17">
        <v>30841.687890000001</v>
      </c>
      <c r="M2450" s="17">
        <v>2025</v>
      </c>
      <c r="N2450" s="17" t="s">
        <v>126</v>
      </c>
    </row>
    <row r="2451" spans="1:14" ht="14.25" customHeight="1">
      <c r="A2451" s="17">
        <v>12450</v>
      </c>
      <c r="B2451" s="18">
        <v>45952</v>
      </c>
      <c r="C2451" s="17" t="s">
        <v>45</v>
      </c>
      <c r="D2451" s="17" t="s">
        <v>86</v>
      </c>
      <c r="E2451" s="17" t="s">
        <v>162</v>
      </c>
      <c r="F2451" s="17" t="s">
        <v>164</v>
      </c>
      <c r="G2451" s="17">
        <v>4</v>
      </c>
      <c r="H2451" s="17">
        <v>27069</v>
      </c>
      <c r="I2451" s="17">
        <v>108276</v>
      </c>
      <c r="J2451" s="17">
        <v>2754</v>
      </c>
      <c r="K2451" s="17">
        <v>105522</v>
      </c>
      <c r="L2451" s="17">
        <v>15138.027959999999</v>
      </c>
      <c r="M2451" s="17">
        <v>2025</v>
      </c>
      <c r="N2451" s="17" t="s">
        <v>174</v>
      </c>
    </row>
    <row r="2452" spans="1:14" ht="14.25" customHeight="1">
      <c r="A2452" s="17">
        <v>12451</v>
      </c>
      <c r="B2452" s="18">
        <v>45941</v>
      </c>
      <c r="C2452" s="17" t="s">
        <v>167</v>
      </c>
      <c r="D2452" s="17" t="s">
        <v>83</v>
      </c>
      <c r="E2452" s="17" t="s">
        <v>162</v>
      </c>
      <c r="F2452" s="17" t="s">
        <v>163</v>
      </c>
      <c r="G2452" s="17">
        <v>2</v>
      </c>
      <c r="H2452" s="17">
        <v>47964</v>
      </c>
      <c r="I2452" s="17">
        <v>95928</v>
      </c>
      <c r="J2452" s="17">
        <v>928</v>
      </c>
      <c r="K2452" s="17">
        <v>95000</v>
      </c>
      <c r="L2452" s="17">
        <v>12498.67597</v>
      </c>
      <c r="M2452" s="17">
        <v>2025</v>
      </c>
      <c r="N2452" s="17" t="s">
        <v>174</v>
      </c>
    </row>
    <row r="2453" spans="1:14" ht="14.25" customHeight="1">
      <c r="A2453" s="17">
        <v>12452</v>
      </c>
      <c r="B2453" s="18">
        <v>45762</v>
      </c>
      <c r="C2453" s="17" t="s">
        <v>45</v>
      </c>
      <c r="D2453" s="17" t="s">
        <v>89</v>
      </c>
      <c r="E2453" s="17" t="s">
        <v>165</v>
      </c>
      <c r="F2453" s="17" t="s">
        <v>164</v>
      </c>
      <c r="G2453" s="17">
        <v>9</v>
      </c>
      <c r="H2453" s="17">
        <v>71734</v>
      </c>
      <c r="I2453" s="17">
        <v>645606</v>
      </c>
      <c r="J2453" s="17">
        <v>1426</v>
      </c>
      <c r="K2453" s="17">
        <v>644180</v>
      </c>
      <c r="L2453" s="17">
        <v>141867.0661</v>
      </c>
      <c r="M2453" s="17">
        <v>2025</v>
      </c>
      <c r="N2453" s="17" t="s">
        <v>114</v>
      </c>
    </row>
    <row r="2454" spans="1:14" ht="14.25" customHeight="1">
      <c r="A2454" s="17">
        <v>12453</v>
      </c>
      <c r="B2454" s="18">
        <v>45714</v>
      </c>
      <c r="C2454" s="17" t="s">
        <v>167</v>
      </c>
      <c r="D2454" s="17" t="s">
        <v>111</v>
      </c>
      <c r="E2454" s="17" t="s">
        <v>162</v>
      </c>
      <c r="F2454" s="17" t="s">
        <v>166</v>
      </c>
      <c r="G2454" s="17">
        <v>8</v>
      </c>
      <c r="H2454" s="17">
        <v>10910</v>
      </c>
      <c r="I2454" s="17">
        <v>87280</v>
      </c>
      <c r="J2454" s="17">
        <v>3659</v>
      </c>
      <c r="K2454" s="17">
        <v>83621</v>
      </c>
      <c r="L2454" s="17">
        <v>20231.016350000002</v>
      </c>
      <c r="M2454" s="17">
        <v>2025</v>
      </c>
      <c r="N2454" s="17" t="s">
        <v>175</v>
      </c>
    </row>
    <row r="2455" spans="1:14" ht="14.25" customHeight="1">
      <c r="A2455" s="17">
        <v>12454</v>
      </c>
      <c r="B2455" s="18">
        <v>45356</v>
      </c>
      <c r="C2455" s="17" t="s">
        <v>167</v>
      </c>
      <c r="D2455" s="17" t="s">
        <v>170</v>
      </c>
      <c r="E2455" s="17" t="s">
        <v>165</v>
      </c>
      <c r="F2455" s="17" t="s">
        <v>163</v>
      </c>
      <c r="G2455" s="17">
        <v>8</v>
      </c>
      <c r="H2455" s="17">
        <v>76020</v>
      </c>
      <c r="I2455" s="17">
        <v>608160</v>
      </c>
      <c r="J2455" s="17">
        <v>2233</v>
      </c>
      <c r="K2455" s="17">
        <v>605927</v>
      </c>
      <c r="L2455" s="17">
        <v>81713.556379999995</v>
      </c>
      <c r="M2455" s="17">
        <v>2024</v>
      </c>
      <c r="N2455" s="17" t="s">
        <v>112</v>
      </c>
    </row>
    <row r="2456" spans="1:14" ht="14.25" customHeight="1">
      <c r="A2456" s="17">
        <v>12455</v>
      </c>
      <c r="B2456" s="18">
        <v>45304</v>
      </c>
      <c r="C2456" s="17" t="s">
        <v>58</v>
      </c>
      <c r="D2456" s="17" t="s">
        <v>89</v>
      </c>
      <c r="E2456" s="17" t="s">
        <v>165</v>
      </c>
      <c r="F2456" s="17" t="s">
        <v>164</v>
      </c>
      <c r="G2456" s="17">
        <v>5</v>
      </c>
      <c r="H2456" s="17">
        <v>51165</v>
      </c>
      <c r="I2456" s="17">
        <v>255825</v>
      </c>
      <c r="J2456" s="17">
        <v>3909</v>
      </c>
      <c r="K2456" s="17">
        <v>251916</v>
      </c>
      <c r="L2456" s="17">
        <v>37177.610480000003</v>
      </c>
      <c r="M2456" s="17">
        <v>2024</v>
      </c>
      <c r="N2456" s="17" t="s">
        <v>171</v>
      </c>
    </row>
    <row r="2457" spans="1:14" ht="14.25" customHeight="1">
      <c r="A2457" s="17">
        <v>12456</v>
      </c>
      <c r="B2457" s="18">
        <v>45504</v>
      </c>
      <c r="C2457" s="17" t="s">
        <v>45</v>
      </c>
      <c r="D2457" s="17" t="s">
        <v>111</v>
      </c>
      <c r="E2457" s="17" t="s">
        <v>168</v>
      </c>
      <c r="F2457" s="17" t="s">
        <v>164</v>
      </c>
      <c r="G2457" s="17">
        <v>3</v>
      </c>
      <c r="H2457" s="17">
        <v>71112</v>
      </c>
      <c r="I2457" s="17">
        <v>213336</v>
      </c>
      <c r="J2457" s="17">
        <v>4990</v>
      </c>
      <c r="K2457" s="17">
        <v>208346</v>
      </c>
      <c r="L2457" s="17">
        <v>43150.74755</v>
      </c>
      <c r="M2457" s="17">
        <v>2024</v>
      </c>
      <c r="N2457" s="17" t="s">
        <v>123</v>
      </c>
    </row>
    <row r="2458" spans="1:14" ht="14.25" customHeight="1">
      <c r="A2458" s="17">
        <v>12457</v>
      </c>
      <c r="B2458" s="18">
        <v>45533</v>
      </c>
      <c r="C2458" s="17" t="s">
        <v>45</v>
      </c>
      <c r="D2458" s="17" t="s">
        <v>86</v>
      </c>
      <c r="E2458" s="17" t="s">
        <v>162</v>
      </c>
      <c r="F2458" s="17" t="s">
        <v>164</v>
      </c>
      <c r="G2458" s="17">
        <v>6</v>
      </c>
      <c r="H2458" s="17">
        <v>37821</v>
      </c>
      <c r="I2458" s="17">
        <v>226926</v>
      </c>
      <c r="J2458" s="17">
        <v>2061</v>
      </c>
      <c r="K2458" s="17">
        <v>224865</v>
      </c>
      <c r="L2458" s="17">
        <v>49986.1247</v>
      </c>
      <c r="M2458" s="17">
        <v>2024</v>
      </c>
      <c r="N2458" s="17" t="s">
        <v>126</v>
      </c>
    </row>
    <row r="2459" spans="1:14" ht="14.25" customHeight="1">
      <c r="A2459" s="17">
        <v>12458</v>
      </c>
      <c r="B2459" s="18">
        <v>45784</v>
      </c>
      <c r="C2459" s="17" t="s">
        <v>58</v>
      </c>
      <c r="D2459" s="17" t="s">
        <v>83</v>
      </c>
      <c r="E2459" s="17" t="s">
        <v>165</v>
      </c>
      <c r="F2459" s="17" t="s">
        <v>172</v>
      </c>
      <c r="G2459" s="17">
        <v>9</v>
      </c>
      <c r="H2459" s="17">
        <v>49392</v>
      </c>
      <c r="I2459" s="17">
        <v>444528</v>
      </c>
      <c r="J2459" s="17">
        <v>4097</v>
      </c>
      <c r="K2459" s="17">
        <v>440431</v>
      </c>
      <c r="L2459" s="17">
        <v>110052.4077</v>
      </c>
      <c r="M2459" s="17">
        <v>2025</v>
      </c>
      <c r="N2459" s="17" t="s">
        <v>117</v>
      </c>
    </row>
    <row r="2460" spans="1:14" ht="14.25" customHeight="1">
      <c r="A2460" s="17">
        <v>12459</v>
      </c>
      <c r="B2460" s="18">
        <v>45504</v>
      </c>
      <c r="C2460" s="17" t="s">
        <v>50</v>
      </c>
      <c r="D2460" s="17" t="s">
        <v>83</v>
      </c>
      <c r="E2460" s="17" t="s">
        <v>168</v>
      </c>
      <c r="F2460" s="17" t="s">
        <v>164</v>
      </c>
      <c r="G2460" s="17">
        <v>8</v>
      </c>
      <c r="H2460" s="17">
        <v>53603</v>
      </c>
      <c r="I2460" s="17">
        <v>428824</v>
      </c>
      <c r="J2460" s="17">
        <v>2563</v>
      </c>
      <c r="K2460" s="17">
        <v>426261</v>
      </c>
      <c r="L2460" s="17">
        <v>60105.191680000004</v>
      </c>
      <c r="M2460" s="17">
        <v>2024</v>
      </c>
      <c r="N2460" s="17" t="s">
        <v>123</v>
      </c>
    </row>
    <row r="2461" spans="1:14" ht="14.25" customHeight="1">
      <c r="A2461" s="17">
        <v>12460</v>
      </c>
      <c r="B2461" s="18">
        <v>45984</v>
      </c>
      <c r="C2461" s="17" t="s">
        <v>45</v>
      </c>
      <c r="D2461" s="17" t="s">
        <v>111</v>
      </c>
      <c r="E2461" s="17" t="s">
        <v>162</v>
      </c>
      <c r="F2461" s="17" t="s">
        <v>163</v>
      </c>
      <c r="G2461" s="17">
        <v>7</v>
      </c>
      <c r="H2461" s="17">
        <v>37996</v>
      </c>
      <c r="I2461" s="17">
        <v>265972</v>
      </c>
      <c r="J2461" s="17">
        <v>2803</v>
      </c>
      <c r="K2461" s="17">
        <v>263169</v>
      </c>
      <c r="L2461" s="17">
        <v>48289.61361</v>
      </c>
      <c r="M2461" s="17">
        <v>2025</v>
      </c>
      <c r="N2461" s="17" t="s">
        <v>173</v>
      </c>
    </row>
    <row r="2462" spans="1:14" ht="14.25" customHeight="1">
      <c r="A2462" s="17">
        <v>12461</v>
      </c>
      <c r="B2462" s="18">
        <v>45629</v>
      </c>
      <c r="C2462" s="17" t="s">
        <v>39</v>
      </c>
      <c r="D2462" s="17" t="s">
        <v>89</v>
      </c>
      <c r="E2462" s="17" t="s">
        <v>168</v>
      </c>
      <c r="F2462" s="17" t="s">
        <v>163</v>
      </c>
      <c r="G2462" s="17">
        <v>8</v>
      </c>
      <c r="H2462" s="17">
        <v>71520</v>
      </c>
      <c r="I2462" s="17">
        <v>572160</v>
      </c>
      <c r="J2462" s="17">
        <v>2293</v>
      </c>
      <c r="K2462" s="17">
        <v>569867</v>
      </c>
      <c r="L2462" s="17">
        <v>68442.645820000005</v>
      </c>
      <c r="M2462" s="17">
        <v>2024</v>
      </c>
      <c r="N2462" s="17" t="s">
        <v>169</v>
      </c>
    </row>
    <row r="2463" spans="1:14" ht="14.25" customHeight="1">
      <c r="A2463" s="17">
        <v>12462</v>
      </c>
      <c r="B2463" s="18">
        <v>45464</v>
      </c>
      <c r="C2463" s="17" t="s">
        <v>58</v>
      </c>
      <c r="D2463" s="17" t="s">
        <v>170</v>
      </c>
      <c r="E2463" s="17" t="s">
        <v>168</v>
      </c>
      <c r="F2463" s="17" t="s">
        <v>163</v>
      </c>
      <c r="G2463" s="17">
        <v>4</v>
      </c>
      <c r="H2463" s="17">
        <v>30044</v>
      </c>
      <c r="I2463" s="17">
        <v>120176</v>
      </c>
      <c r="J2463" s="17">
        <v>1625</v>
      </c>
      <c r="K2463" s="17">
        <v>118551</v>
      </c>
      <c r="L2463" s="17">
        <v>17738.31379</v>
      </c>
      <c r="M2463" s="17">
        <v>2024</v>
      </c>
      <c r="N2463" s="17" t="s">
        <v>120</v>
      </c>
    </row>
    <row r="2464" spans="1:14" ht="14.25" customHeight="1">
      <c r="A2464" s="17">
        <v>12463</v>
      </c>
      <c r="B2464" s="18">
        <v>45963</v>
      </c>
      <c r="C2464" s="17" t="s">
        <v>45</v>
      </c>
      <c r="D2464" s="17" t="s">
        <v>86</v>
      </c>
      <c r="E2464" s="17" t="s">
        <v>165</v>
      </c>
      <c r="F2464" s="17" t="s">
        <v>164</v>
      </c>
      <c r="G2464" s="17">
        <v>6</v>
      </c>
      <c r="H2464" s="17">
        <v>47809</v>
      </c>
      <c r="I2464" s="17">
        <v>286854</v>
      </c>
      <c r="J2464" s="17">
        <v>571</v>
      </c>
      <c r="K2464" s="17">
        <v>286283</v>
      </c>
      <c r="L2464" s="17">
        <v>30559.360619999999</v>
      </c>
      <c r="M2464" s="17">
        <v>2025</v>
      </c>
      <c r="N2464" s="17" t="s">
        <v>173</v>
      </c>
    </row>
    <row r="2465" spans="1:14" ht="14.25" customHeight="1">
      <c r="A2465" s="17">
        <v>12464</v>
      </c>
      <c r="B2465" s="18">
        <v>45455</v>
      </c>
      <c r="C2465" s="17" t="s">
        <v>50</v>
      </c>
      <c r="D2465" s="17" t="s">
        <v>111</v>
      </c>
      <c r="E2465" s="17" t="s">
        <v>162</v>
      </c>
      <c r="F2465" s="17" t="s">
        <v>164</v>
      </c>
      <c r="G2465" s="17">
        <v>5</v>
      </c>
      <c r="H2465" s="17">
        <v>38299</v>
      </c>
      <c r="I2465" s="17">
        <v>191495</v>
      </c>
      <c r="J2465" s="17">
        <v>4531</v>
      </c>
      <c r="K2465" s="17">
        <v>186964</v>
      </c>
      <c r="L2465" s="17">
        <v>24609.282599999999</v>
      </c>
      <c r="M2465" s="17">
        <v>2024</v>
      </c>
      <c r="N2465" s="17" t="s">
        <v>120</v>
      </c>
    </row>
    <row r="2466" spans="1:14" ht="14.25" customHeight="1">
      <c r="A2466" s="17">
        <v>12465</v>
      </c>
      <c r="B2466" s="18">
        <v>45756</v>
      </c>
      <c r="C2466" s="17" t="s">
        <v>45</v>
      </c>
      <c r="D2466" s="17" t="s">
        <v>86</v>
      </c>
      <c r="E2466" s="17" t="s">
        <v>168</v>
      </c>
      <c r="F2466" s="17" t="s">
        <v>172</v>
      </c>
      <c r="G2466" s="17">
        <v>2</v>
      </c>
      <c r="H2466" s="17">
        <v>67647</v>
      </c>
      <c r="I2466" s="17">
        <v>135294</v>
      </c>
      <c r="J2466" s="17">
        <v>2400</v>
      </c>
      <c r="K2466" s="17">
        <v>132894</v>
      </c>
      <c r="L2466" s="17">
        <v>23386.91822</v>
      </c>
      <c r="M2466" s="17">
        <v>2025</v>
      </c>
      <c r="N2466" s="17" t="s">
        <v>114</v>
      </c>
    </row>
    <row r="2467" spans="1:14" ht="14.25" customHeight="1">
      <c r="A2467" s="17">
        <v>12466</v>
      </c>
      <c r="B2467" s="18">
        <v>45788</v>
      </c>
      <c r="C2467" s="17" t="s">
        <v>167</v>
      </c>
      <c r="D2467" s="17" t="s">
        <v>83</v>
      </c>
      <c r="E2467" s="17" t="s">
        <v>165</v>
      </c>
      <c r="F2467" s="17" t="s">
        <v>166</v>
      </c>
      <c r="G2467" s="17">
        <v>8</v>
      </c>
      <c r="H2467" s="17">
        <v>78564</v>
      </c>
      <c r="I2467" s="17">
        <v>628512</v>
      </c>
      <c r="J2467" s="17">
        <v>1711</v>
      </c>
      <c r="K2467" s="17">
        <v>626801</v>
      </c>
      <c r="L2467" s="17">
        <v>78076.757289999994</v>
      </c>
      <c r="M2467" s="17">
        <v>2025</v>
      </c>
      <c r="N2467" s="17" t="s">
        <v>117</v>
      </c>
    </row>
    <row r="2468" spans="1:14" ht="14.25" customHeight="1">
      <c r="A2468" s="17">
        <v>12467</v>
      </c>
      <c r="B2468" s="18">
        <v>45991</v>
      </c>
      <c r="C2468" s="17" t="s">
        <v>39</v>
      </c>
      <c r="D2468" s="17" t="s">
        <v>170</v>
      </c>
      <c r="E2468" s="17" t="s">
        <v>165</v>
      </c>
      <c r="F2468" s="17" t="s">
        <v>172</v>
      </c>
      <c r="G2468" s="17">
        <v>3</v>
      </c>
      <c r="H2468" s="17">
        <v>37857</v>
      </c>
      <c r="I2468" s="17">
        <v>113571</v>
      </c>
      <c r="J2468" s="17">
        <v>382</v>
      </c>
      <c r="K2468" s="17">
        <v>113189</v>
      </c>
      <c r="L2468" s="17">
        <v>26419.161120000001</v>
      </c>
      <c r="M2468" s="17">
        <v>2025</v>
      </c>
      <c r="N2468" s="17" t="s">
        <v>173</v>
      </c>
    </row>
    <row r="2469" spans="1:14" ht="14.25" customHeight="1">
      <c r="A2469" s="17">
        <v>12468</v>
      </c>
      <c r="B2469" s="18">
        <v>45686</v>
      </c>
      <c r="C2469" s="17" t="s">
        <v>58</v>
      </c>
      <c r="D2469" s="17" t="s">
        <v>86</v>
      </c>
      <c r="E2469" s="17" t="s">
        <v>168</v>
      </c>
      <c r="F2469" s="17" t="s">
        <v>163</v>
      </c>
      <c r="G2469" s="17">
        <v>5</v>
      </c>
      <c r="H2469" s="17">
        <v>43503</v>
      </c>
      <c r="I2469" s="17">
        <v>217515</v>
      </c>
      <c r="J2469" s="17">
        <v>1083</v>
      </c>
      <c r="K2469" s="17">
        <v>216432</v>
      </c>
      <c r="L2469" s="17">
        <v>44703.239990000002</v>
      </c>
      <c r="M2469" s="17">
        <v>2025</v>
      </c>
      <c r="N2469" s="17" t="s">
        <v>171</v>
      </c>
    </row>
    <row r="2470" spans="1:14" ht="14.25" customHeight="1">
      <c r="A2470" s="17">
        <v>12469</v>
      </c>
      <c r="B2470" s="18">
        <v>45994</v>
      </c>
      <c r="C2470" s="17" t="s">
        <v>167</v>
      </c>
      <c r="D2470" s="17" t="s">
        <v>111</v>
      </c>
      <c r="E2470" s="17" t="s">
        <v>168</v>
      </c>
      <c r="F2470" s="17" t="s">
        <v>163</v>
      </c>
      <c r="G2470" s="17">
        <v>8</v>
      </c>
      <c r="H2470" s="17">
        <v>70217</v>
      </c>
      <c r="I2470" s="17">
        <v>561736</v>
      </c>
      <c r="J2470" s="17">
        <v>1949</v>
      </c>
      <c r="K2470" s="17">
        <v>559787</v>
      </c>
      <c r="L2470" s="17">
        <v>58307.638050000001</v>
      </c>
      <c r="M2470" s="17">
        <v>2025</v>
      </c>
      <c r="N2470" s="17" t="s">
        <v>169</v>
      </c>
    </row>
    <row r="2471" spans="1:14" ht="14.25" customHeight="1">
      <c r="A2471" s="17">
        <v>12470</v>
      </c>
      <c r="B2471" s="18">
        <v>45599</v>
      </c>
      <c r="C2471" s="17" t="s">
        <v>50</v>
      </c>
      <c r="D2471" s="17" t="s">
        <v>170</v>
      </c>
      <c r="E2471" s="17" t="s">
        <v>165</v>
      </c>
      <c r="F2471" s="17" t="s">
        <v>163</v>
      </c>
      <c r="G2471" s="17">
        <v>9</v>
      </c>
      <c r="H2471" s="17">
        <v>30982</v>
      </c>
      <c r="I2471" s="17">
        <v>278838</v>
      </c>
      <c r="J2471" s="17">
        <v>2517</v>
      </c>
      <c r="K2471" s="17">
        <v>276321</v>
      </c>
      <c r="L2471" s="17">
        <v>63969.757590000001</v>
      </c>
      <c r="M2471" s="17">
        <v>2024</v>
      </c>
      <c r="N2471" s="17" t="s">
        <v>173</v>
      </c>
    </row>
    <row r="2472" spans="1:14" ht="14.25" customHeight="1">
      <c r="A2472" s="17">
        <v>12471</v>
      </c>
      <c r="B2472" s="18">
        <v>45474</v>
      </c>
      <c r="C2472" s="17" t="s">
        <v>167</v>
      </c>
      <c r="D2472" s="17" t="s">
        <v>89</v>
      </c>
      <c r="E2472" s="17" t="s">
        <v>168</v>
      </c>
      <c r="F2472" s="17" t="s">
        <v>172</v>
      </c>
      <c r="G2472" s="17">
        <v>9</v>
      </c>
      <c r="H2472" s="17">
        <v>71828</v>
      </c>
      <c r="I2472" s="17">
        <v>646452</v>
      </c>
      <c r="J2472" s="17">
        <v>4169</v>
      </c>
      <c r="K2472" s="17">
        <v>642283</v>
      </c>
      <c r="L2472" s="17">
        <v>158385.799</v>
      </c>
      <c r="M2472" s="17">
        <v>2024</v>
      </c>
      <c r="N2472" s="17" t="s">
        <v>123</v>
      </c>
    </row>
    <row r="2473" spans="1:14" ht="14.25" customHeight="1">
      <c r="A2473" s="17">
        <v>12472</v>
      </c>
      <c r="B2473" s="18">
        <v>45920</v>
      </c>
      <c r="C2473" s="17" t="s">
        <v>167</v>
      </c>
      <c r="D2473" s="17" t="s">
        <v>111</v>
      </c>
      <c r="E2473" s="17" t="s">
        <v>168</v>
      </c>
      <c r="F2473" s="17" t="s">
        <v>163</v>
      </c>
      <c r="G2473" s="17">
        <v>5</v>
      </c>
      <c r="H2473" s="17">
        <v>58262</v>
      </c>
      <c r="I2473" s="17">
        <v>291310</v>
      </c>
      <c r="J2473" s="17">
        <v>3497</v>
      </c>
      <c r="K2473" s="17">
        <v>287813</v>
      </c>
      <c r="L2473" s="17">
        <v>50447.642599999999</v>
      </c>
      <c r="M2473" s="17">
        <v>2025</v>
      </c>
      <c r="N2473" s="17" t="s">
        <v>129</v>
      </c>
    </row>
    <row r="2474" spans="1:14" ht="14.25" customHeight="1">
      <c r="A2474" s="17">
        <v>12473</v>
      </c>
      <c r="B2474" s="18">
        <v>45801</v>
      </c>
      <c r="C2474" s="17" t="s">
        <v>50</v>
      </c>
      <c r="D2474" s="17" t="s">
        <v>86</v>
      </c>
      <c r="E2474" s="17" t="s">
        <v>162</v>
      </c>
      <c r="F2474" s="17" t="s">
        <v>163</v>
      </c>
      <c r="G2474" s="17">
        <v>2</v>
      </c>
      <c r="H2474" s="17">
        <v>28880</v>
      </c>
      <c r="I2474" s="17">
        <v>57760</v>
      </c>
      <c r="J2474" s="17">
        <v>3314</v>
      </c>
      <c r="K2474" s="17">
        <v>54446</v>
      </c>
      <c r="L2474" s="17">
        <v>8013.9939420000001</v>
      </c>
      <c r="M2474" s="17">
        <v>2025</v>
      </c>
      <c r="N2474" s="17" t="s">
        <v>117</v>
      </c>
    </row>
    <row r="2475" spans="1:14" ht="14.25" customHeight="1">
      <c r="A2475" s="17">
        <v>12474</v>
      </c>
      <c r="B2475" s="18">
        <v>45999</v>
      </c>
      <c r="C2475" s="17" t="s">
        <v>167</v>
      </c>
      <c r="D2475" s="17" t="s">
        <v>170</v>
      </c>
      <c r="E2475" s="17" t="s">
        <v>165</v>
      </c>
      <c r="F2475" s="17" t="s">
        <v>163</v>
      </c>
      <c r="G2475" s="17">
        <v>7</v>
      </c>
      <c r="H2475" s="17">
        <v>12559</v>
      </c>
      <c r="I2475" s="17">
        <v>87913</v>
      </c>
      <c r="J2475" s="17">
        <v>4930</v>
      </c>
      <c r="K2475" s="17">
        <v>82983</v>
      </c>
      <c r="L2475" s="17">
        <v>11577.760560000001</v>
      </c>
      <c r="M2475" s="17">
        <v>2025</v>
      </c>
      <c r="N2475" s="17" t="s">
        <v>169</v>
      </c>
    </row>
    <row r="2476" spans="1:14" ht="14.25" customHeight="1">
      <c r="A2476" s="17">
        <v>12475</v>
      </c>
      <c r="B2476" s="18">
        <v>45837</v>
      </c>
      <c r="C2476" s="17" t="s">
        <v>58</v>
      </c>
      <c r="D2476" s="17" t="s">
        <v>111</v>
      </c>
      <c r="E2476" s="17" t="s">
        <v>168</v>
      </c>
      <c r="F2476" s="17" t="s">
        <v>164</v>
      </c>
      <c r="G2476" s="17">
        <v>7</v>
      </c>
      <c r="H2476" s="17">
        <v>41549</v>
      </c>
      <c r="I2476" s="17">
        <v>290843</v>
      </c>
      <c r="J2476" s="17">
        <v>2675</v>
      </c>
      <c r="K2476" s="17">
        <v>288168</v>
      </c>
      <c r="L2476" s="17">
        <v>32595.525119999998</v>
      </c>
      <c r="M2476" s="17">
        <v>2025</v>
      </c>
      <c r="N2476" s="17" t="s">
        <v>120</v>
      </c>
    </row>
    <row r="2477" spans="1:14" ht="14.25" customHeight="1">
      <c r="A2477" s="17">
        <v>12476</v>
      </c>
      <c r="B2477" s="18">
        <v>45855</v>
      </c>
      <c r="C2477" s="17" t="s">
        <v>45</v>
      </c>
      <c r="D2477" s="17" t="s">
        <v>170</v>
      </c>
      <c r="E2477" s="17" t="s">
        <v>165</v>
      </c>
      <c r="F2477" s="17" t="s">
        <v>166</v>
      </c>
      <c r="G2477" s="17">
        <v>8</v>
      </c>
      <c r="H2477" s="17">
        <v>40159</v>
      </c>
      <c r="I2477" s="17">
        <v>321272</v>
      </c>
      <c r="J2477" s="17">
        <v>3394</v>
      </c>
      <c r="K2477" s="17">
        <v>317878</v>
      </c>
      <c r="L2477" s="17">
        <v>55228.570879999999</v>
      </c>
      <c r="M2477" s="17">
        <v>2025</v>
      </c>
      <c r="N2477" s="17" t="s">
        <v>123</v>
      </c>
    </row>
    <row r="2478" spans="1:14" ht="14.25" customHeight="1">
      <c r="A2478" s="17">
        <v>12477</v>
      </c>
      <c r="B2478" s="18">
        <v>45915</v>
      </c>
      <c r="C2478" s="17" t="s">
        <v>167</v>
      </c>
      <c r="D2478" s="17" t="s">
        <v>170</v>
      </c>
      <c r="E2478" s="17" t="s">
        <v>162</v>
      </c>
      <c r="F2478" s="17" t="s">
        <v>164</v>
      </c>
      <c r="G2478" s="17">
        <v>8</v>
      </c>
      <c r="H2478" s="17">
        <v>55370</v>
      </c>
      <c r="I2478" s="17">
        <v>442960</v>
      </c>
      <c r="J2478" s="17">
        <v>1203</v>
      </c>
      <c r="K2478" s="17">
        <v>441757</v>
      </c>
      <c r="L2478" s="17">
        <v>47498.155859999999</v>
      </c>
      <c r="M2478" s="17">
        <v>2025</v>
      </c>
      <c r="N2478" s="17" t="s">
        <v>129</v>
      </c>
    </row>
    <row r="2479" spans="1:14" ht="14.25" customHeight="1">
      <c r="A2479" s="17">
        <v>12478</v>
      </c>
      <c r="B2479" s="18">
        <v>45885</v>
      </c>
      <c r="C2479" s="17" t="s">
        <v>58</v>
      </c>
      <c r="D2479" s="17" t="s">
        <v>170</v>
      </c>
      <c r="E2479" s="17" t="s">
        <v>165</v>
      </c>
      <c r="F2479" s="17" t="s">
        <v>164</v>
      </c>
      <c r="G2479" s="17">
        <v>5</v>
      </c>
      <c r="H2479" s="17">
        <v>64289</v>
      </c>
      <c r="I2479" s="17">
        <v>321445</v>
      </c>
      <c r="J2479" s="17">
        <v>773</v>
      </c>
      <c r="K2479" s="17">
        <v>320672</v>
      </c>
      <c r="L2479" s="17">
        <v>56302.171970000003</v>
      </c>
      <c r="M2479" s="17">
        <v>2025</v>
      </c>
      <c r="N2479" s="17" t="s">
        <v>126</v>
      </c>
    </row>
    <row r="2480" spans="1:14" ht="14.25" customHeight="1">
      <c r="A2480" s="17">
        <v>12479</v>
      </c>
      <c r="B2480" s="18">
        <v>45518</v>
      </c>
      <c r="C2480" s="17" t="s">
        <v>45</v>
      </c>
      <c r="D2480" s="17" t="s">
        <v>86</v>
      </c>
      <c r="E2480" s="17" t="s">
        <v>165</v>
      </c>
      <c r="F2480" s="17" t="s">
        <v>166</v>
      </c>
      <c r="G2480" s="17">
        <v>1</v>
      </c>
      <c r="H2480" s="17">
        <v>7252</v>
      </c>
      <c r="I2480" s="17">
        <v>7252</v>
      </c>
      <c r="J2480" s="17">
        <v>3056</v>
      </c>
      <c r="K2480" s="17">
        <v>4196</v>
      </c>
      <c r="L2480" s="17">
        <v>578.55398860000003</v>
      </c>
      <c r="M2480" s="17">
        <v>2024</v>
      </c>
      <c r="N2480" s="17" t="s">
        <v>126</v>
      </c>
    </row>
    <row r="2481" spans="1:14" ht="14.25" customHeight="1">
      <c r="A2481" s="17">
        <v>12480</v>
      </c>
      <c r="B2481" s="18">
        <v>45727</v>
      </c>
      <c r="C2481" s="17" t="s">
        <v>45</v>
      </c>
      <c r="D2481" s="17" t="s">
        <v>111</v>
      </c>
      <c r="E2481" s="17" t="s">
        <v>165</v>
      </c>
      <c r="F2481" s="17" t="s">
        <v>166</v>
      </c>
      <c r="G2481" s="17">
        <v>4</v>
      </c>
      <c r="H2481" s="17">
        <v>14866</v>
      </c>
      <c r="I2481" s="17">
        <v>59464</v>
      </c>
      <c r="J2481" s="17">
        <v>2313</v>
      </c>
      <c r="K2481" s="17">
        <v>57151</v>
      </c>
      <c r="L2481" s="17">
        <v>9799.3844040000004</v>
      </c>
      <c r="M2481" s="17">
        <v>2025</v>
      </c>
      <c r="N2481" s="17" t="s">
        <v>112</v>
      </c>
    </row>
    <row r="2482" spans="1:14" ht="14.25" customHeight="1">
      <c r="A2482" s="17">
        <v>12481</v>
      </c>
      <c r="B2482" s="18">
        <v>45713</v>
      </c>
      <c r="C2482" s="17" t="s">
        <v>167</v>
      </c>
      <c r="D2482" s="17" t="s">
        <v>83</v>
      </c>
      <c r="E2482" s="17" t="s">
        <v>162</v>
      </c>
      <c r="F2482" s="17" t="s">
        <v>172</v>
      </c>
      <c r="G2482" s="17">
        <v>4</v>
      </c>
      <c r="H2482" s="17">
        <v>42997</v>
      </c>
      <c r="I2482" s="17">
        <v>171988</v>
      </c>
      <c r="J2482" s="17">
        <v>2597</v>
      </c>
      <c r="K2482" s="17">
        <v>169391</v>
      </c>
      <c r="L2482" s="17">
        <v>27569.67583</v>
      </c>
      <c r="M2482" s="17">
        <v>2025</v>
      </c>
      <c r="N2482" s="17" t="s">
        <v>175</v>
      </c>
    </row>
    <row r="2483" spans="1:14" ht="14.25" customHeight="1">
      <c r="A2483" s="17">
        <v>12482</v>
      </c>
      <c r="B2483" s="18">
        <v>45845</v>
      </c>
      <c r="C2483" s="17" t="s">
        <v>58</v>
      </c>
      <c r="D2483" s="17" t="s">
        <v>83</v>
      </c>
      <c r="E2483" s="17" t="s">
        <v>162</v>
      </c>
      <c r="F2483" s="17" t="s">
        <v>166</v>
      </c>
      <c r="G2483" s="17">
        <v>3</v>
      </c>
      <c r="H2483" s="17">
        <v>12553</v>
      </c>
      <c r="I2483" s="17">
        <v>37659</v>
      </c>
      <c r="J2483" s="17">
        <v>1403</v>
      </c>
      <c r="K2483" s="17">
        <v>36256</v>
      </c>
      <c r="L2483" s="17">
        <v>5284.9333479999996</v>
      </c>
      <c r="M2483" s="17">
        <v>2025</v>
      </c>
      <c r="N2483" s="17" t="s">
        <v>123</v>
      </c>
    </row>
    <row r="2484" spans="1:14" ht="14.25" customHeight="1">
      <c r="A2484" s="17">
        <v>12483</v>
      </c>
      <c r="B2484" s="18">
        <v>45312</v>
      </c>
      <c r="C2484" s="17" t="s">
        <v>167</v>
      </c>
      <c r="D2484" s="17" t="s">
        <v>86</v>
      </c>
      <c r="E2484" s="17" t="s">
        <v>165</v>
      </c>
      <c r="F2484" s="17" t="s">
        <v>172</v>
      </c>
      <c r="G2484" s="17">
        <v>8</v>
      </c>
      <c r="H2484" s="17">
        <v>37831</v>
      </c>
      <c r="I2484" s="17">
        <v>302648</v>
      </c>
      <c r="J2484" s="17">
        <v>4172</v>
      </c>
      <c r="K2484" s="17">
        <v>298476</v>
      </c>
      <c r="L2484" s="17">
        <v>49933.76208</v>
      </c>
      <c r="M2484" s="17">
        <v>2024</v>
      </c>
      <c r="N2484" s="17" t="s">
        <v>171</v>
      </c>
    </row>
    <row r="2485" spans="1:14" ht="14.25" customHeight="1">
      <c r="A2485" s="17">
        <v>12484</v>
      </c>
      <c r="B2485" s="18">
        <v>45845</v>
      </c>
      <c r="C2485" s="17" t="s">
        <v>50</v>
      </c>
      <c r="D2485" s="17" t="s">
        <v>86</v>
      </c>
      <c r="E2485" s="17" t="s">
        <v>165</v>
      </c>
      <c r="F2485" s="17" t="s">
        <v>172</v>
      </c>
      <c r="G2485" s="17">
        <v>3</v>
      </c>
      <c r="H2485" s="17">
        <v>72323</v>
      </c>
      <c r="I2485" s="17">
        <v>216969</v>
      </c>
      <c r="J2485" s="17">
        <v>3061</v>
      </c>
      <c r="K2485" s="17">
        <v>213908</v>
      </c>
      <c r="L2485" s="17">
        <v>36600.746180000002</v>
      </c>
      <c r="M2485" s="17">
        <v>2025</v>
      </c>
      <c r="N2485" s="17" t="s">
        <v>123</v>
      </c>
    </row>
    <row r="2486" spans="1:14" ht="14.25" customHeight="1">
      <c r="A2486" s="17">
        <v>12485</v>
      </c>
      <c r="B2486" s="18">
        <v>45688</v>
      </c>
      <c r="C2486" s="17" t="s">
        <v>45</v>
      </c>
      <c r="D2486" s="17" t="s">
        <v>170</v>
      </c>
      <c r="E2486" s="17" t="s">
        <v>162</v>
      </c>
      <c r="F2486" s="17" t="s">
        <v>164</v>
      </c>
      <c r="G2486" s="17">
        <v>5</v>
      </c>
      <c r="H2486" s="17">
        <v>49810</v>
      </c>
      <c r="I2486" s="17">
        <v>249050</v>
      </c>
      <c r="J2486" s="17">
        <v>3325</v>
      </c>
      <c r="K2486" s="17">
        <v>245725</v>
      </c>
      <c r="L2486" s="17">
        <v>55301.336219999997</v>
      </c>
      <c r="M2486" s="17">
        <v>2025</v>
      </c>
      <c r="N2486" s="17" t="s">
        <v>171</v>
      </c>
    </row>
    <row r="2487" spans="1:14" ht="14.25" customHeight="1">
      <c r="A2487" s="17">
        <v>12486</v>
      </c>
      <c r="B2487" s="18">
        <v>45916</v>
      </c>
      <c r="C2487" s="17" t="s">
        <v>167</v>
      </c>
      <c r="D2487" s="17" t="s">
        <v>111</v>
      </c>
      <c r="E2487" s="17" t="s">
        <v>168</v>
      </c>
      <c r="F2487" s="17" t="s">
        <v>163</v>
      </c>
      <c r="G2487" s="17">
        <v>2</v>
      </c>
      <c r="H2487" s="17">
        <v>63719</v>
      </c>
      <c r="I2487" s="17">
        <v>127438</v>
      </c>
      <c r="J2487" s="17">
        <v>1403</v>
      </c>
      <c r="K2487" s="17">
        <v>126035</v>
      </c>
      <c r="L2487" s="17">
        <v>25190.30055</v>
      </c>
      <c r="M2487" s="17">
        <v>2025</v>
      </c>
      <c r="N2487" s="17" t="s">
        <v>129</v>
      </c>
    </row>
    <row r="2488" spans="1:14" ht="14.25" customHeight="1">
      <c r="A2488" s="17">
        <v>12487</v>
      </c>
      <c r="B2488" s="18">
        <v>45396</v>
      </c>
      <c r="C2488" s="17" t="s">
        <v>45</v>
      </c>
      <c r="D2488" s="17" t="s">
        <v>111</v>
      </c>
      <c r="E2488" s="17" t="s">
        <v>162</v>
      </c>
      <c r="F2488" s="17" t="s">
        <v>164</v>
      </c>
      <c r="G2488" s="17">
        <v>6</v>
      </c>
      <c r="H2488" s="17">
        <v>16726</v>
      </c>
      <c r="I2488" s="17">
        <v>100356</v>
      </c>
      <c r="J2488" s="17">
        <v>3320</v>
      </c>
      <c r="K2488" s="17">
        <v>97036</v>
      </c>
      <c r="L2488" s="17">
        <v>16008.367539999999</v>
      </c>
      <c r="M2488" s="17">
        <v>2024</v>
      </c>
      <c r="N2488" s="17" t="s">
        <v>114</v>
      </c>
    </row>
    <row r="2489" spans="1:14" ht="14.25" customHeight="1">
      <c r="A2489" s="17">
        <v>12488</v>
      </c>
      <c r="B2489" s="18">
        <v>45483</v>
      </c>
      <c r="C2489" s="17" t="s">
        <v>58</v>
      </c>
      <c r="D2489" s="17" t="s">
        <v>89</v>
      </c>
      <c r="E2489" s="17" t="s">
        <v>165</v>
      </c>
      <c r="F2489" s="17" t="s">
        <v>164</v>
      </c>
      <c r="G2489" s="17">
        <v>6</v>
      </c>
      <c r="H2489" s="17">
        <v>74451</v>
      </c>
      <c r="I2489" s="17">
        <v>446706</v>
      </c>
      <c r="J2489" s="17">
        <v>869</v>
      </c>
      <c r="K2489" s="17">
        <v>445837</v>
      </c>
      <c r="L2489" s="17">
        <v>105122.2525</v>
      </c>
      <c r="M2489" s="17">
        <v>2024</v>
      </c>
      <c r="N2489" s="17" t="s">
        <v>123</v>
      </c>
    </row>
    <row r="2490" spans="1:14" ht="14.25" customHeight="1">
      <c r="A2490" s="17">
        <v>12489</v>
      </c>
      <c r="B2490" s="18">
        <v>45308</v>
      </c>
      <c r="C2490" s="17" t="s">
        <v>39</v>
      </c>
      <c r="D2490" s="17" t="s">
        <v>89</v>
      </c>
      <c r="E2490" s="17" t="s">
        <v>168</v>
      </c>
      <c r="F2490" s="17" t="s">
        <v>166</v>
      </c>
      <c r="G2490" s="17">
        <v>8</v>
      </c>
      <c r="H2490" s="17">
        <v>52423</v>
      </c>
      <c r="I2490" s="17">
        <v>419384</v>
      </c>
      <c r="J2490" s="17">
        <v>1083</v>
      </c>
      <c r="K2490" s="17">
        <v>418301</v>
      </c>
      <c r="L2490" s="17">
        <v>89249.168380000003</v>
      </c>
      <c r="M2490" s="17">
        <v>2024</v>
      </c>
      <c r="N2490" s="17" t="s">
        <v>171</v>
      </c>
    </row>
    <row r="2491" spans="1:14" ht="14.25" customHeight="1">
      <c r="A2491" s="17">
        <v>12490</v>
      </c>
      <c r="B2491" s="18">
        <v>45411</v>
      </c>
      <c r="C2491" s="17" t="s">
        <v>167</v>
      </c>
      <c r="D2491" s="17" t="s">
        <v>83</v>
      </c>
      <c r="E2491" s="17" t="s">
        <v>168</v>
      </c>
      <c r="F2491" s="17" t="s">
        <v>166</v>
      </c>
      <c r="G2491" s="17">
        <v>8</v>
      </c>
      <c r="H2491" s="17">
        <v>5092</v>
      </c>
      <c r="I2491" s="17">
        <v>40736</v>
      </c>
      <c r="J2491" s="17">
        <v>973</v>
      </c>
      <c r="K2491" s="17">
        <v>39763</v>
      </c>
      <c r="L2491" s="17">
        <v>4427.9096470000004</v>
      </c>
      <c r="M2491" s="17">
        <v>2024</v>
      </c>
      <c r="N2491" s="17" t="s">
        <v>114</v>
      </c>
    </row>
    <row r="2492" spans="1:14" ht="14.25" customHeight="1">
      <c r="A2492" s="17">
        <v>12491</v>
      </c>
      <c r="B2492" s="18">
        <v>45684</v>
      </c>
      <c r="C2492" s="17" t="s">
        <v>167</v>
      </c>
      <c r="D2492" s="17" t="s">
        <v>89</v>
      </c>
      <c r="E2492" s="17" t="s">
        <v>168</v>
      </c>
      <c r="F2492" s="17" t="s">
        <v>172</v>
      </c>
      <c r="G2492" s="17">
        <v>1</v>
      </c>
      <c r="H2492" s="17">
        <v>34995</v>
      </c>
      <c r="I2492" s="17">
        <v>34995</v>
      </c>
      <c r="J2492" s="17">
        <v>1225</v>
      </c>
      <c r="K2492" s="17">
        <v>33770</v>
      </c>
      <c r="L2492" s="17">
        <v>4155.7994980000003</v>
      </c>
      <c r="M2492" s="17">
        <v>2025</v>
      </c>
      <c r="N2492" s="17" t="s">
        <v>171</v>
      </c>
    </row>
    <row r="2493" spans="1:14" ht="14.25" customHeight="1">
      <c r="A2493" s="17">
        <v>12492</v>
      </c>
      <c r="B2493" s="18">
        <v>45716</v>
      </c>
      <c r="C2493" s="17" t="s">
        <v>45</v>
      </c>
      <c r="D2493" s="17" t="s">
        <v>89</v>
      </c>
      <c r="E2493" s="17" t="s">
        <v>162</v>
      </c>
      <c r="F2493" s="17" t="s">
        <v>172</v>
      </c>
      <c r="G2493" s="17">
        <v>5</v>
      </c>
      <c r="H2493" s="17">
        <v>67957</v>
      </c>
      <c r="I2493" s="17">
        <v>339785</v>
      </c>
      <c r="J2493" s="17">
        <v>1802</v>
      </c>
      <c r="K2493" s="17">
        <v>337983</v>
      </c>
      <c r="L2493" s="17">
        <v>37938.653449999998</v>
      </c>
      <c r="M2493" s="17">
        <v>2025</v>
      </c>
      <c r="N2493" s="17" t="s">
        <v>175</v>
      </c>
    </row>
    <row r="2494" spans="1:14" ht="14.25" customHeight="1">
      <c r="A2494" s="17">
        <v>12493</v>
      </c>
      <c r="B2494" s="18">
        <v>45420</v>
      </c>
      <c r="C2494" s="17" t="s">
        <v>58</v>
      </c>
      <c r="D2494" s="17" t="s">
        <v>83</v>
      </c>
      <c r="E2494" s="17" t="s">
        <v>162</v>
      </c>
      <c r="F2494" s="17" t="s">
        <v>172</v>
      </c>
      <c r="G2494" s="17">
        <v>2</v>
      </c>
      <c r="H2494" s="17">
        <v>6677</v>
      </c>
      <c r="I2494" s="17">
        <v>13354</v>
      </c>
      <c r="J2494" s="17">
        <v>2964</v>
      </c>
      <c r="K2494" s="17">
        <v>10390</v>
      </c>
      <c r="L2494" s="17">
        <v>1535.9485460000001</v>
      </c>
      <c r="M2494" s="17">
        <v>2024</v>
      </c>
      <c r="N2494" s="17" t="s">
        <v>117</v>
      </c>
    </row>
    <row r="2495" spans="1:14" ht="14.25" customHeight="1">
      <c r="A2495" s="17">
        <v>12494</v>
      </c>
      <c r="B2495" s="18">
        <v>45421</v>
      </c>
      <c r="C2495" s="17" t="s">
        <v>50</v>
      </c>
      <c r="D2495" s="17" t="s">
        <v>83</v>
      </c>
      <c r="E2495" s="17" t="s">
        <v>162</v>
      </c>
      <c r="F2495" s="17" t="s">
        <v>166</v>
      </c>
      <c r="G2495" s="17">
        <v>5</v>
      </c>
      <c r="H2495" s="17">
        <v>26892</v>
      </c>
      <c r="I2495" s="17">
        <v>134460</v>
      </c>
      <c r="J2495" s="17">
        <v>1188</v>
      </c>
      <c r="K2495" s="17">
        <v>133272</v>
      </c>
      <c r="L2495" s="17">
        <v>22036.124469999999</v>
      </c>
      <c r="M2495" s="17">
        <v>2024</v>
      </c>
      <c r="N2495" s="17" t="s">
        <v>117</v>
      </c>
    </row>
    <row r="2496" spans="1:14" ht="14.25" customHeight="1">
      <c r="A2496" s="17">
        <v>12495</v>
      </c>
      <c r="B2496" s="18">
        <v>45863</v>
      </c>
      <c r="C2496" s="17" t="s">
        <v>58</v>
      </c>
      <c r="D2496" s="17" t="s">
        <v>89</v>
      </c>
      <c r="E2496" s="17" t="s">
        <v>162</v>
      </c>
      <c r="F2496" s="17" t="s">
        <v>172</v>
      </c>
      <c r="G2496" s="17">
        <v>9</v>
      </c>
      <c r="H2496" s="17">
        <v>27114</v>
      </c>
      <c r="I2496" s="17">
        <v>244026</v>
      </c>
      <c r="J2496" s="17">
        <v>3443</v>
      </c>
      <c r="K2496" s="17">
        <v>240583</v>
      </c>
      <c r="L2496" s="17">
        <v>42255.249530000001</v>
      </c>
      <c r="M2496" s="17">
        <v>2025</v>
      </c>
      <c r="N2496" s="17" t="s">
        <v>123</v>
      </c>
    </row>
    <row r="2497" spans="1:14" ht="14.25" customHeight="1">
      <c r="A2497" s="17">
        <v>12496</v>
      </c>
      <c r="B2497" s="18">
        <v>45851</v>
      </c>
      <c r="C2497" s="17" t="s">
        <v>167</v>
      </c>
      <c r="D2497" s="17" t="s">
        <v>111</v>
      </c>
      <c r="E2497" s="17" t="s">
        <v>165</v>
      </c>
      <c r="F2497" s="17" t="s">
        <v>172</v>
      </c>
      <c r="G2497" s="17">
        <v>4</v>
      </c>
      <c r="H2497" s="17">
        <v>41632</v>
      </c>
      <c r="I2497" s="17">
        <v>166528</v>
      </c>
      <c r="J2497" s="17">
        <v>3934</v>
      </c>
      <c r="K2497" s="17">
        <v>162594</v>
      </c>
      <c r="L2497" s="17">
        <v>37024.577259999998</v>
      </c>
      <c r="M2497" s="17">
        <v>2025</v>
      </c>
      <c r="N2497" s="17" t="s">
        <v>123</v>
      </c>
    </row>
    <row r="2498" spans="1:14" ht="14.25" customHeight="1">
      <c r="A2498" s="17">
        <v>12497</v>
      </c>
      <c r="B2498" s="18">
        <v>45320</v>
      </c>
      <c r="C2498" s="17" t="s">
        <v>50</v>
      </c>
      <c r="D2498" s="17" t="s">
        <v>89</v>
      </c>
      <c r="E2498" s="17" t="s">
        <v>168</v>
      </c>
      <c r="F2498" s="17" t="s">
        <v>166</v>
      </c>
      <c r="G2498" s="17">
        <v>8</v>
      </c>
      <c r="H2498" s="17">
        <v>32057</v>
      </c>
      <c r="I2498" s="17">
        <v>256456</v>
      </c>
      <c r="J2498" s="17">
        <v>4409</v>
      </c>
      <c r="K2498" s="17">
        <v>252047</v>
      </c>
      <c r="L2498" s="17">
        <v>25883.574189999999</v>
      </c>
      <c r="M2498" s="17">
        <v>2024</v>
      </c>
      <c r="N2498" s="17" t="s">
        <v>171</v>
      </c>
    </row>
    <row r="2499" spans="1:14" ht="14.25" customHeight="1">
      <c r="A2499" s="17">
        <v>12498</v>
      </c>
      <c r="B2499" s="18">
        <v>45388</v>
      </c>
      <c r="C2499" s="17" t="s">
        <v>58</v>
      </c>
      <c r="D2499" s="17" t="s">
        <v>170</v>
      </c>
      <c r="E2499" s="17" t="s">
        <v>165</v>
      </c>
      <c r="F2499" s="17" t="s">
        <v>163</v>
      </c>
      <c r="G2499" s="17">
        <v>1</v>
      </c>
      <c r="H2499" s="17">
        <v>67565</v>
      </c>
      <c r="I2499" s="17">
        <v>67565</v>
      </c>
      <c r="J2499" s="17">
        <v>1321</v>
      </c>
      <c r="K2499" s="17">
        <v>66244</v>
      </c>
      <c r="L2499" s="17">
        <v>10880.130569999999</v>
      </c>
      <c r="M2499" s="17">
        <v>2024</v>
      </c>
      <c r="N2499" s="17" t="s">
        <v>114</v>
      </c>
    </row>
    <row r="2500" spans="1:14" ht="14.25" customHeight="1">
      <c r="A2500" s="17">
        <v>12499</v>
      </c>
      <c r="B2500" s="18">
        <v>45301</v>
      </c>
      <c r="C2500" s="17" t="s">
        <v>39</v>
      </c>
      <c r="D2500" s="17" t="s">
        <v>170</v>
      </c>
      <c r="E2500" s="17" t="s">
        <v>162</v>
      </c>
      <c r="F2500" s="17" t="s">
        <v>164</v>
      </c>
      <c r="G2500" s="17">
        <v>8</v>
      </c>
      <c r="H2500" s="17">
        <v>65753</v>
      </c>
      <c r="I2500" s="17">
        <v>526024</v>
      </c>
      <c r="J2500" s="17">
        <v>2023</v>
      </c>
      <c r="K2500" s="17">
        <v>524001</v>
      </c>
      <c r="L2500" s="17">
        <v>84704.633820000003</v>
      </c>
      <c r="M2500" s="17">
        <v>2024</v>
      </c>
      <c r="N2500" s="17" t="s">
        <v>171</v>
      </c>
    </row>
    <row r="2501" spans="1:14" ht="14.25" customHeight="1">
      <c r="A2501" s="17">
        <v>12500</v>
      </c>
      <c r="B2501" s="18">
        <v>45533</v>
      </c>
      <c r="C2501" s="17" t="s">
        <v>45</v>
      </c>
      <c r="D2501" s="17" t="s">
        <v>170</v>
      </c>
      <c r="E2501" s="17" t="s">
        <v>162</v>
      </c>
      <c r="F2501" s="17" t="s">
        <v>166</v>
      </c>
      <c r="G2501" s="17">
        <v>6</v>
      </c>
      <c r="H2501" s="17">
        <v>49031</v>
      </c>
      <c r="I2501" s="17">
        <v>294186</v>
      </c>
      <c r="J2501" s="17">
        <v>4731</v>
      </c>
      <c r="K2501" s="17">
        <v>289455</v>
      </c>
      <c r="L2501" s="17">
        <v>70083.247090000004</v>
      </c>
      <c r="M2501" s="17">
        <v>2024</v>
      </c>
      <c r="N2501" s="17" t="s">
        <v>126</v>
      </c>
    </row>
    <row r="2502" spans="1:14" ht="14.25" customHeight="1">
      <c r="A2502" s="17">
        <v>12501</v>
      </c>
      <c r="B2502" s="18">
        <v>45523</v>
      </c>
      <c r="C2502" s="17" t="s">
        <v>58</v>
      </c>
      <c r="D2502" s="17" t="s">
        <v>86</v>
      </c>
      <c r="E2502" s="17" t="s">
        <v>165</v>
      </c>
      <c r="F2502" s="17" t="s">
        <v>172</v>
      </c>
      <c r="G2502" s="17">
        <v>8</v>
      </c>
      <c r="H2502" s="17">
        <v>55049</v>
      </c>
      <c r="I2502" s="17">
        <v>440392</v>
      </c>
      <c r="J2502" s="17">
        <v>4512</v>
      </c>
      <c r="K2502" s="17">
        <v>435880</v>
      </c>
      <c r="L2502" s="17">
        <v>59347.475749999998</v>
      </c>
      <c r="M2502" s="17">
        <v>2024</v>
      </c>
      <c r="N2502" s="17" t="s">
        <v>126</v>
      </c>
    </row>
    <row r="2503" spans="1:14" ht="14.25" customHeight="1">
      <c r="A2503" s="17">
        <v>12502</v>
      </c>
      <c r="B2503" s="18">
        <v>45575</v>
      </c>
      <c r="C2503" s="17" t="s">
        <v>58</v>
      </c>
      <c r="D2503" s="17" t="s">
        <v>170</v>
      </c>
      <c r="E2503" s="17" t="s">
        <v>168</v>
      </c>
      <c r="F2503" s="17" t="s">
        <v>164</v>
      </c>
      <c r="G2503" s="17">
        <v>6</v>
      </c>
      <c r="H2503" s="17">
        <v>65275</v>
      </c>
      <c r="I2503" s="17">
        <v>391650</v>
      </c>
      <c r="J2503" s="17">
        <v>438</v>
      </c>
      <c r="K2503" s="17">
        <v>391212</v>
      </c>
      <c r="L2503" s="17">
        <v>46304.193370000001</v>
      </c>
      <c r="M2503" s="17">
        <v>2024</v>
      </c>
      <c r="N2503" s="17" t="s">
        <v>174</v>
      </c>
    </row>
    <row r="2504" spans="1:14" ht="14.25" customHeight="1">
      <c r="A2504" s="17">
        <v>12503</v>
      </c>
      <c r="B2504" s="18">
        <v>46006</v>
      </c>
      <c r="C2504" s="17" t="s">
        <v>39</v>
      </c>
      <c r="D2504" s="17" t="s">
        <v>111</v>
      </c>
      <c r="E2504" s="17" t="s">
        <v>168</v>
      </c>
      <c r="F2504" s="17" t="s">
        <v>166</v>
      </c>
      <c r="G2504" s="17">
        <v>3</v>
      </c>
      <c r="H2504" s="17">
        <v>52881</v>
      </c>
      <c r="I2504" s="17">
        <v>158643</v>
      </c>
      <c r="J2504" s="17">
        <v>164</v>
      </c>
      <c r="K2504" s="17">
        <v>158479</v>
      </c>
      <c r="L2504" s="17">
        <v>19229.688429999998</v>
      </c>
      <c r="M2504" s="17">
        <v>2025</v>
      </c>
      <c r="N2504" s="17" t="s">
        <v>169</v>
      </c>
    </row>
    <row r="2505" spans="1:14" ht="14.25" customHeight="1">
      <c r="A2505" s="17">
        <v>12504</v>
      </c>
      <c r="B2505" s="18">
        <v>46017</v>
      </c>
      <c r="C2505" s="17" t="s">
        <v>167</v>
      </c>
      <c r="D2505" s="17" t="s">
        <v>86</v>
      </c>
      <c r="E2505" s="17" t="s">
        <v>162</v>
      </c>
      <c r="F2505" s="17" t="s">
        <v>164</v>
      </c>
      <c r="G2505" s="17">
        <v>8</v>
      </c>
      <c r="H2505" s="17">
        <v>57865</v>
      </c>
      <c r="I2505" s="17">
        <v>462920</v>
      </c>
      <c r="J2505" s="17">
        <v>3337</v>
      </c>
      <c r="K2505" s="17">
        <v>459583</v>
      </c>
      <c r="L2505" s="17">
        <v>81815.613020000004</v>
      </c>
      <c r="M2505" s="17">
        <v>2025</v>
      </c>
      <c r="N2505" s="17" t="s">
        <v>169</v>
      </c>
    </row>
    <row r="2506" spans="1:14" ht="14.25" customHeight="1">
      <c r="A2506" s="17">
        <v>12505</v>
      </c>
      <c r="B2506" s="18">
        <v>45491</v>
      </c>
      <c r="C2506" s="17" t="s">
        <v>45</v>
      </c>
      <c r="D2506" s="17" t="s">
        <v>86</v>
      </c>
      <c r="E2506" s="17" t="s">
        <v>162</v>
      </c>
      <c r="F2506" s="17" t="s">
        <v>164</v>
      </c>
      <c r="G2506" s="17">
        <v>5</v>
      </c>
      <c r="H2506" s="17">
        <v>55684</v>
      </c>
      <c r="I2506" s="17">
        <v>278420</v>
      </c>
      <c r="J2506" s="17">
        <v>3350</v>
      </c>
      <c r="K2506" s="17">
        <v>275070</v>
      </c>
      <c r="L2506" s="17">
        <v>43635.886380000004</v>
      </c>
      <c r="M2506" s="17">
        <v>2024</v>
      </c>
      <c r="N2506" s="17" t="s">
        <v>123</v>
      </c>
    </row>
    <row r="2507" spans="1:14" ht="14.25" customHeight="1">
      <c r="A2507" s="17">
        <v>12506</v>
      </c>
      <c r="B2507" s="18">
        <v>45370</v>
      </c>
      <c r="C2507" s="17" t="s">
        <v>58</v>
      </c>
      <c r="D2507" s="17" t="s">
        <v>170</v>
      </c>
      <c r="E2507" s="17" t="s">
        <v>162</v>
      </c>
      <c r="F2507" s="17" t="s">
        <v>163</v>
      </c>
      <c r="G2507" s="17">
        <v>5</v>
      </c>
      <c r="H2507" s="17">
        <v>60687</v>
      </c>
      <c r="I2507" s="17">
        <v>303435</v>
      </c>
      <c r="J2507" s="17">
        <v>987</v>
      </c>
      <c r="K2507" s="17">
        <v>302448</v>
      </c>
      <c r="L2507" s="17">
        <v>64458.112229999999</v>
      </c>
      <c r="M2507" s="17">
        <v>2024</v>
      </c>
      <c r="N2507" s="17" t="s">
        <v>112</v>
      </c>
    </row>
    <row r="2508" spans="1:14" ht="14.25" customHeight="1">
      <c r="A2508" s="17">
        <v>12507</v>
      </c>
      <c r="B2508" s="18">
        <v>45464</v>
      </c>
      <c r="C2508" s="17" t="s">
        <v>50</v>
      </c>
      <c r="D2508" s="17" t="s">
        <v>89</v>
      </c>
      <c r="E2508" s="17" t="s">
        <v>162</v>
      </c>
      <c r="F2508" s="17" t="s">
        <v>172</v>
      </c>
      <c r="G2508" s="17">
        <v>7</v>
      </c>
      <c r="H2508" s="17">
        <v>61438</v>
      </c>
      <c r="I2508" s="17">
        <v>430066</v>
      </c>
      <c r="J2508" s="17">
        <v>2529</v>
      </c>
      <c r="K2508" s="17">
        <v>427537</v>
      </c>
      <c r="L2508" s="17">
        <v>63479.563280000002</v>
      </c>
      <c r="M2508" s="17">
        <v>2024</v>
      </c>
      <c r="N2508" s="17" t="s">
        <v>120</v>
      </c>
    </row>
    <row r="2509" spans="1:14" ht="14.25" customHeight="1">
      <c r="A2509" s="17">
        <v>12508</v>
      </c>
      <c r="B2509" s="18">
        <v>45758</v>
      </c>
      <c r="C2509" s="17" t="s">
        <v>58</v>
      </c>
      <c r="D2509" s="17" t="s">
        <v>83</v>
      </c>
      <c r="E2509" s="17" t="s">
        <v>168</v>
      </c>
      <c r="F2509" s="17" t="s">
        <v>166</v>
      </c>
      <c r="G2509" s="17">
        <v>6</v>
      </c>
      <c r="H2509" s="17">
        <v>62314</v>
      </c>
      <c r="I2509" s="17">
        <v>373884</v>
      </c>
      <c r="J2509" s="17">
        <v>4612</v>
      </c>
      <c r="K2509" s="17">
        <v>369272</v>
      </c>
      <c r="L2509" s="17">
        <v>44015.103810000001</v>
      </c>
      <c r="M2509" s="17">
        <v>2025</v>
      </c>
      <c r="N2509" s="17" t="s">
        <v>114</v>
      </c>
    </row>
    <row r="2510" spans="1:14" ht="14.25" customHeight="1">
      <c r="A2510" s="17">
        <v>12509</v>
      </c>
      <c r="B2510" s="18">
        <v>45872</v>
      </c>
      <c r="C2510" s="17" t="s">
        <v>45</v>
      </c>
      <c r="D2510" s="17" t="s">
        <v>89</v>
      </c>
      <c r="E2510" s="17" t="s">
        <v>165</v>
      </c>
      <c r="F2510" s="17" t="s">
        <v>172</v>
      </c>
      <c r="G2510" s="17">
        <v>9</v>
      </c>
      <c r="H2510" s="17">
        <v>55503</v>
      </c>
      <c r="I2510" s="17">
        <v>499527</v>
      </c>
      <c r="J2510" s="17">
        <v>4177</v>
      </c>
      <c r="K2510" s="17">
        <v>495350</v>
      </c>
      <c r="L2510" s="17">
        <v>78280.838369999998</v>
      </c>
      <c r="M2510" s="17">
        <v>2025</v>
      </c>
      <c r="N2510" s="17" t="s">
        <v>126</v>
      </c>
    </row>
    <row r="2511" spans="1:14" ht="14.25" customHeight="1">
      <c r="A2511" s="17">
        <v>12510</v>
      </c>
      <c r="B2511" s="18">
        <v>45707</v>
      </c>
      <c r="C2511" s="17" t="s">
        <v>58</v>
      </c>
      <c r="D2511" s="17" t="s">
        <v>89</v>
      </c>
      <c r="E2511" s="17" t="s">
        <v>168</v>
      </c>
      <c r="F2511" s="17" t="s">
        <v>163</v>
      </c>
      <c r="G2511" s="17">
        <v>7</v>
      </c>
      <c r="H2511" s="17">
        <v>35740</v>
      </c>
      <c r="I2511" s="17">
        <v>250180</v>
      </c>
      <c r="J2511" s="17">
        <v>4214</v>
      </c>
      <c r="K2511" s="17">
        <v>245966</v>
      </c>
      <c r="L2511" s="17">
        <v>57176.110800000002</v>
      </c>
      <c r="M2511" s="17">
        <v>2025</v>
      </c>
      <c r="N2511" s="17" t="s">
        <v>175</v>
      </c>
    </row>
    <row r="2512" spans="1:14" ht="14.25" customHeight="1">
      <c r="A2512" s="17">
        <v>12511</v>
      </c>
      <c r="B2512" s="18">
        <v>45740</v>
      </c>
      <c r="C2512" s="17" t="s">
        <v>39</v>
      </c>
      <c r="D2512" s="17" t="s">
        <v>86</v>
      </c>
      <c r="E2512" s="17" t="s">
        <v>165</v>
      </c>
      <c r="F2512" s="17" t="s">
        <v>163</v>
      </c>
      <c r="G2512" s="17">
        <v>3</v>
      </c>
      <c r="H2512" s="17">
        <v>51176</v>
      </c>
      <c r="I2512" s="17">
        <v>153528</v>
      </c>
      <c r="J2512" s="17">
        <v>3845</v>
      </c>
      <c r="K2512" s="17">
        <v>149683</v>
      </c>
      <c r="L2512" s="17">
        <v>24073.364659999999</v>
      </c>
      <c r="M2512" s="17">
        <v>2025</v>
      </c>
      <c r="N2512" s="17" t="s">
        <v>112</v>
      </c>
    </row>
    <row r="2513" spans="1:14" ht="14.25" customHeight="1">
      <c r="A2513" s="17">
        <v>12512</v>
      </c>
      <c r="B2513" s="18">
        <v>45378</v>
      </c>
      <c r="C2513" s="17" t="s">
        <v>58</v>
      </c>
      <c r="D2513" s="17" t="s">
        <v>86</v>
      </c>
      <c r="E2513" s="17" t="s">
        <v>162</v>
      </c>
      <c r="F2513" s="17" t="s">
        <v>166</v>
      </c>
      <c r="G2513" s="17">
        <v>5</v>
      </c>
      <c r="H2513" s="17">
        <v>15030</v>
      </c>
      <c r="I2513" s="17">
        <v>75150</v>
      </c>
      <c r="J2513" s="17">
        <v>1326</v>
      </c>
      <c r="K2513" s="17">
        <v>73824</v>
      </c>
      <c r="L2513" s="17">
        <v>16613.659950000001</v>
      </c>
      <c r="M2513" s="17">
        <v>2024</v>
      </c>
      <c r="N2513" s="17" t="s">
        <v>112</v>
      </c>
    </row>
    <row r="2514" spans="1:14" ht="14.25" customHeight="1">
      <c r="A2514" s="17">
        <v>12513</v>
      </c>
      <c r="B2514" s="18">
        <v>45392</v>
      </c>
      <c r="C2514" s="17" t="s">
        <v>58</v>
      </c>
      <c r="D2514" s="17" t="s">
        <v>86</v>
      </c>
      <c r="E2514" s="17" t="s">
        <v>162</v>
      </c>
      <c r="F2514" s="17" t="s">
        <v>166</v>
      </c>
      <c r="G2514" s="17">
        <v>9</v>
      </c>
      <c r="H2514" s="17">
        <v>12051</v>
      </c>
      <c r="I2514" s="17">
        <v>108459</v>
      </c>
      <c r="J2514" s="17">
        <v>3286</v>
      </c>
      <c r="K2514" s="17">
        <v>105173</v>
      </c>
      <c r="L2514" s="17">
        <v>16378.540059999999</v>
      </c>
      <c r="M2514" s="17">
        <v>2024</v>
      </c>
      <c r="N2514" s="17" t="s">
        <v>114</v>
      </c>
    </row>
    <row r="2515" spans="1:14" ht="14.25" customHeight="1">
      <c r="A2515" s="17">
        <v>12514</v>
      </c>
      <c r="B2515" s="18">
        <v>45299</v>
      </c>
      <c r="C2515" s="17" t="s">
        <v>50</v>
      </c>
      <c r="D2515" s="17" t="s">
        <v>111</v>
      </c>
      <c r="E2515" s="17" t="s">
        <v>165</v>
      </c>
      <c r="F2515" s="17" t="s">
        <v>163</v>
      </c>
      <c r="G2515" s="17">
        <v>2</v>
      </c>
      <c r="H2515" s="17">
        <v>61010</v>
      </c>
      <c r="I2515" s="17">
        <v>122020</v>
      </c>
      <c r="J2515" s="17">
        <v>27</v>
      </c>
      <c r="K2515" s="17">
        <v>121993</v>
      </c>
      <c r="L2515" s="17">
        <v>17348.36146</v>
      </c>
      <c r="M2515" s="17">
        <v>2024</v>
      </c>
      <c r="N2515" s="17" t="s">
        <v>171</v>
      </c>
    </row>
    <row r="2516" spans="1:14" ht="14.25" customHeight="1">
      <c r="A2516" s="17">
        <v>12515</v>
      </c>
      <c r="B2516" s="18">
        <v>45491</v>
      </c>
      <c r="C2516" s="17" t="s">
        <v>39</v>
      </c>
      <c r="D2516" s="17" t="s">
        <v>111</v>
      </c>
      <c r="E2516" s="17" t="s">
        <v>162</v>
      </c>
      <c r="F2516" s="17" t="s">
        <v>166</v>
      </c>
      <c r="G2516" s="17">
        <v>1</v>
      </c>
      <c r="H2516" s="17">
        <v>15589</v>
      </c>
      <c r="I2516" s="17">
        <v>15589</v>
      </c>
      <c r="J2516" s="17">
        <v>2024</v>
      </c>
      <c r="K2516" s="17">
        <v>13565</v>
      </c>
      <c r="L2516" s="17">
        <v>2933.1519400000002</v>
      </c>
      <c r="M2516" s="17">
        <v>2024</v>
      </c>
      <c r="N2516" s="17" t="s">
        <v>123</v>
      </c>
    </row>
    <row r="2517" spans="1:14" ht="14.25" customHeight="1">
      <c r="A2517" s="17">
        <v>12516</v>
      </c>
      <c r="B2517" s="18">
        <v>45796</v>
      </c>
      <c r="C2517" s="17" t="s">
        <v>39</v>
      </c>
      <c r="D2517" s="17" t="s">
        <v>83</v>
      </c>
      <c r="E2517" s="17" t="s">
        <v>168</v>
      </c>
      <c r="F2517" s="17" t="s">
        <v>164</v>
      </c>
      <c r="G2517" s="17">
        <v>8</v>
      </c>
      <c r="H2517" s="17">
        <v>16395</v>
      </c>
      <c r="I2517" s="17">
        <v>131160</v>
      </c>
      <c r="J2517" s="17">
        <v>4593</v>
      </c>
      <c r="K2517" s="17">
        <v>126567</v>
      </c>
      <c r="L2517" s="17">
        <v>16629.027969999999</v>
      </c>
      <c r="M2517" s="17">
        <v>2025</v>
      </c>
      <c r="N2517" s="17" t="s">
        <v>117</v>
      </c>
    </row>
    <row r="2518" spans="1:14" ht="14.25" customHeight="1">
      <c r="A2518" s="17">
        <v>12517</v>
      </c>
      <c r="B2518" s="18">
        <v>45378</v>
      </c>
      <c r="C2518" s="17" t="s">
        <v>58</v>
      </c>
      <c r="D2518" s="17" t="s">
        <v>86</v>
      </c>
      <c r="E2518" s="17" t="s">
        <v>162</v>
      </c>
      <c r="F2518" s="17" t="s">
        <v>164</v>
      </c>
      <c r="G2518" s="17">
        <v>8</v>
      </c>
      <c r="H2518" s="17">
        <v>17833</v>
      </c>
      <c r="I2518" s="17">
        <v>142664</v>
      </c>
      <c r="J2518" s="17">
        <v>193</v>
      </c>
      <c r="K2518" s="17">
        <v>142471</v>
      </c>
      <c r="L2518" s="17">
        <v>19201.472880000001</v>
      </c>
      <c r="M2518" s="17">
        <v>2024</v>
      </c>
      <c r="N2518" s="17" t="s">
        <v>112</v>
      </c>
    </row>
    <row r="2519" spans="1:14" ht="14.25" customHeight="1">
      <c r="A2519" s="17">
        <v>12518</v>
      </c>
      <c r="B2519" s="18">
        <v>45334</v>
      </c>
      <c r="C2519" s="17" t="s">
        <v>50</v>
      </c>
      <c r="D2519" s="17" t="s">
        <v>170</v>
      </c>
      <c r="E2519" s="17" t="s">
        <v>162</v>
      </c>
      <c r="F2519" s="17" t="s">
        <v>163</v>
      </c>
      <c r="G2519" s="17">
        <v>2</v>
      </c>
      <c r="H2519" s="17">
        <v>71134</v>
      </c>
      <c r="I2519" s="17">
        <v>142268</v>
      </c>
      <c r="J2519" s="17">
        <v>591</v>
      </c>
      <c r="K2519" s="17">
        <v>141677</v>
      </c>
      <c r="L2519" s="17">
        <v>15226.300020000001</v>
      </c>
      <c r="M2519" s="17">
        <v>2024</v>
      </c>
      <c r="N2519" s="17" t="s">
        <v>175</v>
      </c>
    </row>
    <row r="2520" spans="1:14" ht="14.25" customHeight="1">
      <c r="A2520" s="17">
        <v>12519</v>
      </c>
      <c r="B2520" s="18">
        <v>45676</v>
      </c>
      <c r="C2520" s="17" t="s">
        <v>58</v>
      </c>
      <c r="D2520" s="17" t="s">
        <v>86</v>
      </c>
      <c r="E2520" s="17" t="s">
        <v>162</v>
      </c>
      <c r="F2520" s="17" t="s">
        <v>172</v>
      </c>
      <c r="G2520" s="17">
        <v>8</v>
      </c>
      <c r="H2520" s="17">
        <v>23428</v>
      </c>
      <c r="I2520" s="17">
        <v>187424</v>
      </c>
      <c r="J2520" s="17">
        <v>2489</v>
      </c>
      <c r="K2520" s="17">
        <v>184935</v>
      </c>
      <c r="L2520" s="17">
        <v>23704.386989999999</v>
      </c>
      <c r="M2520" s="17">
        <v>2025</v>
      </c>
      <c r="N2520" s="17" t="s">
        <v>171</v>
      </c>
    </row>
    <row r="2521" spans="1:14" ht="14.25" customHeight="1">
      <c r="A2521" s="17">
        <v>12520</v>
      </c>
      <c r="B2521" s="18">
        <v>45912</v>
      </c>
      <c r="C2521" s="17" t="s">
        <v>58</v>
      </c>
      <c r="D2521" s="17" t="s">
        <v>111</v>
      </c>
      <c r="E2521" s="17" t="s">
        <v>162</v>
      </c>
      <c r="F2521" s="17" t="s">
        <v>166</v>
      </c>
      <c r="G2521" s="17">
        <v>5</v>
      </c>
      <c r="H2521" s="17">
        <v>21642</v>
      </c>
      <c r="I2521" s="17">
        <v>108210</v>
      </c>
      <c r="J2521" s="17">
        <v>1857</v>
      </c>
      <c r="K2521" s="17">
        <v>106353</v>
      </c>
      <c r="L2521" s="17">
        <v>16678.52303</v>
      </c>
      <c r="M2521" s="17">
        <v>2025</v>
      </c>
      <c r="N2521" s="17" t="s">
        <v>129</v>
      </c>
    </row>
    <row r="2522" spans="1:14" ht="14.25" customHeight="1">
      <c r="A2522" s="17">
        <v>12521</v>
      </c>
      <c r="B2522" s="18">
        <v>45726</v>
      </c>
      <c r="C2522" s="17" t="s">
        <v>45</v>
      </c>
      <c r="D2522" s="17" t="s">
        <v>86</v>
      </c>
      <c r="E2522" s="17" t="s">
        <v>168</v>
      </c>
      <c r="F2522" s="17" t="s">
        <v>166</v>
      </c>
      <c r="G2522" s="17">
        <v>2</v>
      </c>
      <c r="H2522" s="17">
        <v>45771</v>
      </c>
      <c r="I2522" s="17">
        <v>91542</v>
      </c>
      <c r="J2522" s="17">
        <v>112</v>
      </c>
      <c r="K2522" s="17">
        <v>91430</v>
      </c>
      <c r="L2522" s="17">
        <v>14622.939780000001</v>
      </c>
      <c r="M2522" s="17">
        <v>2025</v>
      </c>
      <c r="N2522" s="17" t="s">
        <v>112</v>
      </c>
    </row>
    <row r="2523" spans="1:14" ht="14.25" customHeight="1">
      <c r="A2523" s="17">
        <v>12522</v>
      </c>
      <c r="B2523" s="18">
        <v>45699</v>
      </c>
      <c r="C2523" s="17" t="s">
        <v>45</v>
      </c>
      <c r="D2523" s="17" t="s">
        <v>111</v>
      </c>
      <c r="E2523" s="17" t="s">
        <v>165</v>
      </c>
      <c r="F2523" s="17" t="s">
        <v>164</v>
      </c>
      <c r="G2523" s="17">
        <v>7</v>
      </c>
      <c r="H2523" s="17">
        <v>15097</v>
      </c>
      <c r="I2523" s="17">
        <v>105679</v>
      </c>
      <c r="J2523" s="17">
        <v>1317</v>
      </c>
      <c r="K2523" s="17">
        <v>104362</v>
      </c>
      <c r="L2523" s="17">
        <v>17020.83826</v>
      </c>
      <c r="M2523" s="17">
        <v>2025</v>
      </c>
      <c r="N2523" s="17" t="s">
        <v>175</v>
      </c>
    </row>
    <row r="2524" spans="1:14" ht="14.25" customHeight="1">
      <c r="A2524" s="17">
        <v>12523</v>
      </c>
      <c r="B2524" s="18">
        <v>45774</v>
      </c>
      <c r="C2524" s="17" t="s">
        <v>50</v>
      </c>
      <c r="D2524" s="17" t="s">
        <v>86</v>
      </c>
      <c r="E2524" s="17" t="s">
        <v>162</v>
      </c>
      <c r="F2524" s="17" t="s">
        <v>166</v>
      </c>
      <c r="G2524" s="17">
        <v>7</v>
      </c>
      <c r="H2524" s="17">
        <v>28426</v>
      </c>
      <c r="I2524" s="17">
        <v>198982</v>
      </c>
      <c r="J2524" s="17">
        <v>1737</v>
      </c>
      <c r="K2524" s="17">
        <v>197245</v>
      </c>
      <c r="L2524" s="17">
        <v>33917.05528</v>
      </c>
      <c r="M2524" s="17">
        <v>2025</v>
      </c>
      <c r="N2524" s="17" t="s">
        <v>114</v>
      </c>
    </row>
    <row r="2525" spans="1:14" ht="14.25" customHeight="1">
      <c r="A2525" s="17">
        <v>12524</v>
      </c>
      <c r="B2525" s="18">
        <v>45955</v>
      </c>
      <c r="C2525" s="17" t="s">
        <v>167</v>
      </c>
      <c r="D2525" s="17" t="s">
        <v>170</v>
      </c>
      <c r="E2525" s="17" t="s">
        <v>162</v>
      </c>
      <c r="F2525" s="17" t="s">
        <v>172</v>
      </c>
      <c r="G2525" s="17">
        <v>3</v>
      </c>
      <c r="H2525" s="17">
        <v>71333</v>
      </c>
      <c r="I2525" s="17">
        <v>213999</v>
      </c>
      <c r="J2525" s="17">
        <v>2061</v>
      </c>
      <c r="K2525" s="17">
        <v>211938</v>
      </c>
      <c r="L2525" s="17">
        <v>39375.238810000003</v>
      </c>
      <c r="M2525" s="17">
        <v>2025</v>
      </c>
      <c r="N2525" s="17" t="s">
        <v>174</v>
      </c>
    </row>
    <row r="2526" spans="1:14" ht="14.25" customHeight="1">
      <c r="A2526" s="17">
        <v>12525</v>
      </c>
      <c r="B2526" s="18">
        <v>45308</v>
      </c>
      <c r="C2526" s="17" t="s">
        <v>45</v>
      </c>
      <c r="D2526" s="17" t="s">
        <v>83</v>
      </c>
      <c r="E2526" s="17" t="s">
        <v>168</v>
      </c>
      <c r="F2526" s="17" t="s">
        <v>166</v>
      </c>
      <c r="G2526" s="17">
        <v>1</v>
      </c>
      <c r="H2526" s="17">
        <v>48463</v>
      </c>
      <c r="I2526" s="17">
        <v>48463</v>
      </c>
      <c r="J2526" s="17">
        <v>1690</v>
      </c>
      <c r="K2526" s="17">
        <v>46773</v>
      </c>
      <c r="L2526" s="17">
        <v>6006.3245649999999</v>
      </c>
      <c r="M2526" s="17">
        <v>2024</v>
      </c>
      <c r="N2526" s="17" t="s">
        <v>171</v>
      </c>
    </row>
    <row r="2527" spans="1:14" ht="14.25" customHeight="1">
      <c r="A2527" s="17">
        <v>12526</v>
      </c>
      <c r="B2527" s="18">
        <v>45936</v>
      </c>
      <c r="C2527" s="17" t="s">
        <v>167</v>
      </c>
      <c r="D2527" s="17" t="s">
        <v>170</v>
      </c>
      <c r="E2527" s="17" t="s">
        <v>168</v>
      </c>
      <c r="F2527" s="17" t="s">
        <v>166</v>
      </c>
      <c r="G2527" s="17">
        <v>4</v>
      </c>
      <c r="H2527" s="17">
        <v>76249</v>
      </c>
      <c r="I2527" s="17">
        <v>304996</v>
      </c>
      <c r="J2527" s="17">
        <v>3668</v>
      </c>
      <c r="K2527" s="17">
        <v>301328</v>
      </c>
      <c r="L2527" s="17">
        <v>57882.585919999998</v>
      </c>
      <c r="M2527" s="17">
        <v>2025</v>
      </c>
      <c r="N2527" s="17" t="s">
        <v>174</v>
      </c>
    </row>
    <row r="2528" spans="1:14" ht="14.25" customHeight="1">
      <c r="A2528" s="17">
        <v>12527</v>
      </c>
      <c r="B2528" s="18">
        <v>45439</v>
      </c>
      <c r="C2528" s="17" t="s">
        <v>39</v>
      </c>
      <c r="D2528" s="17" t="s">
        <v>111</v>
      </c>
      <c r="E2528" s="17" t="s">
        <v>168</v>
      </c>
      <c r="F2528" s="17" t="s">
        <v>164</v>
      </c>
      <c r="G2528" s="17">
        <v>2</v>
      </c>
      <c r="H2528" s="17">
        <v>45079</v>
      </c>
      <c r="I2528" s="17">
        <v>90158</v>
      </c>
      <c r="J2528" s="17">
        <v>1394</v>
      </c>
      <c r="K2528" s="17">
        <v>88764</v>
      </c>
      <c r="L2528" s="17">
        <v>13357.48971</v>
      </c>
      <c r="M2528" s="17">
        <v>2024</v>
      </c>
      <c r="N2528" s="17" t="s">
        <v>117</v>
      </c>
    </row>
    <row r="2529" spans="1:14" ht="14.25" customHeight="1">
      <c r="A2529" s="17">
        <v>12528</v>
      </c>
      <c r="B2529" s="18">
        <v>45568</v>
      </c>
      <c r="C2529" s="17" t="s">
        <v>45</v>
      </c>
      <c r="D2529" s="17" t="s">
        <v>89</v>
      </c>
      <c r="E2529" s="17" t="s">
        <v>162</v>
      </c>
      <c r="F2529" s="17" t="s">
        <v>166</v>
      </c>
      <c r="G2529" s="17">
        <v>4</v>
      </c>
      <c r="H2529" s="17">
        <v>25404</v>
      </c>
      <c r="I2529" s="17">
        <v>101616</v>
      </c>
      <c r="J2529" s="17">
        <v>3168</v>
      </c>
      <c r="K2529" s="17">
        <v>98448</v>
      </c>
      <c r="L2529" s="17">
        <v>20684.083330000001</v>
      </c>
      <c r="M2529" s="17">
        <v>2024</v>
      </c>
      <c r="N2529" s="17" t="s">
        <v>174</v>
      </c>
    </row>
    <row r="2530" spans="1:14" ht="14.25" customHeight="1">
      <c r="A2530" s="17">
        <v>12529</v>
      </c>
      <c r="B2530" s="18">
        <v>45523</v>
      </c>
      <c r="C2530" s="17" t="s">
        <v>45</v>
      </c>
      <c r="D2530" s="17" t="s">
        <v>170</v>
      </c>
      <c r="E2530" s="17" t="s">
        <v>165</v>
      </c>
      <c r="F2530" s="17" t="s">
        <v>163</v>
      </c>
      <c r="G2530" s="17">
        <v>8</v>
      </c>
      <c r="H2530" s="17">
        <v>76447</v>
      </c>
      <c r="I2530" s="17">
        <v>611576</v>
      </c>
      <c r="J2530" s="17">
        <v>3559</v>
      </c>
      <c r="K2530" s="17">
        <v>608017</v>
      </c>
      <c r="L2530" s="17">
        <v>111620.1667</v>
      </c>
      <c r="M2530" s="17">
        <v>2024</v>
      </c>
      <c r="N2530" s="17" t="s">
        <v>126</v>
      </c>
    </row>
    <row r="2531" spans="1:14" ht="14.25" customHeight="1">
      <c r="A2531" s="17">
        <v>12530</v>
      </c>
      <c r="B2531" s="18">
        <v>45657</v>
      </c>
      <c r="C2531" s="17" t="s">
        <v>50</v>
      </c>
      <c r="D2531" s="17" t="s">
        <v>86</v>
      </c>
      <c r="E2531" s="17" t="s">
        <v>168</v>
      </c>
      <c r="F2531" s="17" t="s">
        <v>163</v>
      </c>
      <c r="G2531" s="17">
        <v>2</v>
      </c>
      <c r="H2531" s="17">
        <v>8954</v>
      </c>
      <c r="I2531" s="17">
        <v>17908</v>
      </c>
      <c r="J2531" s="17">
        <v>2236</v>
      </c>
      <c r="K2531" s="17">
        <v>15672</v>
      </c>
      <c r="L2531" s="17">
        <v>2870.1746880000001</v>
      </c>
      <c r="M2531" s="17">
        <v>2024</v>
      </c>
      <c r="N2531" s="17" t="s">
        <v>169</v>
      </c>
    </row>
    <row r="2532" spans="1:14" ht="14.25" customHeight="1">
      <c r="A2532" s="17">
        <v>12531</v>
      </c>
      <c r="B2532" s="18">
        <v>45519</v>
      </c>
      <c r="C2532" s="17" t="s">
        <v>167</v>
      </c>
      <c r="D2532" s="17" t="s">
        <v>83</v>
      </c>
      <c r="E2532" s="17" t="s">
        <v>168</v>
      </c>
      <c r="F2532" s="17" t="s">
        <v>172</v>
      </c>
      <c r="G2532" s="17">
        <v>1</v>
      </c>
      <c r="H2532" s="17">
        <v>74848</v>
      </c>
      <c r="I2532" s="17">
        <v>74848</v>
      </c>
      <c r="J2532" s="17">
        <v>3883</v>
      </c>
      <c r="K2532" s="17">
        <v>70965</v>
      </c>
      <c r="L2532" s="17">
        <v>14393.33762</v>
      </c>
      <c r="M2532" s="17">
        <v>2024</v>
      </c>
      <c r="N2532" s="17" t="s">
        <v>126</v>
      </c>
    </row>
    <row r="2533" spans="1:14" ht="14.25" customHeight="1">
      <c r="A2533" s="17">
        <v>12532</v>
      </c>
      <c r="B2533" s="18">
        <v>45942</v>
      </c>
      <c r="C2533" s="17" t="s">
        <v>45</v>
      </c>
      <c r="D2533" s="17" t="s">
        <v>86</v>
      </c>
      <c r="E2533" s="17" t="s">
        <v>168</v>
      </c>
      <c r="F2533" s="17" t="s">
        <v>172</v>
      </c>
      <c r="G2533" s="17">
        <v>3</v>
      </c>
      <c r="H2533" s="17">
        <v>60331</v>
      </c>
      <c r="I2533" s="17">
        <v>180993</v>
      </c>
      <c r="J2533" s="17">
        <v>3251</v>
      </c>
      <c r="K2533" s="17">
        <v>177742</v>
      </c>
      <c r="L2533" s="17">
        <v>26652.91922</v>
      </c>
      <c r="M2533" s="17">
        <v>2025</v>
      </c>
      <c r="N2533" s="17" t="s">
        <v>174</v>
      </c>
    </row>
    <row r="2534" spans="1:14" ht="14.25" customHeight="1">
      <c r="A2534" s="17">
        <v>12533</v>
      </c>
      <c r="B2534" s="18">
        <v>45727</v>
      </c>
      <c r="C2534" s="17" t="s">
        <v>45</v>
      </c>
      <c r="D2534" s="17" t="s">
        <v>86</v>
      </c>
      <c r="E2534" s="17" t="s">
        <v>165</v>
      </c>
      <c r="F2534" s="17" t="s">
        <v>172</v>
      </c>
      <c r="G2534" s="17">
        <v>7</v>
      </c>
      <c r="H2534" s="17">
        <v>60931</v>
      </c>
      <c r="I2534" s="17">
        <v>426517</v>
      </c>
      <c r="J2534" s="17">
        <v>3932</v>
      </c>
      <c r="K2534" s="17">
        <v>422585</v>
      </c>
      <c r="L2534" s="17">
        <v>69466.610329999996</v>
      </c>
      <c r="M2534" s="17">
        <v>2025</v>
      </c>
      <c r="N2534" s="17" t="s">
        <v>112</v>
      </c>
    </row>
    <row r="2535" spans="1:14" ht="14.25" customHeight="1">
      <c r="A2535" s="17">
        <v>12534</v>
      </c>
      <c r="B2535" s="18">
        <v>45690</v>
      </c>
      <c r="C2535" s="17" t="s">
        <v>50</v>
      </c>
      <c r="D2535" s="17" t="s">
        <v>170</v>
      </c>
      <c r="E2535" s="17" t="s">
        <v>162</v>
      </c>
      <c r="F2535" s="17" t="s">
        <v>172</v>
      </c>
      <c r="G2535" s="17">
        <v>6</v>
      </c>
      <c r="H2535" s="17">
        <v>23440</v>
      </c>
      <c r="I2535" s="17">
        <v>140640</v>
      </c>
      <c r="J2535" s="17">
        <v>3014</v>
      </c>
      <c r="K2535" s="17">
        <v>137626</v>
      </c>
      <c r="L2535" s="17">
        <v>25795.885310000001</v>
      </c>
      <c r="M2535" s="17">
        <v>2025</v>
      </c>
      <c r="N2535" s="17" t="s">
        <v>175</v>
      </c>
    </row>
    <row r="2536" spans="1:14" ht="14.25" customHeight="1">
      <c r="A2536" s="17">
        <v>12535</v>
      </c>
      <c r="B2536" s="18">
        <v>45502</v>
      </c>
      <c r="C2536" s="17" t="s">
        <v>50</v>
      </c>
      <c r="D2536" s="17" t="s">
        <v>83</v>
      </c>
      <c r="E2536" s="17" t="s">
        <v>162</v>
      </c>
      <c r="F2536" s="17" t="s">
        <v>164</v>
      </c>
      <c r="G2536" s="17">
        <v>6</v>
      </c>
      <c r="H2536" s="17">
        <v>63407</v>
      </c>
      <c r="I2536" s="17">
        <v>380442</v>
      </c>
      <c r="J2536" s="17">
        <v>3486</v>
      </c>
      <c r="K2536" s="17">
        <v>376956</v>
      </c>
      <c r="L2536" s="17">
        <v>61531.788070000002</v>
      </c>
      <c r="M2536" s="17">
        <v>2024</v>
      </c>
      <c r="N2536" s="17" t="s">
        <v>123</v>
      </c>
    </row>
    <row r="2537" spans="1:14" ht="14.25" customHeight="1">
      <c r="A2537" s="17">
        <v>12536</v>
      </c>
      <c r="B2537" s="18">
        <v>45682</v>
      </c>
      <c r="C2537" s="17" t="s">
        <v>167</v>
      </c>
      <c r="D2537" s="17" t="s">
        <v>89</v>
      </c>
      <c r="E2537" s="17" t="s">
        <v>162</v>
      </c>
      <c r="F2537" s="17" t="s">
        <v>166</v>
      </c>
      <c r="G2537" s="17">
        <v>7</v>
      </c>
      <c r="H2537" s="17">
        <v>35898</v>
      </c>
      <c r="I2537" s="17">
        <v>251286</v>
      </c>
      <c r="J2537" s="17">
        <v>1128</v>
      </c>
      <c r="K2537" s="17">
        <v>250158</v>
      </c>
      <c r="L2537" s="17">
        <v>41685.984190000003</v>
      </c>
      <c r="M2537" s="17">
        <v>2025</v>
      </c>
      <c r="N2537" s="17" t="s">
        <v>171</v>
      </c>
    </row>
    <row r="2538" spans="1:14" ht="14.25" customHeight="1">
      <c r="A2538" s="17">
        <v>12537</v>
      </c>
      <c r="B2538" s="18">
        <v>45790</v>
      </c>
      <c r="C2538" s="17" t="s">
        <v>39</v>
      </c>
      <c r="D2538" s="17" t="s">
        <v>86</v>
      </c>
      <c r="E2538" s="17" t="s">
        <v>168</v>
      </c>
      <c r="F2538" s="17" t="s">
        <v>164</v>
      </c>
      <c r="G2538" s="17">
        <v>8</v>
      </c>
      <c r="H2538" s="17">
        <v>51720</v>
      </c>
      <c r="I2538" s="17">
        <v>413760</v>
      </c>
      <c r="J2538" s="17">
        <v>1696</v>
      </c>
      <c r="K2538" s="17">
        <v>412064</v>
      </c>
      <c r="L2538" s="17">
        <v>58048.716970000001</v>
      </c>
      <c r="M2538" s="17">
        <v>2025</v>
      </c>
      <c r="N2538" s="17" t="s">
        <v>117</v>
      </c>
    </row>
    <row r="2539" spans="1:14" ht="14.25" customHeight="1">
      <c r="A2539" s="17">
        <v>12538</v>
      </c>
      <c r="B2539" s="18">
        <v>45831</v>
      </c>
      <c r="C2539" s="17" t="s">
        <v>39</v>
      </c>
      <c r="D2539" s="17" t="s">
        <v>83</v>
      </c>
      <c r="E2539" s="17" t="s">
        <v>162</v>
      </c>
      <c r="F2539" s="17" t="s">
        <v>172</v>
      </c>
      <c r="G2539" s="17">
        <v>3</v>
      </c>
      <c r="H2539" s="17">
        <v>50428</v>
      </c>
      <c r="I2539" s="17">
        <v>151284</v>
      </c>
      <c r="J2539" s="17">
        <v>132</v>
      </c>
      <c r="K2539" s="17">
        <v>151152</v>
      </c>
      <c r="L2539" s="17">
        <v>21631.023219999999</v>
      </c>
      <c r="M2539" s="17">
        <v>2025</v>
      </c>
      <c r="N2539" s="17" t="s">
        <v>120</v>
      </c>
    </row>
    <row r="2540" spans="1:14" ht="14.25" customHeight="1">
      <c r="A2540" s="17">
        <v>12539</v>
      </c>
      <c r="B2540" s="18">
        <v>45854</v>
      </c>
      <c r="C2540" s="17" t="s">
        <v>58</v>
      </c>
      <c r="D2540" s="17" t="s">
        <v>89</v>
      </c>
      <c r="E2540" s="17" t="s">
        <v>168</v>
      </c>
      <c r="F2540" s="17" t="s">
        <v>166</v>
      </c>
      <c r="G2540" s="17">
        <v>3</v>
      </c>
      <c r="H2540" s="17">
        <v>20427</v>
      </c>
      <c r="I2540" s="17">
        <v>61281</v>
      </c>
      <c r="J2540" s="17">
        <v>4665</v>
      </c>
      <c r="K2540" s="17">
        <v>56616</v>
      </c>
      <c r="L2540" s="17">
        <v>11597.425880000001</v>
      </c>
      <c r="M2540" s="17">
        <v>2025</v>
      </c>
      <c r="N2540" s="17" t="s">
        <v>123</v>
      </c>
    </row>
    <row r="2541" spans="1:14" ht="14.25" customHeight="1">
      <c r="A2541" s="17">
        <v>12540</v>
      </c>
      <c r="B2541" s="18">
        <v>45782</v>
      </c>
      <c r="C2541" s="17" t="s">
        <v>45</v>
      </c>
      <c r="D2541" s="17" t="s">
        <v>86</v>
      </c>
      <c r="E2541" s="17" t="s">
        <v>165</v>
      </c>
      <c r="F2541" s="17" t="s">
        <v>163</v>
      </c>
      <c r="G2541" s="17">
        <v>8</v>
      </c>
      <c r="H2541" s="17">
        <v>27169</v>
      </c>
      <c r="I2541" s="17">
        <v>217352</v>
      </c>
      <c r="J2541" s="17">
        <v>4220</v>
      </c>
      <c r="K2541" s="17">
        <v>213132</v>
      </c>
      <c r="L2541" s="17">
        <v>21450.06725</v>
      </c>
      <c r="M2541" s="17">
        <v>2025</v>
      </c>
      <c r="N2541" s="17" t="s">
        <v>117</v>
      </c>
    </row>
    <row r="2542" spans="1:14" ht="14.25" customHeight="1">
      <c r="A2542" s="17">
        <v>12541</v>
      </c>
      <c r="B2542" s="18">
        <v>45733</v>
      </c>
      <c r="C2542" s="17" t="s">
        <v>167</v>
      </c>
      <c r="D2542" s="17" t="s">
        <v>83</v>
      </c>
      <c r="E2542" s="17" t="s">
        <v>165</v>
      </c>
      <c r="F2542" s="17" t="s">
        <v>164</v>
      </c>
      <c r="G2542" s="17">
        <v>7</v>
      </c>
      <c r="H2542" s="17">
        <v>50419</v>
      </c>
      <c r="I2542" s="17">
        <v>352933</v>
      </c>
      <c r="J2542" s="17">
        <v>3539</v>
      </c>
      <c r="K2542" s="17">
        <v>349394</v>
      </c>
      <c r="L2542" s="17">
        <v>39933.485269999997</v>
      </c>
      <c r="M2542" s="17">
        <v>2025</v>
      </c>
      <c r="N2542" s="17" t="s">
        <v>112</v>
      </c>
    </row>
    <row r="2543" spans="1:14" ht="14.25" customHeight="1">
      <c r="A2543" s="17">
        <v>12542</v>
      </c>
      <c r="B2543" s="18">
        <v>45552</v>
      </c>
      <c r="C2543" s="17" t="s">
        <v>45</v>
      </c>
      <c r="D2543" s="17" t="s">
        <v>170</v>
      </c>
      <c r="E2543" s="17" t="s">
        <v>162</v>
      </c>
      <c r="F2543" s="17" t="s">
        <v>166</v>
      </c>
      <c r="G2543" s="17">
        <v>5</v>
      </c>
      <c r="H2543" s="17">
        <v>56065</v>
      </c>
      <c r="I2543" s="17">
        <v>280325</v>
      </c>
      <c r="J2543" s="17">
        <v>2988</v>
      </c>
      <c r="K2543" s="17">
        <v>277337</v>
      </c>
      <c r="L2543" s="17">
        <v>67204.713250000001</v>
      </c>
      <c r="M2543" s="17">
        <v>2024</v>
      </c>
      <c r="N2543" s="17" t="s">
        <v>129</v>
      </c>
    </row>
    <row r="2544" spans="1:14" ht="14.25" customHeight="1">
      <c r="A2544" s="17">
        <v>12543</v>
      </c>
      <c r="B2544" s="18">
        <v>45641</v>
      </c>
      <c r="C2544" s="17" t="s">
        <v>167</v>
      </c>
      <c r="D2544" s="17" t="s">
        <v>86</v>
      </c>
      <c r="E2544" s="17" t="s">
        <v>168</v>
      </c>
      <c r="F2544" s="17" t="s">
        <v>163</v>
      </c>
      <c r="G2544" s="17">
        <v>4</v>
      </c>
      <c r="H2544" s="17">
        <v>72487</v>
      </c>
      <c r="I2544" s="17">
        <v>289948</v>
      </c>
      <c r="J2544" s="17">
        <v>4302</v>
      </c>
      <c r="K2544" s="17">
        <v>285646</v>
      </c>
      <c r="L2544" s="17">
        <v>36577.745049999998</v>
      </c>
      <c r="M2544" s="17">
        <v>2024</v>
      </c>
      <c r="N2544" s="17" t="s">
        <v>169</v>
      </c>
    </row>
    <row r="2545" spans="1:14" ht="14.25" customHeight="1">
      <c r="A2545" s="17">
        <v>12544</v>
      </c>
      <c r="B2545" s="18">
        <v>45643</v>
      </c>
      <c r="C2545" s="17" t="s">
        <v>167</v>
      </c>
      <c r="D2545" s="17" t="s">
        <v>86</v>
      </c>
      <c r="E2545" s="17" t="s">
        <v>168</v>
      </c>
      <c r="F2545" s="17" t="s">
        <v>163</v>
      </c>
      <c r="G2545" s="17">
        <v>6</v>
      </c>
      <c r="H2545" s="17">
        <v>79501</v>
      </c>
      <c r="I2545" s="17">
        <v>477006</v>
      </c>
      <c r="J2545" s="17">
        <v>3293</v>
      </c>
      <c r="K2545" s="17">
        <v>473713</v>
      </c>
      <c r="L2545" s="17">
        <v>77081.695309999996</v>
      </c>
      <c r="M2545" s="17">
        <v>2024</v>
      </c>
      <c r="N2545" s="17" t="s">
        <v>169</v>
      </c>
    </row>
    <row r="2546" spans="1:14" ht="14.25" customHeight="1">
      <c r="A2546" s="17">
        <v>12545</v>
      </c>
      <c r="B2546" s="18">
        <v>45811</v>
      </c>
      <c r="C2546" s="17" t="s">
        <v>167</v>
      </c>
      <c r="D2546" s="17" t="s">
        <v>83</v>
      </c>
      <c r="E2546" s="17" t="s">
        <v>162</v>
      </c>
      <c r="F2546" s="17" t="s">
        <v>172</v>
      </c>
      <c r="G2546" s="17">
        <v>9</v>
      </c>
      <c r="H2546" s="17">
        <v>13985</v>
      </c>
      <c r="I2546" s="17">
        <v>125865</v>
      </c>
      <c r="J2546" s="17">
        <v>311</v>
      </c>
      <c r="K2546" s="17">
        <v>125554</v>
      </c>
      <c r="L2546" s="17">
        <v>28557.60514</v>
      </c>
      <c r="M2546" s="17">
        <v>2025</v>
      </c>
      <c r="N2546" s="17" t="s">
        <v>120</v>
      </c>
    </row>
    <row r="2547" spans="1:14" ht="14.25" customHeight="1">
      <c r="A2547" s="17">
        <v>12546</v>
      </c>
      <c r="B2547" s="18">
        <v>45611</v>
      </c>
      <c r="C2547" s="17" t="s">
        <v>45</v>
      </c>
      <c r="D2547" s="17" t="s">
        <v>86</v>
      </c>
      <c r="E2547" s="17" t="s">
        <v>165</v>
      </c>
      <c r="F2547" s="17" t="s">
        <v>163</v>
      </c>
      <c r="G2547" s="17">
        <v>6</v>
      </c>
      <c r="H2547" s="17">
        <v>37641</v>
      </c>
      <c r="I2547" s="17">
        <v>225846</v>
      </c>
      <c r="J2547" s="17">
        <v>2429</v>
      </c>
      <c r="K2547" s="17">
        <v>223417</v>
      </c>
      <c r="L2547" s="17">
        <v>22345.13076</v>
      </c>
      <c r="M2547" s="17">
        <v>2024</v>
      </c>
      <c r="N2547" s="17" t="s">
        <v>173</v>
      </c>
    </row>
    <row r="2548" spans="1:14" ht="14.25" customHeight="1">
      <c r="A2548" s="17">
        <v>12547</v>
      </c>
      <c r="B2548" s="18">
        <v>45429</v>
      </c>
      <c r="C2548" s="17" t="s">
        <v>50</v>
      </c>
      <c r="D2548" s="17" t="s">
        <v>89</v>
      </c>
      <c r="E2548" s="17" t="s">
        <v>165</v>
      </c>
      <c r="F2548" s="17" t="s">
        <v>163</v>
      </c>
      <c r="G2548" s="17">
        <v>8</v>
      </c>
      <c r="H2548" s="17">
        <v>27897</v>
      </c>
      <c r="I2548" s="17">
        <v>223176</v>
      </c>
      <c r="J2548" s="17">
        <v>1785</v>
      </c>
      <c r="K2548" s="17">
        <v>221391</v>
      </c>
      <c r="L2548" s="17">
        <v>52863.051890000002</v>
      </c>
      <c r="M2548" s="17">
        <v>2024</v>
      </c>
      <c r="N2548" s="17" t="s">
        <v>117</v>
      </c>
    </row>
    <row r="2549" spans="1:14" ht="14.25" customHeight="1">
      <c r="A2549" s="17">
        <v>12548</v>
      </c>
      <c r="B2549" s="18">
        <v>45841</v>
      </c>
      <c r="C2549" s="17" t="s">
        <v>45</v>
      </c>
      <c r="D2549" s="17" t="s">
        <v>86</v>
      </c>
      <c r="E2549" s="17" t="s">
        <v>165</v>
      </c>
      <c r="F2549" s="17" t="s">
        <v>172</v>
      </c>
      <c r="G2549" s="17">
        <v>1</v>
      </c>
      <c r="H2549" s="17">
        <v>50652</v>
      </c>
      <c r="I2549" s="17">
        <v>50652</v>
      </c>
      <c r="J2549" s="17">
        <v>4391</v>
      </c>
      <c r="K2549" s="17">
        <v>46261</v>
      </c>
      <c r="L2549" s="17">
        <v>4997.2655850000001</v>
      </c>
      <c r="M2549" s="17">
        <v>2025</v>
      </c>
      <c r="N2549" s="17" t="s">
        <v>123</v>
      </c>
    </row>
    <row r="2550" spans="1:14" ht="14.25" customHeight="1">
      <c r="A2550" s="17">
        <v>12549</v>
      </c>
      <c r="B2550" s="18">
        <v>45914</v>
      </c>
      <c r="C2550" s="17" t="s">
        <v>167</v>
      </c>
      <c r="D2550" s="17" t="s">
        <v>111</v>
      </c>
      <c r="E2550" s="17" t="s">
        <v>165</v>
      </c>
      <c r="F2550" s="17" t="s">
        <v>166</v>
      </c>
      <c r="G2550" s="17">
        <v>6</v>
      </c>
      <c r="H2550" s="17">
        <v>10973</v>
      </c>
      <c r="I2550" s="17">
        <v>65838</v>
      </c>
      <c r="J2550" s="17">
        <v>401</v>
      </c>
      <c r="K2550" s="17">
        <v>65437</v>
      </c>
      <c r="L2550" s="17">
        <v>8220.8736989999998</v>
      </c>
      <c r="M2550" s="17">
        <v>2025</v>
      </c>
      <c r="N2550" s="17" t="s">
        <v>129</v>
      </c>
    </row>
    <row r="2551" spans="1:14" ht="14.25" customHeight="1">
      <c r="A2551" s="17">
        <v>12550</v>
      </c>
      <c r="B2551" s="18">
        <v>45659</v>
      </c>
      <c r="C2551" s="17" t="s">
        <v>58</v>
      </c>
      <c r="D2551" s="17" t="s">
        <v>89</v>
      </c>
      <c r="E2551" s="17" t="s">
        <v>165</v>
      </c>
      <c r="F2551" s="17" t="s">
        <v>166</v>
      </c>
      <c r="G2551" s="17">
        <v>2</v>
      </c>
      <c r="H2551" s="17">
        <v>78250</v>
      </c>
      <c r="I2551" s="17">
        <v>156500</v>
      </c>
      <c r="J2551" s="17">
        <v>1596</v>
      </c>
      <c r="K2551" s="17">
        <v>154904</v>
      </c>
      <c r="L2551" s="17">
        <v>16166.638290000001</v>
      </c>
      <c r="M2551" s="17">
        <v>2025</v>
      </c>
      <c r="N2551" s="17" t="s">
        <v>171</v>
      </c>
    </row>
    <row r="2552" spans="1:14" ht="14.25" customHeight="1">
      <c r="A2552" s="17">
        <v>12551</v>
      </c>
      <c r="B2552" s="18">
        <v>45511</v>
      </c>
      <c r="C2552" s="17" t="s">
        <v>39</v>
      </c>
      <c r="D2552" s="17" t="s">
        <v>83</v>
      </c>
      <c r="E2552" s="17" t="s">
        <v>162</v>
      </c>
      <c r="F2552" s="17" t="s">
        <v>172</v>
      </c>
      <c r="G2552" s="17">
        <v>3</v>
      </c>
      <c r="H2552" s="17">
        <v>71673</v>
      </c>
      <c r="I2552" s="17">
        <v>215019</v>
      </c>
      <c r="J2552" s="17">
        <v>121</v>
      </c>
      <c r="K2552" s="17">
        <v>214898</v>
      </c>
      <c r="L2552" s="17">
        <v>38236.37283</v>
      </c>
      <c r="M2552" s="17">
        <v>2024</v>
      </c>
      <c r="N2552" s="17" t="s">
        <v>126</v>
      </c>
    </row>
    <row r="2553" spans="1:14" ht="14.25" customHeight="1">
      <c r="A2553" s="17">
        <v>12552</v>
      </c>
      <c r="B2553" s="18">
        <v>45628</v>
      </c>
      <c r="C2553" s="17" t="s">
        <v>167</v>
      </c>
      <c r="D2553" s="17" t="s">
        <v>89</v>
      </c>
      <c r="E2553" s="17" t="s">
        <v>162</v>
      </c>
      <c r="F2553" s="17" t="s">
        <v>164</v>
      </c>
      <c r="G2553" s="17">
        <v>6</v>
      </c>
      <c r="H2553" s="17">
        <v>59309</v>
      </c>
      <c r="I2553" s="17">
        <v>355854</v>
      </c>
      <c r="J2553" s="17">
        <v>750</v>
      </c>
      <c r="K2553" s="17">
        <v>355104</v>
      </c>
      <c r="L2553" s="17">
        <v>85744.884279999998</v>
      </c>
      <c r="M2553" s="17">
        <v>2024</v>
      </c>
      <c r="N2553" s="17" t="s">
        <v>169</v>
      </c>
    </row>
    <row r="2554" spans="1:14" ht="14.25" customHeight="1">
      <c r="A2554" s="17">
        <v>12553</v>
      </c>
      <c r="B2554" s="18">
        <v>45514</v>
      </c>
      <c r="C2554" s="17" t="s">
        <v>58</v>
      </c>
      <c r="D2554" s="17" t="s">
        <v>111</v>
      </c>
      <c r="E2554" s="17" t="s">
        <v>162</v>
      </c>
      <c r="F2554" s="17" t="s">
        <v>172</v>
      </c>
      <c r="G2554" s="17">
        <v>2</v>
      </c>
      <c r="H2554" s="17">
        <v>61718</v>
      </c>
      <c r="I2554" s="17">
        <v>123436</v>
      </c>
      <c r="J2554" s="17">
        <v>105</v>
      </c>
      <c r="K2554" s="17">
        <v>123331</v>
      </c>
      <c r="L2554" s="17">
        <v>27854.983649999998</v>
      </c>
      <c r="M2554" s="17">
        <v>2024</v>
      </c>
      <c r="N2554" s="17" t="s">
        <v>126</v>
      </c>
    </row>
    <row r="2555" spans="1:14" ht="14.25" customHeight="1">
      <c r="A2555" s="17">
        <v>12554</v>
      </c>
      <c r="B2555" s="18">
        <v>45939</v>
      </c>
      <c r="C2555" s="17" t="s">
        <v>50</v>
      </c>
      <c r="D2555" s="17" t="s">
        <v>111</v>
      </c>
      <c r="E2555" s="17" t="s">
        <v>165</v>
      </c>
      <c r="F2555" s="17" t="s">
        <v>166</v>
      </c>
      <c r="G2555" s="17">
        <v>4</v>
      </c>
      <c r="H2555" s="17">
        <v>73809</v>
      </c>
      <c r="I2555" s="17">
        <v>295236</v>
      </c>
      <c r="J2555" s="17">
        <v>1059</v>
      </c>
      <c r="K2555" s="17">
        <v>294177</v>
      </c>
      <c r="L2555" s="17">
        <v>57647.596210000003</v>
      </c>
      <c r="M2555" s="17">
        <v>2025</v>
      </c>
      <c r="N2555" s="17" t="s">
        <v>174</v>
      </c>
    </row>
    <row r="2556" spans="1:14" ht="14.25" customHeight="1">
      <c r="A2556" s="17">
        <v>12555</v>
      </c>
      <c r="B2556" s="18">
        <v>45651</v>
      </c>
      <c r="C2556" s="17" t="s">
        <v>167</v>
      </c>
      <c r="D2556" s="17" t="s">
        <v>86</v>
      </c>
      <c r="E2556" s="17" t="s">
        <v>165</v>
      </c>
      <c r="F2556" s="17" t="s">
        <v>164</v>
      </c>
      <c r="G2556" s="17">
        <v>6</v>
      </c>
      <c r="H2556" s="17">
        <v>27627</v>
      </c>
      <c r="I2556" s="17">
        <v>165762</v>
      </c>
      <c r="J2556" s="17">
        <v>4167</v>
      </c>
      <c r="K2556" s="17">
        <v>161595</v>
      </c>
      <c r="L2556" s="17">
        <v>20655.605459999999</v>
      </c>
      <c r="M2556" s="17">
        <v>2024</v>
      </c>
      <c r="N2556" s="17" t="s">
        <v>169</v>
      </c>
    </row>
    <row r="2557" spans="1:14" ht="14.25" customHeight="1">
      <c r="A2557" s="17">
        <v>12556</v>
      </c>
      <c r="B2557" s="18">
        <v>45620</v>
      </c>
      <c r="C2557" s="17" t="s">
        <v>58</v>
      </c>
      <c r="D2557" s="17" t="s">
        <v>86</v>
      </c>
      <c r="E2557" s="17" t="s">
        <v>162</v>
      </c>
      <c r="F2557" s="17" t="s">
        <v>172</v>
      </c>
      <c r="G2557" s="17">
        <v>5</v>
      </c>
      <c r="H2557" s="17">
        <v>57621</v>
      </c>
      <c r="I2557" s="17">
        <v>288105</v>
      </c>
      <c r="J2557" s="17">
        <v>4663</v>
      </c>
      <c r="K2557" s="17">
        <v>283442</v>
      </c>
      <c r="L2557" s="17">
        <v>65316.251120000001</v>
      </c>
      <c r="M2557" s="17">
        <v>2024</v>
      </c>
      <c r="N2557" s="17" t="s">
        <v>173</v>
      </c>
    </row>
    <row r="2558" spans="1:14" ht="14.25" customHeight="1">
      <c r="A2558" s="17">
        <v>12557</v>
      </c>
      <c r="B2558" s="18">
        <v>45754</v>
      </c>
      <c r="C2558" s="17" t="s">
        <v>167</v>
      </c>
      <c r="D2558" s="17" t="s">
        <v>170</v>
      </c>
      <c r="E2558" s="17" t="s">
        <v>162</v>
      </c>
      <c r="F2558" s="17" t="s">
        <v>166</v>
      </c>
      <c r="G2558" s="17">
        <v>6</v>
      </c>
      <c r="H2558" s="17">
        <v>60084</v>
      </c>
      <c r="I2558" s="17">
        <v>360504</v>
      </c>
      <c r="J2558" s="17">
        <v>3238</v>
      </c>
      <c r="K2558" s="17">
        <v>357266</v>
      </c>
      <c r="L2558" s="17">
        <v>76174.937730000005</v>
      </c>
      <c r="M2558" s="17">
        <v>2025</v>
      </c>
      <c r="N2558" s="17" t="s">
        <v>114</v>
      </c>
    </row>
    <row r="2559" spans="1:14" ht="14.25" customHeight="1">
      <c r="A2559" s="17">
        <v>12558</v>
      </c>
      <c r="B2559" s="18">
        <v>45852</v>
      </c>
      <c r="C2559" s="17" t="s">
        <v>45</v>
      </c>
      <c r="D2559" s="17" t="s">
        <v>89</v>
      </c>
      <c r="E2559" s="17" t="s">
        <v>165</v>
      </c>
      <c r="F2559" s="17" t="s">
        <v>166</v>
      </c>
      <c r="G2559" s="17">
        <v>6</v>
      </c>
      <c r="H2559" s="17">
        <v>20151</v>
      </c>
      <c r="I2559" s="17">
        <v>120906</v>
      </c>
      <c r="J2559" s="17">
        <v>1244</v>
      </c>
      <c r="K2559" s="17">
        <v>119662</v>
      </c>
      <c r="L2559" s="17">
        <v>16755.930560000001</v>
      </c>
      <c r="M2559" s="17">
        <v>2025</v>
      </c>
      <c r="N2559" s="17" t="s">
        <v>123</v>
      </c>
    </row>
    <row r="2560" spans="1:14" ht="14.25" customHeight="1">
      <c r="A2560" s="17">
        <v>12559</v>
      </c>
      <c r="B2560" s="18">
        <v>45673</v>
      </c>
      <c r="C2560" s="17" t="s">
        <v>58</v>
      </c>
      <c r="D2560" s="17" t="s">
        <v>170</v>
      </c>
      <c r="E2560" s="17" t="s">
        <v>168</v>
      </c>
      <c r="F2560" s="17" t="s">
        <v>166</v>
      </c>
      <c r="G2560" s="17">
        <v>8</v>
      </c>
      <c r="H2560" s="17">
        <v>31741</v>
      </c>
      <c r="I2560" s="17">
        <v>253928</v>
      </c>
      <c r="J2560" s="17">
        <v>75</v>
      </c>
      <c r="K2560" s="17">
        <v>253853</v>
      </c>
      <c r="L2560" s="17">
        <v>56041.444909999998</v>
      </c>
      <c r="M2560" s="17">
        <v>2025</v>
      </c>
      <c r="N2560" s="17" t="s">
        <v>171</v>
      </c>
    </row>
    <row r="2561" spans="1:14" ht="14.25" customHeight="1">
      <c r="A2561" s="17">
        <v>12560</v>
      </c>
      <c r="B2561" s="18">
        <v>45881</v>
      </c>
      <c r="C2561" s="17" t="s">
        <v>45</v>
      </c>
      <c r="D2561" s="17" t="s">
        <v>111</v>
      </c>
      <c r="E2561" s="17" t="s">
        <v>162</v>
      </c>
      <c r="F2561" s="17" t="s">
        <v>163</v>
      </c>
      <c r="G2561" s="17">
        <v>9</v>
      </c>
      <c r="H2561" s="17">
        <v>43130</v>
      </c>
      <c r="I2561" s="17">
        <v>388170</v>
      </c>
      <c r="J2561" s="17">
        <v>1009</v>
      </c>
      <c r="K2561" s="17">
        <v>387161</v>
      </c>
      <c r="L2561" s="17">
        <v>89655.918380000003</v>
      </c>
      <c r="M2561" s="17">
        <v>2025</v>
      </c>
      <c r="N2561" s="17" t="s">
        <v>126</v>
      </c>
    </row>
    <row r="2562" spans="1:14" ht="14.25" customHeight="1">
      <c r="A2562" s="17">
        <v>12561</v>
      </c>
      <c r="B2562" s="18">
        <v>45908</v>
      </c>
      <c r="C2562" s="17" t="s">
        <v>45</v>
      </c>
      <c r="D2562" s="17" t="s">
        <v>86</v>
      </c>
      <c r="E2562" s="17" t="s">
        <v>165</v>
      </c>
      <c r="F2562" s="17" t="s">
        <v>163</v>
      </c>
      <c r="G2562" s="17">
        <v>5</v>
      </c>
      <c r="H2562" s="17">
        <v>75172</v>
      </c>
      <c r="I2562" s="17">
        <v>375860</v>
      </c>
      <c r="J2562" s="17">
        <v>3282</v>
      </c>
      <c r="K2562" s="17">
        <v>372578</v>
      </c>
      <c r="L2562" s="17">
        <v>76279.347689999995</v>
      </c>
      <c r="M2562" s="17">
        <v>2025</v>
      </c>
      <c r="N2562" s="17" t="s">
        <v>129</v>
      </c>
    </row>
    <row r="2563" spans="1:14" ht="14.25" customHeight="1">
      <c r="A2563" s="17">
        <v>12562</v>
      </c>
      <c r="B2563" s="18">
        <v>45460</v>
      </c>
      <c r="C2563" s="17" t="s">
        <v>58</v>
      </c>
      <c r="D2563" s="17" t="s">
        <v>86</v>
      </c>
      <c r="E2563" s="17" t="s">
        <v>165</v>
      </c>
      <c r="F2563" s="17" t="s">
        <v>164</v>
      </c>
      <c r="G2563" s="17">
        <v>6</v>
      </c>
      <c r="H2563" s="17">
        <v>65916</v>
      </c>
      <c r="I2563" s="17">
        <v>395496</v>
      </c>
      <c r="J2563" s="17">
        <v>2275</v>
      </c>
      <c r="K2563" s="17">
        <v>393221</v>
      </c>
      <c r="L2563" s="17">
        <v>45243.073429999997</v>
      </c>
      <c r="M2563" s="17">
        <v>2024</v>
      </c>
      <c r="N2563" s="17" t="s">
        <v>120</v>
      </c>
    </row>
    <row r="2564" spans="1:14" ht="14.25" customHeight="1">
      <c r="A2564" s="17">
        <v>12563</v>
      </c>
      <c r="B2564" s="18">
        <v>45508</v>
      </c>
      <c r="C2564" s="17" t="s">
        <v>39</v>
      </c>
      <c r="D2564" s="17" t="s">
        <v>86</v>
      </c>
      <c r="E2564" s="17" t="s">
        <v>162</v>
      </c>
      <c r="F2564" s="17" t="s">
        <v>164</v>
      </c>
      <c r="G2564" s="17">
        <v>6</v>
      </c>
      <c r="H2564" s="17">
        <v>64219</v>
      </c>
      <c r="I2564" s="17">
        <v>385314</v>
      </c>
      <c r="J2564" s="17">
        <v>3808</v>
      </c>
      <c r="K2564" s="17">
        <v>381506</v>
      </c>
      <c r="L2564" s="17">
        <v>94475.011429999999</v>
      </c>
      <c r="M2564" s="17">
        <v>2024</v>
      </c>
      <c r="N2564" s="17" t="s">
        <v>126</v>
      </c>
    </row>
    <row r="2565" spans="1:14" ht="14.25" customHeight="1">
      <c r="A2565" s="17">
        <v>12564</v>
      </c>
      <c r="B2565" s="18">
        <v>45669</v>
      </c>
      <c r="C2565" s="17" t="s">
        <v>58</v>
      </c>
      <c r="D2565" s="17" t="s">
        <v>83</v>
      </c>
      <c r="E2565" s="17" t="s">
        <v>168</v>
      </c>
      <c r="F2565" s="17" t="s">
        <v>164</v>
      </c>
      <c r="G2565" s="17">
        <v>6</v>
      </c>
      <c r="H2565" s="17">
        <v>42236</v>
      </c>
      <c r="I2565" s="17">
        <v>253416</v>
      </c>
      <c r="J2565" s="17">
        <v>452</v>
      </c>
      <c r="K2565" s="17">
        <v>252964</v>
      </c>
      <c r="L2565" s="17">
        <v>28180.227129999999</v>
      </c>
      <c r="M2565" s="17">
        <v>2025</v>
      </c>
      <c r="N2565" s="17" t="s">
        <v>171</v>
      </c>
    </row>
    <row r="2566" spans="1:14" ht="14.25" customHeight="1">
      <c r="A2566" s="17">
        <v>12565</v>
      </c>
      <c r="B2566" s="18">
        <v>45410</v>
      </c>
      <c r="C2566" s="17" t="s">
        <v>39</v>
      </c>
      <c r="D2566" s="17" t="s">
        <v>111</v>
      </c>
      <c r="E2566" s="17" t="s">
        <v>165</v>
      </c>
      <c r="F2566" s="17" t="s">
        <v>163</v>
      </c>
      <c r="G2566" s="17">
        <v>2</v>
      </c>
      <c r="H2566" s="17">
        <v>72882</v>
      </c>
      <c r="I2566" s="17">
        <v>145764</v>
      </c>
      <c r="J2566" s="17">
        <v>765</v>
      </c>
      <c r="K2566" s="17">
        <v>144999</v>
      </c>
      <c r="L2566" s="17">
        <v>28734.611069999999</v>
      </c>
      <c r="M2566" s="17">
        <v>2024</v>
      </c>
      <c r="N2566" s="17" t="s">
        <v>114</v>
      </c>
    </row>
    <row r="2567" spans="1:14" ht="14.25" customHeight="1">
      <c r="A2567" s="17">
        <v>12566</v>
      </c>
      <c r="B2567" s="18">
        <v>45481</v>
      </c>
      <c r="C2567" s="17" t="s">
        <v>167</v>
      </c>
      <c r="D2567" s="17" t="s">
        <v>86</v>
      </c>
      <c r="E2567" s="17" t="s">
        <v>162</v>
      </c>
      <c r="F2567" s="17" t="s">
        <v>164</v>
      </c>
      <c r="G2567" s="17">
        <v>4</v>
      </c>
      <c r="H2567" s="17">
        <v>18984</v>
      </c>
      <c r="I2567" s="17">
        <v>75936</v>
      </c>
      <c r="J2567" s="17">
        <v>4582</v>
      </c>
      <c r="K2567" s="17">
        <v>71354</v>
      </c>
      <c r="L2567" s="17">
        <v>8318.3628590000008</v>
      </c>
      <c r="M2567" s="17">
        <v>2024</v>
      </c>
      <c r="N2567" s="17" t="s">
        <v>123</v>
      </c>
    </row>
    <row r="2568" spans="1:14" ht="14.25" customHeight="1">
      <c r="A2568" s="17">
        <v>12567</v>
      </c>
      <c r="B2568" s="18">
        <v>45661</v>
      </c>
      <c r="C2568" s="17" t="s">
        <v>167</v>
      </c>
      <c r="D2568" s="17" t="s">
        <v>111</v>
      </c>
      <c r="E2568" s="17" t="s">
        <v>165</v>
      </c>
      <c r="F2568" s="17" t="s">
        <v>166</v>
      </c>
      <c r="G2568" s="17">
        <v>1</v>
      </c>
      <c r="H2568" s="17">
        <v>6042</v>
      </c>
      <c r="I2568" s="17">
        <v>6042</v>
      </c>
      <c r="J2568" s="17">
        <v>2715</v>
      </c>
      <c r="K2568" s="17">
        <v>3327</v>
      </c>
      <c r="L2568" s="17">
        <v>784.54653659999997</v>
      </c>
      <c r="M2568" s="17">
        <v>2025</v>
      </c>
      <c r="N2568" s="17" t="s">
        <v>171</v>
      </c>
    </row>
    <row r="2569" spans="1:14" ht="14.25" customHeight="1">
      <c r="A2569" s="17">
        <v>12568</v>
      </c>
      <c r="B2569" s="18">
        <v>45440</v>
      </c>
      <c r="C2569" s="17" t="s">
        <v>58</v>
      </c>
      <c r="D2569" s="17" t="s">
        <v>86</v>
      </c>
      <c r="E2569" s="17" t="s">
        <v>165</v>
      </c>
      <c r="F2569" s="17" t="s">
        <v>166</v>
      </c>
      <c r="G2569" s="17">
        <v>1</v>
      </c>
      <c r="H2569" s="17">
        <v>18063</v>
      </c>
      <c r="I2569" s="17">
        <v>18063</v>
      </c>
      <c r="J2569" s="17">
        <v>1497</v>
      </c>
      <c r="K2569" s="17">
        <v>16566</v>
      </c>
      <c r="L2569" s="17">
        <v>2526.2595459999998</v>
      </c>
      <c r="M2569" s="17">
        <v>2024</v>
      </c>
      <c r="N2569" s="17" t="s">
        <v>117</v>
      </c>
    </row>
    <row r="2570" spans="1:14" ht="14.25" customHeight="1">
      <c r="A2570" s="17">
        <v>12569</v>
      </c>
      <c r="B2570" s="18">
        <v>45967</v>
      </c>
      <c r="C2570" s="17" t="s">
        <v>167</v>
      </c>
      <c r="D2570" s="17" t="s">
        <v>89</v>
      </c>
      <c r="E2570" s="17" t="s">
        <v>165</v>
      </c>
      <c r="F2570" s="17" t="s">
        <v>164</v>
      </c>
      <c r="G2570" s="17">
        <v>1</v>
      </c>
      <c r="H2570" s="17">
        <v>58918</v>
      </c>
      <c r="I2570" s="17">
        <v>58918</v>
      </c>
      <c r="J2570" s="17">
        <v>3946</v>
      </c>
      <c r="K2570" s="17">
        <v>54972</v>
      </c>
      <c r="L2570" s="17">
        <v>9714.9516220000005</v>
      </c>
      <c r="M2570" s="17">
        <v>2025</v>
      </c>
      <c r="N2570" s="17" t="s">
        <v>173</v>
      </c>
    </row>
    <row r="2571" spans="1:14" ht="14.25" customHeight="1">
      <c r="A2571" s="17">
        <v>12570</v>
      </c>
      <c r="B2571" s="18">
        <v>45943</v>
      </c>
      <c r="C2571" s="17" t="s">
        <v>50</v>
      </c>
      <c r="D2571" s="17" t="s">
        <v>111</v>
      </c>
      <c r="E2571" s="17" t="s">
        <v>165</v>
      </c>
      <c r="F2571" s="17" t="s">
        <v>164</v>
      </c>
      <c r="G2571" s="17">
        <v>7</v>
      </c>
      <c r="H2571" s="17">
        <v>25490</v>
      </c>
      <c r="I2571" s="17">
        <v>178430</v>
      </c>
      <c r="J2571" s="17">
        <v>3732</v>
      </c>
      <c r="K2571" s="17">
        <v>174698</v>
      </c>
      <c r="L2571" s="17">
        <v>22154.19369</v>
      </c>
      <c r="M2571" s="17">
        <v>2025</v>
      </c>
      <c r="N2571" s="17" t="s">
        <v>174</v>
      </c>
    </row>
    <row r="2572" spans="1:14" ht="14.25" customHeight="1">
      <c r="A2572" s="17">
        <v>12571</v>
      </c>
      <c r="B2572" s="18">
        <v>45779</v>
      </c>
      <c r="C2572" s="17" t="s">
        <v>45</v>
      </c>
      <c r="D2572" s="17" t="s">
        <v>170</v>
      </c>
      <c r="E2572" s="17" t="s">
        <v>168</v>
      </c>
      <c r="F2572" s="17" t="s">
        <v>163</v>
      </c>
      <c r="G2572" s="17">
        <v>1</v>
      </c>
      <c r="H2572" s="17">
        <v>45967</v>
      </c>
      <c r="I2572" s="17">
        <v>45967</v>
      </c>
      <c r="J2572" s="17">
        <v>4925</v>
      </c>
      <c r="K2572" s="17">
        <v>41042</v>
      </c>
      <c r="L2572" s="17">
        <v>7469.0008090000001</v>
      </c>
      <c r="M2572" s="17">
        <v>2025</v>
      </c>
      <c r="N2572" s="17" t="s">
        <v>117</v>
      </c>
    </row>
    <row r="2573" spans="1:14" ht="14.25" customHeight="1">
      <c r="A2573" s="17">
        <v>12572</v>
      </c>
      <c r="B2573" s="18">
        <v>45665</v>
      </c>
      <c r="C2573" s="17" t="s">
        <v>45</v>
      </c>
      <c r="D2573" s="17" t="s">
        <v>83</v>
      </c>
      <c r="E2573" s="17" t="s">
        <v>162</v>
      </c>
      <c r="F2573" s="17" t="s">
        <v>166</v>
      </c>
      <c r="G2573" s="17">
        <v>6</v>
      </c>
      <c r="H2573" s="17">
        <v>61472</v>
      </c>
      <c r="I2573" s="17">
        <v>368832</v>
      </c>
      <c r="J2573" s="17">
        <v>2838</v>
      </c>
      <c r="K2573" s="17">
        <v>365994</v>
      </c>
      <c r="L2573" s="17">
        <v>88140.865839999999</v>
      </c>
      <c r="M2573" s="17">
        <v>2025</v>
      </c>
      <c r="N2573" s="17" t="s">
        <v>171</v>
      </c>
    </row>
    <row r="2574" spans="1:14" ht="14.25" customHeight="1">
      <c r="A2574" s="17">
        <v>12573</v>
      </c>
      <c r="B2574" s="18">
        <v>45984</v>
      </c>
      <c r="C2574" s="17" t="s">
        <v>39</v>
      </c>
      <c r="D2574" s="17" t="s">
        <v>170</v>
      </c>
      <c r="E2574" s="17" t="s">
        <v>162</v>
      </c>
      <c r="F2574" s="17" t="s">
        <v>172</v>
      </c>
      <c r="G2574" s="17">
        <v>2</v>
      </c>
      <c r="H2574" s="17">
        <v>77838</v>
      </c>
      <c r="I2574" s="17">
        <v>155676</v>
      </c>
      <c r="J2574" s="17">
        <v>489</v>
      </c>
      <c r="K2574" s="17">
        <v>155187</v>
      </c>
      <c r="L2574" s="17">
        <v>36506.959699999999</v>
      </c>
      <c r="M2574" s="17">
        <v>2025</v>
      </c>
      <c r="N2574" s="17" t="s">
        <v>173</v>
      </c>
    </row>
    <row r="2575" spans="1:14" ht="14.25" customHeight="1">
      <c r="A2575" s="17">
        <v>12574</v>
      </c>
      <c r="B2575" s="18">
        <v>45451</v>
      </c>
      <c r="C2575" s="17" t="s">
        <v>167</v>
      </c>
      <c r="D2575" s="17" t="s">
        <v>111</v>
      </c>
      <c r="E2575" s="17" t="s">
        <v>162</v>
      </c>
      <c r="F2575" s="17" t="s">
        <v>172</v>
      </c>
      <c r="G2575" s="17">
        <v>6</v>
      </c>
      <c r="H2575" s="17">
        <v>26876</v>
      </c>
      <c r="I2575" s="17">
        <v>161256</v>
      </c>
      <c r="J2575" s="17">
        <v>2423</v>
      </c>
      <c r="K2575" s="17">
        <v>158833</v>
      </c>
      <c r="L2575" s="17">
        <v>17405.617099999999</v>
      </c>
      <c r="M2575" s="17">
        <v>2024</v>
      </c>
      <c r="N2575" s="17" t="s">
        <v>120</v>
      </c>
    </row>
    <row r="2576" spans="1:14" ht="14.25" customHeight="1">
      <c r="A2576" s="17">
        <v>12575</v>
      </c>
      <c r="B2576" s="18">
        <v>45642</v>
      </c>
      <c r="C2576" s="17" t="s">
        <v>39</v>
      </c>
      <c r="D2576" s="17" t="s">
        <v>86</v>
      </c>
      <c r="E2576" s="17" t="s">
        <v>162</v>
      </c>
      <c r="F2576" s="17" t="s">
        <v>163</v>
      </c>
      <c r="G2576" s="17">
        <v>6</v>
      </c>
      <c r="H2576" s="17">
        <v>65650</v>
      </c>
      <c r="I2576" s="17">
        <v>393900</v>
      </c>
      <c r="J2576" s="17">
        <v>1935</v>
      </c>
      <c r="K2576" s="17">
        <v>391965</v>
      </c>
      <c r="L2576" s="17">
        <v>61436.114320000001</v>
      </c>
      <c r="M2576" s="17">
        <v>2024</v>
      </c>
      <c r="N2576" s="17" t="s">
        <v>169</v>
      </c>
    </row>
    <row r="2577" spans="1:14" ht="14.25" customHeight="1">
      <c r="A2577" s="17">
        <v>12576</v>
      </c>
      <c r="B2577" s="18">
        <v>45579</v>
      </c>
      <c r="C2577" s="17" t="s">
        <v>45</v>
      </c>
      <c r="D2577" s="17" t="s">
        <v>111</v>
      </c>
      <c r="E2577" s="17" t="s">
        <v>162</v>
      </c>
      <c r="F2577" s="17" t="s">
        <v>163</v>
      </c>
      <c r="G2577" s="17">
        <v>3</v>
      </c>
      <c r="H2577" s="17">
        <v>7302</v>
      </c>
      <c r="I2577" s="17">
        <v>21906</v>
      </c>
      <c r="J2577" s="17">
        <v>2749</v>
      </c>
      <c r="K2577" s="17">
        <v>19157</v>
      </c>
      <c r="L2577" s="17">
        <v>2684.1773929999999</v>
      </c>
      <c r="M2577" s="17">
        <v>2024</v>
      </c>
      <c r="N2577" s="17" t="s">
        <v>174</v>
      </c>
    </row>
    <row r="2578" spans="1:14" ht="14.25" customHeight="1">
      <c r="A2578" s="17">
        <v>12577</v>
      </c>
      <c r="B2578" s="18">
        <v>45579</v>
      </c>
      <c r="C2578" s="17" t="s">
        <v>45</v>
      </c>
      <c r="D2578" s="17" t="s">
        <v>83</v>
      </c>
      <c r="E2578" s="17" t="s">
        <v>168</v>
      </c>
      <c r="F2578" s="17" t="s">
        <v>163</v>
      </c>
      <c r="G2578" s="17">
        <v>8</v>
      </c>
      <c r="H2578" s="17">
        <v>24017</v>
      </c>
      <c r="I2578" s="17">
        <v>192136</v>
      </c>
      <c r="J2578" s="17">
        <v>3296</v>
      </c>
      <c r="K2578" s="17">
        <v>188840</v>
      </c>
      <c r="L2578" s="17">
        <v>32519.0452</v>
      </c>
      <c r="M2578" s="17">
        <v>2024</v>
      </c>
      <c r="N2578" s="17" t="s">
        <v>174</v>
      </c>
    </row>
    <row r="2579" spans="1:14" ht="14.25" customHeight="1">
      <c r="A2579" s="17">
        <v>12578</v>
      </c>
      <c r="B2579" s="18">
        <v>45517</v>
      </c>
      <c r="C2579" s="17" t="s">
        <v>167</v>
      </c>
      <c r="D2579" s="17" t="s">
        <v>111</v>
      </c>
      <c r="E2579" s="17" t="s">
        <v>165</v>
      </c>
      <c r="F2579" s="17" t="s">
        <v>166</v>
      </c>
      <c r="G2579" s="17">
        <v>4</v>
      </c>
      <c r="H2579" s="17">
        <v>47311</v>
      </c>
      <c r="I2579" s="17">
        <v>189244</v>
      </c>
      <c r="J2579" s="17">
        <v>4570</v>
      </c>
      <c r="K2579" s="17">
        <v>184674</v>
      </c>
      <c r="L2579" s="17">
        <v>41562.6149</v>
      </c>
      <c r="M2579" s="17">
        <v>2024</v>
      </c>
      <c r="N2579" s="17" t="s">
        <v>126</v>
      </c>
    </row>
    <row r="2580" spans="1:14" ht="14.25" customHeight="1">
      <c r="A2580" s="17">
        <v>12579</v>
      </c>
      <c r="B2580" s="18">
        <v>45814</v>
      </c>
      <c r="C2580" s="17" t="s">
        <v>50</v>
      </c>
      <c r="D2580" s="17" t="s">
        <v>86</v>
      </c>
      <c r="E2580" s="17" t="s">
        <v>165</v>
      </c>
      <c r="F2580" s="17" t="s">
        <v>164</v>
      </c>
      <c r="G2580" s="17">
        <v>7</v>
      </c>
      <c r="H2580" s="17">
        <v>5361</v>
      </c>
      <c r="I2580" s="17">
        <v>37527</v>
      </c>
      <c r="J2580" s="17">
        <v>3691</v>
      </c>
      <c r="K2580" s="17">
        <v>33836</v>
      </c>
      <c r="L2580" s="17">
        <v>7133.5683529999997</v>
      </c>
      <c r="M2580" s="17">
        <v>2025</v>
      </c>
      <c r="N2580" s="17" t="s">
        <v>120</v>
      </c>
    </row>
    <row r="2581" spans="1:14" ht="14.25" customHeight="1">
      <c r="A2581" s="17">
        <v>12580</v>
      </c>
      <c r="B2581" s="18">
        <v>45813</v>
      </c>
      <c r="C2581" s="17" t="s">
        <v>50</v>
      </c>
      <c r="D2581" s="17" t="s">
        <v>170</v>
      </c>
      <c r="E2581" s="17" t="s">
        <v>162</v>
      </c>
      <c r="F2581" s="17" t="s">
        <v>164</v>
      </c>
      <c r="G2581" s="17">
        <v>4</v>
      </c>
      <c r="H2581" s="17">
        <v>43261</v>
      </c>
      <c r="I2581" s="17">
        <v>173044</v>
      </c>
      <c r="J2581" s="17">
        <v>1103</v>
      </c>
      <c r="K2581" s="17">
        <v>171941</v>
      </c>
      <c r="L2581" s="17">
        <v>26065.693149999999</v>
      </c>
      <c r="M2581" s="17">
        <v>2025</v>
      </c>
      <c r="N2581" s="17" t="s">
        <v>120</v>
      </c>
    </row>
    <row r="2582" spans="1:14" ht="14.25" customHeight="1">
      <c r="A2582" s="17">
        <v>12581</v>
      </c>
      <c r="B2582" s="18">
        <v>45564</v>
      </c>
      <c r="C2582" s="17" t="s">
        <v>167</v>
      </c>
      <c r="D2582" s="17" t="s">
        <v>89</v>
      </c>
      <c r="E2582" s="17" t="s">
        <v>165</v>
      </c>
      <c r="F2582" s="17" t="s">
        <v>163</v>
      </c>
      <c r="G2582" s="17">
        <v>1</v>
      </c>
      <c r="H2582" s="17">
        <v>22171</v>
      </c>
      <c r="I2582" s="17">
        <v>22171</v>
      </c>
      <c r="J2582" s="17">
        <v>1599</v>
      </c>
      <c r="K2582" s="17">
        <v>20572</v>
      </c>
      <c r="L2582" s="17">
        <v>3238.030217</v>
      </c>
      <c r="M2582" s="17">
        <v>2024</v>
      </c>
      <c r="N2582" s="17" t="s">
        <v>129</v>
      </c>
    </row>
    <row r="2583" spans="1:14" ht="14.25" customHeight="1">
      <c r="A2583" s="17">
        <v>12582</v>
      </c>
      <c r="B2583" s="18">
        <v>45693</v>
      </c>
      <c r="C2583" s="17" t="s">
        <v>167</v>
      </c>
      <c r="D2583" s="17" t="s">
        <v>170</v>
      </c>
      <c r="E2583" s="17" t="s">
        <v>165</v>
      </c>
      <c r="F2583" s="17" t="s">
        <v>166</v>
      </c>
      <c r="G2583" s="17">
        <v>6</v>
      </c>
      <c r="H2583" s="17">
        <v>46226</v>
      </c>
      <c r="I2583" s="17">
        <v>277356</v>
      </c>
      <c r="J2583" s="17">
        <v>3281</v>
      </c>
      <c r="K2583" s="17">
        <v>274075</v>
      </c>
      <c r="L2583" s="17">
        <v>54304.740539999999</v>
      </c>
      <c r="M2583" s="17">
        <v>2025</v>
      </c>
      <c r="N2583" s="17" t="s">
        <v>175</v>
      </c>
    </row>
    <row r="2584" spans="1:14" ht="14.25" customHeight="1">
      <c r="A2584" s="17">
        <v>12583</v>
      </c>
      <c r="B2584" s="18">
        <v>45474</v>
      </c>
      <c r="C2584" s="17" t="s">
        <v>39</v>
      </c>
      <c r="D2584" s="17" t="s">
        <v>86</v>
      </c>
      <c r="E2584" s="17" t="s">
        <v>165</v>
      </c>
      <c r="F2584" s="17" t="s">
        <v>172</v>
      </c>
      <c r="G2584" s="17">
        <v>5</v>
      </c>
      <c r="H2584" s="17">
        <v>34327</v>
      </c>
      <c r="I2584" s="17">
        <v>171635</v>
      </c>
      <c r="J2584" s="17">
        <v>3160</v>
      </c>
      <c r="K2584" s="17">
        <v>168475</v>
      </c>
      <c r="L2584" s="17">
        <v>21755.8128</v>
      </c>
      <c r="M2584" s="17">
        <v>2024</v>
      </c>
      <c r="N2584" s="17" t="s">
        <v>123</v>
      </c>
    </row>
    <row r="2585" spans="1:14" ht="14.25" customHeight="1">
      <c r="A2585" s="17">
        <v>12584</v>
      </c>
      <c r="B2585" s="18">
        <v>45956</v>
      </c>
      <c r="C2585" s="17" t="s">
        <v>167</v>
      </c>
      <c r="D2585" s="17" t="s">
        <v>86</v>
      </c>
      <c r="E2585" s="17" t="s">
        <v>162</v>
      </c>
      <c r="F2585" s="17" t="s">
        <v>163</v>
      </c>
      <c r="G2585" s="17">
        <v>9</v>
      </c>
      <c r="H2585" s="17">
        <v>75628</v>
      </c>
      <c r="I2585" s="17">
        <v>680652</v>
      </c>
      <c r="J2585" s="17">
        <v>3945</v>
      </c>
      <c r="K2585" s="17">
        <v>676707</v>
      </c>
      <c r="L2585" s="17">
        <v>78098.215549999994</v>
      </c>
      <c r="M2585" s="17">
        <v>2025</v>
      </c>
      <c r="N2585" s="17" t="s">
        <v>174</v>
      </c>
    </row>
    <row r="2586" spans="1:14" ht="14.25" customHeight="1">
      <c r="A2586" s="17">
        <v>12585</v>
      </c>
      <c r="B2586" s="18">
        <v>45779</v>
      </c>
      <c r="C2586" s="17" t="s">
        <v>50</v>
      </c>
      <c r="D2586" s="17" t="s">
        <v>83</v>
      </c>
      <c r="E2586" s="17" t="s">
        <v>162</v>
      </c>
      <c r="F2586" s="17" t="s">
        <v>166</v>
      </c>
      <c r="G2586" s="17">
        <v>9</v>
      </c>
      <c r="H2586" s="17">
        <v>69223</v>
      </c>
      <c r="I2586" s="17">
        <v>623007</v>
      </c>
      <c r="J2586" s="17">
        <v>225</v>
      </c>
      <c r="K2586" s="17">
        <v>622782</v>
      </c>
      <c r="L2586" s="17">
        <v>84940.159339999998</v>
      </c>
      <c r="M2586" s="17">
        <v>2025</v>
      </c>
      <c r="N2586" s="17" t="s">
        <v>117</v>
      </c>
    </row>
    <row r="2587" spans="1:14" ht="14.25" customHeight="1">
      <c r="A2587" s="17">
        <v>12586</v>
      </c>
      <c r="B2587" s="18">
        <v>45415</v>
      </c>
      <c r="C2587" s="17" t="s">
        <v>167</v>
      </c>
      <c r="D2587" s="17" t="s">
        <v>111</v>
      </c>
      <c r="E2587" s="17" t="s">
        <v>168</v>
      </c>
      <c r="F2587" s="17" t="s">
        <v>163</v>
      </c>
      <c r="G2587" s="17">
        <v>8</v>
      </c>
      <c r="H2587" s="17">
        <v>75052</v>
      </c>
      <c r="I2587" s="17">
        <v>600416</v>
      </c>
      <c r="J2587" s="17">
        <v>4803</v>
      </c>
      <c r="K2587" s="17">
        <v>595613</v>
      </c>
      <c r="L2587" s="17">
        <v>70642.599279999995</v>
      </c>
      <c r="M2587" s="17">
        <v>2024</v>
      </c>
      <c r="N2587" s="17" t="s">
        <v>117</v>
      </c>
    </row>
    <row r="2588" spans="1:14" ht="14.25" customHeight="1">
      <c r="A2588" s="17">
        <v>12587</v>
      </c>
      <c r="B2588" s="18">
        <v>45917</v>
      </c>
      <c r="C2588" s="17" t="s">
        <v>39</v>
      </c>
      <c r="D2588" s="17" t="s">
        <v>111</v>
      </c>
      <c r="E2588" s="17" t="s">
        <v>162</v>
      </c>
      <c r="F2588" s="17" t="s">
        <v>166</v>
      </c>
      <c r="G2588" s="17">
        <v>7</v>
      </c>
      <c r="H2588" s="17">
        <v>68624</v>
      </c>
      <c r="I2588" s="17">
        <v>480368</v>
      </c>
      <c r="J2588" s="17">
        <v>1714</v>
      </c>
      <c r="K2588" s="17">
        <v>478654</v>
      </c>
      <c r="L2588" s="17">
        <v>73137.199900000007</v>
      </c>
      <c r="M2588" s="17">
        <v>2025</v>
      </c>
      <c r="N2588" s="17" t="s">
        <v>129</v>
      </c>
    </row>
    <row r="2589" spans="1:14" ht="14.25" customHeight="1">
      <c r="A2589" s="17">
        <v>12588</v>
      </c>
      <c r="B2589" s="18">
        <v>45705</v>
      </c>
      <c r="C2589" s="17" t="s">
        <v>39</v>
      </c>
      <c r="D2589" s="17" t="s">
        <v>170</v>
      </c>
      <c r="E2589" s="17" t="s">
        <v>168</v>
      </c>
      <c r="F2589" s="17" t="s">
        <v>166</v>
      </c>
      <c r="G2589" s="17">
        <v>2</v>
      </c>
      <c r="H2589" s="17">
        <v>19530</v>
      </c>
      <c r="I2589" s="17">
        <v>39060</v>
      </c>
      <c r="J2589" s="17">
        <v>4149</v>
      </c>
      <c r="K2589" s="17">
        <v>34911</v>
      </c>
      <c r="L2589" s="17">
        <v>8400.8038629999992</v>
      </c>
      <c r="M2589" s="17">
        <v>2025</v>
      </c>
      <c r="N2589" s="17" t="s">
        <v>175</v>
      </c>
    </row>
    <row r="2590" spans="1:14" ht="14.25" customHeight="1">
      <c r="A2590" s="17">
        <v>12589</v>
      </c>
      <c r="B2590" s="18">
        <v>46016</v>
      </c>
      <c r="C2590" s="17" t="s">
        <v>39</v>
      </c>
      <c r="D2590" s="17" t="s">
        <v>89</v>
      </c>
      <c r="E2590" s="17" t="s">
        <v>162</v>
      </c>
      <c r="F2590" s="17" t="s">
        <v>163</v>
      </c>
      <c r="G2590" s="17">
        <v>8</v>
      </c>
      <c r="H2590" s="17">
        <v>14310</v>
      </c>
      <c r="I2590" s="17">
        <v>114480</v>
      </c>
      <c r="J2590" s="17">
        <v>2243</v>
      </c>
      <c r="K2590" s="17">
        <v>112237</v>
      </c>
      <c r="L2590" s="17">
        <v>13249.00784</v>
      </c>
      <c r="M2590" s="17">
        <v>2025</v>
      </c>
      <c r="N2590" s="17" t="s">
        <v>169</v>
      </c>
    </row>
    <row r="2591" spans="1:14" ht="14.25" customHeight="1">
      <c r="A2591" s="17">
        <v>12590</v>
      </c>
      <c r="B2591" s="18">
        <v>45463</v>
      </c>
      <c r="C2591" s="17" t="s">
        <v>39</v>
      </c>
      <c r="D2591" s="17" t="s">
        <v>89</v>
      </c>
      <c r="E2591" s="17" t="s">
        <v>165</v>
      </c>
      <c r="F2591" s="17" t="s">
        <v>164</v>
      </c>
      <c r="G2591" s="17">
        <v>3</v>
      </c>
      <c r="H2591" s="17">
        <v>39281</v>
      </c>
      <c r="I2591" s="17">
        <v>117843</v>
      </c>
      <c r="J2591" s="17">
        <v>2892</v>
      </c>
      <c r="K2591" s="17">
        <v>114951</v>
      </c>
      <c r="L2591" s="17">
        <v>25605.142309999999</v>
      </c>
      <c r="M2591" s="17">
        <v>2024</v>
      </c>
      <c r="N2591" s="17" t="s">
        <v>120</v>
      </c>
    </row>
    <row r="2592" spans="1:14" ht="14.25" customHeight="1">
      <c r="A2592" s="17">
        <v>12591</v>
      </c>
      <c r="B2592" s="18">
        <v>45579</v>
      </c>
      <c r="C2592" s="17" t="s">
        <v>58</v>
      </c>
      <c r="D2592" s="17" t="s">
        <v>83</v>
      </c>
      <c r="E2592" s="17" t="s">
        <v>168</v>
      </c>
      <c r="F2592" s="17" t="s">
        <v>163</v>
      </c>
      <c r="G2592" s="17">
        <v>6</v>
      </c>
      <c r="H2592" s="17">
        <v>64270</v>
      </c>
      <c r="I2592" s="17">
        <v>385620</v>
      </c>
      <c r="J2592" s="17">
        <v>2345</v>
      </c>
      <c r="K2592" s="17">
        <v>383275</v>
      </c>
      <c r="L2592" s="17">
        <v>69065.083639999997</v>
      </c>
      <c r="M2592" s="17">
        <v>2024</v>
      </c>
      <c r="N2592" s="17" t="s">
        <v>174</v>
      </c>
    </row>
    <row r="2593" spans="1:14" ht="14.25" customHeight="1">
      <c r="A2593" s="17">
        <v>12592</v>
      </c>
      <c r="B2593" s="18">
        <v>45726</v>
      </c>
      <c r="C2593" s="17" t="s">
        <v>167</v>
      </c>
      <c r="D2593" s="17" t="s">
        <v>86</v>
      </c>
      <c r="E2593" s="17" t="s">
        <v>168</v>
      </c>
      <c r="F2593" s="17" t="s">
        <v>164</v>
      </c>
      <c r="G2593" s="17">
        <v>7</v>
      </c>
      <c r="H2593" s="17">
        <v>51104</v>
      </c>
      <c r="I2593" s="17">
        <v>357728</v>
      </c>
      <c r="J2593" s="17">
        <v>578</v>
      </c>
      <c r="K2593" s="17">
        <v>357150</v>
      </c>
      <c r="L2593" s="17">
        <v>69621.200070000006</v>
      </c>
      <c r="M2593" s="17">
        <v>2025</v>
      </c>
      <c r="N2593" s="17" t="s">
        <v>112</v>
      </c>
    </row>
    <row r="2594" spans="1:14" ht="14.25" customHeight="1">
      <c r="A2594" s="17">
        <v>12593</v>
      </c>
      <c r="B2594" s="18">
        <v>45977</v>
      </c>
      <c r="C2594" s="17" t="s">
        <v>45</v>
      </c>
      <c r="D2594" s="17" t="s">
        <v>83</v>
      </c>
      <c r="E2594" s="17" t="s">
        <v>168</v>
      </c>
      <c r="F2594" s="17" t="s">
        <v>164</v>
      </c>
      <c r="G2594" s="17">
        <v>6</v>
      </c>
      <c r="H2594" s="17">
        <v>26735</v>
      </c>
      <c r="I2594" s="17">
        <v>160410</v>
      </c>
      <c r="J2594" s="17">
        <v>1698</v>
      </c>
      <c r="K2594" s="17">
        <v>158712</v>
      </c>
      <c r="L2594" s="17">
        <v>19920.316920000001</v>
      </c>
      <c r="M2594" s="17">
        <v>2025</v>
      </c>
      <c r="N2594" s="17" t="s">
        <v>173</v>
      </c>
    </row>
    <row r="2595" spans="1:14" ht="14.25" customHeight="1">
      <c r="A2595" s="17">
        <v>12594</v>
      </c>
      <c r="B2595" s="18">
        <v>45404</v>
      </c>
      <c r="C2595" s="17" t="s">
        <v>167</v>
      </c>
      <c r="D2595" s="17" t="s">
        <v>111</v>
      </c>
      <c r="E2595" s="17" t="s">
        <v>162</v>
      </c>
      <c r="F2595" s="17" t="s">
        <v>172</v>
      </c>
      <c r="G2595" s="17">
        <v>5</v>
      </c>
      <c r="H2595" s="17">
        <v>77285</v>
      </c>
      <c r="I2595" s="17">
        <v>386425</v>
      </c>
      <c r="J2595" s="17">
        <v>4595</v>
      </c>
      <c r="K2595" s="17">
        <v>381830</v>
      </c>
      <c r="L2595" s="17">
        <v>46852.830730000001</v>
      </c>
      <c r="M2595" s="17">
        <v>2024</v>
      </c>
      <c r="N2595" s="17" t="s">
        <v>114</v>
      </c>
    </row>
    <row r="2596" spans="1:14" ht="14.25" customHeight="1">
      <c r="A2596" s="17">
        <v>12595</v>
      </c>
      <c r="B2596" s="18">
        <v>45413</v>
      </c>
      <c r="C2596" s="17" t="s">
        <v>58</v>
      </c>
      <c r="D2596" s="17" t="s">
        <v>86</v>
      </c>
      <c r="E2596" s="17" t="s">
        <v>168</v>
      </c>
      <c r="F2596" s="17" t="s">
        <v>166</v>
      </c>
      <c r="G2596" s="17">
        <v>4</v>
      </c>
      <c r="H2596" s="17">
        <v>12005</v>
      </c>
      <c r="I2596" s="17">
        <v>48020</v>
      </c>
      <c r="J2596" s="17">
        <v>2671</v>
      </c>
      <c r="K2596" s="17">
        <v>45349</v>
      </c>
      <c r="L2596" s="17">
        <v>5641.9394499999999</v>
      </c>
      <c r="M2596" s="17">
        <v>2024</v>
      </c>
      <c r="N2596" s="17" t="s">
        <v>117</v>
      </c>
    </row>
    <row r="2597" spans="1:14" ht="14.25" customHeight="1">
      <c r="A2597" s="17">
        <v>12596</v>
      </c>
      <c r="B2597" s="18">
        <v>45835</v>
      </c>
      <c r="C2597" s="17" t="s">
        <v>39</v>
      </c>
      <c r="D2597" s="17" t="s">
        <v>83</v>
      </c>
      <c r="E2597" s="17" t="s">
        <v>162</v>
      </c>
      <c r="F2597" s="17" t="s">
        <v>163</v>
      </c>
      <c r="G2597" s="17">
        <v>2</v>
      </c>
      <c r="H2597" s="17">
        <v>62564</v>
      </c>
      <c r="I2597" s="17">
        <v>125128</v>
      </c>
      <c r="J2597" s="17">
        <v>4301</v>
      </c>
      <c r="K2597" s="17">
        <v>120827</v>
      </c>
      <c r="L2597" s="17">
        <v>24172.58092</v>
      </c>
      <c r="M2597" s="17">
        <v>2025</v>
      </c>
      <c r="N2597" s="17" t="s">
        <v>120</v>
      </c>
    </row>
    <row r="2598" spans="1:14" ht="14.25" customHeight="1">
      <c r="A2598" s="17">
        <v>12597</v>
      </c>
      <c r="B2598" s="18">
        <v>45513</v>
      </c>
      <c r="C2598" s="17" t="s">
        <v>58</v>
      </c>
      <c r="D2598" s="17" t="s">
        <v>170</v>
      </c>
      <c r="E2598" s="17" t="s">
        <v>168</v>
      </c>
      <c r="F2598" s="17" t="s">
        <v>166</v>
      </c>
      <c r="G2598" s="17">
        <v>9</v>
      </c>
      <c r="H2598" s="17">
        <v>56496</v>
      </c>
      <c r="I2598" s="17">
        <v>508464</v>
      </c>
      <c r="J2598" s="17">
        <v>2927</v>
      </c>
      <c r="K2598" s="17">
        <v>505537</v>
      </c>
      <c r="L2598" s="17">
        <v>107258.8956</v>
      </c>
      <c r="M2598" s="17">
        <v>2024</v>
      </c>
      <c r="N2598" s="17" t="s">
        <v>126</v>
      </c>
    </row>
    <row r="2599" spans="1:14" ht="14.25" customHeight="1">
      <c r="A2599" s="17">
        <v>12598</v>
      </c>
      <c r="B2599" s="18">
        <v>45922</v>
      </c>
      <c r="C2599" s="17" t="s">
        <v>50</v>
      </c>
      <c r="D2599" s="17" t="s">
        <v>111</v>
      </c>
      <c r="E2599" s="17" t="s">
        <v>162</v>
      </c>
      <c r="F2599" s="17" t="s">
        <v>172</v>
      </c>
      <c r="G2599" s="17">
        <v>7</v>
      </c>
      <c r="H2599" s="17">
        <v>34898</v>
      </c>
      <c r="I2599" s="17">
        <v>244286</v>
      </c>
      <c r="J2599" s="17">
        <v>278</v>
      </c>
      <c r="K2599" s="17">
        <v>244008</v>
      </c>
      <c r="L2599" s="17">
        <v>58082.869259999999</v>
      </c>
      <c r="M2599" s="17">
        <v>2025</v>
      </c>
      <c r="N2599" s="17" t="s">
        <v>129</v>
      </c>
    </row>
    <row r="2600" spans="1:14" ht="14.25" customHeight="1">
      <c r="A2600" s="17">
        <v>12599</v>
      </c>
      <c r="B2600" s="18">
        <v>45330</v>
      </c>
      <c r="C2600" s="17" t="s">
        <v>50</v>
      </c>
      <c r="D2600" s="17" t="s">
        <v>89</v>
      </c>
      <c r="E2600" s="17" t="s">
        <v>168</v>
      </c>
      <c r="F2600" s="17" t="s">
        <v>164</v>
      </c>
      <c r="G2600" s="17">
        <v>7</v>
      </c>
      <c r="H2600" s="17">
        <v>26708</v>
      </c>
      <c r="I2600" s="17">
        <v>186956</v>
      </c>
      <c r="J2600" s="17">
        <v>1468</v>
      </c>
      <c r="K2600" s="17">
        <v>185488</v>
      </c>
      <c r="L2600" s="17">
        <v>29627.785469999999</v>
      </c>
      <c r="M2600" s="17">
        <v>2024</v>
      </c>
      <c r="N2600" s="17" t="s">
        <v>175</v>
      </c>
    </row>
    <row r="2601" spans="1:14" ht="14.25" customHeight="1">
      <c r="A2601" s="17">
        <v>12600</v>
      </c>
      <c r="B2601" s="18">
        <v>45788</v>
      </c>
      <c r="C2601" s="17" t="s">
        <v>167</v>
      </c>
      <c r="D2601" s="17" t="s">
        <v>83</v>
      </c>
      <c r="E2601" s="17" t="s">
        <v>165</v>
      </c>
      <c r="F2601" s="17" t="s">
        <v>163</v>
      </c>
      <c r="G2601" s="17">
        <v>4</v>
      </c>
      <c r="H2601" s="17">
        <v>50024</v>
      </c>
      <c r="I2601" s="17">
        <v>200096</v>
      </c>
      <c r="J2601" s="17">
        <v>4772</v>
      </c>
      <c r="K2601" s="17">
        <v>195324</v>
      </c>
      <c r="L2601" s="17">
        <v>33067.456200000001</v>
      </c>
      <c r="M2601" s="17">
        <v>2025</v>
      </c>
      <c r="N2601" s="17" t="s">
        <v>117</v>
      </c>
    </row>
    <row r="2602" spans="1:14" ht="14.25" customHeight="1">
      <c r="A2602" s="17">
        <v>12601</v>
      </c>
      <c r="B2602" s="18">
        <v>45524</v>
      </c>
      <c r="C2602" s="17" t="s">
        <v>167</v>
      </c>
      <c r="D2602" s="17" t="s">
        <v>111</v>
      </c>
      <c r="E2602" s="17" t="s">
        <v>165</v>
      </c>
      <c r="F2602" s="17" t="s">
        <v>166</v>
      </c>
      <c r="G2602" s="17">
        <v>5</v>
      </c>
      <c r="H2602" s="17">
        <v>19412</v>
      </c>
      <c r="I2602" s="17">
        <v>97060</v>
      </c>
      <c r="J2602" s="17">
        <v>940</v>
      </c>
      <c r="K2602" s="17">
        <v>96120</v>
      </c>
      <c r="L2602" s="17">
        <v>16382.620940000001</v>
      </c>
      <c r="M2602" s="17">
        <v>2024</v>
      </c>
      <c r="N2602" s="17" t="s">
        <v>126</v>
      </c>
    </row>
    <row r="2603" spans="1:14" ht="14.25" customHeight="1">
      <c r="A2603" s="17">
        <v>12602</v>
      </c>
      <c r="B2603" s="18">
        <v>45821</v>
      </c>
      <c r="C2603" s="17" t="s">
        <v>45</v>
      </c>
      <c r="D2603" s="17" t="s">
        <v>111</v>
      </c>
      <c r="E2603" s="17" t="s">
        <v>168</v>
      </c>
      <c r="F2603" s="17" t="s">
        <v>172</v>
      </c>
      <c r="G2603" s="17">
        <v>6</v>
      </c>
      <c r="H2603" s="17">
        <v>59821</v>
      </c>
      <c r="I2603" s="17">
        <v>358926</v>
      </c>
      <c r="J2603" s="17">
        <v>2318</v>
      </c>
      <c r="K2603" s="17">
        <v>356608</v>
      </c>
      <c r="L2603" s="17">
        <v>50097.962699999996</v>
      </c>
      <c r="M2603" s="17">
        <v>2025</v>
      </c>
      <c r="N2603" s="17" t="s">
        <v>120</v>
      </c>
    </row>
    <row r="2604" spans="1:14" ht="14.25" customHeight="1">
      <c r="A2604" s="17">
        <v>12603</v>
      </c>
      <c r="B2604" s="18">
        <v>45440</v>
      </c>
      <c r="C2604" s="17" t="s">
        <v>45</v>
      </c>
      <c r="D2604" s="17" t="s">
        <v>89</v>
      </c>
      <c r="E2604" s="17" t="s">
        <v>162</v>
      </c>
      <c r="F2604" s="17" t="s">
        <v>164</v>
      </c>
      <c r="G2604" s="17">
        <v>2</v>
      </c>
      <c r="H2604" s="17">
        <v>34378</v>
      </c>
      <c r="I2604" s="17">
        <v>68756</v>
      </c>
      <c r="J2604" s="17">
        <v>4536</v>
      </c>
      <c r="K2604" s="17">
        <v>64220</v>
      </c>
      <c r="L2604" s="17">
        <v>9583.8651620000001</v>
      </c>
      <c r="M2604" s="17">
        <v>2024</v>
      </c>
      <c r="N2604" s="17" t="s">
        <v>117</v>
      </c>
    </row>
    <row r="2605" spans="1:14" ht="14.25" customHeight="1">
      <c r="A2605" s="17">
        <v>12604</v>
      </c>
      <c r="B2605" s="18">
        <v>45688</v>
      </c>
      <c r="C2605" s="17" t="s">
        <v>50</v>
      </c>
      <c r="D2605" s="17" t="s">
        <v>89</v>
      </c>
      <c r="E2605" s="17" t="s">
        <v>162</v>
      </c>
      <c r="F2605" s="17" t="s">
        <v>164</v>
      </c>
      <c r="G2605" s="17">
        <v>4</v>
      </c>
      <c r="H2605" s="17">
        <v>36309</v>
      </c>
      <c r="I2605" s="17">
        <v>145236</v>
      </c>
      <c r="J2605" s="17">
        <v>1783</v>
      </c>
      <c r="K2605" s="17">
        <v>143453</v>
      </c>
      <c r="L2605" s="17">
        <v>32567.1355</v>
      </c>
      <c r="M2605" s="17">
        <v>2025</v>
      </c>
      <c r="N2605" s="17" t="s">
        <v>171</v>
      </c>
    </row>
    <row r="2606" spans="1:14" ht="14.25" customHeight="1">
      <c r="A2606" s="17">
        <v>12605</v>
      </c>
      <c r="B2606" s="18">
        <v>45952</v>
      </c>
      <c r="C2606" s="17" t="s">
        <v>39</v>
      </c>
      <c r="D2606" s="17" t="s">
        <v>89</v>
      </c>
      <c r="E2606" s="17" t="s">
        <v>162</v>
      </c>
      <c r="F2606" s="17" t="s">
        <v>166</v>
      </c>
      <c r="G2606" s="17">
        <v>4</v>
      </c>
      <c r="H2606" s="17">
        <v>7435</v>
      </c>
      <c r="I2606" s="17">
        <v>29740</v>
      </c>
      <c r="J2606" s="17">
        <v>1875</v>
      </c>
      <c r="K2606" s="17">
        <v>27865</v>
      </c>
      <c r="L2606" s="17">
        <v>4223.1728009999997</v>
      </c>
      <c r="M2606" s="17">
        <v>2025</v>
      </c>
      <c r="N2606" s="17" t="s">
        <v>174</v>
      </c>
    </row>
    <row r="2607" spans="1:14" ht="14.25" customHeight="1">
      <c r="A2607" s="17">
        <v>12606</v>
      </c>
      <c r="B2607" s="18">
        <v>45929</v>
      </c>
      <c r="C2607" s="17" t="s">
        <v>58</v>
      </c>
      <c r="D2607" s="17" t="s">
        <v>83</v>
      </c>
      <c r="E2607" s="17" t="s">
        <v>165</v>
      </c>
      <c r="F2607" s="17" t="s">
        <v>164</v>
      </c>
      <c r="G2607" s="17">
        <v>4</v>
      </c>
      <c r="H2607" s="17">
        <v>8386</v>
      </c>
      <c r="I2607" s="17">
        <v>33544</v>
      </c>
      <c r="J2607" s="17">
        <v>4643</v>
      </c>
      <c r="K2607" s="17">
        <v>28901</v>
      </c>
      <c r="L2607" s="17">
        <v>6657.761966</v>
      </c>
      <c r="M2607" s="17">
        <v>2025</v>
      </c>
      <c r="N2607" s="17" t="s">
        <v>129</v>
      </c>
    </row>
    <row r="2608" spans="1:14" ht="14.25" customHeight="1">
      <c r="A2608" s="17">
        <v>12607</v>
      </c>
      <c r="B2608" s="18">
        <v>45593</v>
      </c>
      <c r="C2608" s="17" t="s">
        <v>45</v>
      </c>
      <c r="D2608" s="17" t="s">
        <v>89</v>
      </c>
      <c r="E2608" s="17" t="s">
        <v>165</v>
      </c>
      <c r="F2608" s="17" t="s">
        <v>172</v>
      </c>
      <c r="G2608" s="17">
        <v>7</v>
      </c>
      <c r="H2608" s="17">
        <v>75976</v>
      </c>
      <c r="I2608" s="17">
        <v>531832</v>
      </c>
      <c r="J2608" s="17">
        <v>3226</v>
      </c>
      <c r="K2608" s="17">
        <v>528606</v>
      </c>
      <c r="L2608" s="17">
        <v>77065.551579999999</v>
      </c>
      <c r="M2608" s="17">
        <v>2024</v>
      </c>
      <c r="N2608" s="17" t="s">
        <v>174</v>
      </c>
    </row>
    <row r="2609" spans="1:14" ht="14.25" customHeight="1">
      <c r="A2609" s="17">
        <v>12608</v>
      </c>
      <c r="B2609" s="18">
        <v>45651</v>
      </c>
      <c r="C2609" s="17" t="s">
        <v>45</v>
      </c>
      <c r="D2609" s="17" t="s">
        <v>170</v>
      </c>
      <c r="E2609" s="17" t="s">
        <v>165</v>
      </c>
      <c r="F2609" s="17" t="s">
        <v>164</v>
      </c>
      <c r="G2609" s="17">
        <v>7</v>
      </c>
      <c r="H2609" s="17">
        <v>50503</v>
      </c>
      <c r="I2609" s="17">
        <v>353521</v>
      </c>
      <c r="J2609" s="17">
        <v>3728</v>
      </c>
      <c r="K2609" s="17">
        <v>349793</v>
      </c>
      <c r="L2609" s="17">
        <v>52812.612659999999</v>
      </c>
      <c r="M2609" s="17">
        <v>2024</v>
      </c>
      <c r="N2609" s="17" t="s">
        <v>169</v>
      </c>
    </row>
    <row r="2610" spans="1:14" ht="14.25" customHeight="1">
      <c r="A2610" s="17">
        <v>12609</v>
      </c>
      <c r="B2610" s="18">
        <v>45529</v>
      </c>
      <c r="C2610" s="17" t="s">
        <v>39</v>
      </c>
      <c r="D2610" s="17" t="s">
        <v>111</v>
      </c>
      <c r="E2610" s="17" t="s">
        <v>162</v>
      </c>
      <c r="F2610" s="17" t="s">
        <v>163</v>
      </c>
      <c r="G2610" s="17">
        <v>7</v>
      </c>
      <c r="H2610" s="17">
        <v>76972</v>
      </c>
      <c r="I2610" s="17">
        <v>538804</v>
      </c>
      <c r="J2610" s="17">
        <v>985</v>
      </c>
      <c r="K2610" s="17">
        <v>537819</v>
      </c>
      <c r="L2610" s="17">
        <v>98981.354730000006</v>
      </c>
      <c r="M2610" s="17">
        <v>2024</v>
      </c>
      <c r="N2610" s="17" t="s">
        <v>126</v>
      </c>
    </row>
    <row r="2611" spans="1:14" ht="14.25" customHeight="1">
      <c r="A2611" s="17">
        <v>12610</v>
      </c>
      <c r="B2611" s="18">
        <v>45938</v>
      </c>
      <c r="C2611" s="17" t="s">
        <v>39</v>
      </c>
      <c r="D2611" s="17" t="s">
        <v>89</v>
      </c>
      <c r="E2611" s="17" t="s">
        <v>162</v>
      </c>
      <c r="F2611" s="17" t="s">
        <v>163</v>
      </c>
      <c r="G2611" s="17">
        <v>7</v>
      </c>
      <c r="H2611" s="17">
        <v>77939</v>
      </c>
      <c r="I2611" s="17">
        <v>545573</v>
      </c>
      <c r="J2611" s="17">
        <v>2819</v>
      </c>
      <c r="K2611" s="17">
        <v>542754</v>
      </c>
      <c r="L2611" s="17">
        <v>62671.276319999997</v>
      </c>
      <c r="M2611" s="17">
        <v>2025</v>
      </c>
      <c r="N2611" s="17" t="s">
        <v>174</v>
      </c>
    </row>
    <row r="2612" spans="1:14" ht="14.25" customHeight="1">
      <c r="A2612" s="17">
        <v>12611</v>
      </c>
      <c r="B2612" s="18">
        <v>45954</v>
      </c>
      <c r="C2612" s="17" t="s">
        <v>167</v>
      </c>
      <c r="D2612" s="17" t="s">
        <v>111</v>
      </c>
      <c r="E2612" s="17" t="s">
        <v>162</v>
      </c>
      <c r="F2612" s="17" t="s">
        <v>166</v>
      </c>
      <c r="G2612" s="17">
        <v>2</v>
      </c>
      <c r="H2612" s="17">
        <v>48464</v>
      </c>
      <c r="I2612" s="17">
        <v>96928</v>
      </c>
      <c r="J2612" s="17">
        <v>3970</v>
      </c>
      <c r="K2612" s="17">
        <v>92958</v>
      </c>
      <c r="L2612" s="17">
        <v>22152.75963</v>
      </c>
      <c r="M2612" s="17">
        <v>2025</v>
      </c>
      <c r="N2612" s="17" t="s">
        <v>174</v>
      </c>
    </row>
    <row r="2613" spans="1:14" ht="14.25" customHeight="1">
      <c r="A2613" s="17">
        <v>12612</v>
      </c>
      <c r="B2613" s="18">
        <v>45527</v>
      </c>
      <c r="C2613" s="17" t="s">
        <v>58</v>
      </c>
      <c r="D2613" s="17" t="s">
        <v>86</v>
      </c>
      <c r="E2613" s="17" t="s">
        <v>168</v>
      </c>
      <c r="F2613" s="17" t="s">
        <v>172</v>
      </c>
      <c r="G2613" s="17">
        <v>5</v>
      </c>
      <c r="H2613" s="17">
        <v>73475</v>
      </c>
      <c r="I2613" s="17">
        <v>367375</v>
      </c>
      <c r="J2613" s="17">
        <v>2066</v>
      </c>
      <c r="K2613" s="17">
        <v>365309</v>
      </c>
      <c r="L2613" s="17">
        <v>81485.816699999996</v>
      </c>
      <c r="M2613" s="17">
        <v>2024</v>
      </c>
      <c r="N2613" s="17" t="s">
        <v>126</v>
      </c>
    </row>
    <row r="2614" spans="1:14" ht="14.25" customHeight="1">
      <c r="A2614" s="17">
        <v>12613</v>
      </c>
      <c r="B2614" s="18">
        <v>45494</v>
      </c>
      <c r="C2614" s="17" t="s">
        <v>39</v>
      </c>
      <c r="D2614" s="17" t="s">
        <v>86</v>
      </c>
      <c r="E2614" s="17" t="s">
        <v>168</v>
      </c>
      <c r="F2614" s="17" t="s">
        <v>164</v>
      </c>
      <c r="G2614" s="17">
        <v>2</v>
      </c>
      <c r="H2614" s="17">
        <v>32277</v>
      </c>
      <c r="I2614" s="17">
        <v>64554</v>
      </c>
      <c r="J2614" s="17">
        <v>424</v>
      </c>
      <c r="K2614" s="17">
        <v>64130</v>
      </c>
      <c r="L2614" s="17">
        <v>12862.91157</v>
      </c>
      <c r="M2614" s="17">
        <v>2024</v>
      </c>
      <c r="N2614" s="17" t="s">
        <v>123</v>
      </c>
    </row>
    <row r="2615" spans="1:14" ht="14.25" customHeight="1">
      <c r="A2615" s="17">
        <v>12614</v>
      </c>
      <c r="B2615" s="18">
        <v>45547</v>
      </c>
      <c r="C2615" s="17" t="s">
        <v>45</v>
      </c>
      <c r="D2615" s="17" t="s">
        <v>89</v>
      </c>
      <c r="E2615" s="17" t="s">
        <v>168</v>
      </c>
      <c r="F2615" s="17" t="s">
        <v>164</v>
      </c>
      <c r="G2615" s="17">
        <v>5</v>
      </c>
      <c r="H2615" s="17">
        <v>59012</v>
      </c>
      <c r="I2615" s="17">
        <v>295060</v>
      </c>
      <c r="J2615" s="17">
        <v>2105</v>
      </c>
      <c r="K2615" s="17">
        <v>292955</v>
      </c>
      <c r="L2615" s="17">
        <v>72716.924509999997</v>
      </c>
      <c r="M2615" s="17">
        <v>2024</v>
      </c>
      <c r="N2615" s="17" t="s">
        <v>129</v>
      </c>
    </row>
    <row r="2616" spans="1:14" ht="14.25" customHeight="1">
      <c r="A2616" s="17">
        <v>12615</v>
      </c>
      <c r="B2616" s="18">
        <v>45889</v>
      </c>
      <c r="C2616" s="17" t="s">
        <v>45</v>
      </c>
      <c r="D2616" s="17" t="s">
        <v>111</v>
      </c>
      <c r="E2616" s="17" t="s">
        <v>165</v>
      </c>
      <c r="F2616" s="17" t="s">
        <v>164</v>
      </c>
      <c r="G2616" s="17">
        <v>6</v>
      </c>
      <c r="H2616" s="17">
        <v>8138</v>
      </c>
      <c r="I2616" s="17">
        <v>48828</v>
      </c>
      <c r="J2616" s="17">
        <v>2470</v>
      </c>
      <c r="K2616" s="17">
        <v>46358</v>
      </c>
      <c r="L2616" s="17">
        <v>4747.0547589999996</v>
      </c>
      <c r="M2616" s="17">
        <v>2025</v>
      </c>
      <c r="N2616" s="17" t="s">
        <v>126</v>
      </c>
    </row>
    <row r="2617" spans="1:14" ht="14.25" customHeight="1">
      <c r="A2617" s="17">
        <v>12616</v>
      </c>
      <c r="B2617" s="18">
        <v>45953</v>
      </c>
      <c r="C2617" s="17" t="s">
        <v>50</v>
      </c>
      <c r="D2617" s="17" t="s">
        <v>86</v>
      </c>
      <c r="E2617" s="17" t="s">
        <v>165</v>
      </c>
      <c r="F2617" s="17" t="s">
        <v>163</v>
      </c>
      <c r="G2617" s="17">
        <v>3</v>
      </c>
      <c r="H2617" s="17">
        <v>54327</v>
      </c>
      <c r="I2617" s="17">
        <v>162981</v>
      </c>
      <c r="J2617" s="17">
        <v>3794</v>
      </c>
      <c r="K2617" s="17">
        <v>159187</v>
      </c>
      <c r="L2617" s="17">
        <v>25734.018789999998</v>
      </c>
      <c r="M2617" s="17">
        <v>2025</v>
      </c>
      <c r="N2617" s="17" t="s">
        <v>174</v>
      </c>
    </row>
    <row r="2618" spans="1:14" ht="14.25" customHeight="1">
      <c r="A2618" s="17">
        <v>12617</v>
      </c>
      <c r="B2618" s="18">
        <v>45526</v>
      </c>
      <c r="C2618" s="17" t="s">
        <v>39</v>
      </c>
      <c r="D2618" s="17" t="s">
        <v>89</v>
      </c>
      <c r="E2618" s="17" t="s">
        <v>162</v>
      </c>
      <c r="F2618" s="17" t="s">
        <v>172</v>
      </c>
      <c r="G2618" s="17">
        <v>6</v>
      </c>
      <c r="H2618" s="17">
        <v>73698</v>
      </c>
      <c r="I2618" s="17">
        <v>442188</v>
      </c>
      <c r="J2618" s="17">
        <v>2891</v>
      </c>
      <c r="K2618" s="17">
        <v>439297</v>
      </c>
      <c r="L2618" s="17">
        <v>100489.8296</v>
      </c>
      <c r="M2618" s="17">
        <v>2024</v>
      </c>
      <c r="N2618" s="17" t="s">
        <v>126</v>
      </c>
    </row>
    <row r="2619" spans="1:14" ht="14.25" customHeight="1">
      <c r="A2619" s="17">
        <v>12618</v>
      </c>
      <c r="B2619" s="18">
        <v>45636</v>
      </c>
      <c r="C2619" s="17" t="s">
        <v>167</v>
      </c>
      <c r="D2619" s="17" t="s">
        <v>111</v>
      </c>
      <c r="E2619" s="17" t="s">
        <v>168</v>
      </c>
      <c r="F2619" s="17" t="s">
        <v>164</v>
      </c>
      <c r="G2619" s="17">
        <v>5</v>
      </c>
      <c r="H2619" s="17">
        <v>7752</v>
      </c>
      <c r="I2619" s="17">
        <v>38760</v>
      </c>
      <c r="J2619" s="17">
        <v>1683</v>
      </c>
      <c r="K2619" s="17">
        <v>37077</v>
      </c>
      <c r="L2619" s="17">
        <v>6115.9472519999999</v>
      </c>
      <c r="M2619" s="17">
        <v>2024</v>
      </c>
      <c r="N2619" s="17" t="s">
        <v>169</v>
      </c>
    </row>
    <row r="2620" spans="1:14" ht="14.25" customHeight="1">
      <c r="A2620" s="17">
        <v>12619</v>
      </c>
      <c r="B2620" s="18">
        <v>45825</v>
      </c>
      <c r="C2620" s="17" t="s">
        <v>58</v>
      </c>
      <c r="D2620" s="17" t="s">
        <v>89</v>
      </c>
      <c r="E2620" s="17" t="s">
        <v>162</v>
      </c>
      <c r="F2620" s="17" t="s">
        <v>166</v>
      </c>
      <c r="G2620" s="17">
        <v>4</v>
      </c>
      <c r="H2620" s="17">
        <v>30765</v>
      </c>
      <c r="I2620" s="17">
        <v>123060</v>
      </c>
      <c r="J2620" s="17">
        <v>3173</v>
      </c>
      <c r="K2620" s="17">
        <v>119887</v>
      </c>
      <c r="L2620" s="17">
        <v>12082.95522</v>
      </c>
      <c r="M2620" s="17">
        <v>2025</v>
      </c>
      <c r="N2620" s="17" t="s">
        <v>120</v>
      </c>
    </row>
    <row r="2621" spans="1:14" ht="14.25" customHeight="1">
      <c r="A2621" s="17">
        <v>12620</v>
      </c>
      <c r="B2621" s="18">
        <v>45757</v>
      </c>
      <c r="C2621" s="17" t="s">
        <v>167</v>
      </c>
      <c r="D2621" s="17" t="s">
        <v>111</v>
      </c>
      <c r="E2621" s="17" t="s">
        <v>168</v>
      </c>
      <c r="F2621" s="17" t="s">
        <v>172</v>
      </c>
      <c r="G2621" s="17">
        <v>9</v>
      </c>
      <c r="H2621" s="17">
        <v>5837</v>
      </c>
      <c r="I2621" s="17">
        <v>52533</v>
      </c>
      <c r="J2621" s="17">
        <v>3147</v>
      </c>
      <c r="K2621" s="17">
        <v>49386</v>
      </c>
      <c r="L2621" s="17">
        <v>6107.226713</v>
      </c>
      <c r="M2621" s="17">
        <v>2025</v>
      </c>
      <c r="N2621" s="17" t="s">
        <v>114</v>
      </c>
    </row>
    <row r="2622" spans="1:14" ht="14.25" customHeight="1">
      <c r="A2622" s="17">
        <v>12621</v>
      </c>
      <c r="B2622" s="18">
        <v>45832</v>
      </c>
      <c r="C2622" s="17" t="s">
        <v>45</v>
      </c>
      <c r="D2622" s="17" t="s">
        <v>86</v>
      </c>
      <c r="E2622" s="17" t="s">
        <v>168</v>
      </c>
      <c r="F2622" s="17" t="s">
        <v>172</v>
      </c>
      <c r="G2622" s="17">
        <v>8</v>
      </c>
      <c r="H2622" s="17">
        <v>61997</v>
      </c>
      <c r="I2622" s="17">
        <v>495976</v>
      </c>
      <c r="J2622" s="17">
        <v>4061</v>
      </c>
      <c r="K2622" s="17">
        <v>491915</v>
      </c>
      <c r="L2622" s="17">
        <v>81220.509609999994</v>
      </c>
      <c r="M2622" s="17">
        <v>2025</v>
      </c>
      <c r="N2622" s="17" t="s">
        <v>120</v>
      </c>
    </row>
    <row r="2623" spans="1:14" ht="14.25" customHeight="1">
      <c r="A2623" s="17">
        <v>12622</v>
      </c>
      <c r="B2623" s="18">
        <v>45504</v>
      </c>
      <c r="C2623" s="17" t="s">
        <v>167</v>
      </c>
      <c r="D2623" s="17" t="s">
        <v>89</v>
      </c>
      <c r="E2623" s="17" t="s">
        <v>162</v>
      </c>
      <c r="F2623" s="17" t="s">
        <v>164</v>
      </c>
      <c r="G2623" s="17">
        <v>7</v>
      </c>
      <c r="H2623" s="17">
        <v>40501</v>
      </c>
      <c r="I2623" s="17">
        <v>283507</v>
      </c>
      <c r="J2623" s="17">
        <v>4051</v>
      </c>
      <c r="K2623" s="17">
        <v>279456</v>
      </c>
      <c r="L2623" s="17">
        <v>55944.905610000002</v>
      </c>
      <c r="M2623" s="17">
        <v>2024</v>
      </c>
      <c r="N2623" s="17" t="s">
        <v>123</v>
      </c>
    </row>
    <row r="2624" spans="1:14" ht="14.25" customHeight="1">
      <c r="A2624" s="17">
        <v>12623</v>
      </c>
      <c r="B2624" s="18">
        <v>45754</v>
      </c>
      <c r="C2624" s="17" t="s">
        <v>45</v>
      </c>
      <c r="D2624" s="17" t="s">
        <v>86</v>
      </c>
      <c r="E2624" s="17" t="s">
        <v>162</v>
      </c>
      <c r="F2624" s="17" t="s">
        <v>163</v>
      </c>
      <c r="G2624" s="17">
        <v>1</v>
      </c>
      <c r="H2624" s="17">
        <v>49770</v>
      </c>
      <c r="I2624" s="17">
        <v>49770</v>
      </c>
      <c r="J2624" s="17">
        <v>3651</v>
      </c>
      <c r="K2624" s="17">
        <v>46119</v>
      </c>
      <c r="L2624" s="17">
        <v>5737.1178309999996</v>
      </c>
      <c r="M2624" s="17">
        <v>2025</v>
      </c>
      <c r="N2624" s="17" t="s">
        <v>114</v>
      </c>
    </row>
    <row r="2625" spans="1:14" ht="14.25" customHeight="1">
      <c r="A2625" s="17">
        <v>12624</v>
      </c>
      <c r="B2625" s="18">
        <v>45727</v>
      </c>
      <c r="C2625" s="17" t="s">
        <v>45</v>
      </c>
      <c r="D2625" s="17" t="s">
        <v>89</v>
      </c>
      <c r="E2625" s="17" t="s">
        <v>168</v>
      </c>
      <c r="F2625" s="17" t="s">
        <v>172</v>
      </c>
      <c r="G2625" s="17">
        <v>9</v>
      </c>
      <c r="H2625" s="17">
        <v>73189</v>
      </c>
      <c r="I2625" s="17">
        <v>658701</v>
      </c>
      <c r="J2625" s="17">
        <v>4161</v>
      </c>
      <c r="K2625" s="17">
        <v>654540</v>
      </c>
      <c r="L2625" s="17">
        <v>109443.31570000001</v>
      </c>
      <c r="M2625" s="17">
        <v>2025</v>
      </c>
      <c r="N2625" s="17" t="s">
        <v>112</v>
      </c>
    </row>
    <row r="2626" spans="1:14" ht="14.25" customHeight="1">
      <c r="A2626" s="17">
        <v>12625</v>
      </c>
      <c r="B2626" s="18">
        <v>45574</v>
      </c>
      <c r="C2626" s="17" t="s">
        <v>45</v>
      </c>
      <c r="D2626" s="17" t="s">
        <v>83</v>
      </c>
      <c r="E2626" s="17" t="s">
        <v>168</v>
      </c>
      <c r="F2626" s="17" t="s">
        <v>166</v>
      </c>
      <c r="G2626" s="17">
        <v>9</v>
      </c>
      <c r="H2626" s="17">
        <v>65594</v>
      </c>
      <c r="I2626" s="17">
        <v>590346</v>
      </c>
      <c r="J2626" s="17">
        <v>4910</v>
      </c>
      <c r="K2626" s="17">
        <v>585436</v>
      </c>
      <c r="L2626" s="17">
        <v>59666.630559999998</v>
      </c>
      <c r="M2626" s="17">
        <v>2024</v>
      </c>
      <c r="N2626" s="17" t="s">
        <v>174</v>
      </c>
    </row>
    <row r="2627" spans="1:14" ht="14.25" customHeight="1">
      <c r="A2627" s="17">
        <v>12626</v>
      </c>
      <c r="B2627" s="18">
        <v>45853</v>
      </c>
      <c r="C2627" s="17" t="s">
        <v>45</v>
      </c>
      <c r="D2627" s="17" t="s">
        <v>86</v>
      </c>
      <c r="E2627" s="17" t="s">
        <v>165</v>
      </c>
      <c r="F2627" s="17" t="s">
        <v>172</v>
      </c>
      <c r="G2627" s="17">
        <v>6</v>
      </c>
      <c r="H2627" s="17">
        <v>42448</v>
      </c>
      <c r="I2627" s="17">
        <v>254688</v>
      </c>
      <c r="J2627" s="17">
        <v>1174</v>
      </c>
      <c r="K2627" s="17">
        <v>253514</v>
      </c>
      <c r="L2627" s="17">
        <v>43509.360110000001</v>
      </c>
      <c r="M2627" s="17">
        <v>2025</v>
      </c>
      <c r="N2627" s="17" t="s">
        <v>123</v>
      </c>
    </row>
    <row r="2628" spans="1:14" ht="14.25" customHeight="1">
      <c r="A2628" s="17">
        <v>12627</v>
      </c>
      <c r="B2628" s="18">
        <v>45898</v>
      </c>
      <c r="C2628" s="17" t="s">
        <v>45</v>
      </c>
      <c r="D2628" s="17" t="s">
        <v>86</v>
      </c>
      <c r="E2628" s="17" t="s">
        <v>162</v>
      </c>
      <c r="F2628" s="17" t="s">
        <v>163</v>
      </c>
      <c r="G2628" s="17">
        <v>7</v>
      </c>
      <c r="H2628" s="17">
        <v>42959</v>
      </c>
      <c r="I2628" s="17">
        <v>300713</v>
      </c>
      <c r="J2628" s="17">
        <v>2949</v>
      </c>
      <c r="K2628" s="17">
        <v>297764</v>
      </c>
      <c r="L2628" s="17">
        <v>69792.508360000007</v>
      </c>
      <c r="M2628" s="17">
        <v>2025</v>
      </c>
      <c r="N2628" s="17" t="s">
        <v>126</v>
      </c>
    </row>
    <row r="2629" spans="1:14" ht="14.25" customHeight="1">
      <c r="A2629" s="17">
        <v>12628</v>
      </c>
      <c r="B2629" s="18">
        <v>45754</v>
      </c>
      <c r="C2629" s="17" t="s">
        <v>50</v>
      </c>
      <c r="D2629" s="17" t="s">
        <v>170</v>
      </c>
      <c r="E2629" s="17" t="s">
        <v>162</v>
      </c>
      <c r="F2629" s="17" t="s">
        <v>166</v>
      </c>
      <c r="G2629" s="17">
        <v>3</v>
      </c>
      <c r="H2629" s="17">
        <v>54525</v>
      </c>
      <c r="I2629" s="17">
        <v>163575</v>
      </c>
      <c r="J2629" s="17">
        <v>1809</v>
      </c>
      <c r="K2629" s="17">
        <v>161766</v>
      </c>
      <c r="L2629" s="17">
        <v>30657.116610000001</v>
      </c>
      <c r="M2629" s="17">
        <v>2025</v>
      </c>
      <c r="N2629" s="17" t="s">
        <v>114</v>
      </c>
    </row>
    <row r="2630" spans="1:14" ht="14.25" customHeight="1">
      <c r="A2630" s="17">
        <v>12629</v>
      </c>
      <c r="B2630" s="18">
        <v>45698</v>
      </c>
      <c r="C2630" s="17" t="s">
        <v>167</v>
      </c>
      <c r="D2630" s="17" t="s">
        <v>86</v>
      </c>
      <c r="E2630" s="17" t="s">
        <v>162</v>
      </c>
      <c r="F2630" s="17" t="s">
        <v>163</v>
      </c>
      <c r="G2630" s="17">
        <v>5</v>
      </c>
      <c r="H2630" s="17">
        <v>39029</v>
      </c>
      <c r="I2630" s="17">
        <v>195145</v>
      </c>
      <c r="J2630" s="17">
        <v>436</v>
      </c>
      <c r="K2630" s="17">
        <v>194709</v>
      </c>
      <c r="L2630" s="17">
        <v>32340.8426</v>
      </c>
      <c r="M2630" s="17">
        <v>2025</v>
      </c>
      <c r="N2630" s="17" t="s">
        <v>175</v>
      </c>
    </row>
    <row r="2631" spans="1:14" ht="14.25" customHeight="1">
      <c r="A2631" s="17">
        <v>12630</v>
      </c>
      <c r="B2631" s="18">
        <v>45379</v>
      </c>
      <c r="C2631" s="17" t="s">
        <v>50</v>
      </c>
      <c r="D2631" s="17" t="s">
        <v>111</v>
      </c>
      <c r="E2631" s="17" t="s">
        <v>162</v>
      </c>
      <c r="F2631" s="17" t="s">
        <v>164</v>
      </c>
      <c r="G2631" s="17">
        <v>7</v>
      </c>
      <c r="H2631" s="17">
        <v>78169</v>
      </c>
      <c r="I2631" s="17">
        <v>547183</v>
      </c>
      <c r="J2631" s="17">
        <v>4885</v>
      </c>
      <c r="K2631" s="17">
        <v>542298</v>
      </c>
      <c r="L2631" s="17">
        <v>67428.736980000001</v>
      </c>
      <c r="M2631" s="17">
        <v>2024</v>
      </c>
      <c r="N2631" s="17" t="s">
        <v>112</v>
      </c>
    </row>
    <row r="2632" spans="1:14" ht="14.25" customHeight="1">
      <c r="A2632" s="17">
        <v>12631</v>
      </c>
      <c r="B2632" s="18">
        <v>45335</v>
      </c>
      <c r="C2632" s="17" t="s">
        <v>50</v>
      </c>
      <c r="D2632" s="17" t="s">
        <v>89</v>
      </c>
      <c r="E2632" s="17" t="s">
        <v>168</v>
      </c>
      <c r="F2632" s="17" t="s">
        <v>172</v>
      </c>
      <c r="G2632" s="17">
        <v>1</v>
      </c>
      <c r="H2632" s="17">
        <v>13312</v>
      </c>
      <c r="I2632" s="17">
        <v>13312</v>
      </c>
      <c r="J2632" s="17">
        <v>234</v>
      </c>
      <c r="K2632" s="17">
        <v>13078</v>
      </c>
      <c r="L2632" s="17">
        <v>1704.8844959999999</v>
      </c>
      <c r="M2632" s="17">
        <v>2024</v>
      </c>
      <c r="N2632" s="17" t="s">
        <v>175</v>
      </c>
    </row>
    <row r="2633" spans="1:14" ht="14.25" customHeight="1">
      <c r="A2633" s="17">
        <v>12632</v>
      </c>
      <c r="B2633" s="18">
        <v>45752</v>
      </c>
      <c r="C2633" s="17" t="s">
        <v>39</v>
      </c>
      <c r="D2633" s="17" t="s">
        <v>83</v>
      </c>
      <c r="E2633" s="17" t="s">
        <v>165</v>
      </c>
      <c r="F2633" s="17" t="s">
        <v>166</v>
      </c>
      <c r="G2633" s="17">
        <v>1</v>
      </c>
      <c r="H2633" s="17">
        <v>43300</v>
      </c>
      <c r="I2633" s="17">
        <v>43300</v>
      </c>
      <c r="J2633" s="17">
        <v>4770</v>
      </c>
      <c r="K2633" s="17">
        <v>38530</v>
      </c>
      <c r="L2633" s="17">
        <v>4295.1892559999997</v>
      </c>
      <c r="M2633" s="17">
        <v>2025</v>
      </c>
      <c r="N2633" s="17" t="s">
        <v>114</v>
      </c>
    </row>
    <row r="2634" spans="1:14" ht="14.25" customHeight="1">
      <c r="A2634" s="17">
        <v>12633</v>
      </c>
      <c r="B2634" s="18">
        <v>45569</v>
      </c>
      <c r="C2634" s="17" t="s">
        <v>39</v>
      </c>
      <c r="D2634" s="17" t="s">
        <v>111</v>
      </c>
      <c r="E2634" s="17" t="s">
        <v>162</v>
      </c>
      <c r="F2634" s="17" t="s">
        <v>163</v>
      </c>
      <c r="G2634" s="17">
        <v>5</v>
      </c>
      <c r="H2634" s="17">
        <v>59994</v>
      </c>
      <c r="I2634" s="17">
        <v>299970</v>
      </c>
      <c r="J2634" s="17">
        <v>2145</v>
      </c>
      <c r="K2634" s="17">
        <v>297825</v>
      </c>
      <c r="L2634" s="17">
        <v>62948.785360000002</v>
      </c>
      <c r="M2634" s="17">
        <v>2024</v>
      </c>
      <c r="N2634" s="17" t="s">
        <v>174</v>
      </c>
    </row>
    <row r="2635" spans="1:14" ht="14.25" customHeight="1">
      <c r="A2635" s="17">
        <v>12634</v>
      </c>
      <c r="B2635" s="18">
        <v>45974</v>
      </c>
      <c r="C2635" s="17" t="s">
        <v>39</v>
      </c>
      <c r="D2635" s="17" t="s">
        <v>111</v>
      </c>
      <c r="E2635" s="17" t="s">
        <v>168</v>
      </c>
      <c r="F2635" s="17" t="s">
        <v>164</v>
      </c>
      <c r="G2635" s="17">
        <v>9</v>
      </c>
      <c r="H2635" s="17">
        <v>7884</v>
      </c>
      <c r="I2635" s="17">
        <v>70956</v>
      </c>
      <c r="J2635" s="17">
        <v>3575</v>
      </c>
      <c r="K2635" s="17">
        <v>67381</v>
      </c>
      <c r="L2635" s="17">
        <v>7517.7178210000002</v>
      </c>
      <c r="M2635" s="17">
        <v>2025</v>
      </c>
      <c r="N2635" s="17" t="s">
        <v>173</v>
      </c>
    </row>
    <row r="2636" spans="1:14" ht="14.25" customHeight="1">
      <c r="A2636" s="17">
        <v>12635</v>
      </c>
      <c r="B2636" s="18">
        <v>45712</v>
      </c>
      <c r="C2636" s="17" t="s">
        <v>58</v>
      </c>
      <c r="D2636" s="17" t="s">
        <v>111</v>
      </c>
      <c r="E2636" s="17" t="s">
        <v>168</v>
      </c>
      <c r="F2636" s="17" t="s">
        <v>166</v>
      </c>
      <c r="G2636" s="17">
        <v>7</v>
      </c>
      <c r="H2636" s="17">
        <v>25522</v>
      </c>
      <c r="I2636" s="17">
        <v>178654</v>
      </c>
      <c r="J2636" s="17">
        <v>4856</v>
      </c>
      <c r="K2636" s="17">
        <v>173798</v>
      </c>
      <c r="L2636" s="17">
        <v>27389.230780000002</v>
      </c>
      <c r="M2636" s="17">
        <v>2025</v>
      </c>
      <c r="N2636" s="17" t="s">
        <v>175</v>
      </c>
    </row>
    <row r="2637" spans="1:14" ht="14.25" customHeight="1">
      <c r="A2637" s="17">
        <v>12636</v>
      </c>
      <c r="B2637" s="18">
        <v>45992</v>
      </c>
      <c r="C2637" s="17" t="s">
        <v>39</v>
      </c>
      <c r="D2637" s="17" t="s">
        <v>111</v>
      </c>
      <c r="E2637" s="17" t="s">
        <v>168</v>
      </c>
      <c r="F2637" s="17" t="s">
        <v>172</v>
      </c>
      <c r="G2637" s="17">
        <v>1</v>
      </c>
      <c r="H2637" s="17">
        <v>10623</v>
      </c>
      <c r="I2637" s="17">
        <v>10623</v>
      </c>
      <c r="J2637" s="17">
        <v>3561</v>
      </c>
      <c r="K2637" s="17">
        <v>7062</v>
      </c>
      <c r="L2637" s="17">
        <v>1500.5104839999999</v>
      </c>
      <c r="M2637" s="17">
        <v>2025</v>
      </c>
      <c r="N2637" s="17" t="s">
        <v>169</v>
      </c>
    </row>
    <row r="2638" spans="1:14" ht="14.25" customHeight="1">
      <c r="A2638" s="17">
        <v>12637</v>
      </c>
      <c r="B2638" s="18">
        <v>45644</v>
      </c>
      <c r="C2638" s="17" t="s">
        <v>167</v>
      </c>
      <c r="D2638" s="17" t="s">
        <v>83</v>
      </c>
      <c r="E2638" s="17" t="s">
        <v>168</v>
      </c>
      <c r="F2638" s="17" t="s">
        <v>172</v>
      </c>
      <c r="G2638" s="17">
        <v>5</v>
      </c>
      <c r="H2638" s="17">
        <v>16460</v>
      </c>
      <c r="I2638" s="17">
        <v>82300</v>
      </c>
      <c r="J2638" s="17">
        <v>2474</v>
      </c>
      <c r="K2638" s="17">
        <v>79826</v>
      </c>
      <c r="L2638" s="17">
        <v>16517.867719999998</v>
      </c>
      <c r="M2638" s="17">
        <v>2024</v>
      </c>
      <c r="N2638" s="17" t="s">
        <v>169</v>
      </c>
    </row>
    <row r="2639" spans="1:14" ht="14.25" customHeight="1">
      <c r="A2639" s="17">
        <v>12638</v>
      </c>
      <c r="B2639" s="18">
        <v>45987</v>
      </c>
      <c r="C2639" s="17" t="s">
        <v>50</v>
      </c>
      <c r="D2639" s="17" t="s">
        <v>170</v>
      </c>
      <c r="E2639" s="17" t="s">
        <v>168</v>
      </c>
      <c r="F2639" s="17" t="s">
        <v>163</v>
      </c>
      <c r="G2639" s="17">
        <v>8</v>
      </c>
      <c r="H2639" s="17">
        <v>15234</v>
      </c>
      <c r="I2639" s="17">
        <v>121872</v>
      </c>
      <c r="J2639" s="17">
        <v>226</v>
      </c>
      <c r="K2639" s="17">
        <v>121646</v>
      </c>
      <c r="L2639" s="17">
        <v>22702.771690000001</v>
      </c>
      <c r="M2639" s="17">
        <v>2025</v>
      </c>
      <c r="N2639" s="17" t="s">
        <v>173</v>
      </c>
    </row>
    <row r="2640" spans="1:14" ht="14.25" customHeight="1">
      <c r="A2640" s="17">
        <v>12639</v>
      </c>
      <c r="B2640" s="18">
        <v>45806</v>
      </c>
      <c r="C2640" s="17" t="s">
        <v>167</v>
      </c>
      <c r="D2640" s="17" t="s">
        <v>86</v>
      </c>
      <c r="E2640" s="17" t="s">
        <v>162</v>
      </c>
      <c r="F2640" s="17" t="s">
        <v>166</v>
      </c>
      <c r="G2640" s="17">
        <v>8</v>
      </c>
      <c r="H2640" s="17">
        <v>68578</v>
      </c>
      <c r="I2640" s="17">
        <v>548624</v>
      </c>
      <c r="J2640" s="17">
        <v>2610</v>
      </c>
      <c r="K2640" s="17">
        <v>546014</v>
      </c>
      <c r="L2640" s="17">
        <v>101392.7032</v>
      </c>
      <c r="M2640" s="17">
        <v>2025</v>
      </c>
      <c r="N2640" s="17" t="s">
        <v>117</v>
      </c>
    </row>
    <row r="2641" spans="1:14" ht="14.25" customHeight="1">
      <c r="A2641" s="17">
        <v>12640</v>
      </c>
      <c r="B2641" s="18">
        <v>45994</v>
      </c>
      <c r="C2641" s="17" t="s">
        <v>39</v>
      </c>
      <c r="D2641" s="17" t="s">
        <v>111</v>
      </c>
      <c r="E2641" s="17" t="s">
        <v>162</v>
      </c>
      <c r="F2641" s="17" t="s">
        <v>164</v>
      </c>
      <c r="G2641" s="17">
        <v>2</v>
      </c>
      <c r="H2641" s="17">
        <v>51905</v>
      </c>
      <c r="I2641" s="17">
        <v>103810</v>
      </c>
      <c r="J2641" s="17">
        <v>2275</v>
      </c>
      <c r="K2641" s="17">
        <v>101535</v>
      </c>
      <c r="L2641" s="17">
        <v>11529.21924</v>
      </c>
      <c r="M2641" s="17">
        <v>2025</v>
      </c>
      <c r="N2641" s="17" t="s">
        <v>169</v>
      </c>
    </row>
    <row r="2642" spans="1:14" ht="14.25" customHeight="1">
      <c r="A2642" s="17">
        <v>12641</v>
      </c>
      <c r="B2642" s="18">
        <v>45921</v>
      </c>
      <c r="C2642" s="17" t="s">
        <v>58</v>
      </c>
      <c r="D2642" s="17" t="s">
        <v>86</v>
      </c>
      <c r="E2642" s="17" t="s">
        <v>165</v>
      </c>
      <c r="F2642" s="17" t="s">
        <v>164</v>
      </c>
      <c r="G2642" s="17">
        <v>7</v>
      </c>
      <c r="H2642" s="17">
        <v>34420</v>
      </c>
      <c r="I2642" s="17">
        <v>240940</v>
      </c>
      <c r="J2642" s="17">
        <v>4801</v>
      </c>
      <c r="K2642" s="17">
        <v>236139</v>
      </c>
      <c r="L2642" s="17">
        <v>29809.547600000002</v>
      </c>
      <c r="M2642" s="17">
        <v>2025</v>
      </c>
      <c r="N2642" s="17" t="s">
        <v>129</v>
      </c>
    </row>
    <row r="2643" spans="1:14" ht="14.25" customHeight="1">
      <c r="A2643" s="17">
        <v>12642</v>
      </c>
      <c r="B2643" s="18">
        <v>45310</v>
      </c>
      <c r="C2643" s="17" t="s">
        <v>58</v>
      </c>
      <c r="D2643" s="17" t="s">
        <v>86</v>
      </c>
      <c r="E2643" s="17" t="s">
        <v>162</v>
      </c>
      <c r="F2643" s="17" t="s">
        <v>164</v>
      </c>
      <c r="G2643" s="17">
        <v>5</v>
      </c>
      <c r="H2643" s="17">
        <v>40813</v>
      </c>
      <c r="I2643" s="17">
        <v>204065</v>
      </c>
      <c r="J2643" s="17">
        <v>1815</v>
      </c>
      <c r="K2643" s="17">
        <v>202250</v>
      </c>
      <c r="L2643" s="17">
        <v>36447.809970000002</v>
      </c>
      <c r="M2643" s="17">
        <v>2024</v>
      </c>
      <c r="N2643" s="17" t="s">
        <v>171</v>
      </c>
    </row>
    <row r="2644" spans="1:14" ht="14.25" customHeight="1">
      <c r="A2644" s="17">
        <v>12643</v>
      </c>
      <c r="B2644" s="18">
        <v>45314</v>
      </c>
      <c r="C2644" s="17" t="s">
        <v>50</v>
      </c>
      <c r="D2644" s="17" t="s">
        <v>111</v>
      </c>
      <c r="E2644" s="17" t="s">
        <v>168</v>
      </c>
      <c r="F2644" s="17" t="s">
        <v>163</v>
      </c>
      <c r="G2644" s="17">
        <v>9</v>
      </c>
      <c r="H2644" s="17">
        <v>5382</v>
      </c>
      <c r="I2644" s="17">
        <v>48438</v>
      </c>
      <c r="J2644" s="17">
        <v>3854</v>
      </c>
      <c r="K2644" s="17">
        <v>44584</v>
      </c>
      <c r="L2644" s="17">
        <v>6786.2220029999999</v>
      </c>
      <c r="M2644" s="17">
        <v>2024</v>
      </c>
      <c r="N2644" s="17" t="s">
        <v>171</v>
      </c>
    </row>
    <row r="2645" spans="1:14" ht="14.25" customHeight="1">
      <c r="A2645" s="17">
        <v>12644</v>
      </c>
      <c r="B2645" s="18">
        <v>45704</v>
      </c>
      <c r="C2645" s="17" t="s">
        <v>167</v>
      </c>
      <c r="D2645" s="17" t="s">
        <v>170</v>
      </c>
      <c r="E2645" s="17" t="s">
        <v>165</v>
      </c>
      <c r="F2645" s="17" t="s">
        <v>164</v>
      </c>
      <c r="G2645" s="17">
        <v>3</v>
      </c>
      <c r="H2645" s="17">
        <v>43353</v>
      </c>
      <c r="I2645" s="17">
        <v>130059</v>
      </c>
      <c r="J2645" s="17">
        <v>3995</v>
      </c>
      <c r="K2645" s="17">
        <v>126064</v>
      </c>
      <c r="L2645" s="17">
        <v>12964.49301</v>
      </c>
      <c r="M2645" s="17">
        <v>2025</v>
      </c>
      <c r="N2645" s="17" t="s">
        <v>175</v>
      </c>
    </row>
    <row r="2646" spans="1:14" ht="14.25" customHeight="1">
      <c r="A2646" s="17">
        <v>12645</v>
      </c>
      <c r="B2646" s="18">
        <v>45321</v>
      </c>
      <c r="C2646" s="17" t="s">
        <v>45</v>
      </c>
      <c r="D2646" s="17" t="s">
        <v>86</v>
      </c>
      <c r="E2646" s="17" t="s">
        <v>168</v>
      </c>
      <c r="F2646" s="17" t="s">
        <v>166</v>
      </c>
      <c r="G2646" s="17">
        <v>1</v>
      </c>
      <c r="H2646" s="17">
        <v>14369</v>
      </c>
      <c r="I2646" s="17">
        <v>14369</v>
      </c>
      <c r="J2646" s="17">
        <v>1410</v>
      </c>
      <c r="K2646" s="17">
        <v>12959</v>
      </c>
      <c r="L2646" s="17">
        <v>2847.4164040000001</v>
      </c>
      <c r="M2646" s="17">
        <v>2024</v>
      </c>
      <c r="N2646" s="17" t="s">
        <v>171</v>
      </c>
    </row>
    <row r="2647" spans="1:14" ht="14.25" customHeight="1">
      <c r="A2647" s="17">
        <v>12646</v>
      </c>
      <c r="B2647" s="18">
        <v>45399</v>
      </c>
      <c r="C2647" s="17" t="s">
        <v>167</v>
      </c>
      <c r="D2647" s="17" t="s">
        <v>89</v>
      </c>
      <c r="E2647" s="17" t="s">
        <v>168</v>
      </c>
      <c r="F2647" s="17" t="s">
        <v>163</v>
      </c>
      <c r="G2647" s="17">
        <v>4</v>
      </c>
      <c r="H2647" s="17">
        <v>39985</v>
      </c>
      <c r="I2647" s="17">
        <v>159940</v>
      </c>
      <c r="J2647" s="17">
        <v>4764</v>
      </c>
      <c r="K2647" s="17">
        <v>155176</v>
      </c>
      <c r="L2647" s="17">
        <v>30736.019130000001</v>
      </c>
      <c r="M2647" s="17">
        <v>2024</v>
      </c>
      <c r="N2647" s="17" t="s">
        <v>114</v>
      </c>
    </row>
    <row r="2648" spans="1:14" ht="14.25" customHeight="1">
      <c r="A2648" s="17">
        <v>12647</v>
      </c>
      <c r="B2648" s="18">
        <v>45658</v>
      </c>
      <c r="C2648" s="17" t="s">
        <v>39</v>
      </c>
      <c r="D2648" s="17" t="s">
        <v>86</v>
      </c>
      <c r="E2648" s="17" t="s">
        <v>162</v>
      </c>
      <c r="F2648" s="17" t="s">
        <v>172</v>
      </c>
      <c r="G2648" s="17">
        <v>7</v>
      </c>
      <c r="H2648" s="17">
        <v>47255</v>
      </c>
      <c r="I2648" s="17">
        <v>330785</v>
      </c>
      <c r="J2648" s="17">
        <v>3379</v>
      </c>
      <c r="K2648" s="17">
        <v>327406</v>
      </c>
      <c r="L2648" s="17">
        <v>48740.217479999999</v>
      </c>
      <c r="M2648" s="17">
        <v>2025</v>
      </c>
      <c r="N2648" s="17" t="s">
        <v>171</v>
      </c>
    </row>
    <row r="2649" spans="1:14" ht="14.25" customHeight="1">
      <c r="A2649" s="17">
        <v>12648</v>
      </c>
      <c r="B2649" s="18">
        <v>45572</v>
      </c>
      <c r="C2649" s="17" t="s">
        <v>45</v>
      </c>
      <c r="D2649" s="17" t="s">
        <v>111</v>
      </c>
      <c r="E2649" s="17" t="s">
        <v>168</v>
      </c>
      <c r="F2649" s="17" t="s">
        <v>163</v>
      </c>
      <c r="G2649" s="17">
        <v>1</v>
      </c>
      <c r="H2649" s="17">
        <v>63261</v>
      </c>
      <c r="I2649" s="17">
        <v>63261</v>
      </c>
      <c r="J2649" s="17">
        <v>1845</v>
      </c>
      <c r="K2649" s="17">
        <v>61416</v>
      </c>
      <c r="L2649" s="17">
        <v>7046.3055599999998</v>
      </c>
      <c r="M2649" s="17">
        <v>2024</v>
      </c>
      <c r="N2649" s="17" t="s">
        <v>174</v>
      </c>
    </row>
    <row r="2650" spans="1:14" ht="14.25" customHeight="1">
      <c r="A2650" s="17">
        <v>12649</v>
      </c>
      <c r="B2650" s="18">
        <v>45419</v>
      </c>
      <c r="C2650" s="17" t="s">
        <v>58</v>
      </c>
      <c r="D2650" s="17" t="s">
        <v>83</v>
      </c>
      <c r="E2650" s="17" t="s">
        <v>162</v>
      </c>
      <c r="F2650" s="17" t="s">
        <v>163</v>
      </c>
      <c r="G2650" s="17">
        <v>2</v>
      </c>
      <c r="H2650" s="17">
        <v>66590</v>
      </c>
      <c r="I2650" s="17">
        <v>133180</v>
      </c>
      <c r="J2650" s="17">
        <v>1337</v>
      </c>
      <c r="K2650" s="17">
        <v>131843</v>
      </c>
      <c r="L2650" s="17">
        <v>24876.152279999998</v>
      </c>
      <c r="M2650" s="17">
        <v>2024</v>
      </c>
      <c r="N2650" s="17" t="s">
        <v>117</v>
      </c>
    </row>
    <row r="2651" spans="1:14" ht="14.25" customHeight="1">
      <c r="A2651" s="17">
        <v>12650</v>
      </c>
      <c r="B2651" s="18">
        <v>45520</v>
      </c>
      <c r="C2651" s="17" t="s">
        <v>50</v>
      </c>
      <c r="D2651" s="17" t="s">
        <v>86</v>
      </c>
      <c r="E2651" s="17" t="s">
        <v>168</v>
      </c>
      <c r="F2651" s="17" t="s">
        <v>163</v>
      </c>
      <c r="G2651" s="17">
        <v>5</v>
      </c>
      <c r="H2651" s="17">
        <v>50486</v>
      </c>
      <c r="I2651" s="17">
        <v>252430</v>
      </c>
      <c r="J2651" s="17">
        <v>117</v>
      </c>
      <c r="K2651" s="17">
        <v>252313</v>
      </c>
      <c r="L2651" s="17">
        <v>38422.838089999997</v>
      </c>
      <c r="M2651" s="17">
        <v>2024</v>
      </c>
      <c r="N2651" s="17" t="s">
        <v>126</v>
      </c>
    </row>
    <row r="2652" spans="1:14" ht="14.25" customHeight="1">
      <c r="A2652" s="17">
        <v>12651</v>
      </c>
      <c r="B2652" s="18">
        <v>45402</v>
      </c>
      <c r="C2652" s="17" t="s">
        <v>50</v>
      </c>
      <c r="D2652" s="17" t="s">
        <v>170</v>
      </c>
      <c r="E2652" s="17" t="s">
        <v>165</v>
      </c>
      <c r="F2652" s="17" t="s">
        <v>166</v>
      </c>
      <c r="G2652" s="17">
        <v>9</v>
      </c>
      <c r="H2652" s="17">
        <v>52883</v>
      </c>
      <c r="I2652" s="17">
        <v>475947</v>
      </c>
      <c r="J2652" s="17">
        <v>1868</v>
      </c>
      <c r="K2652" s="17">
        <v>474079</v>
      </c>
      <c r="L2652" s="17">
        <v>65569.108219999995</v>
      </c>
      <c r="M2652" s="17">
        <v>2024</v>
      </c>
      <c r="N2652" s="17" t="s">
        <v>114</v>
      </c>
    </row>
    <row r="2653" spans="1:14" ht="14.25" customHeight="1">
      <c r="A2653" s="17">
        <v>12652</v>
      </c>
      <c r="B2653" s="18">
        <v>45427</v>
      </c>
      <c r="C2653" s="17" t="s">
        <v>58</v>
      </c>
      <c r="D2653" s="17" t="s">
        <v>89</v>
      </c>
      <c r="E2653" s="17" t="s">
        <v>168</v>
      </c>
      <c r="F2653" s="17" t="s">
        <v>172</v>
      </c>
      <c r="G2653" s="17">
        <v>1</v>
      </c>
      <c r="H2653" s="17">
        <v>60318</v>
      </c>
      <c r="I2653" s="17">
        <v>60318</v>
      </c>
      <c r="J2653" s="17">
        <v>2097</v>
      </c>
      <c r="K2653" s="17">
        <v>58221</v>
      </c>
      <c r="L2653" s="17">
        <v>12122.799209999999</v>
      </c>
      <c r="M2653" s="17">
        <v>2024</v>
      </c>
      <c r="N2653" s="17" t="s">
        <v>117</v>
      </c>
    </row>
    <row r="2654" spans="1:14" ht="14.25" customHeight="1">
      <c r="A2654" s="17">
        <v>12653</v>
      </c>
      <c r="B2654" s="18">
        <v>45653</v>
      </c>
      <c r="C2654" s="17" t="s">
        <v>39</v>
      </c>
      <c r="D2654" s="17" t="s">
        <v>89</v>
      </c>
      <c r="E2654" s="17" t="s">
        <v>162</v>
      </c>
      <c r="F2654" s="17" t="s">
        <v>172</v>
      </c>
      <c r="G2654" s="17">
        <v>4</v>
      </c>
      <c r="H2654" s="17">
        <v>56566</v>
      </c>
      <c r="I2654" s="17">
        <v>226264</v>
      </c>
      <c r="J2654" s="17">
        <v>1813</v>
      </c>
      <c r="K2654" s="17">
        <v>224451</v>
      </c>
      <c r="L2654" s="17">
        <v>33493.1414</v>
      </c>
      <c r="M2654" s="17">
        <v>2024</v>
      </c>
      <c r="N2654" s="17" t="s">
        <v>169</v>
      </c>
    </row>
    <row r="2655" spans="1:14" ht="14.25" customHeight="1">
      <c r="A2655" s="17">
        <v>12654</v>
      </c>
      <c r="B2655" s="18">
        <v>45477</v>
      </c>
      <c r="C2655" s="17" t="s">
        <v>58</v>
      </c>
      <c r="D2655" s="17" t="s">
        <v>83</v>
      </c>
      <c r="E2655" s="17" t="s">
        <v>168</v>
      </c>
      <c r="F2655" s="17" t="s">
        <v>163</v>
      </c>
      <c r="G2655" s="17">
        <v>3</v>
      </c>
      <c r="H2655" s="17">
        <v>5650</v>
      </c>
      <c r="I2655" s="17">
        <v>16950</v>
      </c>
      <c r="J2655" s="17">
        <v>1587</v>
      </c>
      <c r="K2655" s="17">
        <v>15363</v>
      </c>
      <c r="L2655" s="17">
        <v>1849.8169459999999</v>
      </c>
      <c r="M2655" s="17">
        <v>2024</v>
      </c>
      <c r="N2655" s="17" t="s">
        <v>123</v>
      </c>
    </row>
    <row r="2656" spans="1:14" ht="14.25" customHeight="1">
      <c r="A2656" s="17">
        <v>12655</v>
      </c>
      <c r="B2656" s="18">
        <v>45947</v>
      </c>
      <c r="C2656" s="17" t="s">
        <v>39</v>
      </c>
      <c r="D2656" s="17" t="s">
        <v>83</v>
      </c>
      <c r="E2656" s="17" t="s">
        <v>162</v>
      </c>
      <c r="F2656" s="17" t="s">
        <v>163</v>
      </c>
      <c r="G2656" s="17">
        <v>5</v>
      </c>
      <c r="H2656" s="17">
        <v>45937</v>
      </c>
      <c r="I2656" s="17">
        <v>229685</v>
      </c>
      <c r="J2656" s="17">
        <v>3252</v>
      </c>
      <c r="K2656" s="17">
        <v>226433</v>
      </c>
      <c r="L2656" s="17">
        <v>39002.64546</v>
      </c>
      <c r="M2656" s="17">
        <v>2025</v>
      </c>
      <c r="N2656" s="17" t="s">
        <v>174</v>
      </c>
    </row>
    <row r="2657" spans="1:14" ht="14.25" customHeight="1">
      <c r="A2657" s="17">
        <v>12656</v>
      </c>
      <c r="B2657" s="18">
        <v>45875</v>
      </c>
      <c r="C2657" s="17" t="s">
        <v>45</v>
      </c>
      <c r="D2657" s="17" t="s">
        <v>86</v>
      </c>
      <c r="E2657" s="17" t="s">
        <v>162</v>
      </c>
      <c r="F2657" s="17" t="s">
        <v>163</v>
      </c>
      <c r="G2657" s="17">
        <v>5</v>
      </c>
      <c r="H2657" s="17">
        <v>26299</v>
      </c>
      <c r="I2657" s="17">
        <v>131495</v>
      </c>
      <c r="J2657" s="17">
        <v>542</v>
      </c>
      <c r="K2657" s="17">
        <v>130953</v>
      </c>
      <c r="L2657" s="17">
        <v>29368.81206</v>
      </c>
      <c r="M2657" s="17">
        <v>2025</v>
      </c>
      <c r="N2657" s="17" t="s">
        <v>126</v>
      </c>
    </row>
    <row r="2658" spans="1:14" ht="14.25" customHeight="1">
      <c r="A2658" s="17">
        <v>12657</v>
      </c>
      <c r="B2658" s="18">
        <v>45420</v>
      </c>
      <c r="C2658" s="17" t="s">
        <v>58</v>
      </c>
      <c r="D2658" s="17" t="s">
        <v>111</v>
      </c>
      <c r="E2658" s="17" t="s">
        <v>165</v>
      </c>
      <c r="F2658" s="17" t="s">
        <v>166</v>
      </c>
      <c r="G2658" s="17">
        <v>2</v>
      </c>
      <c r="H2658" s="17">
        <v>31862</v>
      </c>
      <c r="I2658" s="17">
        <v>63724</v>
      </c>
      <c r="J2658" s="17">
        <v>2374</v>
      </c>
      <c r="K2658" s="17">
        <v>61350</v>
      </c>
      <c r="L2658" s="17">
        <v>13953.98496</v>
      </c>
      <c r="M2658" s="17">
        <v>2024</v>
      </c>
      <c r="N2658" s="17" t="s">
        <v>117</v>
      </c>
    </row>
    <row r="2659" spans="1:14" ht="14.25" customHeight="1">
      <c r="A2659" s="17">
        <v>12658</v>
      </c>
      <c r="B2659" s="18">
        <v>45552</v>
      </c>
      <c r="C2659" s="17" t="s">
        <v>39</v>
      </c>
      <c r="D2659" s="17" t="s">
        <v>170</v>
      </c>
      <c r="E2659" s="17" t="s">
        <v>162</v>
      </c>
      <c r="F2659" s="17" t="s">
        <v>166</v>
      </c>
      <c r="G2659" s="17">
        <v>5</v>
      </c>
      <c r="H2659" s="17">
        <v>21312</v>
      </c>
      <c r="I2659" s="17">
        <v>106560</v>
      </c>
      <c r="J2659" s="17">
        <v>1526</v>
      </c>
      <c r="K2659" s="17">
        <v>105034</v>
      </c>
      <c r="L2659" s="17">
        <v>23884.886500000001</v>
      </c>
      <c r="M2659" s="17">
        <v>2024</v>
      </c>
      <c r="N2659" s="17" t="s">
        <v>129</v>
      </c>
    </row>
    <row r="2660" spans="1:14" ht="14.25" customHeight="1">
      <c r="A2660" s="17">
        <v>12659</v>
      </c>
      <c r="B2660" s="18">
        <v>45806</v>
      </c>
      <c r="C2660" s="17" t="s">
        <v>45</v>
      </c>
      <c r="D2660" s="17" t="s">
        <v>89</v>
      </c>
      <c r="E2660" s="17" t="s">
        <v>165</v>
      </c>
      <c r="F2660" s="17" t="s">
        <v>164</v>
      </c>
      <c r="G2660" s="17">
        <v>9</v>
      </c>
      <c r="H2660" s="17">
        <v>15943</v>
      </c>
      <c r="I2660" s="17">
        <v>143487</v>
      </c>
      <c r="J2660" s="17">
        <v>3567</v>
      </c>
      <c r="K2660" s="17">
        <v>139920</v>
      </c>
      <c r="L2660" s="17">
        <v>22826.265589999999</v>
      </c>
      <c r="M2660" s="17">
        <v>2025</v>
      </c>
      <c r="N2660" s="17" t="s">
        <v>117</v>
      </c>
    </row>
    <row r="2661" spans="1:14" ht="14.25" customHeight="1">
      <c r="A2661" s="17">
        <v>12660</v>
      </c>
      <c r="B2661" s="18">
        <v>45740</v>
      </c>
      <c r="C2661" s="17" t="s">
        <v>58</v>
      </c>
      <c r="D2661" s="17" t="s">
        <v>83</v>
      </c>
      <c r="E2661" s="17" t="s">
        <v>165</v>
      </c>
      <c r="F2661" s="17" t="s">
        <v>172</v>
      </c>
      <c r="G2661" s="17">
        <v>5</v>
      </c>
      <c r="H2661" s="17">
        <v>73734</v>
      </c>
      <c r="I2661" s="17">
        <v>368670</v>
      </c>
      <c r="J2661" s="17">
        <v>1269</v>
      </c>
      <c r="K2661" s="17">
        <v>367401</v>
      </c>
      <c r="L2661" s="17">
        <v>80328.603019999995</v>
      </c>
      <c r="M2661" s="17">
        <v>2025</v>
      </c>
      <c r="N2661" s="17" t="s">
        <v>112</v>
      </c>
    </row>
    <row r="2662" spans="1:14" ht="14.25" customHeight="1">
      <c r="A2662" s="17">
        <v>12661</v>
      </c>
      <c r="B2662" s="18">
        <v>45395</v>
      </c>
      <c r="C2662" s="17" t="s">
        <v>50</v>
      </c>
      <c r="D2662" s="17" t="s">
        <v>170</v>
      </c>
      <c r="E2662" s="17" t="s">
        <v>168</v>
      </c>
      <c r="F2662" s="17" t="s">
        <v>164</v>
      </c>
      <c r="G2662" s="17">
        <v>2</v>
      </c>
      <c r="H2662" s="17">
        <v>22325</v>
      </c>
      <c r="I2662" s="17">
        <v>44650</v>
      </c>
      <c r="J2662" s="17">
        <v>601</v>
      </c>
      <c r="K2662" s="17">
        <v>44049</v>
      </c>
      <c r="L2662" s="17">
        <v>10022.672259999999</v>
      </c>
      <c r="M2662" s="17">
        <v>2024</v>
      </c>
      <c r="N2662" s="17" t="s">
        <v>114</v>
      </c>
    </row>
    <row r="2663" spans="1:14" ht="14.25" customHeight="1">
      <c r="A2663" s="17">
        <v>12662</v>
      </c>
      <c r="B2663" s="18">
        <v>45774</v>
      </c>
      <c r="C2663" s="17" t="s">
        <v>58</v>
      </c>
      <c r="D2663" s="17" t="s">
        <v>111</v>
      </c>
      <c r="E2663" s="17" t="s">
        <v>165</v>
      </c>
      <c r="F2663" s="17" t="s">
        <v>164</v>
      </c>
      <c r="G2663" s="17">
        <v>7</v>
      </c>
      <c r="H2663" s="17">
        <v>79268</v>
      </c>
      <c r="I2663" s="17">
        <v>554876</v>
      </c>
      <c r="J2663" s="17">
        <v>3614</v>
      </c>
      <c r="K2663" s="17">
        <v>551262</v>
      </c>
      <c r="L2663" s="17">
        <v>93125.092919999996</v>
      </c>
      <c r="M2663" s="17">
        <v>2025</v>
      </c>
      <c r="N2663" s="17" t="s">
        <v>114</v>
      </c>
    </row>
    <row r="2664" spans="1:14" ht="14.25" customHeight="1">
      <c r="A2664" s="17">
        <v>12663</v>
      </c>
      <c r="B2664" s="18">
        <v>45515</v>
      </c>
      <c r="C2664" s="17" t="s">
        <v>167</v>
      </c>
      <c r="D2664" s="17" t="s">
        <v>89</v>
      </c>
      <c r="E2664" s="17" t="s">
        <v>162</v>
      </c>
      <c r="F2664" s="17" t="s">
        <v>163</v>
      </c>
      <c r="G2664" s="17">
        <v>6</v>
      </c>
      <c r="H2664" s="17">
        <v>76341</v>
      </c>
      <c r="I2664" s="17">
        <v>458046</v>
      </c>
      <c r="J2664" s="17">
        <v>2149</v>
      </c>
      <c r="K2664" s="17">
        <v>455897</v>
      </c>
      <c r="L2664" s="17">
        <v>67386.549679999996</v>
      </c>
      <c r="M2664" s="17">
        <v>2024</v>
      </c>
      <c r="N2664" s="17" t="s">
        <v>126</v>
      </c>
    </row>
    <row r="2665" spans="1:14" ht="14.25" customHeight="1">
      <c r="A2665" s="17">
        <v>12664</v>
      </c>
      <c r="B2665" s="18">
        <v>45782</v>
      </c>
      <c r="C2665" s="17" t="s">
        <v>58</v>
      </c>
      <c r="D2665" s="17" t="s">
        <v>89</v>
      </c>
      <c r="E2665" s="17" t="s">
        <v>162</v>
      </c>
      <c r="F2665" s="17" t="s">
        <v>166</v>
      </c>
      <c r="G2665" s="17">
        <v>7</v>
      </c>
      <c r="H2665" s="17">
        <v>57879</v>
      </c>
      <c r="I2665" s="17">
        <v>405153</v>
      </c>
      <c r="J2665" s="17">
        <v>3301</v>
      </c>
      <c r="K2665" s="17">
        <v>401852</v>
      </c>
      <c r="L2665" s="17">
        <v>82498.078559999994</v>
      </c>
      <c r="M2665" s="17">
        <v>2025</v>
      </c>
      <c r="N2665" s="17" t="s">
        <v>117</v>
      </c>
    </row>
    <row r="2666" spans="1:14" ht="14.25" customHeight="1">
      <c r="A2666" s="17">
        <v>12665</v>
      </c>
      <c r="B2666" s="18">
        <v>45764</v>
      </c>
      <c r="C2666" s="17" t="s">
        <v>167</v>
      </c>
      <c r="D2666" s="17" t="s">
        <v>111</v>
      </c>
      <c r="E2666" s="17" t="s">
        <v>165</v>
      </c>
      <c r="F2666" s="17" t="s">
        <v>164</v>
      </c>
      <c r="G2666" s="17">
        <v>8</v>
      </c>
      <c r="H2666" s="17">
        <v>71738</v>
      </c>
      <c r="I2666" s="17">
        <v>573904</v>
      </c>
      <c r="J2666" s="17">
        <v>387</v>
      </c>
      <c r="K2666" s="17">
        <v>573517</v>
      </c>
      <c r="L2666" s="17">
        <v>135160.97560000001</v>
      </c>
      <c r="M2666" s="17">
        <v>2025</v>
      </c>
      <c r="N2666" s="17" t="s">
        <v>114</v>
      </c>
    </row>
    <row r="2667" spans="1:14" ht="14.25" customHeight="1">
      <c r="A2667" s="17">
        <v>12666</v>
      </c>
      <c r="B2667" s="18">
        <v>45301</v>
      </c>
      <c r="C2667" s="17" t="s">
        <v>45</v>
      </c>
      <c r="D2667" s="17" t="s">
        <v>89</v>
      </c>
      <c r="E2667" s="17" t="s">
        <v>168</v>
      </c>
      <c r="F2667" s="17" t="s">
        <v>164</v>
      </c>
      <c r="G2667" s="17">
        <v>5</v>
      </c>
      <c r="H2667" s="17">
        <v>69010</v>
      </c>
      <c r="I2667" s="17">
        <v>345050</v>
      </c>
      <c r="J2667" s="17">
        <v>3680</v>
      </c>
      <c r="K2667" s="17">
        <v>341370</v>
      </c>
      <c r="L2667" s="17">
        <v>83916.554080000002</v>
      </c>
      <c r="M2667" s="17">
        <v>2024</v>
      </c>
      <c r="N2667" s="17" t="s">
        <v>171</v>
      </c>
    </row>
    <row r="2668" spans="1:14" ht="14.25" customHeight="1">
      <c r="A2668" s="17">
        <v>12667</v>
      </c>
      <c r="B2668" s="18">
        <v>45696</v>
      </c>
      <c r="C2668" s="17" t="s">
        <v>58</v>
      </c>
      <c r="D2668" s="17" t="s">
        <v>111</v>
      </c>
      <c r="E2668" s="17" t="s">
        <v>165</v>
      </c>
      <c r="F2668" s="17" t="s">
        <v>164</v>
      </c>
      <c r="G2668" s="17">
        <v>2</v>
      </c>
      <c r="H2668" s="17">
        <v>8006</v>
      </c>
      <c r="I2668" s="17">
        <v>16012</v>
      </c>
      <c r="J2668" s="17">
        <v>1602</v>
      </c>
      <c r="K2668" s="17">
        <v>14410</v>
      </c>
      <c r="L2668" s="17">
        <v>2068.320917</v>
      </c>
      <c r="M2668" s="17">
        <v>2025</v>
      </c>
      <c r="N2668" s="17" t="s">
        <v>175</v>
      </c>
    </row>
    <row r="2669" spans="1:14" ht="14.25" customHeight="1">
      <c r="A2669" s="17">
        <v>12668</v>
      </c>
      <c r="B2669" s="18">
        <v>45593</v>
      </c>
      <c r="C2669" s="17" t="s">
        <v>45</v>
      </c>
      <c r="D2669" s="17" t="s">
        <v>89</v>
      </c>
      <c r="E2669" s="17" t="s">
        <v>165</v>
      </c>
      <c r="F2669" s="17" t="s">
        <v>163</v>
      </c>
      <c r="G2669" s="17">
        <v>7</v>
      </c>
      <c r="H2669" s="17">
        <v>66876</v>
      </c>
      <c r="I2669" s="17">
        <v>468132</v>
      </c>
      <c r="J2669" s="17">
        <v>3282</v>
      </c>
      <c r="K2669" s="17">
        <v>464850</v>
      </c>
      <c r="L2669" s="17">
        <v>113156.4173</v>
      </c>
      <c r="M2669" s="17">
        <v>2024</v>
      </c>
      <c r="N2669" s="17" t="s">
        <v>174</v>
      </c>
    </row>
    <row r="2670" spans="1:14" ht="14.25" customHeight="1">
      <c r="A2670" s="17">
        <v>12669</v>
      </c>
      <c r="B2670" s="18">
        <v>45522</v>
      </c>
      <c r="C2670" s="17" t="s">
        <v>45</v>
      </c>
      <c r="D2670" s="17" t="s">
        <v>86</v>
      </c>
      <c r="E2670" s="17" t="s">
        <v>162</v>
      </c>
      <c r="F2670" s="17" t="s">
        <v>163</v>
      </c>
      <c r="G2670" s="17">
        <v>7</v>
      </c>
      <c r="H2670" s="17">
        <v>68228</v>
      </c>
      <c r="I2670" s="17">
        <v>477596</v>
      </c>
      <c r="J2670" s="17">
        <v>2696</v>
      </c>
      <c r="K2670" s="17">
        <v>474900</v>
      </c>
      <c r="L2670" s="17">
        <v>83056.370840000003</v>
      </c>
      <c r="M2670" s="17">
        <v>2024</v>
      </c>
      <c r="N2670" s="17" t="s">
        <v>126</v>
      </c>
    </row>
    <row r="2671" spans="1:14" ht="14.25" customHeight="1">
      <c r="A2671" s="17">
        <v>12670</v>
      </c>
      <c r="B2671" s="18">
        <v>46022</v>
      </c>
      <c r="C2671" s="17" t="s">
        <v>39</v>
      </c>
      <c r="D2671" s="17" t="s">
        <v>111</v>
      </c>
      <c r="E2671" s="17" t="s">
        <v>168</v>
      </c>
      <c r="F2671" s="17" t="s">
        <v>166</v>
      </c>
      <c r="G2671" s="17">
        <v>8</v>
      </c>
      <c r="H2671" s="17">
        <v>57056</v>
      </c>
      <c r="I2671" s="17">
        <v>456448</v>
      </c>
      <c r="J2671" s="17">
        <v>4434</v>
      </c>
      <c r="K2671" s="17">
        <v>452014</v>
      </c>
      <c r="L2671" s="17">
        <v>65951.195619999999</v>
      </c>
      <c r="M2671" s="17">
        <v>2025</v>
      </c>
      <c r="N2671" s="17" t="s">
        <v>169</v>
      </c>
    </row>
    <row r="2672" spans="1:14" ht="14.25" customHeight="1">
      <c r="A2672" s="17">
        <v>12671</v>
      </c>
      <c r="B2672" s="18">
        <v>45357</v>
      </c>
      <c r="C2672" s="17" t="s">
        <v>45</v>
      </c>
      <c r="D2672" s="17" t="s">
        <v>170</v>
      </c>
      <c r="E2672" s="17" t="s">
        <v>168</v>
      </c>
      <c r="F2672" s="17" t="s">
        <v>164</v>
      </c>
      <c r="G2672" s="17">
        <v>7</v>
      </c>
      <c r="H2672" s="17">
        <v>13505</v>
      </c>
      <c r="I2672" s="17">
        <v>94535</v>
      </c>
      <c r="J2672" s="17">
        <v>4151</v>
      </c>
      <c r="K2672" s="17">
        <v>90384</v>
      </c>
      <c r="L2672" s="17">
        <v>22438.70622</v>
      </c>
      <c r="M2672" s="17">
        <v>2024</v>
      </c>
      <c r="N2672" s="17" t="s">
        <v>112</v>
      </c>
    </row>
    <row r="2673" spans="1:14" ht="14.25" customHeight="1">
      <c r="A2673" s="17">
        <v>12672</v>
      </c>
      <c r="B2673" s="18">
        <v>45403</v>
      </c>
      <c r="C2673" s="17" t="s">
        <v>45</v>
      </c>
      <c r="D2673" s="17" t="s">
        <v>86</v>
      </c>
      <c r="E2673" s="17" t="s">
        <v>168</v>
      </c>
      <c r="F2673" s="17" t="s">
        <v>164</v>
      </c>
      <c r="G2673" s="17">
        <v>7</v>
      </c>
      <c r="H2673" s="17">
        <v>25498</v>
      </c>
      <c r="I2673" s="17">
        <v>178486</v>
      </c>
      <c r="J2673" s="17">
        <v>3833</v>
      </c>
      <c r="K2673" s="17">
        <v>174653</v>
      </c>
      <c r="L2673" s="17">
        <v>40462.069439999999</v>
      </c>
      <c r="M2673" s="17">
        <v>2024</v>
      </c>
      <c r="N2673" s="17" t="s">
        <v>114</v>
      </c>
    </row>
    <row r="2674" spans="1:14" ht="14.25" customHeight="1">
      <c r="A2674" s="17">
        <v>12673</v>
      </c>
      <c r="B2674" s="18">
        <v>45304</v>
      </c>
      <c r="C2674" s="17" t="s">
        <v>58</v>
      </c>
      <c r="D2674" s="17" t="s">
        <v>170</v>
      </c>
      <c r="E2674" s="17" t="s">
        <v>168</v>
      </c>
      <c r="F2674" s="17" t="s">
        <v>166</v>
      </c>
      <c r="G2674" s="17">
        <v>9</v>
      </c>
      <c r="H2674" s="17">
        <v>21505</v>
      </c>
      <c r="I2674" s="17">
        <v>193545</v>
      </c>
      <c r="J2674" s="17">
        <v>1305</v>
      </c>
      <c r="K2674" s="17">
        <v>192240</v>
      </c>
      <c r="L2674" s="17">
        <v>39190.524770000004</v>
      </c>
      <c r="M2674" s="17">
        <v>2024</v>
      </c>
      <c r="N2674" s="17" t="s">
        <v>171</v>
      </c>
    </row>
    <row r="2675" spans="1:14" ht="14.25" customHeight="1">
      <c r="A2675" s="17">
        <v>12674</v>
      </c>
      <c r="B2675" s="18">
        <v>45684</v>
      </c>
      <c r="C2675" s="17" t="s">
        <v>58</v>
      </c>
      <c r="D2675" s="17" t="s">
        <v>89</v>
      </c>
      <c r="E2675" s="17" t="s">
        <v>162</v>
      </c>
      <c r="F2675" s="17" t="s">
        <v>166</v>
      </c>
      <c r="G2675" s="17">
        <v>8</v>
      </c>
      <c r="H2675" s="17">
        <v>67518</v>
      </c>
      <c r="I2675" s="17">
        <v>540144</v>
      </c>
      <c r="J2675" s="17">
        <v>716</v>
      </c>
      <c r="K2675" s="17">
        <v>539428</v>
      </c>
      <c r="L2675" s="17">
        <v>126356.3346</v>
      </c>
      <c r="M2675" s="17">
        <v>2025</v>
      </c>
      <c r="N2675" s="17" t="s">
        <v>171</v>
      </c>
    </row>
    <row r="2676" spans="1:14" ht="14.25" customHeight="1">
      <c r="A2676" s="17">
        <v>12675</v>
      </c>
      <c r="B2676" s="18">
        <v>45791</v>
      </c>
      <c r="C2676" s="17" t="s">
        <v>50</v>
      </c>
      <c r="D2676" s="17" t="s">
        <v>170</v>
      </c>
      <c r="E2676" s="17" t="s">
        <v>168</v>
      </c>
      <c r="F2676" s="17" t="s">
        <v>166</v>
      </c>
      <c r="G2676" s="17">
        <v>2</v>
      </c>
      <c r="H2676" s="17">
        <v>11603</v>
      </c>
      <c r="I2676" s="17">
        <v>23206</v>
      </c>
      <c r="J2676" s="17">
        <v>3655</v>
      </c>
      <c r="K2676" s="17">
        <v>19551</v>
      </c>
      <c r="L2676" s="17">
        <v>3953.6654100000001</v>
      </c>
      <c r="M2676" s="17">
        <v>2025</v>
      </c>
      <c r="N2676" s="17" t="s">
        <v>117</v>
      </c>
    </row>
    <row r="2677" spans="1:14" ht="14.25" customHeight="1">
      <c r="A2677" s="17">
        <v>12676</v>
      </c>
      <c r="B2677" s="18">
        <v>45889</v>
      </c>
      <c r="C2677" s="17" t="s">
        <v>39</v>
      </c>
      <c r="D2677" s="17" t="s">
        <v>86</v>
      </c>
      <c r="E2677" s="17" t="s">
        <v>168</v>
      </c>
      <c r="F2677" s="17" t="s">
        <v>172</v>
      </c>
      <c r="G2677" s="17">
        <v>2</v>
      </c>
      <c r="H2677" s="17">
        <v>29744</v>
      </c>
      <c r="I2677" s="17">
        <v>59488</v>
      </c>
      <c r="J2677" s="17">
        <v>2991</v>
      </c>
      <c r="K2677" s="17">
        <v>56497</v>
      </c>
      <c r="L2677" s="17">
        <v>9381.9240100000006</v>
      </c>
      <c r="M2677" s="17">
        <v>2025</v>
      </c>
      <c r="N2677" s="17" t="s">
        <v>126</v>
      </c>
    </row>
    <row r="2678" spans="1:14" ht="14.25" customHeight="1">
      <c r="A2678" s="17">
        <v>12677</v>
      </c>
      <c r="B2678" s="18">
        <v>45525</v>
      </c>
      <c r="C2678" s="17" t="s">
        <v>45</v>
      </c>
      <c r="D2678" s="17" t="s">
        <v>111</v>
      </c>
      <c r="E2678" s="17" t="s">
        <v>168</v>
      </c>
      <c r="F2678" s="17" t="s">
        <v>166</v>
      </c>
      <c r="G2678" s="17">
        <v>7</v>
      </c>
      <c r="H2678" s="17">
        <v>74218</v>
      </c>
      <c r="I2678" s="17">
        <v>519526</v>
      </c>
      <c r="J2678" s="17">
        <v>313</v>
      </c>
      <c r="K2678" s="17">
        <v>519213</v>
      </c>
      <c r="L2678" s="17">
        <v>125757.2482</v>
      </c>
      <c r="M2678" s="17">
        <v>2024</v>
      </c>
      <c r="N2678" s="17" t="s">
        <v>126</v>
      </c>
    </row>
    <row r="2679" spans="1:14" ht="14.25" customHeight="1">
      <c r="A2679" s="17">
        <v>12678</v>
      </c>
      <c r="B2679" s="18">
        <v>45893</v>
      </c>
      <c r="C2679" s="17" t="s">
        <v>39</v>
      </c>
      <c r="D2679" s="17" t="s">
        <v>83</v>
      </c>
      <c r="E2679" s="17" t="s">
        <v>162</v>
      </c>
      <c r="F2679" s="17" t="s">
        <v>163</v>
      </c>
      <c r="G2679" s="17">
        <v>3</v>
      </c>
      <c r="H2679" s="17">
        <v>18460</v>
      </c>
      <c r="I2679" s="17">
        <v>55380</v>
      </c>
      <c r="J2679" s="17">
        <v>2280</v>
      </c>
      <c r="K2679" s="17">
        <v>53100</v>
      </c>
      <c r="L2679" s="17">
        <v>12982.267750000001</v>
      </c>
      <c r="M2679" s="17">
        <v>2025</v>
      </c>
      <c r="N2679" s="17" t="s">
        <v>126</v>
      </c>
    </row>
    <row r="2680" spans="1:14" ht="14.25" customHeight="1">
      <c r="A2680" s="17">
        <v>12679</v>
      </c>
      <c r="B2680" s="18">
        <v>45605</v>
      </c>
      <c r="C2680" s="17" t="s">
        <v>167</v>
      </c>
      <c r="D2680" s="17" t="s">
        <v>170</v>
      </c>
      <c r="E2680" s="17" t="s">
        <v>162</v>
      </c>
      <c r="F2680" s="17" t="s">
        <v>172</v>
      </c>
      <c r="G2680" s="17">
        <v>1</v>
      </c>
      <c r="H2680" s="17">
        <v>58273</v>
      </c>
      <c r="I2680" s="17">
        <v>58273</v>
      </c>
      <c r="J2680" s="17">
        <v>2622</v>
      </c>
      <c r="K2680" s="17">
        <v>55651</v>
      </c>
      <c r="L2680" s="17">
        <v>8187.7237510000004</v>
      </c>
      <c r="M2680" s="17">
        <v>2024</v>
      </c>
      <c r="N2680" s="17" t="s">
        <v>173</v>
      </c>
    </row>
    <row r="2681" spans="1:14" ht="14.25" customHeight="1">
      <c r="A2681" s="17">
        <v>12680</v>
      </c>
      <c r="B2681" s="18">
        <v>45857</v>
      </c>
      <c r="C2681" s="17" t="s">
        <v>45</v>
      </c>
      <c r="D2681" s="17" t="s">
        <v>83</v>
      </c>
      <c r="E2681" s="17" t="s">
        <v>168</v>
      </c>
      <c r="F2681" s="17" t="s">
        <v>166</v>
      </c>
      <c r="G2681" s="17">
        <v>9</v>
      </c>
      <c r="H2681" s="17">
        <v>33544</v>
      </c>
      <c r="I2681" s="17">
        <v>301896</v>
      </c>
      <c r="J2681" s="17">
        <v>887</v>
      </c>
      <c r="K2681" s="17">
        <v>301009</v>
      </c>
      <c r="L2681" s="17">
        <v>46102.327790000003</v>
      </c>
      <c r="M2681" s="17">
        <v>2025</v>
      </c>
      <c r="N2681" s="17" t="s">
        <v>123</v>
      </c>
    </row>
    <row r="2682" spans="1:14" ht="14.25" customHeight="1">
      <c r="A2682" s="17">
        <v>12681</v>
      </c>
      <c r="B2682" s="18">
        <v>45303</v>
      </c>
      <c r="C2682" s="17" t="s">
        <v>39</v>
      </c>
      <c r="D2682" s="17" t="s">
        <v>170</v>
      </c>
      <c r="E2682" s="17" t="s">
        <v>162</v>
      </c>
      <c r="F2682" s="17" t="s">
        <v>163</v>
      </c>
      <c r="G2682" s="17">
        <v>3</v>
      </c>
      <c r="H2682" s="17">
        <v>11864</v>
      </c>
      <c r="I2682" s="17">
        <v>35592</v>
      </c>
      <c r="J2682" s="17">
        <v>4342</v>
      </c>
      <c r="K2682" s="17">
        <v>31250</v>
      </c>
      <c r="L2682" s="17">
        <v>4919.002066</v>
      </c>
      <c r="M2682" s="17">
        <v>2024</v>
      </c>
      <c r="N2682" s="17" t="s">
        <v>171</v>
      </c>
    </row>
    <row r="2683" spans="1:14" ht="14.25" customHeight="1">
      <c r="A2683" s="17">
        <v>12682</v>
      </c>
      <c r="B2683" s="18">
        <v>45500</v>
      </c>
      <c r="C2683" s="17" t="s">
        <v>50</v>
      </c>
      <c r="D2683" s="17" t="s">
        <v>170</v>
      </c>
      <c r="E2683" s="17" t="s">
        <v>165</v>
      </c>
      <c r="F2683" s="17" t="s">
        <v>166</v>
      </c>
      <c r="G2683" s="17">
        <v>1</v>
      </c>
      <c r="H2683" s="17">
        <v>33593</v>
      </c>
      <c r="I2683" s="17">
        <v>33593</v>
      </c>
      <c r="J2683" s="17">
        <v>2489</v>
      </c>
      <c r="K2683" s="17">
        <v>31104</v>
      </c>
      <c r="L2683" s="17">
        <v>6946.2041520000002</v>
      </c>
      <c r="M2683" s="17">
        <v>2024</v>
      </c>
      <c r="N2683" s="17" t="s">
        <v>123</v>
      </c>
    </row>
    <row r="2684" spans="1:14" ht="14.25" customHeight="1">
      <c r="A2684" s="17">
        <v>12683</v>
      </c>
      <c r="B2684" s="18">
        <v>45305</v>
      </c>
      <c r="C2684" s="17" t="s">
        <v>50</v>
      </c>
      <c r="D2684" s="17" t="s">
        <v>111</v>
      </c>
      <c r="E2684" s="17" t="s">
        <v>168</v>
      </c>
      <c r="F2684" s="17" t="s">
        <v>166</v>
      </c>
      <c r="G2684" s="17">
        <v>6</v>
      </c>
      <c r="H2684" s="17">
        <v>49657</v>
      </c>
      <c r="I2684" s="17">
        <v>297942</v>
      </c>
      <c r="J2684" s="17">
        <v>1922</v>
      </c>
      <c r="K2684" s="17">
        <v>296020</v>
      </c>
      <c r="L2684" s="17">
        <v>64731.240330000001</v>
      </c>
      <c r="M2684" s="17">
        <v>2024</v>
      </c>
      <c r="N2684" s="17" t="s">
        <v>171</v>
      </c>
    </row>
    <row r="2685" spans="1:14" ht="14.25" customHeight="1">
      <c r="A2685" s="17">
        <v>12684</v>
      </c>
      <c r="B2685" s="18">
        <v>45924</v>
      </c>
      <c r="C2685" s="17" t="s">
        <v>45</v>
      </c>
      <c r="D2685" s="17" t="s">
        <v>89</v>
      </c>
      <c r="E2685" s="17" t="s">
        <v>162</v>
      </c>
      <c r="F2685" s="17" t="s">
        <v>172</v>
      </c>
      <c r="G2685" s="17">
        <v>4</v>
      </c>
      <c r="H2685" s="17">
        <v>6729</v>
      </c>
      <c r="I2685" s="17">
        <v>26916</v>
      </c>
      <c r="J2685" s="17">
        <v>4029</v>
      </c>
      <c r="K2685" s="17">
        <v>22887</v>
      </c>
      <c r="L2685" s="17">
        <v>5663.7833099999998</v>
      </c>
      <c r="M2685" s="17">
        <v>2025</v>
      </c>
      <c r="N2685" s="17" t="s">
        <v>129</v>
      </c>
    </row>
    <row r="2686" spans="1:14" ht="14.25" customHeight="1">
      <c r="A2686" s="17">
        <v>12685</v>
      </c>
      <c r="B2686" s="18">
        <v>45709</v>
      </c>
      <c r="C2686" s="17" t="s">
        <v>167</v>
      </c>
      <c r="D2686" s="17" t="s">
        <v>86</v>
      </c>
      <c r="E2686" s="17" t="s">
        <v>168</v>
      </c>
      <c r="F2686" s="17" t="s">
        <v>163</v>
      </c>
      <c r="G2686" s="17">
        <v>1</v>
      </c>
      <c r="H2686" s="17">
        <v>49515</v>
      </c>
      <c r="I2686" s="17">
        <v>49515</v>
      </c>
      <c r="J2686" s="17">
        <v>3063</v>
      </c>
      <c r="K2686" s="17">
        <v>46452</v>
      </c>
      <c r="L2686" s="17">
        <v>7886.7158589999999</v>
      </c>
      <c r="M2686" s="17">
        <v>2025</v>
      </c>
      <c r="N2686" s="17" t="s">
        <v>175</v>
      </c>
    </row>
    <row r="2687" spans="1:14" ht="14.25" customHeight="1">
      <c r="A2687" s="17">
        <v>12686</v>
      </c>
      <c r="B2687" s="18">
        <v>45728</v>
      </c>
      <c r="C2687" s="17" t="s">
        <v>50</v>
      </c>
      <c r="D2687" s="17" t="s">
        <v>86</v>
      </c>
      <c r="E2687" s="17" t="s">
        <v>168</v>
      </c>
      <c r="F2687" s="17" t="s">
        <v>164</v>
      </c>
      <c r="G2687" s="17">
        <v>4</v>
      </c>
      <c r="H2687" s="17">
        <v>59281</v>
      </c>
      <c r="I2687" s="17">
        <v>237124</v>
      </c>
      <c r="J2687" s="17">
        <v>160</v>
      </c>
      <c r="K2687" s="17">
        <v>236964</v>
      </c>
      <c r="L2687" s="17">
        <v>49884.491650000004</v>
      </c>
      <c r="M2687" s="17">
        <v>2025</v>
      </c>
      <c r="N2687" s="17" t="s">
        <v>112</v>
      </c>
    </row>
    <row r="2688" spans="1:14" ht="14.25" customHeight="1">
      <c r="A2688" s="17">
        <v>12687</v>
      </c>
      <c r="B2688" s="18">
        <v>45668</v>
      </c>
      <c r="C2688" s="17" t="s">
        <v>50</v>
      </c>
      <c r="D2688" s="17" t="s">
        <v>86</v>
      </c>
      <c r="E2688" s="17" t="s">
        <v>162</v>
      </c>
      <c r="F2688" s="17" t="s">
        <v>166</v>
      </c>
      <c r="G2688" s="17">
        <v>8</v>
      </c>
      <c r="H2688" s="17">
        <v>39936</v>
      </c>
      <c r="I2688" s="17">
        <v>319488</v>
      </c>
      <c r="J2688" s="17">
        <v>2187</v>
      </c>
      <c r="K2688" s="17">
        <v>317301</v>
      </c>
      <c r="L2688" s="17">
        <v>72505.839269999997</v>
      </c>
      <c r="M2688" s="17">
        <v>2025</v>
      </c>
      <c r="N2688" s="17" t="s">
        <v>171</v>
      </c>
    </row>
    <row r="2689" spans="1:14" ht="14.25" customHeight="1">
      <c r="A2689" s="17">
        <v>12688</v>
      </c>
      <c r="B2689" s="18">
        <v>45311</v>
      </c>
      <c r="C2689" s="17" t="s">
        <v>167</v>
      </c>
      <c r="D2689" s="17" t="s">
        <v>89</v>
      </c>
      <c r="E2689" s="17" t="s">
        <v>165</v>
      </c>
      <c r="F2689" s="17" t="s">
        <v>172</v>
      </c>
      <c r="G2689" s="17">
        <v>7</v>
      </c>
      <c r="H2689" s="17">
        <v>17413</v>
      </c>
      <c r="I2689" s="17">
        <v>121891</v>
      </c>
      <c r="J2689" s="17">
        <v>2351</v>
      </c>
      <c r="K2689" s="17">
        <v>119540</v>
      </c>
      <c r="L2689" s="17">
        <v>15920.88299</v>
      </c>
      <c r="M2689" s="17">
        <v>2024</v>
      </c>
      <c r="N2689" s="17" t="s">
        <v>171</v>
      </c>
    </row>
    <row r="2690" spans="1:14" ht="14.25" customHeight="1">
      <c r="A2690" s="17">
        <v>12689</v>
      </c>
      <c r="B2690" s="18">
        <v>45878</v>
      </c>
      <c r="C2690" s="17" t="s">
        <v>39</v>
      </c>
      <c r="D2690" s="17" t="s">
        <v>83</v>
      </c>
      <c r="E2690" s="17" t="s">
        <v>168</v>
      </c>
      <c r="F2690" s="17" t="s">
        <v>163</v>
      </c>
      <c r="G2690" s="17">
        <v>1</v>
      </c>
      <c r="H2690" s="17">
        <v>52652</v>
      </c>
      <c r="I2690" s="17">
        <v>52652</v>
      </c>
      <c r="J2690" s="17">
        <v>1483</v>
      </c>
      <c r="K2690" s="17">
        <v>51169</v>
      </c>
      <c r="L2690" s="17">
        <v>9879.8801010000006</v>
      </c>
      <c r="M2690" s="17">
        <v>2025</v>
      </c>
      <c r="N2690" s="17" t="s">
        <v>126</v>
      </c>
    </row>
    <row r="2691" spans="1:14" ht="14.25" customHeight="1">
      <c r="A2691" s="17">
        <v>12690</v>
      </c>
      <c r="B2691" s="18">
        <v>45361</v>
      </c>
      <c r="C2691" s="17" t="s">
        <v>50</v>
      </c>
      <c r="D2691" s="17" t="s">
        <v>86</v>
      </c>
      <c r="E2691" s="17" t="s">
        <v>165</v>
      </c>
      <c r="F2691" s="17" t="s">
        <v>166</v>
      </c>
      <c r="G2691" s="17">
        <v>9</v>
      </c>
      <c r="H2691" s="17">
        <v>34764</v>
      </c>
      <c r="I2691" s="17">
        <v>312876</v>
      </c>
      <c r="J2691" s="17">
        <v>3892</v>
      </c>
      <c r="K2691" s="17">
        <v>308984</v>
      </c>
      <c r="L2691" s="17">
        <v>56283.336300000003</v>
      </c>
      <c r="M2691" s="17">
        <v>2024</v>
      </c>
      <c r="N2691" s="17" t="s">
        <v>112</v>
      </c>
    </row>
    <row r="2692" spans="1:14" ht="14.25" customHeight="1">
      <c r="A2692" s="17">
        <v>12691</v>
      </c>
      <c r="B2692" s="18">
        <v>45502</v>
      </c>
      <c r="C2692" s="17" t="s">
        <v>58</v>
      </c>
      <c r="D2692" s="17" t="s">
        <v>83</v>
      </c>
      <c r="E2692" s="17" t="s">
        <v>162</v>
      </c>
      <c r="F2692" s="17" t="s">
        <v>164</v>
      </c>
      <c r="G2692" s="17">
        <v>6</v>
      </c>
      <c r="H2692" s="17">
        <v>68784</v>
      </c>
      <c r="I2692" s="17">
        <v>412704</v>
      </c>
      <c r="J2692" s="17">
        <v>1737</v>
      </c>
      <c r="K2692" s="17">
        <v>410967</v>
      </c>
      <c r="L2692" s="17">
        <v>86888.307860000001</v>
      </c>
      <c r="M2692" s="17">
        <v>2024</v>
      </c>
      <c r="N2692" s="17" t="s">
        <v>123</v>
      </c>
    </row>
    <row r="2693" spans="1:14" ht="14.25" customHeight="1">
      <c r="A2693" s="17">
        <v>12692</v>
      </c>
      <c r="B2693" s="18">
        <v>45392</v>
      </c>
      <c r="C2693" s="17" t="s">
        <v>50</v>
      </c>
      <c r="D2693" s="17" t="s">
        <v>89</v>
      </c>
      <c r="E2693" s="17" t="s">
        <v>168</v>
      </c>
      <c r="F2693" s="17" t="s">
        <v>163</v>
      </c>
      <c r="G2693" s="17">
        <v>2</v>
      </c>
      <c r="H2693" s="17">
        <v>50741</v>
      </c>
      <c r="I2693" s="17">
        <v>101482</v>
      </c>
      <c r="J2693" s="17">
        <v>4220</v>
      </c>
      <c r="K2693" s="17">
        <v>97262</v>
      </c>
      <c r="L2693" s="17">
        <v>19872.00747</v>
      </c>
      <c r="M2693" s="17">
        <v>2024</v>
      </c>
      <c r="N2693" s="17" t="s">
        <v>114</v>
      </c>
    </row>
    <row r="2694" spans="1:14" ht="14.25" customHeight="1">
      <c r="A2694" s="17">
        <v>12693</v>
      </c>
      <c r="B2694" s="18">
        <v>45989</v>
      </c>
      <c r="C2694" s="17" t="s">
        <v>39</v>
      </c>
      <c r="D2694" s="17" t="s">
        <v>89</v>
      </c>
      <c r="E2694" s="17" t="s">
        <v>162</v>
      </c>
      <c r="F2694" s="17" t="s">
        <v>163</v>
      </c>
      <c r="G2694" s="17">
        <v>3</v>
      </c>
      <c r="H2694" s="17">
        <v>78204</v>
      </c>
      <c r="I2694" s="17">
        <v>234612</v>
      </c>
      <c r="J2694" s="17">
        <v>1908</v>
      </c>
      <c r="K2694" s="17">
        <v>232704</v>
      </c>
      <c r="L2694" s="17">
        <v>51641.413760000003</v>
      </c>
      <c r="M2694" s="17">
        <v>2025</v>
      </c>
      <c r="N2694" s="17" t="s">
        <v>173</v>
      </c>
    </row>
    <row r="2695" spans="1:14" ht="14.25" customHeight="1">
      <c r="A2695" s="17">
        <v>12694</v>
      </c>
      <c r="B2695" s="18">
        <v>45423</v>
      </c>
      <c r="C2695" s="17" t="s">
        <v>39</v>
      </c>
      <c r="D2695" s="17" t="s">
        <v>111</v>
      </c>
      <c r="E2695" s="17" t="s">
        <v>162</v>
      </c>
      <c r="F2695" s="17" t="s">
        <v>172</v>
      </c>
      <c r="G2695" s="17">
        <v>7</v>
      </c>
      <c r="H2695" s="17">
        <v>64773</v>
      </c>
      <c r="I2695" s="17">
        <v>453411</v>
      </c>
      <c r="J2695" s="17">
        <v>1370</v>
      </c>
      <c r="K2695" s="17">
        <v>452041</v>
      </c>
      <c r="L2695" s="17">
        <v>66301.657449999999</v>
      </c>
      <c r="M2695" s="17">
        <v>2024</v>
      </c>
      <c r="N2695" s="17" t="s">
        <v>117</v>
      </c>
    </row>
    <row r="2696" spans="1:14" ht="14.25" customHeight="1">
      <c r="A2696" s="17">
        <v>12695</v>
      </c>
      <c r="B2696" s="18">
        <v>45914</v>
      </c>
      <c r="C2696" s="17" t="s">
        <v>45</v>
      </c>
      <c r="D2696" s="17" t="s">
        <v>86</v>
      </c>
      <c r="E2696" s="17" t="s">
        <v>162</v>
      </c>
      <c r="F2696" s="17" t="s">
        <v>166</v>
      </c>
      <c r="G2696" s="17">
        <v>3</v>
      </c>
      <c r="H2696" s="17">
        <v>79432</v>
      </c>
      <c r="I2696" s="17">
        <v>238296</v>
      </c>
      <c r="J2696" s="17">
        <v>1977</v>
      </c>
      <c r="K2696" s="17">
        <v>236319</v>
      </c>
      <c r="L2696" s="17">
        <v>31301.268919999999</v>
      </c>
      <c r="M2696" s="17">
        <v>2025</v>
      </c>
      <c r="N2696" s="17" t="s">
        <v>129</v>
      </c>
    </row>
    <row r="2697" spans="1:14" ht="14.25" customHeight="1">
      <c r="A2697" s="17">
        <v>12696</v>
      </c>
      <c r="B2697" s="18">
        <v>45672</v>
      </c>
      <c r="C2697" s="17" t="s">
        <v>58</v>
      </c>
      <c r="D2697" s="17" t="s">
        <v>111</v>
      </c>
      <c r="E2697" s="17" t="s">
        <v>162</v>
      </c>
      <c r="F2697" s="17" t="s">
        <v>166</v>
      </c>
      <c r="G2697" s="17">
        <v>3</v>
      </c>
      <c r="H2697" s="17">
        <v>24283</v>
      </c>
      <c r="I2697" s="17">
        <v>72849</v>
      </c>
      <c r="J2697" s="17">
        <v>3395</v>
      </c>
      <c r="K2697" s="17">
        <v>69454</v>
      </c>
      <c r="L2697" s="17">
        <v>15334.0409</v>
      </c>
      <c r="M2697" s="17">
        <v>2025</v>
      </c>
      <c r="N2697" s="17" t="s">
        <v>171</v>
      </c>
    </row>
    <row r="2698" spans="1:14" ht="14.25" customHeight="1">
      <c r="A2698" s="17">
        <v>12697</v>
      </c>
      <c r="B2698" s="18">
        <v>45423</v>
      </c>
      <c r="C2698" s="17" t="s">
        <v>39</v>
      </c>
      <c r="D2698" s="17" t="s">
        <v>86</v>
      </c>
      <c r="E2698" s="17" t="s">
        <v>168</v>
      </c>
      <c r="F2698" s="17" t="s">
        <v>163</v>
      </c>
      <c r="G2698" s="17">
        <v>5</v>
      </c>
      <c r="H2698" s="17">
        <v>30282</v>
      </c>
      <c r="I2698" s="17">
        <v>151410</v>
      </c>
      <c r="J2698" s="17">
        <v>2454</v>
      </c>
      <c r="K2698" s="17">
        <v>148956</v>
      </c>
      <c r="L2698" s="17">
        <v>22951.812959999999</v>
      </c>
      <c r="M2698" s="17">
        <v>2024</v>
      </c>
      <c r="N2698" s="17" t="s">
        <v>117</v>
      </c>
    </row>
    <row r="2699" spans="1:14" ht="14.25" customHeight="1">
      <c r="A2699" s="17">
        <v>12698</v>
      </c>
      <c r="B2699" s="18">
        <v>45311</v>
      </c>
      <c r="C2699" s="17" t="s">
        <v>167</v>
      </c>
      <c r="D2699" s="17" t="s">
        <v>89</v>
      </c>
      <c r="E2699" s="17" t="s">
        <v>165</v>
      </c>
      <c r="F2699" s="17" t="s">
        <v>166</v>
      </c>
      <c r="G2699" s="17">
        <v>3</v>
      </c>
      <c r="H2699" s="17">
        <v>69560</v>
      </c>
      <c r="I2699" s="17">
        <v>208680</v>
      </c>
      <c r="J2699" s="17">
        <v>4259</v>
      </c>
      <c r="K2699" s="17">
        <v>204421</v>
      </c>
      <c r="L2699" s="17">
        <v>29260.011139999999</v>
      </c>
      <c r="M2699" s="17">
        <v>2024</v>
      </c>
      <c r="N2699" s="17" t="s">
        <v>171</v>
      </c>
    </row>
    <row r="2700" spans="1:14" ht="14.25" customHeight="1">
      <c r="A2700" s="17">
        <v>12699</v>
      </c>
      <c r="B2700" s="18">
        <v>45827</v>
      </c>
      <c r="C2700" s="17" t="s">
        <v>58</v>
      </c>
      <c r="D2700" s="17" t="s">
        <v>89</v>
      </c>
      <c r="E2700" s="17" t="s">
        <v>165</v>
      </c>
      <c r="F2700" s="17" t="s">
        <v>163</v>
      </c>
      <c r="G2700" s="17">
        <v>3</v>
      </c>
      <c r="H2700" s="17">
        <v>78210</v>
      </c>
      <c r="I2700" s="17">
        <v>234630</v>
      </c>
      <c r="J2700" s="17">
        <v>4957</v>
      </c>
      <c r="K2700" s="17">
        <v>229673</v>
      </c>
      <c r="L2700" s="17">
        <v>34571.018179999999</v>
      </c>
      <c r="M2700" s="17">
        <v>2025</v>
      </c>
      <c r="N2700" s="17" t="s">
        <v>120</v>
      </c>
    </row>
    <row r="2701" spans="1:14" ht="14.25" customHeight="1">
      <c r="A2701" s="17">
        <v>12700</v>
      </c>
      <c r="B2701" s="18">
        <v>45518</v>
      </c>
      <c r="C2701" s="17" t="s">
        <v>58</v>
      </c>
      <c r="D2701" s="17" t="s">
        <v>170</v>
      </c>
      <c r="E2701" s="17" t="s">
        <v>168</v>
      </c>
      <c r="F2701" s="17" t="s">
        <v>164</v>
      </c>
      <c r="G2701" s="17">
        <v>5</v>
      </c>
      <c r="H2701" s="17">
        <v>57984</v>
      </c>
      <c r="I2701" s="17">
        <v>289920</v>
      </c>
      <c r="J2701" s="17">
        <v>2287</v>
      </c>
      <c r="K2701" s="17">
        <v>287633</v>
      </c>
      <c r="L2701" s="17">
        <v>31626.139630000001</v>
      </c>
      <c r="M2701" s="17">
        <v>2024</v>
      </c>
      <c r="N2701" s="17" t="s">
        <v>126</v>
      </c>
    </row>
    <row r="2702" spans="1:14" ht="14.25" customHeight="1">
      <c r="A2702" s="17">
        <v>12701</v>
      </c>
      <c r="B2702" s="18">
        <v>45445</v>
      </c>
      <c r="C2702" s="17" t="s">
        <v>167</v>
      </c>
      <c r="D2702" s="17" t="s">
        <v>170</v>
      </c>
      <c r="E2702" s="17" t="s">
        <v>168</v>
      </c>
      <c r="F2702" s="17" t="s">
        <v>172</v>
      </c>
      <c r="G2702" s="17">
        <v>5</v>
      </c>
      <c r="H2702" s="17">
        <v>23392</v>
      </c>
      <c r="I2702" s="17">
        <v>116960</v>
      </c>
      <c r="J2702" s="17">
        <v>1236</v>
      </c>
      <c r="K2702" s="17">
        <v>115724</v>
      </c>
      <c r="L2702" s="17">
        <v>24993.103449999999</v>
      </c>
      <c r="M2702" s="17">
        <v>2024</v>
      </c>
      <c r="N2702" s="17" t="s">
        <v>120</v>
      </c>
    </row>
    <row r="2703" spans="1:14" ht="14.25" customHeight="1">
      <c r="A2703" s="17">
        <v>12702</v>
      </c>
      <c r="B2703" s="18">
        <v>45760</v>
      </c>
      <c r="C2703" s="17" t="s">
        <v>50</v>
      </c>
      <c r="D2703" s="17" t="s">
        <v>89</v>
      </c>
      <c r="E2703" s="17" t="s">
        <v>165</v>
      </c>
      <c r="F2703" s="17" t="s">
        <v>166</v>
      </c>
      <c r="G2703" s="17">
        <v>9</v>
      </c>
      <c r="H2703" s="17">
        <v>9721</v>
      </c>
      <c r="I2703" s="17">
        <v>87489</v>
      </c>
      <c r="J2703" s="17">
        <v>3174</v>
      </c>
      <c r="K2703" s="17">
        <v>84315</v>
      </c>
      <c r="L2703" s="17">
        <v>17476.30299</v>
      </c>
      <c r="M2703" s="17">
        <v>2025</v>
      </c>
      <c r="N2703" s="17" t="s">
        <v>114</v>
      </c>
    </row>
    <row r="2704" spans="1:14" ht="14.25" customHeight="1">
      <c r="A2704" s="17">
        <v>12703</v>
      </c>
      <c r="B2704" s="18">
        <v>45696</v>
      </c>
      <c r="C2704" s="17" t="s">
        <v>167</v>
      </c>
      <c r="D2704" s="17" t="s">
        <v>89</v>
      </c>
      <c r="E2704" s="17" t="s">
        <v>165</v>
      </c>
      <c r="F2704" s="17" t="s">
        <v>166</v>
      </c>
      <c r="G2704" s="17">
        <v>1</v>
      </c>
      <c r="H2704" s="17">
        <v>34197</v>
      </c>
      <c r="I2704" s="17">
        <v>34197</v>
      </c>
      <c r="J2704" s="17">
        <v>1206</v>
      </c>
      <c r="K2704" s="17">
        <v>32991</v>
      </c>
      <c r="L2704" s="17">
        <v>6034.1815120000001</v>
      </c>
      <c r="M2704" s="17">
        <v>2025</v>
      </c>
      <c r="N2704" s="17" t="s">
        <v>175</v>
      </c>
    </row>
    <row r="2705" spans="1:14" ht="14.25" customHeight="1">
      <c r="A2705" s="17">
        <v>12704</v>
      </c>
      <c r="B2705" s="18">
        <v>45493</v>
      </c>
      <c r="C2705" s="17" t="s">
        <v>167</v>
      </c>
      <c r="D2705" s="17" t="s">
        <v>83</v>
      </c>
      <c r="E2705" s="17" t="s">
        <v>168</v>
      </c>
      <c r="F2705" s="17" t="s">
        <v>172</v>
      </c>
      <c r="G2705" s="17">
        <v>1</v>
      </c>
      <c r="H2705" s="17">
        <v>31173</v>
      </c>
      <c r="I2705" s="17">
        <v>31173</v>
      </c>
      <c r="J2705" s="17">
        <v>504</v>
      </c>
      <c r="K2705" s="17">
        <v>30669</v>
      </c>
      <c r="L2705" s="17">
        <v>6361.1415370000004</v>
      </c>
      <c r="M2705" s="17">
        <v>2024</v>
      </c>
      <c r="N2705" s="17" t="s">
        <v>123</v>
      </c>
    </row>
    <row r="2706" spans="1:14" ht="14.25" customHeight="1">
      <c r="A2706" s="17">
        <v>12705</v>
      </c>
      <c r="B2706" s="18">
        <v>45329</v>
      </c>
      <c r="C2706" s="17" t="s">
        <v>50</v>
      </c>
      <c r="D2706" s="17" t="s">
        <v>83</v>
      </c>
      <c r="E2706" s="17" t="s">
        <v>162</v>
      </c>
      <c r="F2706" s="17" t="s">
        <v>164</v>
      </c>
      <c r="G2706" s="17">
        <v>9</v>
      </c>
      <c r="H2706" s="17">
        <v>6066</v>
      </c>
      <c r="I2706" s="17">
        <v>54594</v>
      </c>
      <c r="J2706" s="17">
        <v>3767</v>
      </c>
      <c r="K2706" s="17">
        <v>50827</v>
      </c>
      <c r="L2706" s="17">
        <v>7927.4859200000001</v>
      </c>
      <c r="M2706" s="17">
        <v>2024</v>
      </c>
      <c r="N2706" s="17" t="s">
        <v>175</v>
      </c>
    </row>
    <row r="2707" spans="1:14" ht="14.25" customHeight="1">
      <c r="A2707" s="17">
        <v>12706</v>
      </c>
      <c r="B2707" s="18">
        <v>45479</v>
      </c>
      <c r="C2707" s="17" t="s">
        <v>50</v>
      </c>
      <c r="D2707" s="17" t="s">
        <v>111</v>
      </c>
      <c r="E2707" s="17" t="s">
        <v>168</v>
      </c>
      <c r="F2707" s="17" t="s">
        <v>164</v>
      </c>
      <c r="G2707" s="17">
        <v>5</v>
      </c>
      <c r="H2707" s="17">
        <v>64418</v>
      </c>
      <c r="I2707" s="17">
        <v>322090</v>
      </c>
      <c r="J2707" s="17">
        <v>4620</v>
      </c>
      <c r="K2707" s="17">
        <v>317470</v>
      </c>
      <c r="L2707" s="17">
        <v>45812.623090000001</v>
      </c>
      <c r="M2707" s="17">
        <v>2024</v>
      </c>
      <c r="N2707" s="17" t="s">
        <v>123</v>
      </c>
    </row>
    <row r="2708" spans="1:14" ht="14.25" customHeight="1">
      <c r="A2708" s="17">
        <v>12707</v>
      </c>
      <c r="B2708" s="18">
        <v>45348</v>
      </c>
      <c r="C2708" s="17" t="s">
        <v>50</v>
      </c>
      <c r="D2708" s="17" t="s">
        <v>170</v>
      </c>
      <c r="E2708" s="17" t="s">
        <v>165</v>
      </c>
      <c r="F2708" s="17" t="s">
        <v>164</v>
      </c>
      <c r="G2708" s="17">
        <v>4</v>
      </c>
      <c r="H2708" s="17">
        <v>72454</v>
      </c>
      <c r="I2708" s="17">
        <v>289816</v>
      </c>
      <c r="J2708" s="17">
        <v>1403</v>
      </c>
      <c r="K2708" s="17">
        <v>288413</v>
      </c>
      <c r="L2708" s="17">
        <v>66146.122289999999</v>
      </c>
      <c r="M2708" s="17">
        <v>2024</v>
      </c>
      <c r="N2708" s="17" t="s">
        <v>175</v>
      </c>
    </row>
    <row r="2709" spans="1:14" ht="14.25" customHeight="1">
      <c r="A2709" s="17">
        <v>12708</v>
      </c>
      <c r="B2709" s="18">
        <v>45311</v>
      </c>
      <c r="C2709" s="17" t="s">
        <v>50</v>
      </c>
      <c r="D2709" s="17" t="s">
        <v>170</v>
      </c>
      <c r="E2709" s="17" t="s">
        <v>162</v>
      </c>
      <c r="F2709" s="17" t="s">
        <v>164</v>
      </c>
      <c r="G2709" s="17">
        <v>2</v>
      </c>
      <c r="H2709" s="17">
        <v>79993</v>
      </c>
      <c r="I2709" s="17">
        <v>159986</v>
      </c>
      <c r="J2709" s="17">
        <v>1767</v>
      </c>
      <c r="K2709" s="17">
        <v>158219</v>
      </c>
      <c r="L2709" s="17">
        <v>25847.950949999999</v>
      </c>
      <c r="M2709" s="17">
        <v>2024</v>
      </c>
      <c r="N2709" s="17" t="s">
        <v>171</v>
      </c>
    </row>
    <row r="2710" spans="1:14" ht="14.25" customHeight="1">
      <c r="A2710" s="17">
        <v>12709</v>
      </c>
      <c r="B2710" s="18">
        <v>45564</v>
      </c>
      <c r="C2710" s="17" t="s">
        <v>50</v>
      </c>
      <c r="D2710" s="17" t="s">
        <v>89</v>
      </c>
      <c r="E2710" s="17" t="s">
        <v>165</v>
      </c>
      <c r="F2710" s="17" t="s">
        <v>164</v>
      </c>
      <c r="G2710" s="17">
        <v>9</v>
      </c>
      <c r="H2710" s="17">
        <v>19282</v>
      </c>
      <c r="I2710" s="17">
        <v>173538</v>
      </c>
      <c r="J2710" s="17">
        <v>3733</v>
      </c>
      <c r="K2710" s="17">
        <v>169805</v>
      </c>
      <c r="L2710" s="17">
        <v>21970.52995</v>
      </c>
      <c r="M2710" s="17">
        <v>2024</v>
      </c>
      <c r="N2710" s="17" t="s">
        <v>129</v>
      </c>
    </row>
    <row r="2711" spans="1:14" ht="14.25" customHeight="1">
      <c r="A2711" s="17">
        <v>12710</v>
      </c>
      <c r="B2711" s="18">
        <v>45410</v>
      </c>
      <c r="C2711" s="17" t="s">
        <v>167</v>
      </c>
      <c r="D2711" s="17" t="s">
        <v>89</v>
      </c>
      <c r="E2711" s="17" t="s">
        <v>162</v>
      </c>
      <c r="F2711" s="17" t="s">
        <v>163</v>
      </c>
      <c r="G2711" s="17">
        <v>6</v>
      </c>
      <c r="H2711" s="17">
        <v>29815</v>
      </c>
      <c r="I2711" s="17">
        <v>178890</v>
      </c>
      <c r="J2711" s="17">
        <v>700</v>
      </c>
      <c r="K2711" s="17">
        <v>178190</v>
      </c>
      <c r="L2711" s="17">
        <v>37839.820299999999</v>
      </c>
      <c r="M2711" s="17">
        <v>2024</v>
      </c>
      <c r="N2711" s="17" t="s">
        <v>114</v>
      </c>
    </row>
    <row r="2712" spans="1:14" ht="14.25" customHeight="1">
      <c r="A2712" s="17">
        <v>12711</v>
      </c>
      <c r="B2712" s="18">
        <v>45874</v>
      </c>
      <c r="C2712" s="17" t="s">
        <v>45</v>
      </c>
      <c r="D2712" s="17" t="s">
        <v>111</v>
      </c>
      <c r="E2712" s="17" t="s">
        <v>165</v>
      </c>
      <c r="F2712" s="17" t="s">
        <v>166</v>
      </c>
      <c r="G2712" s="17">
        <v>9</v>
      </c>
      <c r="H2712" s="17">
        <v>27594</v>
      </c>
      <c r="I2712" s="17">
        <v>248346</v>
      </c>
      <c r="J2712" s="17">
        <v>3204</v>
      </c>
      <c r="K2712" s="17">
        <v>245142</v>
      </c>
      <c r="L2712" s="17">
        <v>36864.644719999997</v>
      </c>
      <c r="M2712" s="17">
        <v>2025</v>
      </c>
      <c r="N2712" s="17" t="s">
        <v>126</v>
      </c>
    </row>
    <row r="2713" spans="1:14" ht="14.25" customHeight="1">
      <c r="A2713" s="17">
        <v>12712</v>
      </c>
      <c r="B2713" s="18">
        <v>45807</v>
      </c>
      <c r="C2713" s="17" t="s">
        <v>45</v>
      </c>
      <c r="D2713" s="17" t="s">
        <v>170</v>
      </c>
      <c r="E2713" s="17" t="s">
        <v>162</v>
      </c>
      <c r="F2713" s="17" t="s">
        <v>166</v>
      </c>
      <c r="G2713" s="17">
        <v>5</v>
      </c>
      <c r="H2713" s="17">
        <v>77984</v>
      </c>
      <c r="I2713" s="17">
        <v>389920</v>
      </c>
      <c r="J2713" s="17">
        <v>4145</v>
      </c>
      <c r="K2713" s="17">
        <v>385775</v>
      </c>
      <c r="L2713" s="17">
        <v>50836.54034</v>
      </c>
      <c r="M2713" s="17">
        <v>2025</v>
      </c>
      <c r="N2713" s="17" t="s">
        <v>117</v>
      </c>
    </row>
    <row r="2714" spans="1:14" ht="14.25" customHeight="1">
      <c r="A2714" s="17">
        <v>12713</v>
      </c>
      <c r="B2714" s="18">
        <v>45512</v>
      </c>
      <c r="C2714" s="17" t="s">
        <v>39</v>
      </c>
      <c r="D2714" s="17" t="s">
        <v>83</v>
      </c>
      <c r="E2714" s="17" t="s">
        <v>168</v>
      </c>
      <c r="F2714" s="17" t="s">
        <v>166</v>
      </c>
      <c r="G2714" s="17">
        <v>4</v>
      </c>
      <c r="H2714" s="17">
        <v>61511</v>
      </c>
      <c r="I2714" s="17">
        <v>246044</v>
      </c>
      <c r="J2714" s="17">
        <v>3005</v>
      </c>
      <c r="K2714" s="17">
        <v>243039</v>
      </c>
      <c r="L2714" s="17">
        <v>25296.019629999999</v>
      </c>
      <c r="M2714" s="17">
        <v>2024</v>
      </c>
      <c r="N2714" s="17" t="s">
        <v>126</v>
      </c>
    </row>
    <row r="2715" spans="1:14" ht="14.25" customHeight="1">
      <c r="A2715" s="17">
        <v>12714</v>
      </c>
      <c r="B2715" s="18">
        <v>45817</v>
      </c>
      <c r="C2715" s="17" t="s">
        <v>45</v>
      </c>
      <c r="D2715" s="17" t="s">
        <v>86</v>
      </c>
      <c r="E2715" s="17" t="s">
        <v>168</v>
      </c>
      <c r="F2715" s="17" t="s">
        <v>163</v>
      </c>
      <c r="G2715" s="17">
        <v>7</v>
      </c>
      <c r="H2715" s="17">
        <v>71678</v>
      </c>
      <c r="I2715" s="17">
        <v>501746</v>
      </c>
      <c r="J2715" s="17">
        <v>4790</v>
      </c>
      <c r="K2715" s="17">
        <v>496956</v>
      </c>
      <c r="L2715" s="17">
        <v>122047.5551</v>
      </c>
      <c r="M2715" s="17">
        <v>2025</v>
      </c>
      <c r="N2715" s="17" t="s">
        <v>120</v>
      </c>
    </row>
    <row r="2716" spans="1:14" ht="14.25" customHeight="1">
      <c r="A2716" s="17">
        <v>12715</v>
      </c>
      <c r="B2716" s="18">
        <v>45806</v>
      </c>
      <c r="C2716" s="17" t="s">
        <v>45</v>
      </c>
      <c r="D2716" s="17" t="s">
        <v>111</v>
      </c>
      <c r="E2716" s="17" t="s">
        <v>162</v>
      </c>
      <c r="F2716" s="17" t="s">
        <v>172</v>
      </c>
      <c r="G2716" s="17">
        <v>5</v>
      </c>
      <c r="H2716" s="17">
        <v>71951</v>
      </c>
      <c r="I2716" s="17">
        <v>359755</v>
      </c>
      <c r="J2716" s="17">
        <v>4121</v>
      </c>
      <c r="K2716" s="17">
        <v>355634</v>
      </c>
      <c r="L2716" s="17">
        <v>60490.998919999998</v>
      </c>
      <c r="M2716" s="17">
        <v>2025</v>
      </c>
      <c r="N2716" s="17" t="s">
        <v>117</v>
      </c>
    </row>
    <row r="2717" spans="1:14" ht="14.25" customHeight="1">
      <c r="A2717" s="17">
        <v>12716</v>
      </c>
      <c r="B2717" s="18">
        <v>46019</v>
      </c>
      <c r="C2717" s="17" t="s">
        <v>167</v>
      </c>
      <c r="D2717" s="17" t="s">
        <v>86</v>
      </c>
      <c r="E2717" s="17" t="s">
        <v>162</v>
      </c>
      <c r="F2717" s="17" t="s">
        <v>164</v>
      </c>
      <c r="G2717" s="17">
        <v>8</v>
      </c>
      <c r="H2717" s="17">
        <v>11374</v>
      </c>
      <c r="I2717" s="17">
        <v>90992</v>
      </c>
      <c r="J2717" s="17">
        <v>4082</v>
      </c>
      <c r="K2717" s="17">
        <v>86910</v>
      </c>
      <c r="L2717" s="17">
        <v>10799.756509999999</v>
      </c>
      <c r="M2717" s="17">
        <v>2025</v>
      </c>
      <c r="N2717" s="17" t="s">
        <v>169</v>
      </c>
    </row>
    <row r="2718" spans="1:14" ht="14.25" customHeight="1">
      <c r="A2718" s="17">
        <v>12717</v>
      </c>
      <c r="B2718" s="18">
        <v>45627</v>
      </c>
      <c r="C2718" s="17" t="s">
        <v>50</v>
      </c>
      <c r="D2718" s="17" t="s">
        <v>83</v>
      </c>
      <c r="E2718" s="17" t="s">
        <v>168</v>
      </c>
      <c r="F2718" s="17" t="s">
        <v>172</v>
      </c>
      <c r="G2718" s="17">
        <v>8</v>
      </c>
      <c r="H2718" s="17">
        <v>31974</v>
      </c>
      <c r="I2718" s="17">
        <v>255792</v>
      </c>
      <c r="J2718" s="17">
        <v>10</v>
      </c>
      <c r="K2718" s="17">
        <v>255782</v>
      </c>
      <c r="L2718" s="17">
        <v>54653.3681</v>
      </c>
      <c r="M2718" s="17">
        <v>2024</v>
      </c>
      <c r="N2718" s="17" t="s">
        <v>169</v>
      </c>
    </row>
    <row r="2719" spans="1:14" ht="14.25" customHeight="1">
      <c r="A2719" s="17">
        <v>12718</v>
      </c>
      <c r="B2719" s="18">
        <v>45989</v>
      </c>
      <c r="C2719" s="17" t="s">
        <v>50</v>
      </c>
      <c r="D2719" s="17" t="s">
        <v>83</v>
      </c>
      <c r="E2719" s="17" t="s">
        <v>168</v>
      </c>
      <c r="F2719" s="17" t="s">
        <v>164</v>
      </c>
      <c r="G2719" s="17">
        <v>2</v>
      </c>
      <c r="H2719" s="17">
        <v>74178</v>
      </c>
      <c r="I2719" s="17">
        <v>148356</v>
      </c>
      <c r="J2719" s="17">
        <v>4903</v>
      </c>
      <c r="K2719" s="17">
        <v>143453</v>
      </c>
      <c r="L2719" s="17">
        <v>33445.73259</v>
      </c>
      <c r="M2719" s="17">
        <v>2025</v>
      </c>
      <c r="N2719" s="17" t="s">
        <v>173</v>
      </c>
    </row>
    <row r="2720" spans="1:14" ht="14.25" customHeight="1">
      <c r="A2720" s="17">
        <v>12719</v>
      </c>
      <c r="B2720" s="18">
        <v>45346</v>
      </c>
      <c r="C2720" s="17" t="s">
        <v>167</v>
      </c>
      <c r="D2720" s="17" t="s">
        <v>86</v>
      </c>
      <c r="E2720" s="17" t="s">
        <v>162</v>
      </c>
      <c r="F2720" s="17" t="s">
        <v>164</v>
      </c>
      <c r="G2720" s="17">
        <v>5</v>
      </c>
      <c r="H2720" s="17">
        <v>36914</v>
      </c>
      <c r="I2720" s="17">
        <v>184570</v>
      </c>
      <c r="J2720" s="17">
        <v>2058</v>
      </c>
      <c r="K2720" s="17">
        <v>182512</v>
      </c>
      <c r="L2720" s="17">
        <v>32705.274140000001</v>
      </c>
      <c r="M2720" s="17">
        <v>2024</v>
      </c>
      <c r="N2720" s="17" t="s">
        <v>175</v>
      </c>
    </row>
    <row r="2721" spans="1:14" ht="14.25" customHeight="1">
      <c r="A2721" s="17">
        <v>12720</v>
      </c>
      <c r="B2721" s="18">
        <v>45791</v>
      </c>
      <c r="C2721" s="17" t="s">
        <v>45</v>
      </c>
      <c r="D2721" s="17" t="s">
        <v>111</v>
      </c>
      <c r="E2721" s="17" t="s">
        <v>162</v>
      </c>
      <c r="F2721" s="17" t="s">
        <v>172</v>
      </c>
      <c r="G2721" s="17">
        <v>8</v>
      </c>
      <c r="H2721" s="17">
        <v>55014</v>
      </c>
      <c r="I2721" s="17">
        <v>440112</v>
      </c>
      <c r="J2721" s="17">
        <v>3677</v>
      </c>
      <c r="K2721" s="17">
        <v>436435</v>
      </c>
      <c r="L2721" s="17">
        <v>45500.05906</v>
      </c>
      <c r="M2721" s="17">
        <v>2025</v>
      </c>
      <c r="N2721" s="17" t="s">
        <v>117</v>
      </c>
    </row>
    <row r="2722" spans="1:14" ht="14.25" customHeight="1">
      <c r="A2722" s="17">
        <v>12721</v>
      </c>
      <c r="B2722" s="18">
        <v>45827</v>
      </c>
      <c r="C2722" s="17" t="s">
        <v>167</v>
      </c>
      <c r="D2722" s="17" t="s">
        <v>86</v>
      </c>
      <c r="E2722" s="17" t="s">
        <v>168</v>
      </c>
      <c r="F2722" s="17" t="s">
        <v>166</v>
      </c>
      <c r="G2722" s="17">
        <v>3</v>
      </c>
      <c r="H2722" s="17">
        <v>66379</v>
      </c>
      <c r="I2722" s="17">
        <v>199137</v>
      </c>
      <c r="J2722" s="17">
        <v>2819</v>
      </c>
      <c r="K2722" s="17">
        <v>196318</v>
      </c>
      <c r="L2722" s="17">
        <v>30384.42038</v>
      </c>
      <c r="M2722" s="17">
        <v>2025</v>
      </c>
      <c r="N2722" s="17" t="s">
        <v>120</v>
      </c>
    </row>
    <row r="2723" spans="1:14" ht="14.25" customHeight="1">
      <c r="A2723" s="17">
        <v>12722</v>
      </c>
      <c r="B2723" s="18">
        <v>45453</v>
      </c>
      <c r="C2723" s="17" t="s">
        <v>39</v>
      </c>
      <c r="D2723" s="17" t="s">
        <v>111</v>
      </c>
      <c r="E2723" s="17" t="s">
        <v>165</v>
      </c>
      <c r="F2723" s="17" t="s">
        <v>163</v>
      </c>
      <c r="G2723" s="17">
        <v>7</v>
      </c>
      <c r="H2723" s="17">
        <v>14347</v>
      </c>
      <c r="I2723" s="17">
        <v>100429</v>
      </c>
      <c r="J2723" s="17">
        <v>972</v>
      </c>
      <c r="K2723" s="17">
        <v>99457</v>
      </c>
      <c r="L2723" s="17">
        <v>13572.42391</v>
      </c>
      <c r="M2723" s="17">
        <v>2024</v>
      </c>
      <c r="N2723" s="17" t="s">
        <v>120</v>
      </c>
    </row>
    <row r="2724" spans="1:14" ht="14.25" customHeight="1">
      <c r="A2724" s="17">
        <v>12723</v>
      </c>
      <c r="B2724" s="18">
        <v>45961</v>
      </c>
      <c r="C2724" s="17" t="s">
        <v>50</v>
      </c>
      <c r="D2724" s="17" t="s">
        <v>111</v>
      </c>
      <c r="E2724" s="17" t="s">
        <v>168</v>
      </c>
      <c r="F2724" s="17" t="s">
        <v>172</v>
      </c>
      <c r="G2724" s="17">
        <v>3</v>
      </c>
      <c r="H2724" s="17">
        <v>64015</v>
      </c>
      <c r="I2724" s="17">
        <v>192045</v>
      </c>
      <c r="J2724" s="17">
        <v>3792</v>
      </c>
      <c r="K2724" s="17">
        <v>188253</v>
      </c>
      <c r="L2724" s="17">
        <v>36795.859929999999</v>
      </c>
      <c r="M2724" s="17">
        <v>2025</v>
      </c>
      <c r="N2724" s="17" t="s">
        <v>174</v>
      </c>
    </row>
    <row r="2725" spans="1:14" ht="14.25" customHeight="1">
      <c r="A2725" s="17">
        <v>12724</v>
      </c>
      <c r="B2725" s="18">
        <v>45885</v>
      </c>
      <c r="C2725" s="17" t="s">
        <v>58</v>
      </c>
      <c r="D2725" s="17" t="s">
        <v>89</v>
      </c>
      <c r="E2725" s="17" t="s">
        <v>162</v>
      </c>
      <c r="F2725" s="17" t="s">
        <v>166</v>
      </c>
      <c r="G2725" s="17">
        <v>6</v>
      </c>
      <c r="H2725" s="17">
        <v>71864</v>
      </c>
      <c r="I2725" s="17">
        <v>431184</v>
      </c>
      <c r="J2725" s="17">
        <v>2454</v>
      </c>
      <c r="K2725" s="17">
        <v>428730</v>
      </c>
      <c r="L2725" s="17">
        <v>76240.485799999995</v>
      </c>
      <c r="M2725" s="17">
        <v>2025</v>
      </c>
      <c r="N2725" s="17" t="s">
        <v>126</v>
      </c>
    </row>
    <row r="2726" spans="1:14" ht="14.25" customHeight="1">
      <c r="A2726" s="17">
        <v>12725</v>
      </c>
      <c r="B2726" s="18">
        <v>45450</v>
      </c>
      <c r="C2726" s="17" t="s">
        <v>39</v>
      </c>
      <c r="D2726" s="17" t="s">
        <v>170</v>
      </c>
      <c r="E2726" s="17" t="s">
        <v>162</v>
      </c>
      <c r="F2726" s="17" t="s">
        <v>164</v>
      </c>
      <c r="G2726" s="17">
        <v>2</v>
      </c>
      <c r="H2726" s="17">
        <v>55181</v>
      </c>
      <c r="I2726" s="17">
        <v>110362</v>
      </c>
      <c r="J2726" s="17">
        <v>841</v>
      </c>
      <c r="K2726" s="17">
        <v>109521</v>
      </c>
      <c r="L2726" s="17">
        <v>16796.198230000002</v>
      </c>
      <c r="M2726" s="17">
        <v>2024</v>
      </c>
      <c r="N2726" s="17" t="s">
        <v>120</v>
      </c>
    </row>
    <row r="2727" spans="1:14" ht="14.25" customHeight="1">
      <c r="A2727" s="17">
        <v>12726</v>
      </c>
      <c r="B2727" s="18">
        <v>45479</v>
      </c>
      <c r="C2727" s="17" t="s">
        <v>39</v>
      </c>
      <c r="D2727" s="17" t="s">
        <v>170</v>
      </c>
      <c r="E2727" s="17" t="s">
        <v>165</v>
      </c>
      <c r="F2727" s="17" t="s">
        <v>166</v>
      </c>
      <c r="G2727" s="17">
        <v>6</v>
      </c>
      <c r="H2727" s="17">
        <v>23760</v>
      </c>
      <c r="I2727" s="17">
        <v>142560</v>
      </c>
      <c r="J2727" s="17">
        <v>4454</v>
      </c>
      <c r="K2727" s="17">
        <v>138106</v>
      </c>
      <c r="L2727" s="17">
        <v>27244.96759</v>
      </c>
      <c r="M2727" s="17">
        <v>2024</v>
      </c>
      <c r="N2727" s="17" t="s">
        <v>123</v>
      </c>
    </row>
    <row r="2728" spans="1:14" ht="14.25" customHeight="1">
      <c r="A2728" s="17">
        <v>12727</v>
      </c>
      <c r="B2728" s="18">
        <v>45351</v>
      </c>
      <c r="C2728" s="17" t="s">
        <v>167</v>
      </c>
      <c r="D2728" s="17" t="s">
        <v>83</v>
      </c>
      <c r="E2728" s="17" t="s">
        <v>168</v>
      </c>
      <c r="F2728" s="17" t="s">
        <v>164</v>
      </c>
      <c r="G2728" s="17">
        <v>6</v>
      </c>
      <c r="H2728" s="17">
        <v>8140</v>
      </c>
      <c r="I2728" s="17">
        <v>48840</v>
      </c>
      <c r="J2728" s="17">
        <v>284</v>
      </c>
      <c r="K2728" s="17">
        <v>48556</v>
      </c>
      <c r="L2728" s="17">
        <v>9112.2322330000006</v>
      </c>
      <c r="M2728" s="17">
        <v>2024</v>
      </c>
      <c r="N2728" s="17" t="s">
        <v>175</v>
      </c>
    </row>
    <row r="2729" spans="1:14" ht="14.25" customHeight="1">
      <c r="A2729" s="17">
        <v>12728</v>
      </c>
      <c r="B2729" s="18">
        <v>45610</v>
      </c>
      <c r="C2729" s="17" t="s">
        <v>45</v>
      </c>
      <c r="D2729" s="17" t="s">
        <v>89</v>
      </c>
      <c r="E2729" s="17" t="s">
        <v>162</v>
      </c>
      <c r="F2729" s="17" t="s">
        <v>164</v>
      </c>
      <c r="G2729" s="17">
        <v>8</v>
      </c>
      <c r="H2729" s="17">
        <v>79266</v>
      </c>
      <c r="I2729" s="17">
        <v>634128</v>
      </c>
      <c r="J2729" s="17">
        <v>2435</v>
      </c>
      <c r="K2729" s="17">
        <v>631693</v>
      </c>
      <c r="L2729" s="17">
        <v>149062.8199</v>
      </c>
      <c r="M2729" s="17">
        <v>2024</v>
      </c>
      <c r="N2729" s="17" t="s">
        <v>173</v>
      </c>
    </row>
    <row r="2730" spans="1:14" ht="14.25" customHeight="1">
      <c r="A2730" s="17">
        <v>12729</v>
      </c>
      <c r="B2730" s="18">
        <v>45502</v>
      </c>
      <c r="C2730" s="17" t="s">
        <v>50</v>
      </c>
      <c r="D2730" s="17" t="s">
        <v>170</v>
      </c>
      <c r="E2730" s="17" t="s">
        <v>168</v>
      </c>
      <c r="F2730" s="17" t="s">
        <v>166</v>
      </c>
      <c r="G2730" s="17">
        <v>5</v>
      </c>
      <c r="H2730" s="17">
        <v>67176</v>
      </c>
      <c r="I2730" s="17">
        <v>335880</v>
      </c>
      <c r="J2730" s="17">
        <v>2831</v>
      </c>
      <c r="K2730" s="17">
        <v>333049</v>
      </c>
      <c r="L2730" s="17">
        <v>63119.593970000002</v>
      </c>
      <c r="M2730" s="17">
        <v>2024</v>
      </c>
      <c r="N2730" s="17" t="s">
        <v>123</v>
      </c>
    </row>
    <row r="2731" spans="1:14" ht="14.25" customHeight="1">
      <c r="A2731" s="17">
        <v>12730</v>
      </c>
      <c r="B2731" s="18">
        <v>45697</v>
      </c>
      <c r="C2731" s="17" t="s">
        <v>58</v>
      </c>
      <c r="D2731" s="17" t="s">
        <v>111</v>
      </c>
      <c r="E2731" s="17" t="s">
        <v>162</v>
      </c>
      <c r="F2731" s="17" t="s">
        <v>164</v>
      </c>
      <c r="G2731" s="17">
        <v>1</v>
      </c>
      <c r="H2731" s="17">
        <v>19057</v>
      </c>
      <c r="I2731" s="17">
        <v>19057</v>
      </c>
      <c r="J2731" s="17">
        <v>4520</v>
      </c>
      <c r="K2731" s="17">
        <v>14537</v>
      </c>
      <c r="L2731" s="17">
        <v>2560.79115</v>
      </c>
      <c r="M2731" s="17">
        <v>2025</v>
      </c>
      <c r="N2731" s="17" t="s">
        <v>175</v>
      </c>
    </row>
    <row r="2732" spans="1:14" ht="14.25" customHeight="1">
      <c r="A2732" s="17">
        <v>12731</v>
      </c>
      <c r="B2732" s="18">
        <v>45955</v>
      </c>
      <c r="C2732" s="17" t="s">
        <v>39</v>
      </c>
      <c r="D2732" s="17" t="s">
        <v>111</v>
      </c>
      <c r="E2732" s="17" t="s">
        <v>165</v>
      </c>
      <c r="F2732" s="17" t="s">
        <v>163</v>
      </c>
      <c r="G2732" s="17">
        <v>8</v>
      </c>
      <c r="H2732" s="17">
        <v>74093</v>
      </c>
      <c r="I2732" s="17">
        <v>592744</v>
      </c>
      <c r="J2732" s="17">
        <v>1029</v>
      </c>
      <c r="K2732" s="17">
        <v>591715</v>
      </c>
      <c r="L2732" s="17">
        <v>132278.19159999999</v>
      </c>
      <c r="M2732" s="17">
        <v>2025</v>
      </c>
      <c r="N2732" s="17" t="s">
        <v>174</v>
      </c>
    </row>
    <row r="2733" spans="1:14" ht="14.25" customHeight="1">
      <c r="A2733" s="17">
        <v>12732</v>
      </c>
      <c r="B2733" s="18">
        <v>45400</v>
      </c>
      <c r="C2733" s="17" t="s">
        <v>58</v>
      </c>
      <c r="D2733" s="17" t="s">
        <v>86</v>
      </c>
      <c r="E2733" s="17" t="s">
        <v>168</v>
      </c>
      <c r="F2733" s="17" t="s">
        <v>166</v>
      </c>
      <c r="G2733" s="17">
        <v>9</v>
      </c>
      <c r="H2733" s="17">
        <v>34114</v>
      </c>
      <c r="I2733" s="17">
        <v>307026</v>
      </c>
      <c r="J2733" s="17">
        <v>4451</v>
      </c>
      <c r="K2733" s="17">
        <v>302575</v>
      </c>
      <c r="L2733" s="17">
        <v>39444.569710000003</v>
      </c>
      <c r="M2733" s="17">
        <v>2024</v>
      </c>
      <c r="N2733" s="17" t="s">
        <v>114</v>
      </c>
    </row>
    <row r="2734" spans="1:14" ht="14.25" customHeight="1">
      <c r="A2734" s="17">
        <v>12733</v>
      </c>
      <c r="B2734" s="18">
        <v>45367</v>
      </c>
      <c r="C2734" s="17" t="s">
        <v>45</v>
      </c>
      <c r="D2734" s="17" t="s">
        <v>86</v>
      </c>
      <c r="E2734" s="17" t="s">
        <v>168</v>
      </c>
      <c r="F2734" s="17" t="s">
        <v>172</v>
      </c>
      <c r="G2734" s="17">
        <v>1</v>
      </c>
      <c r="H2734" s="17">
        <v>61215</v>
      </c>
      <c r="I2734" s="17">
        <v>61215</v>
      </c>
      <c r="J2734" s="17">
        <v>2966</v>
      </c>
      <c r="K2734" s="17">
        <v>58249</v>
      </c>
      <c r="L2734" s="17">
        <v>7953.0093139999999</v>
      </c>
      <c r="M2734" s="17">
        <v>2024</v>
      </c>
      <c r="N2734" s="17" t="s">
        <v>112</v>
      </c>
    </row>
    <row r="2735" spans="1:14" ht="14.25" customHeight="1">
      <c r="A2735" s="17">
        <v>12734</v>
      </c>
      <c r="B2735" s="18">
        <v>45833</v>
      </c>
      <c r="C2735" s="17" t="s">
        <v>45</v>
      </c>
      <c r="D2735" s="17" t="s">
        <v>111</v>
      </c>
      <c r="E2735" s="17" t="s">
        <v>165</v>
      </c>
      <c r="F2735" s="17" t="s">
        <v>164</v>
      </c>
      <c r="G2735" s="17">
        <v>5</v>
      </c>
      <c r="H2735" s="17">
        <v>23580</v>
      </c>
      <c r="I2735" s="17">
        <v>117900</v>
      </c>
      <c r="J2735" s="17">
        <v>553</v>
      </c>
      <c r="K2735" s="17">
        <v>117347</v>
      </c>
      <c r="L2735" s="17">
        <v>25527.193500000001</v>
      </c>
      <c r="M2735" s="17">
        <v>2025</v>
      </c>
      <c r="N2735" s="17" t="s">
        <v>120</v>
      </c>
    </row>
    <row r="2736" spans="1:14" ht="14.25" customHeight="1">
      <c r="A2736" s="17">
        <v>12735</v>
      </c>
      <c r="B2736" s="18">
        <v>45605</v>
      </c>
      <c r="C2736" s="17" t="s">
        <v>58</v>
      </c>
      <c r="D2736" s="17" t="s">
        <v>111</v>
      </c>
      <c r="E2736" s="17" t="s">
        <v>162</v>
      </c>
      <c r="F2736" s="17" t="s">
        <v>164</v>
      </c>
      <c r="G2736" s="17">
        <v>6</v>
      </c>
      <c r="H2736" s="17">
        <v>14802</v>
      </c>
      <c r="I2736" s="17">
        <v>88812</v>
      </c>
      <c r="J2736" s="17">
        <v>267</v>
      </c>
      <c r="K2736" s="17">
        <v>88545</v>
      </c>
      <c r="L2736" s="17">
        <v>14729.68513</v>
      </c>
      <c r="M2736" s="17">
        <v>2024</v>
      </c>
      <c r="N2736" s="17" t="s">
        <v>173</v>
      </c>
    </row>
    <row r="2737" spans="1:14" ht="14.25" customHeight="1">
      <c r="A2737" s="17">
        <v>12736</v>
      </c>
      <c r="B2737" s="18">
        <v>45408</v>
      </c>
      <c r="C2737" s="17" t="s">
        <v>50</v>
      </c>
      <c r="D2737" s="17" t="s">
        <v>86</v>
      </c>
      <c r="E2737" s="17" t="s">
        <v>162</v>
      </c>
      <c r="F2737" s="17" t="s">
        <v>163</v>
      </c>
      <c r="G2737" s="17">
        <v>4</v>
      </c>
      <c r="H2737" s="17">
        <v>74543</v>
      </c>
      <c r="I2737" s="17">
        <v>298172</v>
      </c>
      <c r="J2737" s="17">
        <v>1240</v>
      </c>
      <c r="K2737" s="17">
        <v>296932</v>
      </c>
      <c r="L2737" s="17">
        <v>47920.48345</v>
      </c>
      <c r="M2737" s="17">
        <v>2024</v>
      </c>
      <c r="N2737" s="17" t="s">
        <v>114</v>
      </c>
    </row>
    <row r="2738" spans="1:14" ht="14.25" customHeight="1">
      <c r="A2738" s="17">
        <v>12737</v>
      </c>
      <c r="B2738" s="18">
        <v>45995</v>
      </c>
      <c r="C2738" s="17" t="s">
        <v>45</v>
      </c>
      <c r="D2738" s="17" t="s">
        <v>170</v>
      </c>
      <c r="E2738" s="17" t="s">
        <v>168</v>
      </c>
      <c r="F2738" s="17" t="s">
        <v>163</v>
      </c>
      <c r="G2738" s="17">
        <v>2</v>
      </c>
      <c r="H2738" s="17">
        <v>9675</v>
      </c>
      <c r="I2738" s="17">
        <v>19350</v>
      </c>
      <c r="J2738" s="17">
        <v>4159</v>
      </c>
      <c r="K2738" s="17">
        <v>15191</v>
      </c>
      <c r="L2738" s="17">
        <v>3540.4401809999999</v>
      </c>
      <c r="M2738" s="17">
        <v>2025</v>
      </c>
      <c r="N2738" s="17" t="s">
        <v>169</v>
      </c>
    </row>
    <row r="2739" spans="1:14" ht="14.25" customHeight="1">
      <c r="A2739" s="17">
        <v>12738</v>
      </c>
      <c r="B2739" s="18">
        <v>45310</v>
      </c>
      <c r="C2739" s="17" t="s">
        <v>58</v>
      </c>
      <c r="D2739" s="17" t="s">
        <v>83</v>
      </c>
      <c r="E2739" s="17" t="s">
        <v>165</v>
      </c>
      <c r="F2739" s="17" t="s">
        <v>172</v>
      </c>
      <c r="G2739" s="17">
        <v>5</v>
      </c>
      <c r="H2739" s="17">
        <v>19058</v>
      </c>
      <c r="I2739" s="17">
        <v>95290</v>
      </c>
      <c r="J2739" s="17">
        <v>2489</v>
      </c>
      <c r="K2739" s="17">
        <v>92801</v>
      </c>
      <c r="L2739" s="17">
        <v>17772.90927</v>
      </c>
      <c r="M2739" s="17">
        <v>2024</v>
      </c>
      <c r="N2739" s="17" t="s">
        <v>171</v>
      </c>
    </row>
    <row r="2740" spans="1:14" ht="14.25" customHeight="1">
      <c r="A2740" s="17">
        <v>12739</v>
      </c>
      <c r="B2740" s="18">
        <v>45723</v>
      </c>
      <c r="C2740" s="17" t="s">
        <v>39</v>
      </c>
      <c r="D2740" s="17" t="s">
        <v>86</v>
      </c>
      <c r="E2740" s="17" t="s">
        <v>168</v>
      </c>
      <c r="F2740" s="17" t="s">
        <v>164</v>
      </c>
      <c r="G2740" s="17">
        <v>4</v>
      </c>
      <c r="H2740" s="17">
        <v>54001</v>
      </c>
      <c r="I2740" s="17">
        <v>216004</v>
      </c>
      <c r="J2740" s="17">
        <v>2588</v>
      </c>
      <c r="K2740" s="17">
        <v>213416</v>
      </c>
      <c r="L2740" s="17">
        <v>47044.648569999998</v>
      </c>
      <c r="M2740" s="17">
        <v>2025</v>
      </c>
      <c r="N2740" s="17" t="s">
        <v>112</v>
      </c>
    </row>
    <row r="2741" spans="1:14" ht="14.25" customHeight="1">
      <c r="A2741" s="17">
        <v>12740</v>
      </c>
      <c r="B2741" s="18">
        <v>45976</v>
      </c>
      <c r="C2741" s="17" t="s">
        <v>58</v>
      </c>
      <c r="D2741" s="17" t="s">
        <v>170</v>
      </c>
      <c r="E2741" s="17" t="s">
        <v>168</v>
      </c>
      <c r="F2741" s="17" t="s">
        <v>172</v>
      </c>
      <c r="G2741" s="17">
        <v>7</v>
      </c>
      <c r="H2741" s="17">
        <v>42519</v>
      </c>
      <c r="I2741" s="17">
        <v>297633</v>
      </c>
      <c r="J2741" s="17">
        <v>469</v>
      </c>
      <c r="K2741" s="17">
        <v>297164</v>
      </c>
      <c r="L2741" s="17">
        <v>65814.643719999993</v>
      </c>
      <c r="M2741" s="17">
        <v>2025</v>
      </c>
      <c r="N2741" s="17" t="s">
        <v>173</v>
      </c>
    </row>
    <row r="2742" spans="1:14" ht="14.25" customHeight="1">
      <c r="A2742" s="17">
        <v>12741</v>
      </c>
      <c r="B2742" s="18">
        <v>45641</v>
      </c>
      <c r="C2742" s="17" t="s">
        <v>58</v>
      </c>
      <c r="D2742" s="17" t="s">
        <v>170</v>
      </c>
      <c r="E2742" s="17" t="s">
        <v>162</v>
      </c>
      <c r="F2742" s="17" t="s">
        <v>172</v>
      </c>
      <c r="G2742" s="17">
        <v>6</v>
      </c>
      <c r="H2742" s="17">
        <v>76755</v>
      </c>
      <c r="I2742" s="17">
        <v>460530</v>
      </c>
      <c r="J2742" s="17">
        <v>3287</v>
      </c>
      <c r="K2742" s="17">
        <v>457243</v>
      </c>
      <c r="L2742" s="17">
        <v>53956.502399999998</v>
      </c>
      <c r="M2742" s="17">
        <v>2024</v>
      </c>
      <c r="N2742" s="17" t="s">
        <v>169</v>
      </c>
    </row>
    <row r="2743" spans="1:14" ht="14.25" customHeight="1">
      <c r="A2743" s="17">
        <v>12742</v>
      </c>
      <c r="B2743" s="18">
        <v>45474</v>
      </c>
      <c r="C2743" s="17" t="s">
        <v>167</v>
      </c>
      <c r="D2743" s="17" t="s">
        <v>170</v>
      </c>
      <c r="E2743" s="17" t="s">
        <v>162</v>
      </c>
      <c r="F2743" s="17" t="s">
        <v>164</v>
      </c>
      <c r="G2743" s="17">
        <v>3</v>
      </c>
      <c r="H2743" s="17">
        <v>20445</v>
      </c>
      <c r="I2743" s="17">
        <v>61335</v>
      </c>
      <c r="J2743" s="17">
        <v>3936</v>
      </c>
      <c r="K2743" s="17">
        <v>57399</v>
      </c>
      <c r="L2743" s="17">
        <v>11368.17958</v>
      </c>
      <c r="M2743" s="17">
        <v>2024</v>
      </c>
      <c r="N2743" s="17" t="s">
        <v>123</v>
      </c>
    </row>
    <row r="2744" spans="1:14" ht="14.25" customHeight="1">
      <c r="A2744" s="17">
        <v>12743</v>
      </c>
      <c r="B2744" s="18">
        <v>45404</v>
      </c>
      <c r="C2744" s="17" t="s">
        <v>45</v>
      </c>
      <c r="D2744" s="17" t="s">
        <v>89</v>
      </c>
      <c r="E2744" s="17" t="s">
        <v>162</v>
      </c>
      <c r="F2744" s="17" t="s">
        <v>172</v>
      </c>
      <c r="G2744" s="17">
        <v>9</v>
      </c>
      <c r="H2744" s="17">
        <v>78954</v>
      </c>
      <c r="I2744" s="17">
        <v>710586</v>
      </c>
      <c r="J2744" s="17">
        <v>2019</v>
      </c>
      <c r="K2744" s="17">
        <v>708567</v>
      </c>
      <c r="L2744" s="17">
        <v>172094.9467</v>
      </c>
      <c r="M2744" s="17">
        <v>2024</v>
      </c>
      <c r="N2744" s="17" t="s">
        <v>114</v>
      </c>
    </row>
    <row r="2745" spans="1:14" ht="14.25" customHeight="1">
      <c r="A2745" s="17">
        <v>12744</v>
      </c>
      <c r="B2745" s="18">
        <v>45474</v>
      </c>
      <c r="C2745" s="17" t="s">
        <v>50</v>
      </c>
      <c r="D2745" s="17" t="s">
        <v>89</v>
      </c>
      <c r="E2745" s="17" t="s">
        <v>162</v>
      </c>
      <c r="F2745" s="17" t="s">
        <v>172</v>
      </c>
      <c r="G2745" s="17">
        <v>4</v>
      </c>
      <c r="H2745" s="17">
        <v>33695</v>
      </c>
      <c r="I2745" s="17">
        <v>134780</v>
      </c>
      <c r="J2745" s="17">
        <v>2023</v>
      </c>
      <c r="K2745" s="17">
        <v>132757</v>
      </c>
      <c r="L2745" s="17">
        <v>22834.743450000002</v>
      </c>
      <c r="M2745" s="17">
        <v>2024</v>
      </c>
      <c r="N2745" s="17" t="s">
        <v>123</v>
      </c>
    </row>
    <row r="2746" spans="1:14" ht="14.25" customHeight="1">
      <c r="A2746" s="17">
        <v>12745</v>
      </c>
      <c r="B2746" s="18">
        <v>45772</v>
      </c>
      <c r="C2746" s="17" t="s">
        <v>50</v>
      </c>
      <c r="D2746" s="17" t="s">
        <v>170</v>
      </c>
      <c r="E2746" s="17" t="s">
        <v>162</v>
      </c>
      <c r="F2746" s="17" t="s">
        <v>163</v>
      </c>
      <c r="G2746" s="17">
        <v>5</v>
      </c>
      <c r="H2746" s="17">
        <v>56227</v>
      </c>
      <c r="I2746" s="17">
        <v>281135</v>
      </c>
      <c r="J2746" s="17">
        <v>1589</v>
      </c>
      <c r="K2746" s="17">
        <v>279546</v>
      </c>
      <c r="L2746" s="17">
        <v>58656.400249999999</v>
      </c>
      <c r="M2746" s="17">
        <v>2025</v>
      </c>
      <c r="N2746" s="17" t="s">
        <v>114</v>
      </c>
    </row>
    <row r="2747" spans="1:14" ht="14.25" customHeight="1">
      <c r="A2747" s="17">
        <v>12746</v>
      </c>
      <c r="B2747" s="18">
        <v>45437</v>
      </c>
      <c r="C2747" s="17" t="s">
        <v>167</v>
      </c>
      <c r="D2747" s="17" t="s">
        <v>111</v>
      </c>
      <c r="E2747" s="17" t="s">
        <v>165</v>
      </c>
      <c r="F2747" s="17" t="s">
        <v>163</v>
      </c>
      <c r="G2747" s="17">
        <v>3</v>
      </c>
      <c r="H2747" s="17">
        <v>35185</v>
      </c>
      <c r="I2747" s="17">
        <v>105555</v>
      </c>
      <c r="J2747" s="17">
        <v>4973</v>
      </c>
      <c r="K2747" s="17">
        <v>100582</v>
      </c>
      <c r="L2747" s="17">
        <v>18608.669279999998</v>
      </c>
      <c r="M2747" s="17">
        <v>2024</v>
      </c>
      <c r="N2747" s="17" t="s">
        <v>117</v>
      </c>
    </row>
    <row r="2748" spans="1:14" ht="14.25" customHeight="1">
      <c r="A2748" s="17">
        <v>12747</v>
      </c>
      <c r="B2748" s="18">
        <v>45919</v>
      </c>
      <c r="C2748" s="17" t="s">
        <v>50</v>
      </c>
      <c r="D2748" s="17" t="s">
        <v>89</v>
      </c>
      <c r="E2748" s="17" t="s">
        <v>168</v>
      </c>
      <c r="F2748" s="17" t="s">
        <v>172</v>
      </c>
      <c r="G2748" s="17">
        <v>8</v>
      </c>
      <c r="H2748" s="17">
        <v>50908</v>
      </c>
      <c r="I2748" s="17">
        <v>407264</v>
      </c>
      <c r="J2748" s="17">
        <v>2060</v>
      </c>
      <c r="K2748" s="17">
        <v>405204</v>
      </c>
      <c r="L2748" s="17">
        <v>52971.061220000003</v>
      </c>
      <c r="M2748" s="17">
        <v>2025</v>
      </c>
      <c r="N2748" s="17" t="s">
        <v>129</v>
      </c>
    </row>
    <row r="2749" spans="1:14" ht="14.25" customHeight="1">
      <c r="A2749" s="17">
        <v>12748</v>
      </c>
      <c r="B2749" s="18">
        <v>45404</v>
      </c>
      <c r="C2749" s="17" t="s">
        <v>58</v>
      </c>
      <c r="D2749" s="17" t="s">
        <v>86</v>
      </c>
      <c r="E2749" s="17" t="s">
        <v>165</v>
      </c>
      <c r="F2749" s="17" t="s">
        <v>164</v>
      </c>
      <c r="G2749" s="17">
        <v>7</v>
      </c>
      <c r="H2749" s="17">
        <v>48631</v>
      </c>
      <c r="I2749" s="17">
        <v>340417</v>
      </c>
      <c r="J2749" s="17">
        <v>4317</v>
      </c>
      <c r="K2749" s="17">
        <v>336100</v>
      </c>
      <c r="L2749" s="17">
        <v>43450.68765</v>
      </c>
      <c r="M2749" s="17">
        <v>2024</v>
      </c>
      <c r="N2749" s="17" t="s">
        <v>114</v>
      </c>
    </row>
    <row r="2750" spans="1:14" ht="14.25" customHeight="1">
      <c r="A2750" s="17">
        <v>12749</v>
      </c>
      <c r="B2750" s="18">
        <v>45767</v>
      </c>
      <c r="C2750" s="17" t="s">
        <v>167</v>
      </c>
      <c r="D2750" s="17" t="s">
        <v>89</v>
      </c>
      <c r="E2750" s="17" t="s">
        <v>168</v>
      </c>
      <c r="F2750" s="17" t="s">
        <v>163</v>
      </c>
      <c r="G2750" s="17">
        <v>7</v>
      </c>
      <c r="H2750" s="17">
        <v>52993</v>
      </c>
      <c r="I2750" s="17">
        <v>370951</v>
      </c>
      <c r="J2750" s="17">
        <v>1419</v>
      </c>
      <c r="K2750" s="17">
        <v>369532</v>
      </c>
      <c r="L2750" s="17">
        <v>61000.48558</v>
      </c>
      <c r="M2750" s="17">
        <v>2025</v>
      </c>
      <c r="N2750" s="17" t="s">
        <v>114</v>
      </c>
    </row>
    <row r="2751" spans="1:14" ht="14.25" customHeight="1">
      <c r="A2751" s="17">
        <v>12750</v>
      </c>
      <c r="B2751" s="18">
        <v>45594</v>
      </c>
      <c r="C2751" s="17" t="s">
        <v>39</v>
      </c>
      <c r="D2751" s="17" t="s">
        <v>111</v>
      </c>
      <c r="E2751" s="17" t="s">
        <v>162</v>
      </c>
      <c r="F2751" s="17" t="s">
        <v>172</v>
      </c>
      <c r="G2751" s="17">
        <v>8</v>
      </c>
      <c r="H2751" s="17">
        <v>7078</v>
      </c>
      <c r="I2751" s="17">
        <v>56624</v>
      </c>
      <c r="J2751" s="17">
        <v>880</v>
      </c>
      <c r="K2751" s="17">
        <v>55744</v>
      </c>
      <c r="L2751" s="17">
        <v>9612.9739819999995</v>
      </c>
      <c r="M2751" s="17">
        <v>2024</v>
      </c>
      <c r="N2751" s="17" t="s">
        <v>174</v>
      </c>
    </row>
    <row r="2752" spans="1:14" ht="14.25" customHeight="1">
      <c r="A2752" s="17">
        <v>12751</v>
      </c>
      <c r="B2752" s="18">
        <v>45409</v>
      </c>
      <c r="C2752" s="17" t="s">
        <v>45</v>
      </c>
      <c r="D2752" s="17" t="s">
        <v>83</v>
      </c>
      <c r="E2752" s="17" t="s">
        <v>165</v>
      </c>
      <c r="F2752" s="17" t="s">
        <v>166</v>
      </c>
      <c r="G2752" s="17">
        <v>7</v>
      </c>
      <c r="H2752" s="17">
        <v>28778</v>
      </c>
      <c r="I2752" s="17">
        <v>201446</v>
      </c>
      <c r="J2752" s="17">
        <v>838</v>
      </c>
      <c r="K2752" s="17">
        <v>200608</v>
      </c>
      <c r="L2752" s="17">
        <v>35200.658960000001</v>
      </c>
      <c r="M2752" s="17">
        <v>2024</v>
      </c>
      <c r="N2752" s="17" t="s">
        <v>114</v>
      </c>
    </row>
    <row r="2753" spans="1:14" ht="14.25" customHeight="1">
      <c r="A2753" s="17">
        <v>12752</v>
      </c>
      <c r="B2753" s="18">
        <v>45452</v>
      </c>
      <c r="C2753" s="17" t="s">
        <v>45</v>
      </c>
      <c r="D2753" s="17" t="s">
        <v>89</v>
      </c>
      <c r="E2753" s="17" t="s">
        <v>168</v>
      </c>
      <c r="F2753" s="17" t="s">
        <v>166</v>
      </c>
      <c r="G2753" s="17">
        <v>3</v>
      </c>
      <c r="H2753" s="17">
        <v>28397</v>
      </c>
      <c r="I2753" s="17">
        <v>85191</v>
      </c>
      <c r="J2753" s="17">
        <v>751</v>
      </c>
      <c r="K2753" s="17">
        <v>84440</v>
      </c>
      <c r="L2753" s="17">
        <v>20540.03959</v>
      </c>
      <c r="M2753" s="17">
        <v>2024</v>
      </c>
      <c r="N2753" s="17" t="s">
        <v>120</v>
      </c>
    </row>
    <row r="2754" spans="1:14" ht="14.25" customHeight="1">
      <c r="A2754" s="17">
        <v>12753</v>
      </c>
      <c r="B2754" s="18">
        <v>45692</v>
      </c>
      <c r="C2754" s="17" t="s">
        <v>45</v>
      </c>
      <c r="D2754" s="17" t="s">
        <v>170</v>
      </c>
      <c r="E2754" s="17" t="s">
        <v>162</v>
      </c>
      <c r="F2754" s="17" t="s">
        <v>172</v>
      </c>
      <c r="G2754" s="17">
        <v>3</v>
      </c>
      <c r="H2754" s="17">
        <v>73857</v>
      </c>
      <c r="I2754" s="17">
        <v>221571</v>
      </c>
      <c r="J2754" s="17">
        <v>269</v>
      </c>
      <c r="K2754" s="17">
        <v>221302</v>
      </c>
      <c r="L2754" s="17">
        <v>25458.179670000001</v>
      </c>
      <c r="M2754" s="17">
        <v>2025</v>
      </c>
      <c r="N2754" s="17" t="s">
        <v>175</v>
      </c>
    </row>
    <row r="2755" spans="1:14" ht="14.25" customHeight="1">
      <c r="A2755" s="17">
        <v>12754</v>
      </c>
      <c r="B2755" s="18">
        <v>45489</v>
      </c>
      <c r="C2755" s="17" t="s">
        <v>58</v>
      </c>
      <c r="D2755" s="17" t="s">
        <v>170</v>
      </c>
      <c r="E2755" s="17" t="s">
        <v>162</v>
      </c>
      <c r="F2755" s="17" t="s">
        <v>166</v>
      </c>
      <c r="G2755" s="17">
        <v>2</v>
      </c>
      <c r="H2755" s="17">
        <v>17337</v>
      </c>
      <c r="I2755" s="17">
        <v>34674</v>
      </c>
      <c r="J2755" s="17">
        <v>3369</v>
      </c>
      <c r="K2755" s="17">
        <v>31305</v>
      </c>
      <c r="L2755" s="17">
        <v>4917.3584129999999</v>
      </c>
      <c r="M2755" s="17">
        <v>2024</v>
      </c>
      <c r="N2755" s="17" t="s">
        <v>123</v>
      </c>
    </row>
    <row r="2756" spans="1:14" ht="14.25" customHeight="1">
      <c r="A2756" s="17">
        <v>12755</v>
      </c>
      <c r="B2756" s="18">
        <v>45551</v>
      </c>
      <c r="C2756" s="17" t="s">
        <v>39</v>
      </c>
      <c r="D2756" s="17" t="s">
        <v>170</v>
      </c>
      <c r="E2756" s="17" t="s">
        <v>165</v>
      </c>
      <c r="F2756" s="17" t="s">
        <v>163</v>
      </c>
      <c r="G2756" s="17">
        <v>1</v>
      </c>
      <c r="H2756" s="17">
        <v>11011</v>
      </c>
      <c r="I2756" s="17">
        <v>11011</v>
      </c>
      <c r="J2756" s="17">
        <v>4827</v>
      </c>
      <c r="K2756" s="17">
        <v>6184</v>
      </c>
      <c r="L2756" s="17">
        <v>1095.694201</v>
      </c>
      <c r="M2756" s="17">
        <v>2024</v>
      </c>
      <c r="N2756" s="17" t="s">
        <v>129</v>
      </c>
    </row>
    <row r="2757" spans="1:14" ht="14.25" customHeight="1">
      <c r="A2757" s="17">
        <v>12756</v>
      </c>
      <c r="B2757" s="18">
        <v>45951</v>
      </c>
      <c r="C2757" s="17" t="s">
        <v>167</v>
      </c>
      <c r="D2757" s="17" t="s">
        <v>83</v>
      </c>
      <c r="E2757" s="17" t="s">
        <v>165</v>
      </c>
      <c r="F2757" s="17" t="s">
        <v>164</v>
      </c>
      <c r="G2757" s="17">
        <v>5</v>
      </c>
      <c r="H2757" s="17">
        <v>44855</v>
      </c>
      <c r="I2757" s="17">
        <v>224275</v>
      </c>
      <c r="J2757" s="17">
        <v>4711</v>
      </c>
      <c r="K2757" s="17">
        <v>219564</v>
      </c>
      <c r="L2757" s="17">
        <v>53676.132830000002</v>
      </c>
      <c r="M2757" s="17">
        <v>2025</v>
      </c>
      <c r="N2757" s="17" t="s">
        <v>174</v>
      </c>
    </row>
    <row r="2758" spans="1:14" ht="14.25" customHeight="1">
      <c r="A2758" s="17">
        <v>12757</v>
      </c>
      <c r="B2758" s="18">
        <v>45338</v>
      </c>
      <c r="C2758" s="17" t="s">
        <v>167</v>
      </c>
      <c r="D2758" s="17" t="s">
        <v>111</v>
      </c>
      <c r="E2758" s="17" t="s">
        <v>165</v>
      </c>
      <c r="F2758" s="17" t="s">
        <v>172</v>
      </c>
      <c r="G2758" s="17">
        <v>4</v>
      </c>
      <c r="H2758" s="17">
        <v>51845</v>
      </c>
      <c r="I2758" s="17">
        <v>207380</v>
      </c>
      <c r="J2758" s="17">
        <v>3503</v>
      </c>
      <c r="K2758" s="17">
        <v>203877</v>
      </c>
      <c r="L2758" s="17">
        <v>35810.428789999998</v>
      </c>
      <c r="M2758" s="17">
        <v>2024</v>
      </c>
      <c r="N2758" s="17" t="s">
        <v>175</v>
      </c>
    </row>
    <row r="2759" spans="1:14" ht="14.25" customHeight="1">
      <c r="A2759" s="17">
        <v>12758</v>
      </c>
      <c r="B2759" s="18">
        <v>45690</v>
      </c>
      <c r="C2759" s="17" t="s">
        <v>45</v>
      </c>
      <c r="D2759" s="17" t="s">
        <v>86</v>
      </c>
      <c r="E2759" s="17" t="s">
        <v>162</v>
      </c>
      <c r="F2759" s="17" t="s">
        <v>163</v>
      </c>
      <c r="G2759" s="17">
        <v>2</v>
      </c>
      <c r="H2759" s="17">
        <v>25046</v>
      </c>
      <c r="I2759" s="17">
        <v>50092</v>
      </c>
      <c r="J2759" s="17">
        <v>3960</v>
      </c>
      <c r="K2759" s="17">
        <v>46132</v>
      </c>
      <c r="L2759" s="17">
        <v>9977.9529280000006</v>
      </c>
      <c r="M2759" s="17">
        <v>2025</v>
      </c>
      <c r="N2759" s="17" t="s">
        <v>175</v>
      </c>
    </row>
    <row r="2760" spans="1:14" ht="14.25" customHeight="1">
      <c r="A2760" s="17">
        <v>12759</v>
      </c>
      <c r="B2760" s="18">
        <v>46001</v>
      </c>
      <c r="C2760" s="17" t="s">
        <v>39</v>
      </c>
      <c r="D2760" s="17" t="s">
        <v>111</v>
      </c>
      <c r="E2760" s="17" t="s">
        <v>168</v>
      </c>
      <c r="F2760" s="17" t="s">
        <v>164</v>
      </c>
      <c r="G2760" s="17">
        <v>1</v>
      </c>
      <c r="H2760" s="17">
        <v>11618</v>
      </c>
      <c r="I2760" s="17">
        <v>11618</v>
      </c>
      <c r="J2760" s="17">
        <v>2075</v>
      </c>
      <c r="K2760" s="17">
        <v>9543</v>
      </c>
      <c r="L2760" s="17">
        <v>2026.8541479999999</v>
      </c>
      <c r="M2760" s="17">
        <v>2025</v>
      </c>
      <c r="N2760" s="17" t="s">
        <v>169</v>
      </c>
    </row>
    <row r="2761" spans="1:14" ht="14.25" customHeight="1">
      <c r="A2761" s="17">
        <v>12760</v>
      </c>
      <c r="B2761" s="18">
        <v>45850</v>
      </c>
      <c r="C2761" s="17" t="s">
        <v>39</v>
      </c>
      <c r="D2761" s="17" t="s">
        <v>83</v>
      </c>
      <c r="E2761" s="17" t="s">
        <v>168</v>
      </c>
      <c r="F2761" s="17" t="s">
        <v>166</v>
      </c>
      <c r="G2761" s="17">
        <v>3</v>
      </c>
      <c r="H2761" s="17">
        <v>77435</v>
      </c>
      <c r="I2761" s="17">
        <v>232305</v>
      </c>
      <c r="J2761" s="17">
        <v>1312</v>
      </c>
      <c r="K2761" s="17">
        <v>230993</v>
      </c>
      <c r="L2761" s="17">
        <v>42725.991549999999</v>
      </c>
      <c r="M2761" s="17">
        <v>2025</v>
      </c>
      <c r="N2761" s="17" t="s">
        <v>123</v>
      </c>
    </row>
    <row r="2762" spans="1:14" ht="14.25" customHeight="1">
      <c r="A2762" s="17">
        <v>12761</v>
      </c>
      <c r="B2762" s="18">
        <v>45369</v>
      </c>
      <c r="C2762" s="17" t="s">
        <v>39</v>
      </c>
      <c r="D2762" s="17" t="s">
        <v>170</v>
      </c>
      <c r="E2762" s="17" t="s">
        <v>165</v>
      </c>
      <c r="F2762" s="17" t="s">
        <v>166</v>
      </c>
      <c r="G2762" s="17">
        <v>6</v>
      </c>
      <c r="H2762" s="17">
        <v>36322</v>
      </c>
      <c r="I2762" s="17">
        <v>217932</v>
      </c>
      <c r="J2762" s="17">
        <v>2284</v>
      </c>
      <c r="K2762" s="17">
        <v>215648</v>
      </c>
      <c r="L2762" s="17">
        <v>25792.679380000001</v>
      </c>
      <c r="M2762" s="17">
        <v>2024</v>
      </c>
      <c r="N2762" s="17" t="s">
        <v>112</v>
      </c>
    </row>
    <row r="2763" spans="1:14" ht="14.25" customHeight="1">
      <c r="A2763" s="17">
        <v>12762</v>
      </c>
      <c r="B2763" s="18">
        <v>45415</v>
      </c>
      <c r="C2763" s="17" t="s">
        <v>50</v>
      </c>
      <c r="D2763" s="17" t="s">
        <v>111</v>
      </c>
      <c r="E2763" s="17" t="s">
        <v>168</v>
      </c>
      <c r="F2763" s="17" t="s">
        <v>166</v>
      </c>
      <c r="G2763" s="17">
        <v>2</v>
      </c>
      <c r="H2763" s="17">
        <v>38797</v>
      </c>
      <c r="I2763" s="17">
        <v>77594</v>
      </c>
      <c r="J2763" s="17">
        <v>383</v>
      </c>
      <c r="K2763" s="17">
        <v>77211</v>
      </c>
      <c r="L2763" s="17">
        <v>10254.686809999999</v>
      </c>
      <c r="M2763" s="17">
        <v>2024</v>
      </c>
      <c r="N2763" s="17" t="s">
        <v>117</v>
      </c>
    </row>
    <row r="2764" spans="1:14" ht="14.25" customHeight="1">
      <c r="A2764" s="17">
        <v>12763</v>
      </c>
      <c r="B2764" s="18">
        <v>45366</v>
      </c>
      <c r="C2764" s="17" t="s">
        <v>50</v>
      </c>
      <c r="D2764" s="17" t="s">
        <v>86</v>
      </c>
      <c r="E2764" s="17" t="s">
        <v>162</v>
      </c>
      <c r="F2764" s="17" t="s">
        <v>166</v>
      </c>
      <c r="G2764" s="17">
        <v>7</v>
      </c>
      <c r="H2764" s="17">
        <v>20128</v>
      </c>
      <c r="I2764" s="17">
        <v>140896</v>
      </c>
      <c r="J2764" s="17">
        <v>4180</v>
      </c>
      <c r="K2764" s="17">
        <v>136716</v>
      </c>
      <c r="L2764" s="17">
        <v>18596.252339999999</v>
      </c>
      <c r="M2764" s="17">
        <v>2024</v>
      </c>
      <c r="N2764" s="17" t="s">
        <v>112</v>
      </c>
    </row>
    <row r="2765" spans="1:14" ht="14.25" customHeight="1">
      <c r="A2765" s="17">
        <v>12764</v>
      </c>
      <c r="B2765" s="18">
        <v>45428</v>
      </c>
      <c r="C2765" s="17" t="s">
        <v>45</v>
      </c>
      <c r="D2765" s="17" t="s">
        <v>170</v>
      </c>
      <c r="E2765" s="17" t="s">
        <v>168</v>
      </c>
      <c r="F2765" s="17" t="s">
        <v>163</v>
      </c>
      <c r="G2765" s="17">
        <v>7</v>
      </c>
      <c r="H2765" s="17">
        <v>38179</v>
      </c>
      <c r="I2765" s="17">
        <v>267253</v>
      </c>
      <c r="J2765" s="17">
        <v>4341</v>
      </c>
      <c r="K2765" s="17">
        <v>262912</v>
      </c>
      <c r="L2765" s="17">
        <v>27815.81279</v>
      </c>
      <c r="M2765" s="17">
        <v>2024</v>
      </c>
      <c r="N2765" s="17" t="s">
        <v>117</v>
      </c>
    </row>
    <row r="2766" spans="1:14" ht="14.25" customHeight="1">
      <c r="A2766" s="17">
        <v>12765</v>
      </c>
      <c r="B2766" s="18">
        <v>45893</v>
      </c>
      <c r="C2766" s="17" t="s">
        <v>39</v>
      </c>
      <c r="D2766" s="17" t="s">
        <v>86</v>
      </c>
      <c r="E2766" s="17" t="s">
        <v>162</v>
      </c>
      <c r="F2766" s="17" t="s">
        <v>163</v>
      </c>
      <c r="G2766" s="17">
        <v>3</v>
      </c>
      <c r="H2766" s="17">
        <v>72517</v>
      </c>
      <c r="I2766" s="17">
        <v>217551</v>
      </c>
      <c r="J2766" s="17">
        <v>2808</v>
      </c>
      <c r="K2766" s="17">
        <v>214743</v>
      </c>
      <c r="L2766" s="17">
        <v>33689.461960000001</v>
      </c>
      <c r="M2766" s="17">
        <v>2025</v>
      </c>
      <c r="N2766" s="17" t="s">
        <v>126</v>
      </c>
    </row>
    <row r="2767" spans="1:14" ht="14.25" customHeight="1">
      <c r="A2767" s="17">
        <v>12766</v>
      </c>
      <c r="B2767" s="18">
        <v>45691</v>
      </c>
      <c r="C2767" s="17" t="s">
        <v>39</v>
      </c>
      <c r="D2767" s="17" t="s">
        <v>89</v>
      </c>
      <c r="E2767" s="17" t="s">
        <v>165</v>
      </c>
      <c r="F2767" s="17" t="s">
        <v>164</v>
      </c>
      <c r="G2767" s="17">
        <v>1</v>
      </c>
      <c r="H2767" s="17">
        <v>39073</v>
      </c>
      <c r="I2767" s="17">
        <v>39073</v>
      </c>
      <c r="J2767" s="17">
        <v>803</v>
      </c>
      <c r="K2767" s="17">
        <v>38270</v>
      </c>
      <c r="L2767" s="17">
        <v>7331.6540230000001</v>
      </c>
      <c r="M2767" s="17">
        <v>2025</v>
      </c>
      <c r="N2767" s="17" t="s">
        <v>175</v>
      </c>
    </row>
    <row r="2768" spans="1:14" ht="14.25" customHeight="1">
      <c r="A2768" s="17">
        <v>12767</v>
      </c>
      <c r="B2768" s="18">
        <v>45796</v>
      </c>
      <c r="C2768" s="17" t="s">
        <v>167</v>
      </c>
      <c r="D2768" s="17" t="s">
        <v>86</v>
      </c>
      <c r="E2768" s="17" t="s">
        <v>168</v>
      </c>
      <c r="F2768" s="17" t="s">
        <v>172</v>
      </c>
      <c r="G2768" s="17">
        <v>9</v>
      </c>
      <c r="H2768" s="17">
        <v>42363</v>
      </c>
      <c r="I2768" s="17">
        <v>381267</v>
      </c>
      <c r="J2768" s="17">
        <v>4335</v>
      </c>
      <c r="K2768" s="17">
        <v>376932</v>
      </c>
      <c r="L2768" s="17">
        <v>45849.987679999998</v>
      </c>
      <c r="M2768" s="17">
        <v>2025</v>
      </c>
      <c r="N2768" s="17" t="s">
        <v>117</v>
      </c>
    </row>
    <row r="2769" spans="1:14" ht="14.25" customHeight="1">
      <c r="A2769" s="17">
        <v>12768</v>
      </c>
      <c r="B2769" s="18">
        <v>45791</v>
      </c>
      <c r="C2769" s="17" t="s">
        <v>167</v>
      </c>
      <c r="D2769" s="17" t="s">
        <v>170</v>
      </c>
      <c r="E2769" s="17" t="s">
        <v>162</v>
      </c>
      <c r="F2769" s="17" t="s">
        <v>164</v>
      </c>
      <c r="G2769" s="17">
        <v>5</v>
      </c>
      <c r="H2769" s="17">
        <v>16697</v>
      </c>
      <c r="I2769" s="17">
        <v>83485</v>
      </c>
      <c r="J2769" s="17">
        <v>1096</v>
      </c>
      <c r="K2769" s="17">
        <v>82389</v>
      </c>
      <c r="L2769" s="17">
        <v>10402.056269999999</v>
      </c>
      <c r="M2769" s="17">
        <v>2025</v>
      </c>
      <c r="N2769" s="17" t="s">
        <v>117</v>
      </c>
    </row>
    <row r="2770" spans="1:14" ht="14.25" customHeight="1">
      <c r="A2770" s="17">
        <v>12769</v>
      </c>
      <c r="B2770" s="18">
        <v>45864</v>
      </c>
      <c r="C2770" s="17" t="s">
        <v>45</v>
      </c>
      <c r="D2770" s="17" t="s">
        <v>89</v>
      </c>
      <c r="E2770" s="17" t="s">
        <v>165</v>
      </c>
      <c r="F2770" s="17" t="s">
        <v>172</v>
      </c>
      <c r="G2770" s="17">
        <v>2</v>
      </c>
      <c r="H2770" s="17">
        <v>20422</v>
      </c>
      <c r="I2770" s="17">
        <v>40844</v>
      </c>
      <c r="J2770" s="17">
        <v>3742</v>
      </c>
      <c r="K2770" s="17">
        <v>37102</v>
      </c>
      <c r="L2770" s="17">
        <v>7644.791013</v>
      </c>
      <c r="M2770" s="17">
        <v>2025</v>
      </c>
      <c r="N2770" s="17" t="s">
        <v>123</v>
      </c>
    </row>
    <row r="2771" spans="1:14" ht="14.25" customHeight="1">
      <c r="A2771" s="17">
        <v>12770</v>
      </c>
      <c r="B2771" s="18">
        <v>45429</v>
      </c>
      <c r="C2771" s="17" t="s">
        <v>39</v>
      </c>
      <c r="D2771" s="17" t="s">
        <v>170</v>
      </c>
      <c r="E2771" s="17" t="s">
        <v>165</v>
      </c>
      <c r="F2771" s="17" t="s">
        <v>166</v>
      </c>
      <c r="G2771" s="17">
        <v>8</v>
      </c>
      <c r="H2771" s="17">
        <v>43380</v>
      </c>
      <c r="I2771" s="17">
        <v>347040</v>
      </c>
      <c r="J2771" s="17">
        <v>4483</v>
      </c>
      <c r="K2771" s="17">
        <v>342557</v>
      </c>
      <c r="L2771" s="17">
        <v>42952.539969999998</v>
      </c>
      <c r="M2771" s="17">
        <v>2024</v>
      </c>
      <c r="N2771" s="17" t="s">
        <v>117</v>
      </c>
    </row>
    <row r="2772" spans="1:14" ht="14.25" customHeight="1">
      <c r="A2772" s="17">
        <v>12771</v>
      </c>
      <c r="B2772" s="18">
        <v>45341</v>
      </c>
      <c r="C2772" s="17" t="s">
        <v>45</v>
      </c>
      <c r="D2772" s="17" t="s">
        <v>170</v>
      </c>
      <c r="E2772" s="17" t="s">
        <v>165</v>
      </c>
      <c r="F2772" s="17" t="s">
        <v>166</v>
      </c>
      <c r="G2772" s="17">
        <v>4</v>
      </c>
      <c r="H2772" s="17">
        <v>65857</v>
      </c>
      <c r="I2772" s="17">
        <v>263428</v>
      </c>
      <c r="J2772" s="17">
        <v>3719</v>
      </c>
      <c r="K2772" s="17">
        <v>259709</v>
      </c>
      <c r="L2772" s="17">
        <v>31243.080129999998</v>
      </c>
      <c r="M2772" s="17">
        <v>2024</v>
      </c>
      <c r="N2772" s="17" t="s">
        <v>175</v>
      </c>
    </row>
    <row r="2773" spans="1:14" ht="14.25" customHeight="1">
      <c r="A2773" s="17">
        <v>12772</v>
      </c>
      <c r="B2773" s="18">
        <v>45910</v>
      </c>
      <c r="C2773" s="17" t="s">
        <v>167</v>
      </c>
      <c r="D2773" s="17" t="s">
        <v>89</v>
      </c>
      <c r="E2773" s="17" t="s">
        <v>165</v>
      </c>
      <c r="F2773" s="17" t="s">
        <v>166</v>
      </c>
      <c r="G2773" s="17">
        <v>7</v>
      </c>
      <c r="H2773" s="17">
        <v>72573</v>
      </c>
      <c r="I2773" s="17">
        <v>508011</v>
      </c>
      <c r="J2773" s="17">
        <v>4771</v>
      </c>
      <c r="K2773" s="17">
        <v>503240</v>
      </c>
      <c r="L2773" s="17">
        <v>124137.3726</v>
      </c>
      <c r="M2773" s="17">
        <v>2025</v>
      </c>
      <c r="N2773" s="17" t="s">
        <v>129</v>
      </c>
    </row>
    <row r="2774" spans="1:14" ht="14.25" customHeight="1">
      <c r="A2774" s="17">
        <v>12773</v>
      </c>
      <c r="B2774" s="18">
        <v>45916</v>
      </c>
      <c r="C2774" s="17" t="s">
        <v>167</v>
      </c>
      <c r="D2774" s="17" t="s">
        <v>86</v>
      </c>
      <c r="E2774" s="17" t="s">
        <v>168</v>
      </c>
      <c r="F2774" s="17" t="s">
        <v>166</v>
      </c>
      <c r="G2774" s="17">
        <v>5</v>
      </c>
      <c r="H2774" s="17">
        <v>26259</v>
      </c>
      <c r="I2774" s="17">
        <v>131295</v>
      </c>
      <c r="J2774" s="17">
        <v>2696</v>
      </c>
      <c r="K2774" s="17">
        <v>128599</v>
      </c>
      <c r="L2774" s="17">
        <v>13144.14136</v>
      </c>
      <c r="M2774" s="17">
        <v>2025</v>
      </c>
      <c r="N2774" s="17" t="s">
        <v>129</v>
      </c>
    </row>
    <row r="2775" spans="1:14" ht="14.25" customHeight="1">
      <c r="A2775" s="17">
        <v>12774</v>
      </c>
      <c r="B2775" s="18">
        <v>45545</v>
      </c>
      <c r="C2775" s="17" t="s">
        <v>50</v>
      </c>
      <c r="D2775" s="17" t="s">
        <v>83</v>
      </c>
      <c r="E2775" s="17" t="s">
        <v>162</v>
      </c>
      <c r="F2775" s="17" t="s">
        <v>163</v>
      </c>
      <c r="G2775" s="17">
        <v>3</v>
      </c>
      <c r="H2775" s="17">
        <v>77622</v>
      </c>
      <c r="I2775" s="17">
        <v>232866</v>
      </c>
      <c r="J2775" s="17">
        <v>4266</v>
      </c>
      <c r="K2775" s="17">
        <v>228600</v>
      </c>
      <c r="L2775" s="17">
        <v>34018.24613</v>
      </c>
      <c r="M2775" s="17">
        <v>2024</v>
      </c>
      <c r="N2775" s="17" t="s">
        <v>129</v>
      </c>
    </row>
    <row r="2776" spans="1:14" ht="14.25" customHeight="1">
      <c r="A2776" s="17">
        <v>12775</v>
      </c>
      <c r="B2776" s="18">
        <v>45921</v>
      </c>
      <c r="C2776" s="17" t="s">
        <v>45</v>
      </c>
      <c r="D2776" s="17" t="s">
        <v>83</v>
      </c>
      <c r="E2776" s="17" t="s">
        <v>168</v>
      </c>
      <c r="F2776" s="17" t="s">
        <v>164</v>
      </c>
      <c r="G2776" s="17">
        <v>8</v>
      </c>
      <c r="H2776" s="17">
        <v>6149</v>
      </c>
      <c r="I2776" s="17">
        <v>49192</v>
      </c>
      <c r="J2776" s="17">
        <v>808</v>
      </c>
      <c r="K2776" s="17">
        <v>48384</v>
      </c>
      <c r="L2776" s="17">
        <v>5091.956314</v>
      </c>
      <c r="M2776" s="17">
        <v>2025</v>
      </c>
      <c r="N2776" s="17" t="s">
        <v>129</v>
      </c>
    </row>
    <row r="2777" spans="1:14" ht="14.25" customHeight="1">
      <c r="A2777" s="17">
        <v>12776</v>
      </c>
      <c r="B2777" s="18">
        <v>46001</v>
      </c>
      <c r="C2777" s="17" t="s">
        <v>45</v>
      </c>
      <c r="D2777" s="17" t="s">
        <v>83</v>
      </c>
      <c r="E2777" s="17" t="s">
        <v>162</v>
      </c>
      <c r="F2777" s="17" t="s">
        <v>172</v>
      </c>
      <c r="G2777" s="17">
        <v>2</v>
      </c>
      <c r="H2777" s="17">
        <v>27792</v>
      </c>
      <c r="I2777" s="17">
        <v>55584</v>
      </c>
      <c r="J2777" s="17">
        <v>2151</v>
      </c>
      <c r="K2777" s="17">
        <v>53433</v>
      </c>
      <c r="L2777" s="17">
        <v>12060.21437</v>
      </c>
      <c r="M2777" s="17">
        <v>2025</v>
      </c>
      <c r="N2777" s="17" t="s">
        <v>169</v>
      </c>
    </row>
    <row r="2778" spans="1:14" ht="14.25" customHeight="1">
      <c r="A2778" s="17">
        <v>12777</v>
      </c>
      <c r="B2778" s="18">
        <v>45854</v>
      </c>
      <c r="C2778" s="17" t="s">
        <v>39</v>
      </c>
      <c r="D2778" s="17" t="s">
        <v>83</v>
      </c>
      <c r="E2778" s="17" t="s">
        <v>165</v>
      </c>
      <c r="F2778" s="17" t="s">
        <v>172</v>
      </c>
      <c r="G2778" s="17">
        <v>1</v>
      </c>
      <c r="H2778" s="17">
        <v>21390</v>
      </c>
      <c r="I2778" s="17">
        <v>21390</v>
      </c>
      <c r="J2778" s="17">
        <v>3293</v>
      </c>
      <c r="K2778" s="17">
        <v>18097</v>
      </c>
      <c r="L2778" s="17">
        <v>3393.7368729999998</v>
      </c>
      <c r="M2778" s="17">
        <v>2025</v>
      </c>
      <c r="N2778" s="17" t="s">
        <v>123</v>
      </c>
    </row>
    <row r="2779" spans="1:14" ht="14.25" customHeight="1">
      <c r="A2779" s="17">
        <v>12778</v>
      </c>
      <c r="B2779" s="18">
        <v>45717</v>
      </c>
      <c r="C2779" s="17" t="s">
        <v>39</v>
      </c>
      <c r="D2779" s="17" t="s">
        <v>111</v>
      </c>
      <c r="E2779" s="17" t="s">
        <v>168</v>
      </c>
      <c r="F2779" s="17" t="s">
        <v>163</v>
      </c>
      <c r="G2779" s="17">
        <v>5</v>
      </c>
      <c r="H2779" s="17">
        <v>39204</v>
      </c>
      <c r="I2779" s="17">
        <v>196020</v>
      </c>
      <c r="J2779" s="17">
        <v>1305</v>
      </c>
      <c r="K2779" s="17">
        <v>194715</v>
      </c>
      <c r="L2779" s="17">
        <v>20872.04176</v>
      </c>
      <c r="M2779" s="17">
        <v>2025</v>
      </c>
      <c r="N2779" s="17" t="s">
        <v>112</v>
      </c>
    </row>
    <row r="2780" spans="1:14" ht="14.25" customHeight="1">
      <c r="A2780" s="17">
        <v>12779</v>
      </c>
      <c r="B2780" s="18">
        <v>45838</v>
      </c>
      <c r="C2780" s="17" t="s">
        <v>50</v>
      </c>
      <c r="D2780" s="17" t="s">
        <v>83</v>
      </c>
      <c r="E2780" s="17" t="s">
        <v>165</v>
      </c>
      <c r="F2780" s="17" t="s">
        <v>166</v>
      </c>
      <c r="G2780" s="17">
        <v>4</v>
      </c>
      <c r="H2780" s="17">
        <v>41018</v>
      </c>
      <c r="I2780" s="17">
        <v>164072</v>
      </c>
      <c r="J2780" s="17">
        <v>3459</v>
      </c>
      <c r="K2780" s="17">
        <v>160613</v>
      </c>
      <c r="L2780" s="17">
        <v>30886.574250000001</v>
      </c>
      <c r="M2780" s="17">
        <v>2025</v>
      </c>
      <c r="N2780" s="17" t="s">
        <v>120</v>
      </c>
    </row>
    <row r="2781" spans="1:14" ht="14.25" customHeight="1">
      <c r="A2781" s="17">
        <v>12780</v>
      </c>
      <c r="B2781" s="18">
        <v>45593</v>
      </c>
      <c r="C2781" s="17" t="s">
        <v>58</v>
      </c>
      <c r="D2781" s="17" t="s">
        <v>89</v>
      </c>
      <c r="E2781" s="17" t="s">
        <v>162</v>
      </c>
      <c r="F2781" s="17" t="s">
        <v>164</v>
      </c>
      <c r="G2781" s="17">
        <v>7</v>
      </c>
      <c r="H2781" s="17">
        <v>26471</v>
      </c>
      <c r="I2781" s="17">
        <v>185297</v>
      </c>
      <c r="J2781" s="17">
        <v>2419</v>
      </c>
      <c r="K2781" s="17">
        <v>182878</v>
      </c>
      <c r="L2781" s="17">
        <v>21664.543310000001</v>
      </c>
      <c r="M2781" s="17">
        <v>2024</v>
      </c>
      <c r="N2781" s="17" t="s">
        <v>174</v>
      </c>
    </row>
    <row r="2782" spans="1:14" ht="14.25" customHeight="1">
      <c r="A2782" s="17">
        <v>12781</v>
      </c>
      <c r="B2782" s="18">
        <v>45872</v>
      </c>
      <c r="C2782" s="17" t="s">
        <v>58</v>
      </c>
      <c r="D2782" s="17" t="s">
        <v>83</v>
      </c>
      <c r="E2782" s="17" t="s">
        <v>165</v>
      </c>
      <c r="F2782" s="17" t="s">
        <v>166</v>
      </c>
      <c r="G2782" s="17">
        <v>9</v>
      </c>
      <c r="H2782" s="17">
        <v>19263</v>
      </c>
      <c r="I2782" s="17">
        <v>173367</v>
      </c>
      <c r="J2782" s="17">
        <v>4224</v>
      </c>
      <c r="K2782" s="17">
        <v>169143</v>
      </c>
      <c r="L2782" s="17">
        <v>29491.755069999999</v>
      </c>
      <c r="M2782" s="17">
        <v>2025</v>
      </c>
      <c r="N2782" s="17" t="s">
        <v>126</v>
      </c>
    </row>
    <row r="2783" spans="1:14" ht="14.25" customHeight="1">
      <c r="A2783" s="17">
        <v>12782</v>
      </c>
      <c r="B2783" s="18">
        <v>45640</v>
      </c>
      <c r="C2783" s="17" t="s">
        <v>58</v>
      </c>
      <c r="D2783" s="17" t="s">
        <v>170</v>
      </c>
      <c r="E2783" s="17" t="s">
        <v>168</v>
      </c>
      <c r="F2783" s="17" t="s">
        <v>163</v>
      </c>
      <c r="G2783" s="17">
        <v>6</v>
      </c>
      <c r="H2783" s="17">
        <v>65309</v>
      </c>
      <c r="I2783" s="17">
        <v>391854</v>
      </c>
      <c r="J2783" s="17">
        <v>1196</v>
      </c>
      <c r="K2783" s="17">
        <v>390658</v>
      </c>
      <c r="L2783" s="17">
        <v>78292.526559999998</v>
      </c>
      <c r="M2783" s="17">
        <v>2024</v>
      </c>
      <c r="N2783" s="17" t="s">
        <v>169</v>
      </c>
    </row>
    <row r="2784" spans="1:14" ht="14.25" customHeight="1">
      <c r="A2784" s="17">
        <v>12783</v>
      </c>
      <c r="B2784" s="18">
        <v>45340</v>
      </c>
      <c r="C2784" s="17" t="s">
        <v>45</v>
      </c>
      <c r="D2784" s="17" t="s">
        <v>83</v>
      </c>
      <c r="E2784" s="17" t="s">
        <v>168</v>
      </c>
      <c r="F2784" s="17" t="s">
        <v>172</v>
      </c>
      <c r="G2784" s="17">
        <v>1</v>
      </c>
      <c r="H2784" s="17">
        <v>57451</v>
      </c>
      <c r="I2784" s="17">
        <v>57451</v>
      </c>
      <c r="J2784" s="17">
        <v>4567</v>
      </c>
      <c r="K2784" s="17">
        <v>52884</v>
      </c>
      <c r="L2784" s="17">
        <v>6466.4468889999998</v>
      </c>
      <c r="M2784" s="17">
        <v>2024</v>
      </c>
      <c r="N2784" s="17" t="s">
        <v>175</v>
      </c>
    </row>
    <row r="2785" spans="1:14" ht="14.25" customHeight="1">
      <c r="A2785" s="17">
        <v>12784</v>
      </c>
      <c r="B2785" s="18">
        <v>45365</v>
      </c>
      <c r="C2785" s="17" t="s">
        <v>45</v>
      </c>
      <c r="D2785" s="17" t="s">
        <v>86</v>
      </c>
      <c r="E2785" s="17" t="s">
        <v>162</v>
      </c>
      <c r="F2785" s="17" t="s">
        <v>163</v>
      </c>
      <c r="G2785" s="17">
        <v>8</v>
      </c>
      <c r="H2785" s="17">
        <v>75379</v>
      </c>
      <c r="I2785" s="17">
        <v>603032</v>
      </c>
      <c r="J2785" s="17">
        <v>3524</v>
      </c>
      <c r="K2785" s="17">
        <v>599508</v>
      </c>
      <c r="L2785" s="17">
        <v>104648.6544</v>
      </c>
      <c r="M2785" s="17">
        <v>2024</v>
      </c>
      <c r="N2785" s="17" t="s">
        <v>112</v>
      </c>
    </row>
    <row r="2786" spans="1:14" ht="14.25" customHeight="1">
      <c r="A2786" s="17">
        <v>12785</v>
      </c>
      <c r="B2786" s="18">
        <v>45995</v>
      </c>
      <c r="C2786" s="17" t="s">
        <v>167</v>
      </c>
      <c r="D2786" s="17" t="s">
        <v>89</v>
      </c>
      <c r="E2786" s="17" t="s">
        <v>162</v>
      </c>
      <c r="F2786" s="17" t="s">
        <v>172</v>
      </c>
      <c r="G2786" s="17">
        <v>2</v>
      </c>
      <c r="H2786" s="17">
        <v>16559</v>
      </c>
      <c r="I2786" s="17">
        <v>33118</v>
      </c>
      <c r="J2786" s="17">
        <v>1525</v>
      </c>
      <c r="K2786" s="17">
        <v>31593</v>
      </c>
      <c r="L2786" s="17">
        <v>5326.9475220000004</v>
      </c>
      <c r="M2786" s="17">
        <v>2025</v>
      </c>
      <c r="N2786" s="17" t="s">
        <v>169</v>
      </c>
    </row>
    <row r="2787" spans="1:14" ht="14.25" customHeight="1">
      <c r="A2787" s="17">
        <v>12786</v>
      </c>
      <c r="B2787" s="18">
        <v>45552</v>
      </c>
      <c r="C2787" s="17" t="s">
        <v>45</v>
      </c>
      <c r="D2787" s="17" t="s">
        <v>89</v>
      </c>
      <c r="E2787" s="17" t="s">
        <v>168</v>
      </c>
      <c r="F2787" s="17" t="s">
        <v>164</v>
      </c>
      <c r="G2787" s="17">
        <v>4</v>
      </c>
      <c r="H2787" s="17">
        <v>68728</v>
      </c>
      <c r="I2787" s="17">
        <v>274912</v>
      </c>
      <c r="J2787" s="17">
        <v>1599</v>
      </c>
      <c r="K2787" s="17">
        <v>273313</v>
      </c>
      <c r="L2787" s="17">
        <v>64874.276510000003</v>
      </c>
      <c r="M2787" s="17">
        <v>2024</v>
      </c>
      <c r="N2787" s="17" t="s">
        <v>129</v>
      </c>
    </row>
    <row r="2788" spans="1:14" ht="14.25" customHeight="1">
      <c r="A2788" s="17">
        <v>12787</v>
      </c>
      <c r="B2788" s="18">
        <v>45647</v>
      </c>
      <c r="C2788" s="17" t="s">
        <v>45</v>
      </c>
      <c r="D2788" s="17" t="s">
        <v>111</v>
      </c>
      <c r="E2788" s="17" t="s">
        <v>168</v>
      </c>
      <c r="F2788" s="17" t="s">
        <v>172</v>
      </c>
      <c r="G2788" s="17">
        <v>3</v>
      </c>
      <c r="H2788" s="17">
        <v>9952</v>
      </c>
      <c r="I2788" s="17">
        <v>29856</v>
      </c>
      <c r="J2788" s="17">
        <v>1044</v>
      </c>
      <c r="K2788" s="17">
        <v>28812</v>
      </c>
      <c r="L2788" s="17">
        <v>7184.4222870000003</v>
      </c>
      <c r="M2788" s="17">
        <v>2024</v>
      </c>
      <c r="N2788" s="17" t="s">
        <v>169</v>
      </c>
    </row>
    <row r="2789" spans="1:14" ht="14.25" customHeight="1">
      <c r="A2789" s="17">
        <v>12788</v>
      </c>
      <c r="B2789" s="18">
        <v>45873</v>
      </c>
      <c r="C2789" s="17" t="s">
        <v>45</v>
      </c>
      <c r="D2789" s="17" t="s">
        <v>170</v>
      </c>
      <c r="E2789" s="17" t="s">
        <v>168</v>
      </c>
      <c r="F2789" s="17" t="s">
        <v>164</v>
      </c>
      <c r="G2789" s="17">
        <v>6</v>
      </c>
      <c r="H2789" s="17">
        <v>66726</v>
      </c>
      <c r="I2789" s="17">
        <v>400356</v>
      </c>
      <c r="J2789" s="17">
        <v>2153</v>
      </c>
      <c r="K2789" s="17">
        <v>398203</v>
      </c>
      <c r="L2789" s="17">
        <v>78912.353210000001</v>
      </c>
      <c r="M2789" s="17">
        <v>2025</v>
      </c>
      <c r="N2789" s="17" t="s">
        <v>126</v>
      </c>
    </row>
    <row r="2790" spans="1:14" ht="14.25" customHeight="1">
      <c r="A2790" s="17">
        <v>12789</v>
      </c>
      <c r="B2790" s="18">
        <v>45893</v>
      </c>
      <c r="C2790" s="17" t="s">
        <v>50</v>
      </c>
      <c r="D2790" s="17" t="s">
        <v>89</v>
      </c>
      <c r="E2790" s="17" t="s">
        <v>168</v>
      </c>
      <c r="F2790" s="17" t="s">
        <v>166</v>
      </c>
      <c r="G2790" s="17">
        <v>2</v>
      </c>
      <c r="H2790" s="17">
        <v>45610</v>
      </c>
      <c r="I2790" s="17">
        <v>91220</v>
      </c>
      <c r="J2790" s="17">
        <v>1867</v>
      </c>
      <c r="K2790" s="17">
        <v>89353</v>
      </c>
      <c r="L2790" s="17">
        <v>20392.934519999999</v>
      </c>
      <c r="M2790" s="17">
        <v>2025</v>
      </c>
      <c r="N2790" s="17" t="s">
        <v>126</v>
      </c>
    </row>
    <row r="2791" spans="1:14" ht="14.25" customHeight="1">
      <c r="A2791" s="17">
        <v>12790</v>
      </c>
      <c r="B2791" s="18">
        <v>45551</v>
      </c>
      <c r="C2791" s="17" t="s">
        <v>45</v>
      </c>
      <c r="D2791" s="17" t="s">
        <v>86</v>
      </c>
      <c r="E2791" s="17" t="s">
        <v>162</v>
      </c>
      <c r="F2791" s="17" t="s">
        <v>166</v>
      </c>
      <c r="G2791" s="17">
        <v>5</v>
      </c>
      <c r="H2791" s="17">
        <v>7153</v>
      </c>
      <c r="I2791" s="17">
        <v>35765</v>
      </c>
      <c r="J2791" s="17">
        <v>1375</v>
      </c>
      <c r="K2791" s="17">
        <v>34390</v>
      </c>
      <c r="L2791" s="17">
        <v>6775.9405770000003</v>
      </c>
      <c r="M2791" s="17">
        <v>2024</v>
      </c>
      <c r="N2791" s="17" t="s">
        <v>129</v>
      </c>
    </row>
    <row r="2792" spans="1:14" ht="14.25" customHeight="1">
      <c r="A2792" s="17">
        <v>12791</v>
      </c>
      <c r="B2792" s="18">
        <v>45929</v>
      </c>
      <c r="C2792" s="17" t="s">
        <v>39</v>
      </c>
      <c r="D2792" s="17" t="s">
        <v>83</v>
      </c>
      <c r="E2792" s="17" t="s">
        <v>168</v>
      </c>
      <c r="F2792" s="17" t="s">
        <v>163</v>
      </c>
      <c r="G2792" s="17">
        <v>9</v>
      </c>
      <c r="H2792" s="17">
        <v>13019</v>
      </c>
      <c r="I2792" s="17">
        <v>117171</v>
      </c>
      <c r="J2792" s="17">
        <v>611</v>
      </c>
      <c r="K2792" s="17">
        <v>116560</v>
      </c>
      <c r="L2792" s="17">
        <v>26976.988890000001</v>
      </c>
      <c r="M2792" s="17">
        <v>2025</v>
      </c>
      <c r="N2792" s="17" t="s">
        <v>129</v>
      </c>
    </row>
    <row r="2793" spans="1:14" ht="14.25" customHeight="1">
      <c r="A2793" s="17">
        <v>12792</v>
      </c>
      <c r="B2793" s="18">
        <v>45586</v>
      </c>
      <c r="C2793" s="17" t="s">
        <v>39</v>
      </c>
      <c r="D2793" s="17" t="s">
        <v>89</v>
      </c>
      <c r="E2793" s="17" t="s">
        <v>162</v>
      </c>
      <c r="F2793" s="17" t="s">
        <v>164</v>
      </c>
      <c r="G2793" s="17">
        <v>3</v>
      </c>
      <c r="H2793" s="17">
        <v>42929</v>
      </c>
      <c r="I2793" s="17">
        <v>128787</v>
      </c>
      <c r="J2793" s="17">
        <v>3316</v>
      </c>
      <c r="K2793" s="17">
        <v>125471</v>
      </c>
      <c r="L2793" s="17">
        <v>20701.56164</v>
      </c>
      <c r="M2793" s="17">
        <v>2024</v>
      </c>
      <c r="N2793" s="17" t="s">
        <v>174</v>
      </c>
    </row>
    <row r="2794" spans="1:14" ht="14.25" customHeight="1">
      <c r="A2794" s="17">
        <v>12793</v>
      </c>
      <c r="B2794" s="18">
        <v>45932</v>
      </c>
      <c r="C2794" s="17" t="s">
        <v>167</v>
      </c>
      <c r="D2794" s="17" t="s">
        <v>86</v>
      </c>
      <c r="E2794" s="17" t="s">
        <v>168</v>
      </c>
      <c r="F2794" s="17" t="s">
        <v>166</v>
      </c>
      <c r="G2794" s="17">
        <v>2</v>
      </c>
      <c r="H2794" s="17">
        <v>22028</v>
      </c>
      <c r="I2794" s="17">
        <v>44056</v>
      </c>
      <c r="J2794" s="17">
        <v>1598</v>
      </c>
      <c r="K2794" s="17">
        <v>42458</v>
      </c>
      <c r="L2794" s="17">
        <v>8117.9050079999997</v>
      </c>
      <c r="M2794" s="17">
        <v>2025</v>
      </c>
      <c r="N2794" s="17" t="s">
        <v>174</v>
      </c>
    </row>
    <row r="2795" spans="1:14" ht="14.25" customHeight="1">
      <c r="A2795" s="17">
        <v>12794</v>
      </c>
      <c r="B2795" s="18">
        <v>45604</v>
      </c>
      <c r="C2795" s="17" t="s">
        <v>50</v>
      </c>
      <c r="D2795" s="17" t="s">
        <v>83</v>
      </c>
      <c r="E2795" s="17" t="s">
        <v>168</v>
      </c>
      <c r="F2795" s="17" t="s">
        <v>164</v>
      </c>
      <c r="G2795" s="17">
        <v>2</v>
      </c>
      <c r="H2795" s="17">
        <v>39620</v>
      </c>
      <c r="I2795" s="17">
        <v>79240</v>
      </c>
      <c r="J2795" s="17">
        <v>4949</v>
      </c>
      <c r="K2795" s="17">
        <v>74291</v>
      </c>
      <c r="L2795" s="17">
        <v>16847.373360000001</v>
      </c>
      <c r="M2795" s="17">
        <v>2024</v>
      </c>
      <c r="N2795" s="17" t="s">
        <v>173</v>
      </c>
    </row>
    <row r="2796" spans="1:14" ht="14.25" customHeight="1">
      <c r="A2796" s="17">
        <v>12795</v>
      </c>
      <c r="B2796" s="18">
        <v>45903</v>
      </c>
      <c r="C2796" s="17" t="s">
        <v>39</v>
      </c>
      <c r="D2796" s="17" t="s">
        <v>111</v>
      </c>
      <c r="E2796" s="17" t="s">
        <v>165</v>
      </c>
      <c r="F2796" s="17" t="s">
        <v>166</v>
      </c>
      <c r="G2796" s="17">
        <v>9</v>
      </c>
      <c r="H2796" s="17">
        <v>53474</v>
      </c>
      <c r="I2796" s="17">
        <v>481266</v>
      </c>
      <c r="J2796" s="17">
        <v>1977</v>
      </c>
      <c r="K2796" s="17">
        <v>479289</v>
      </c>
      <c r="L2796" s="17">
        <v>113933.158</v>
      </c>
      <c r="M2796" s="17">
        <v>2025</v>
      </c>
      <c r="N2796" s="17" t="s">
        <v>129</v>
      </c>
    </row>
    <row r="2797" spans="1:14" ht="14.25" customHeight="1">
      <c r="A2797" s="17">
        <v>12796</v>
      </c>
      <c r="B2797" s="18">
        <v>45473</v>
      </c>
      <c r="C2797" s="17" t="s">
        <v>50</v>
      </c>
      <c r="D2797" s="17" t="s">
        <v>89</v>
      </c>
      <c r="E2797" s="17" t="s">
        <v>165</v>
      </c>
      <c r="F2797" s="17" t="s">
        <v>166</v>
      </c>
      <c r="G2797" s="17">
        <v>6</v>
      </c>
      <c r="H2797" s="17">
        <v>15623</v>
      </c>
      <c r="I2797" s="17">
        <v>93738</v>
      </c>
      <c r="J2797" s="17">
        <v>4397</v>
      </c>
      <c r="K2797" s="17">
        <v>89341</v>
      </c>
      <c r="L2797" s="17">
        <v>9264.8770120000008</v>
      </c>
      <c r="M2797" s="17">
        <v>2024</v>
      </c>
      <c r="N2797" s="17" t="s">
        <v>120</v>
      </c>
    </row>
    <row r="2798" spans="1:14" ht="14.25" customHeight="1">
      <c r="A2798" s="17">
        <v>12797</v>
      </c>
      <c r="B2798" s="18">
        <v>45977</v>
      </c>
      <c r="C2798" s="17" t="s">
        <v>50</v>
      </c>
      <c r="D2798" s="17" t="s">
        <v>89</v>
      </c>
      <c r="E2798" s="17" t="s">
        <v>168</v>
      </c>
      <c r="F2798" s="17" t="s">
        <v>172</v>
      </c>
      <c r="G2798" s="17">
        <v>2</v>
      </c>
      <c r="H2798" s="17">
        <v>8809</v>
      </c>
      <c r="I2798" s="17">
        <v>17618</v>
      </c>
      <c r="J2798" s="17">
        <v>638</v>
      </c>
      <c r="K2798" s="17">
        <v>16980</v>
      </c>
      <c r="L2798" s="17">
        <v>1962.767507</v>
      </c>
      <c r="M2798" s="17">
        <v>2025</v>
      </c>
      <c r="N2798" s="17" t="s">
        <v>173</v>
      </c>
    </row>
    <row r="2799" spans="1:14" ht="14.25" customHeight="1">
      <c r="A2799" s="17">
        <v>12798</v>
      </c>
      <c r="B2799" s="18">
        <v>45655</v>
      </c>
      <c r="C2799" s="17" t="s">
        <v>167</v>
      </c>
      <c r="D2799" s="17" t="s">
        <v>86</v>
      </c>
      <c r="E2799" s="17" t="s">
        <v>162</v>
      </c>
      <c r="F2799" s="17" t="s">
        <v>163</v>
      </c>
      <c r="G2799" s="17">
        <v>3</v>
      </c>
      <c r="H2799" s="17">
        <v>56046</v>
      </c>
      <c r="I2799" s="17">
        <v>168138</v>
      </c>
      <c r="J2799" s="17">
        <v>4166</v>
      </c>
      <c r="K2799" s="17">
        <v>163972</v>
      </c>
      <c r="L2799" s="17">
        <v>39300.121789999997</v>
      </c>
      <c r="M2799" s="17">
        <v>2024</v>
      </c>
      <c r="N2799" s="17" t="s">
        <v>169</v>
      </c>
    </row>
    <row r="2800" spans="1:14" ht="14.25" customHeight="1">
      <c r="A2800" s="17">
        <v>12799</v>
      </c>
      <c r="B2800" s="18">
        <v>45479</v>
      </c>
      <c r="C2800" s="17" t="s">
        <v>50</v>
      </c>
      <c r="D2800" s="17" t="s">
        <v>170</v>
      </c>
      <c r="E2800" s="17" t="s">
        <v>168</v>
      </c>
      <c r="F2800" s="17" t="s">
        <v>172</v>
      </c>
      <c r="G2800" s="17">
        <v>1</v>
      </c>
      <c r="H2800" s="17">
        <v>67496</v>
      </c>
      <c r="I2800" s="17">
        <v>67496</v>
      </c>
      <c r="J2800" s="17">
        <v>1922</v>
      </c>
      <c r="K2800" s="17">
        <v>65574</v>
      </c>
      <c r="L2800" s="17">
        <v>12149.30911</v>
      </c>
      <c r="M2800" s="17">
        <v>2024</v>
      </c>
      <c r="N2800" s="17" t="s">
        <v>123</v>
      </c>
    </row>
    <row r="2801" spans="1:14" ht="14.25" customHeight="1">
      <c r="A2801" s="17">
        <v>12800</v>
      </c>
      <c r="B2801" s="18">
        <v>45860</v>
      </c>
      <c r="C2801" s="17" t="s">
        <v>45</v>
      </c>
      <c r="D2801" s="17" t="s">
        <v>111</v>
      </c>
      <c r="E2801" s="17" t="s">
        <v>165</v>
      </c>
      <c r="F2801" s="17" t="s">
        <v>164</v>
      </c>
      <c r="G2801" s="17">
        <v>2</v>
      </c>
      <c r="H2801" s="17">
        <v>36739</v>
      </c>
      <c r="I2801" s="17">
        <v>73478</v>
      </c>
      <c r="J2801" s="17">
        <v>645</v>
      </c>
      <c r="K2801" s="17">
        <v>72833</v>
      </c>
      <c r="L2801" s="17">
        <v>18101.099119999999</v>
      </c>
      <c r="M2801" s="17">
        <v>2025</v>
      </c>
      <c r="N2801" s="17" t="s">
        <v>123</v>
      </c>
    </row>
    <row r="2802" spans="1:14" ht="14.25" customHeight="1">
      <c r="A2802" s="17">
        <v>12801</v>
      </c>
      <c r="B2802" s="18">
        <v>45834</v>
      </c>
      <c r="C2802" s="17" t="s">
        <v>50</v>
      </c>
      <c r="D2802" s="17" t="s">
        <v>170</v>
      </c>
      <c r="E2802" s="17" t="s">
        <v>168</v>
      </c>
      <c r="F2802" s="17" t="s">
        <v>166</v>
      </c>
      <c r="G2802" s="17">
        <v>2</v>
      </c>
      <c r="H2802" s="17">
        <v>58452</v>
      </c>
      <c r="I2802" s="17">
        <v>116904</v>
      </c>
      <c r="J2802" s="17">
        <v>4269</v>
      </c>
      <c r="K2802" s="17">
        <v>112635</v>
      </c>
      <c r="L2802" s="17">
        <v>24655.233410000001</v>
      </c>
      <c r="M2802" s="17">
        <v>2025</v>
      </c>
      <c r="N2802" s="17" t="s">
        <v>120</v>
      </c>
    </row>
    <row r="2803" spans="1:14" ht="14.25" customHeight="1">
      <c r="A2803" s="17">
        <v>12802</v>
      </c>
      <c r="B2803" s="18">
        <v>45887</v>
      </c>
      <c r="C2803" s="17" t="s">
        <v>167</v>
      </c>
      <c r="D2803" s="17" t="s">
        <v>89</v>
      </c>
      <c r="E2803" s="17" t="s">
        <v>165</v>
      </c>
      <c r="F2803" s="17" t="s">
        <v>163</v>
      </c>
      <c r="G2803" s="17">
        <v>2</v>
      </c>
      <c r="H2803" s="17">
        <v>78324</v>
      </c>
      <c r="I2803" s="17">
        <v>156648</v>
      </c>
      <c r="J2803" s="17">
        <v>1998</v>
      </c>
      <c r="K2803" s="17">
        <v>154650</v>
      </c>
      <c r="L2803" s="17">
        <v>34443.806909999999</v>
      </c>
      <c r="M2803" s="17">
        <v>2025</v>
      </c>
      <c r="N2803" s="17" t="s">
        <v>126</v>
      </c>
    </row>
    <row r="2804" spans="1:14" ht="14.25" customHeight="1">
      <c r="A2804" s="17">
        <v>12803</v>
      </c>
      <c r="B2804" s="18">
        <v>45955</v>
      </c>
      <c r="C2804" s="17" t="s">
        <v>167</v>
      </c>
      <c r="D2804" s="17" t="s">
        <v>170</v>
      </c>
      <c r="E2804" s="17" t="s">
        <v>168</v>
      </c>
      <c r="F2804" s="17" t="s">
        <v>166</v>
      </c>
      <c r="G2804" s="17">
        <v>7</v>
      </c>
      <c r="H2804" s="17">
        <v>11977</v>
      </c>
      <c r="I2804" s="17">
        <v>83839</v>
      </c>
      <c r="J2804" s="17">
        <v>89</v>
      </c>
      <c r="K2804" s="17">
        <v>83750</v>
      </c>
      <c r="L2804" s="17">
        <v>13225.664000000001</v>
      </c>
      <c r="M2804" s="17">
        <v>2025</v>
      </c>
      <c r="N2804" s="17" t="s">
        <v>174</v>
      </c>
    </row>
    <row r="2805" spans="1:14" ht="14.25" customHeight="1">
      <c r="A2805" s="17">
        <v>12804</v>
      </c>
      <c r="B2805" s="18">
        <v>45839</v>
      </c>
      <c r="C2805" s="17" t="s">
        <v>167</v>
      </c>
      <c r="D2805" s="17" t="s">
        <v>83</v>
      </c>
      <c r="E2805" s="17" t="s">
        <v>168</v>
      </c>
      <c r="F2805" s="17" t="s">
        <v>166</v>
      </c>
      <c r="G2805" s="17">
        <v>3</v>
      </c>
      <c r="H2805" s="17">
        <v>39838</v>
      </c>
      <c r="I2805" s="17">
        <v>119514</v>
      </c>
      <c r="J2805" s="17">
        <v>3278</v>
      </c>
      <c r="K2805" s="17">
        <v>116236</v>
      </c>
      <c r="L2805" s="17">
        <v>16113.937110000001</v>
      </c>
      <c r="M2805" s="17">
        <v>2025</v>
      </c>
      <c r="N2805" s="17" t="s">
        <v>123</v>
      </c>
    </row>
    <row r="2806" spans="1:14" ht="14.25" customHeight="1">
      <c r="A2806" s="17">
        <v>12805</v>
      </c>
      <c r="B2806" s="18">
        <v>46016</v>
      </c>
      <c r="C2806" s="17" t="s">
        <v>39</v>
      </c>
      <c r="D2806" s="17" t="s">
        <v>111</v>
      </c>
      <c r="E2806" s="17" t="s">
        <v>162</v>
      </c>
      <c r="F2806" s="17" t="s">
        <v>172</v>
      </c>
      <c r="G2806" s="17">
        <v>4</v>
      </c>
      <c r="H2806" s="17">
        <v>73192</v>
      </c>
      <c r="I2806" s="17">
        <v>292768</v>
      </c>
      <c r="J2806" s="17">
        <v>2366</v>
      </c>
      <c r="K2806" s="17">
        <v>290402</v>
      </c>
      <c r="L2806" s="17">
        <v>55100.549099999997</v>
      </c>
      <c r="M2806" s="17">
        <v>2025</v>
      </c>
      <c r="N2806" s="17" t="s">
        <v>169</v>
      </c>
    </row>
    <row r="2807" spans="1:14" ht="14.25" customHeight="1">
      <c r="A2807" s="17">
        <v>12806</v>
      </c>
      <c r="B2807" s="18">
        <v>45699</v>
      </c>
      <c r="C2807" s="17" t="s">
        <v>45</v>
      </c>
      <c r="D2807" s="17" t="s">
        <v>170</v>
      </c>
      <c r="E2807" s="17" t="s">
        <v>165</v>
      </c>
      <c r="F2807" s="17" t="s">
        <v>164</v>
      </c>
      <c r="G2807" s="17">
        <v>2</v>
      </c>
      <c r="H2807" s="17">
        <v>9134</v>
      </c>
      <c r="I2807" s="17">
        <v>18268</v>
      </c>
      <c r="J2807" s="17">
        <v>823</v>
      </c>
      <c r="K2807" s="17">
        <v>17445</v>
      </c>
      <c r="L2807" s="17">
        <v>4044.7072440000002</v>
      </c>
      <c r="M2807" s="17">
        <v>2025</v>
      </c>
      <c r="N2807" s="17" t="s">
        <v>175</v>
      </c>
    </row>
    <row r="2808" spans="1:14" ht="14.25" customHeight="1">
      <c r="A2808" s="17">
        <v>12807</v>
      </c>
      <c r="B2808" s="18">
        <v>45909</v>
      </c>
      <c r="C2808" s="17" t="s">
        <v>39</v>
      </c>
      <c r="D2808" s="17" t="s">
        <v>83</v>
      </c>
      <c r="E2808" s="17" t="s">
        <v>165</v>
      </c>
      <c r="F2808" s="17" t="s">
        <v>163</v>
      </c>
      <c r="G2808" s="17">
        <v>5</v>
      </c>
      <c r="H2808" s="17">
        <v>58420</v>
      </c>
      <c r="I2808" s="17">
        <v>292100</v>
      </c>
      <c r="J2808" s="17">
        <v>550</v>
      </c>
      <c r="K2808" s="17">
        <v>291550</v>
      </c>
      <c r="L2808" s="17">
        <v>60891.610030000003</v>
      </c>
      <c r="M2808" s="17">
        <v>2025</v>
      </c>
      <c r="N2808" s="17" t="s">
        <v>129</v>
      </c>
    </row>
    <row r="2809" spans="1:14" ht="14.25" customHeight="1">
      <c r="A2809" s="17">
        <v>12808</v>
      </c>
      <c r="B2809" s="18">
        <v>45705</v>
      </c>
      <c r="C2809" s="17" t="s">
        <v>58</v>
      </c>
      <c r="D2809" s="17" t="s">
        <v>86</v>
      </c>
      <c r="E2809" s="17" t="s">
        <v>165</v>
      </c>
      <c r="F2809" s="17" t="s">
        <v>163</v>
      </c>
      <c r="G2809" s="17">
        <v>9</v>
      </c>
      <c r="H2809" s="17">
        <v>34431</v>
      </c>
      <c r="I2809" s="17">
        <v>309879</v>
      </c>
      <c r="J2809" s="17">
        <v>59</v>
      </c>
      <c r="K2809" s="17">
        <v>309820</v>
      </c>
      <c r="L2809" s="17">
        <v>52925.39529</v>
      </c>
      <c r="M2809" s="17">
        <v>2025</v>
      </c>
      <c r="N2809" s="17" t="s">
        <v>175</v>
      </c>
    </row>
    <row r="2810" spans="1:14" ht="14.25" customHeight="1">
      <c r="A2810" s="17">
        <v>12809</v>
      </c>
      <c r="B2810" s="18">
        <v>45633</v>
      </c>
      <c r="C2810" s="17" t="s">
        <v>45</v>
      </c>
      <c r="D2810" s="17" t="s">
        <v>170</v>
      </c>
      <c r="E2810" s="17" t="s">
        <v>162</v>
      </c>
      <c r="F2810" s="17" t="s">
        <v>163</v>
      </c>
      <c r="G2810" s="17">
        <v>9</v>
      </c>
      <c r="H2810" s="17">
        <v>74020</v>
      </c>
      <c r="I2810" s="17">
        <v>666180</v>
      </c>
      <c r="J2810" s="17">
        <v>4222</v>
      </c>
      <c r="K2810" s="17">
        <v>661958</v>
      </c>
      <c r="L2810" s="17">
        <v>140983.8621</v>
      </c>
      <c r="M2810" s="17">
        <v>2024</v>
      </c>
      <c r="N2810" s="17" t="s">
        <v>169</v>
      </c>
    </row>
    <row r="2811" spans="1:14" ht="14.25" customHeight="1">
      <c r="A2811" s="17">
        <v>12810</v>
      </c>
      <c r="B2811" s="18">
        <v>45511</v>
      </c>
      <c r="C2811" s="17" t="s">
        <v>50</v>
      </c>
      <c r="D2811" s="17" t="s">
        <v>111</v>
      </c>
      <c r="E2811" s="17" t="s">
        <v>168</v>
      </c>
      <c r="F2811" s="17" t="s">
        <v>164</v>
      </c>
      <c r="G2811" s="17">
        <v>7</v>
      </c>
      <c r="H2811" s="17">
        <v>54565</v>
      </c>
      <c r="I2811" s="17">
        <v>381955</v>
      </c>
      <c r="J2811" s="17">
        <v>4178</v>
      </c>
      <c r="K2811" s="17">
        <v>377777</v>
      </c>
      <c r="L2811" s="17">
        <v>76900.151440000001</v>
      </c>
      <c r="M2811" s="17">
        <v>2024</v>
      </c>
      <c r="N2811" s="17" t="s">
        <v>126</v>
      </c>
    </row>
    <row r="2812" spans="1:14" ht="14.25" customHeight="1">
      <c r="A2812" s="17">
        <v>12811</v>
      </c>
      <c r="B2812" s="18">
        <v>45454</v>
      </c>
      <c r="C2812" s="17" t="s">
        <v>167</v>
      </c>
      <c r="D2812" s="17" t="s">
        <v>83</v>
      </c>
      <c r="E2812" s="17" t="s">
        <v>162</v>
      </c>
      <c r="F2812" s="17" t="s">
        <v>163</v>
      </c>
      <c r="G2812" s="17">
        <v>8</v>
      </c>
      <c r="H2812" s="17">
        <v>61993</v>
      </c>
      <c r="I2812" s="17">
        <v>495944</v>
      </c>
      <c r="J2812" s="17">
        <v>1243</v>
      </c>
      <c r="K2812" s="17">
        <v>494701</v>
      </c>
      <c r="L2812" s="17">
        <v>117223.2179</v>
      </c>
      <c r="M2812" s="17">
        <v>2024</v>
      </c>
      <c r="N2812" s="17" t="s">
        <v>120</v>
      </c>
    </row>
    <row r="2813" spans="1:14" ht="14.25" customHeight="1">
      <c r="A2813" s="17">
        <v>12812</v>
      </c>
      <c r="B2813" s="18">
        <v>45511</v>
      </c>
      <c r="C2813" s="17" t="s">
        <v>58</v>
      </c>
      <c r="D2813" s="17" t="s">
        <v>170</v>
      </c>
      <c r="E2813" s="17" t="s">
        <v>168</v>
      </c>
      <c r="F2813" s="17" t="s">
        <v>164</v>
      </c>
      <c r="G2813" s="17">
        <v>5</v>
      </c>
      <c r="H2813" s="17">
        <v>63035</v>
      </c>
      <c r="I2813" s="17">
        <v>315175</v>
      </c>
      <c r="J2813" s="17">
        <v>3479</v>
      </c>
      <c r="K2813" s="17">
        <v>311696</v>
      </c>
      <c r="L2813" s="17">
        <v>43492.059829999998</v>
      </c>
      <c r="M2813" s="17">
        <v>2024</v>
      </c>
      <c r="N2813" s="17" t="s">
        <v>126</v>
      </c>
    </row>
    <row r="2814" spans="1:14" ht="14.25" customHeight="1">
      <c r="A2814" s="17">
        <v>12813</v>
      </c>
      <c r="B2814" s="18">
        <v>45561</v>
      </c>
      <c r="C2814" s="17" t="s">
        <v>45</v>
      </c>
      <c r="D2814" s="17" t="s">
        <v>86</v>
      </c>
      <c r="E2814" s="17" t="s">
        <v>162</v>
      </c>
      <c r="F2814" s="17" t="s">
        <v>163</v>
      </c>
      <c r="G2814" s="17">
        <v>5</v>
      </c>
      <c r="H2814" s="17">
        <v>52312</v>
      </c>
      <c r="I2814" s="17">
        <v>261560</v>
      </c>
      <c r="J2814" s="17">
        <v>945</v>
      </c>
      <c r="K2814" s="17">
        <v>260615</v>
      </c>
      <c r="L2814" s="17">
        <v>30725.653389999999</v>
      </c>
      <c r="M2814" s="17">
        <v>2024</v>
      </c>
      <c r="N2814" s="17" t="s">
        <v>129</v>
      </c>
    </row>
    <row r="2815" spans="1:14" ht="14.25" customHeight="1">
      <c r="A2815" s="17">
        <v>12814</v>
      </c>
      <c r="B2815" s="18">
        <v>45923</v>
      </c>
      <c r="C2815" s="17" t="s">
        <v>39</v>
      </c>
      <c r="D2815" s="17" t="s">
        <v>170</v>
      </c>
      <c r="E2815" s="17" t="s">
        <v>162</v>
      </c>
      <c r="F2815" s="17" t="s">
        <v>166</v>
      </c>
      <c r="G2815" s="17">
        <v>3</v>
      </c>
      <c r="H2815" s="17">
        <v>43916</v>
      </c>
      <c r="I2815" s="17">
        <v>131748</v>
      </c>
      <c r="J2815" s="17">
        <v>1640</v>
      </c>
      <c r="K2815" s="17">
        <v>130108</v>
      </c>
      <c r="L2815" s="17">
        <v>22184.412509999998</v>
      </c>
      <c r="M2815" s="17">
        <v>2025</v>
      </c>
      <c r="N2815" s="17" t="s">
        <v>129</v>
      </c>
    </row>
    <row r="2816" spans="1:14" ht="14.25" customHeight="1">
      <c r="A2816" s="17">
        <v>12815</v>
      </c>
      <c r="B2816" s="18">
        <v>45691</v>
      </c>
      <c r="C2816" s="17" t="s">
        <v>167</v>
      </c>
      <c r="D2816" s="17" t="s">
        <v>83</v>
      </c>
      <c r="E2816" s="17" t="s">
        <v>165</v>
      </c>
      <c r="F2816" s="17" t="s">
        <v>164</v>
      </c>
      <c r="G2816" s="17">
        <v>6</v>
      </c>
      <c r="H2816" s="17">
        <v>25693</v>
      </c>
      <c r="I2816" s="17">
        <v>154158</v>
      </c>
      <c r="J2816" s="17">
        <v>1952</v>
      </c>
      <c r="K2816" s="17">
        <v>152206</v>
      </c>
      <c r="L2816" s="17">
        <v>23464.399880000001</v>
      </c>
      <c r="M2816" s="17">
        <v>2025</v>
      </c>
      <c r="N2816" s="17" t="s">
        <v>175</v>
      </c>
    </row>
    <row r="2817" spans="1:14" ht="14.25" customHeight="1">
      <c r="A2817" s="17">
        <v>12816</v>
      </c>
      <c r="B2817" s="18">
        <v>45473</v>
      </c>
      <c r="C2817" s="17" t="s">
        <v>39</v>
      </c>
      <c r="D2817" s="17" t="s">
        <v>170</v>
      </c>
      <c r="E2817" s="17" t="s">
        <v>162</v>
      </c>
      <c r="F2817" s="17" t="s">
        <v>172</v>
      </c>
      <c r="G2817" s="17">
        <v>1</v>
      </c>
      <c r="H2817" s="17">
        <v>43559</v>
      </c>
      <c r="I2817" s="17">
        <v>43559</v>
      </c>
      <c r="J2817" s="17">
        <v>2633</v>
      </c>
      <c r="K2817" s="17">
        <v>40926</v>
      </c>
      <c r="L2817" s="17">
        <v>10077.1751</v>
      </c>
      <c r="M2817" s="17">
        <v>2024</v>
      </c>
      <c r="N2817" s="17" t="s">
        <v>120</v>
      </c>
    </row>
    <row r="2818" spans="1:14" ht="14.25" customHeight="1">
      <c r="A2818" s="17">
        <v>12817</v>
      </c>
      <c r="B2818" s="18">
        <v>45909</v>
      </c>
      <c r="C2818" s="17" t="s">
        <v>45</v>
      </c>
      <c r="D2818" s="17" t="s">
        <v>111</v>
      </c>
      <c r="E2818" s="17" t="s">
        <v>168</v>
      </c>
      <c r="F2818" s="17" t="s">
        <v>163</v>
      </c>
      <c r="G2818" s="17">
        <v>3</v>
      </c>
      <c r="H2818" s="17">
        <v>55058</v>
      </c>
      <c r="I2818" s="17">
        <v>165174</v>
      </c>
      <c r="J2818" s="17">
        <v>3501</v>
      </c>
      <c r="K2818" s="17">
        <v>161673</v>
      </c>
      <c r="L2818" s="17">
        <v>16349.28368</v>
      </c>
      <c r="M2818" s="17">
        <v>2025</v>
      </c>
      <c r="N2818" s="17" t="s">
        <v>129</v>
      </c>
    </row>
    <row r="2819" spans="1:14" ht="14.25" customHeight="1">
      <c r="A2819" s="17">
        <v>12818</v>
      </c>
      <c r="B2819" s="18">
        <v>46020</v>
      </c>
      <c r="C2819" s="17" t="s">
        <v>45</v>
      </c>
      <c r="D2819" s="17" t="s">
        <v>89</v>
      </c>
      <c r="E2819" s="17" t="s">
        <v>162</v>
      </c>
      <c r="F2819" s="17" t="s">
        <v>172</v>
      </c>
      <c r="G2819" s="17">
        <v>2</v>
      </c>
      <c r="H2819" s="17">
        <v>16858</v>
      </c>
      <c r="I2819" s="17">
        <v>33716</v>
      </c>
      <c r="J2819" s="17">
        <v>889</v>
      </c>
      <c r="K2819" s="17">
        <v>32827</v>
      </c>
      <c r="L2819" s="17">
        <v>7878.7248659999996</v>
      </c>
      <c r="M2819" s="17">
        <v>2025</v>
      </c>
      <c r="N2819" s="17" t="s">
        <v>169</v>
      </c>
    </row>
    <row r="2820" spans="1:14" ht="14.25" customHeight="1">
      <c r="A2820" s="17">
        <v>12819</v>
      </c>
      <c r="B2820" s="18">
        <v>45496</v>
      </c>
      <c r="C2820" s="17" t="s">
        <v>58</v>
      </c>
      <c r="D2820" s="17" t="s">
        <v>83</v>
      </c>
      <c r="E2820" s="17" t="s">
        <v>162</v>
      </c>
      <c r="F2820" s="17" t="s">
        <v>164</v>
      </c>
      <c r="G2820" s="17">
        <v>7</v>
      </c>
      <c r="H2820" s="17">
        <v>75431</v>
      </c>
      <c r="I2820" s="17">
        <v>528017</v>
      </c>
      <c r="J2820" s="17">
        <v>573</v>
      </c>
      <c r="K2820" s="17">
        <v>527444</v>
      </c>
      <c r="L2820" s="17">
        <v>128307.0208</v>
      </c>
      <c r="M2820" s="17">
        <v>2024</v>
      </c>
      <c r="N2820" s="17" t="s">
        <v>123</v>
      </c>
    </row>
    <row r="2821" spans="1:14" ht="14.25" customHeight="1">
      <c r="A2821" s="17">
        <v>12820</v>
      </c>
      <c r="B2821" s="18">
        <v>45873</v>
      </c>
      <c r="C2821" s="17" t="s">
        <v>50</v>
      </c>
      <c r="D2821" s="17" t="s">
        <v>83</v>
      </c>
      <c r="E2821" s="17" t="s">
        <v>168</v>
      </c>
      <c r="F2821" s="17" t="s">
        <v>166</v>
      </c>
      <c r="G2821" s="17">
        <v>9</v>
      </c>
      <c r="H2821" s="17">
        <v>48324</v>
      </c>
      <c r="I2821" s="17">
        <v>434916</v>
      </c>
      <c r="J2821" s="17">
        <v>512</v>
      </c>
      <c r="K2821" s="17">
        <v>434404</v>
      </c>
      <c r="L2821" s="17">
        <v>46760.878409999998</v>
      </c>
      <c r="M2821" s="17">
        <v>2025</v>
      </c>
      <c r="N2821" s="17" t="s">
        <v>126</v>
      </c>
    </row>
    <row r="2822" spans="1:14" ht="14.25" customHeight="1">
      <c r="A2822" s="17">
        <v>12821</v>
      </c>
      <c r="B2822" s="18">
        <v>45847</v>
      </c>
      <c r="C2822" s="17" t="s">
        <v>39</v>
      </c>
      <c r="D2822" s="17" t="s">
        <v>83</v>
      </c>
      <c r="E2822" s="17" t="s">
        <v>165</v>
      </c>
      <c r="F2822" s="17" t="s">
        <v>172</v>
      </c>
      <c r="G2822" s="17">
        <v>4</v>
      </c>
      <c r="H2822" s="17">
        <v>54944</v>
      </c>
      <c r="I2822" s="17">
        <v>219776</v>
      </c>
      <c r="J2822" s="17">
        <v>4160</v>
      </c>
      <c r="K2822" s="17">
        <v>215616</v>
      </c>
      <c r="L2822" s="17">
        <v>50332.423949999997</v>
      </c>
      <c r="M2822" s="17">
        <v>2025</v>
      </c>
      <c r="N2822" s="17" t="s">
        <v>123</v>
      </c>
    </row>
    <row r="2823" spans="1:14" ht="14.25" customHeight="1">
      <c r="A2823" s="17">
        <v>12822</v>
      </c>
      <c r="B2823" s="18">
        <v>45519</v>
      </c>
      <c r="C2823" s="17" t="s">
        <v>58</v>
      </c>
      <c r="D2823" s="17" t="s">
        <v>83</v>
      </c>
      <c r="E2823" s="17" t="s">
        <v>168</v>
      </c>
      <c r="F2823" s="17" t="s">
        <v>172</v>
      </c>
      <c r="G2823" s="17">
        <v>7</v>
      </c>
      <c r="H2823" s="17">
        <v>49187</v>
      </c>
      <c r="I2823" s="17">
        <v>344309</v>
      </c>
      <c r="J2823" s="17">
        <v>1964</v>
      </c>
      <c r="K2823" s="17">
        <v>342345</v>
      </c>
      <c r="L2823" s="17">
        <v>58409.817280000003</v>
      </c>
      <c r="M2823" s="17">
        <v>2024</v>
      </c>
      <c r="N2823" s="17" t="s">
        <v>126</v>
      </c>
    </row>
    <row r="2824" spans="1:14" ht="14.25" customHeight="1">
      <c r="A2824" s="17">
        <v>12823</v>
      </c>
      <c r="B2824" s="18">
        <v>45987</v>
      </c>
      <c r="C2824" s="17" t="s">
        <v>167</v>
      </c>
      <c r="D2824" s="17" t="s">
        <v>170</v>
      </c>
      <c r="E2824" s="17" t="s">
        <v>168</v>
      </c>
      <c r="F2824" s="17" t="s">
        <v>166</v>
      </c>
      <c r="G2824" s="17">
        <v>8</v>
      </c>
      <c r="H2824" s="17">
        <v>33147</v>
      </c>
      <c r="I2824" s="17">
        <v>265176</v>
      </c>
      <c r="J2824" s="17">
        <v>4051</v>
      </c>
      <c r="K2824" s="17">
        <v>261125</v>
      </c>
      <c r="L2824" s="17">
        <v>56121.666660000003</v>
      </c>
      <c r="M2824" s="17">
        <v>2025</v>
      </c>
      <c r="N2824" s="17" t="s">
        <v>173</v>
      </c>
    </row>
    <row r="2825" spans="1:14" ht="14.25" customHeight="1">
      <c r="A2825" s="17">
        <v>12824</v>
      </c>
      <c r="B2825" s="18">
        <v>45910</v>
      </c>
      <c r="C2825" s="17" t="s">
        <v>50</v>
      </c>
      <c r="D2825" s="17" t="s">
        <v>111</v>
      </c>
      <c r="E2825" s="17" t="s">
        <v>168</v>
      </c>
      <c r="F2825" s="17" t="s">
        <v>166</v>
      </c>
      <c r="G2825" s="17">
        <v>2</v>
      </c>
      <c r="H2825" s="17">
        <v>6360</v>
      </c>
      <c r="I2825" s="17">
        <v>12720</v>
      </c>
      <c r="J2825" s="17">
        <v>2230</v>
      </c>
      <c r="K2825" s="17">
        <v>10490</v>
      </c>
      <c r="L2825" s="17">
        <v>1173.708578</v>
      </c>
      <c r="M2825" s="17">
        <v>2025</v>
      </c>
      <c r="N2825" s="17" t="s">
        <v>129</v>
      </c>
    </row>
    <row r="2826" spans="1:14" ht="14.25" customHeight="1">
      <c r="A2826" s="17">
        <v>12825</v>
      </c>
      <c r="B2826" s="18">
        <v>45887</v>
      </c>
      <c r="C2826" s="17" t="s">
        <v>58</v>
      </c>
      <c r="D2826" s="17" t="s">
        <v>86</v>
      </c>
      <c r="E2826" s="17" t="s">
        <v>162</v>
      </c>
      <c r="F2826" s="17" t="s">
        <v>164</v>
      </c>
      <c r="G2826" s="17">
        <v>7</v>
      </c>
      <c r="H2826" s="17">
        <v>7048</v>
      </c>
      <c r="I2826" s="17">
        <v>49336</v>
      </c>
      <c r="J2826" s="17">
        <v>2283</v>
      </c>
      <c r="K2826" s="17">
        <v>47053</v>
      </c>
      <c r="L2826" s="17">
        <v>11447.09332</v>
      </c>
      <c r="M2826" s="17">
        <v>2025</v>
      </c>
      <c r="N2826" s="17" t="s">
        <v>126</v>
      </c>
    </row>
    <row r="2827" spans="1:14" ht="14.25" customHeight="1">
      <c r="A2827" s="17">
        <v>12826</v>
      </c>
      <c r="B2827" s="18">
        <v>45541</v>
      </c>
      <c r="C2827" s="17" t="s">
        <v>39</v>
      </c>
      <c r="D2827" s="17" t="s">
        <v>111</v>
      </c>
      <c r="E2827" s="17" t="s">
        <v>162</v>
      </c>
      <c r="F2827" s="17" t="s">
        <v>163</v>
      </c>
      <c r="G2827" s="17">
        <v>3</v>
      </c>
      <c r="H2827" s="17">
        <v>44020</v>
      </c>
      <c r="I2827" s="17">
        <v>132060</v>
      </c>
      <c r="J2827" s="17">
        <v>4984</v>
      </c>
      <c r="K2827" s="17">
        <v>127076</v>
      </c>
      <c r="L2827" s="17">
        <v>24288.324499999999</v>
      </c>
      <c r="M2827" s="17">
        <v>2024</v>
      </c>
      <c r="N2827" s="17" t="s">
        <v>129</v>
      </c>
    </row>
    <row r="2828" spans="1:14" ht="14.25" customHeight="1">
      <c r="A2828" s="17">
        <v>12827</v>
      </c>
      <c r="B2828" s="18">
        <v>45732</v>
      </c>
      <c r="C2828" s="17" t="s">
        <v>45</v>
      </c>
      <c r="D2828" s="17" t="s">
        <v>83</v>
      </c>
      <c r="E2828" s="17" t="s">
        <v>168</v>
      </c>
      <c r="F2828" s="17" t="s">
        <v>172</v>
      </c>
      <c r="G2828" s="17">
        <v>8</v>
      </c>
      <c r="H2828" s="17">
        <v>48935</v>
      </c>
      <c r="I2828" s="17">
        <v>391480</v>
      </c>
      <c r="J2828" s="17">
        <v>611</v>
      </c>
      <c r="K2828" s="17">
        <v>390869</v>
      </c>
      <c r="L2828" s="17">
        <v>91777.661550000004</v>
      </c>
      <c r="M2828" s="17">
        <v>2025</v>
      </c>
      <c r="N2828" s="17" t="s">
        <v>112</v>
      </c>
    </row>
    <row r="2829" spans="1:14" ht="14.25" customHeight="1">
      <c r="A2829" s="17">
        <v>12828</v>
      </c>
      <c r="B2829" s="18">
        <v>45824</v>
      </c>
      <c r="C2829" s="17" t="s">
        <v>167</v>
      </c>
      <c r="D2829" s="17" t="s">
        <v>170</v>
      </c>
      <c r="E2829" s="17" t="s">
        <v>168</v>
      </c>
      <c r="F2829" s="17" t="s">
        <v>172</v>
      </c>
      <c r="G2829" s="17">
        <v>6</v>
      </c>
      <c r="H2829" s="17">
        <v>27482</v>
      </c>
      <c r="I2829" s="17">
        <v>164892</v>
      </c>
      <c r="J2829" s="17">
        <v>437</v>
      </c>
      <c r="K2829" s="17">
        <v>164455</v>
      </c>
      <c r="L2829" s="17">
        <v>33046.32185</v>
      </c>
      <c r="M2829" s="17">
        <v>2025</v>
      </c>
      <c r="N2829" s="17" t="s">
        <v>120</v>
      </c>
    </row>
    <row r="2830" spans="1:14" ht="14.25" customHeight="1">
      <c r="A2830" s="17">
        <v>12829</v>
      </c>
      <c r="B2830" s="18">
        <v>45487</v>
      </c>
      <c r="C2830" s="17" t="s">
        <v>39</v>
      </c>
      <c r="D2830" s="17" t="s">
        <v>170</v>
      </c>
      <c r="E2830" s="17" t="s">
        <v>165</v>
      </c>
      <c r="F2830" s="17" t="s">
        <v>164</v>
      </c>
      <c r="G2830" s="17">
        <v>3</v>
      </c>
      <c r="H2830" s="17">
        <v>37973</v>
      </c>
      <c r="I2830" s="17">
        <v>113919</v>
      </c>
      <c r="J2830" s="17">
        <v>1459</v>
      </c>
      <c r="K2830" s="17">
        <v>112460</v>
      </c>
      <c r="L2830" s="17">
        <v>20301.452850000001</v>
      </c>
      <c r="M2830" s="17">
        <v>2024</v>
      </c>
      <c r="N2830" s="17" t="s">
        <v>123</v>
      </c>
    </row>
    <row r="2831" spans="1:14" ht="14.25" customHeight="1">
      <c r="A2831" s="17">
        <v>12830</v>
      </c>
      <c r="B2831" s="18">
        <v>45981</v>
      </c>
      <c r="C2831" s="17" t="s">
        <v>50</v>
      </c>
      <c r="D2831" s="17" t="s">
        <v>83</v>
      </c>
      <c r="E2831" s="17" t="s">
        <v>162</v>
      </c>
      <c r="F2831" s="17" t="s">
        <v>163</v>
      </c>
      <c r="G2831" s="17">
        <v>8</v>
      </c>
      <c r="H2831" s="17">
        <v>20185</v>
      </c>
      <c r="I2831" s="17">
        <v>161480</v>
      </c>
      <c r="J2831" s="17">
        <v>523</v>
      </c>
      <c r="K2831" s="17">
        <v>160957</v>
      </c>
      <c r="L2831" s="17">
        <v>20260.358179999999</v>
      </c>
      <c r="M2831" s="17">
        <v>2025</v>
      </c>
      <c r="N2831" s="17" t="s">
        <v>173</v>
      </c>
    </row>
    <row r="2832" spans="1:14" ht="14.25" customHeight="1">
      <c r="A2832" s="17">
        <v>12831</v>
      </c>
      <c r="B2832" s="18">
        <v>45810</v>
      </c>
      <c r="C2832" s="17" t="s">
        <v>50</v>
      </c>
      <c r="D2832" s="17" t="s">
        <v>170</v>
      </c>
      <c r="E2832" s="17" t="s">
        <v>162</v>
      </c>
      <c r="F2832" s="17" t="s">
        <v>164</v>
      </c>
      <c r="G2832" s="17">
        <v>3</v>
      </c>
      <c r="H2832" s="17">
        <v>24699</v>
      </c>
      <c r="I2832" s="17">
        <v>74097</v>
      </c>
      <c r="J2832" s="17">
        <v>3577</v>
      </c>
      <c r="K2832" s="17">
        <v>70520</v>
      </c>
      <c r="L2832" s="17">
        <v>8934.3987890000008</v>
      </c>
      <c r="M2832" s="17">
        <v>2025</v>
      </c>
      <c r="N2832" s="17" t="s">
        <v>120</v>
      </c>
    </row>
    <row r="2833" spans="1:14" ht="14.25" customHeight="1">
      <c r="A2833" s="17">
        <v>12832</v>
      </c>
      <c r="B2833" s="18">
        <v>45361</v>
      </c>
      <c r="C2833" s="17" t="s">
        <v>45</v>
      </c>
      <c r="D2833" s="17" t="s">
        <v>83</v>
      </c>
      <c r="E2833" s="17" t="s">
        <v>162</v>
      </c>
      <c r="F2833" s="17" t="s">
        <v>172</v>
      </c>
      <c r="G2833" s="17">
        <v>9</v>
      </c>
      <c r="H2833" s="17">
        <v>60885</v>
      </c>
      <c r="I2833" s="17">
        <v>547965</v>
      </c>
      <c r="J2833" s="17">
        <v>4895</v>
      </c>
      <c r="K2833" s="17">
        <v>543070</v>
      </c>
      <c r="L2833" s="17">
        <v>92802.812269999995</v>
      </c>
      <c r="M2833" s="17">
        <v>2024</v>
      </c>
      <c r="N2833" s="17" t="s">
        <v>112</v>
      </c>
    </row>
    <row r="2834" spans="1:14" ht="14.25" customHeight="1">
      <c r="A2834" s="17">
        <v>12833</v>
      </c>
      <c r="B2834" s="18">
        <v>45930</v>
      </c>
      <c r="C2834" s="17" t="s">
        <v>45</v>
      </c>
      <c r="D2834" s="17" t="s">
        <v>111</v>
      </c>
      <c r="E2834" s="17" t="s">
        <v>162</v>
      </c>
      <c r="F2834" s="17" t="s">
        <v>172</v>
      </c>
      <c r="G2834" s="17">
        <v>3</v>
      </c>
      <c r="H2834" s="17">
        <v>46582</v>
      </c>
      <c r="I2834" s="17">
        <v>139746</v>
      </c>
      <c r="J2834" s="17">
        <v>3398</v>
      </c>
      <c r="K2834" s="17">
        <v>136348</v>
      </c>
      <c r="L2834" s="17">
        <v>31437.258279999998</v>
      </c>
      <c r="M2834" s="17">
        <v>2025</v>
      </c>
      <c r="N2834" s="17" t="s">
        <v>129</v>
      </c>
    </row>
    <row r="2835" spans="1:14" ht="14.25" customHeight="1">
      <c r="A2835" s="17">
        <v>12834</v>
      </c>
      <c r="B2835" s="18">
        <v>45690</v>
      </c>
      <c r="C2835" s="17" t="s">
        <v>167</v>
      </c>
      <c r="D2835" s="17" t="s">
        <v>89</v>
      </c>
      <c r="E2835" s="17" t="s">
        <v>168</v>
      </c>
      <c r="F2835" s="17" t="s">
        <v>166</v>
      </c>
      <c r="G2835" s="17">
        <v>1</v>
      </c>
      <c r="H2835" s="17">
        <v>23061</v>
      </c>
      <c r="I2835" s="17">
        <v>23061</v>
      </c>
      <c r="J2835" s="17">
        <v>2261</v>
      </c>
      <c r="K2835" s="17">
        <v>20800</v>
      </c>
      <c r="L2835" s="17">
        <v>2439.4822749999998</v>
      </c>
      <c r="M2835" s="17">
        <v>2025</v>
      </c>
      <c r="N2835" s="17" t="s">
        <v>175</v>
      </c>
    </row>
    <row r="2836" spans="1:14" ht="14.25" customHeight="1">
      <c r="A2836" s="17">
        <v>12835</v>
      </c>
      <c r="B2836" s="18">
        <v>45963</v>
      </c>
      <c r="C2836" s="17" t="s">
        <v>167</v>
      </c>
      <c r="D2836" s="17" t="s">
        <v>170</v>
      </c>
      <c r="E2836" s="17" t="s">
        <v>168</v>
      </c>
      <c r="F2836" s="17" t="s">
        <v>166</v>
      </c>
      <c r="G2836" s="17">
        <v>2</v>
      </c>
      <c r="H2836" s="17">
        <v>49597</v>
      </c>
      <c r="I2836" s="17">
        <v>99194</v>
      </c>
      <c r="J2836" s="17">
        <v>1023</v>
      </c>
      <c r="K2836" s="17">
        <v>98171</v>
      </c>
      <c r="L2836" s="17">
        <v>24518.970280000001</v>
      </c>
      <c r="M2836" s="17">
        <v>2025</v>
      </c>
      <c r="N2836" s="17" t="s">
        <v>173</v>
      </c>
    </row>
    <row r="2837" spans="1:14" ht="14.25" customHeight="1">
      <c r="A2837" s="17">
        <v>12836</v>
      </c>
      <c r="B2837" s="18">
        <v>45494</v>
      </c>
      <c r="C2837" s="17" t="s">
        <v>45</v>
      </c>
      <c r="D2837" s="17" t="s">
        <v>83</v>
      </c>
      <c r="E2837" s="17" t="s">
        <v>165</v>
      </c>
      <c r="F2837" s="17" t="s">
        <v>163</v>
      </c>
      <c r="G2837" s="17">
        <v>4</v>
      </c>
      <c r="H2837" s="17">
        <v>15892</v>
      </c>
      <c r="I2837" s="17">
        <v>63568</v>
      </c>
      <c r="J2837" s="17">
        <v>1579</v>
      </c>
      <c r="K2837" s="17">
        <v>61989</v>
      </c>
      <c r="L2837" s="17">
        <v>14343.43873</v>
      </c>
      <c r="M2837" s="17">
        <v>2024</v>
      </c>
      <c r="N2837" s="17" t="s">
        <v>123</v>
      </c>
    </row>
    <row r="2838" spans="1:14" ht="14.25" customHeight="1">
      <c r="A2838" s="17">
        <v>12837</v>
      </c>
      <c r="B2838" s="18">
        <v>45439</v>
      </c>
      <c r="C2838" s="17" t="s">
        <v>45</v>
      </c>
      <c r="D2838" s="17" t="s">
        <v>83</v>
      </c>
      <c r="E2838" s="17" t="s">
        <v>162</v>
      </c>
      <c r="F2838" s="17" t="s">
        <v>172</v>
      </c>
      <c r="G2838" s="17">
        <v>2</v>
      </c>
      <c r="H2838" s="17">
        <v>28931</v>
      </c>
      <c r="I2838" s="17">
        <v>57862</v>
      </c>
      <c r="J2838" s="17">
        <v>321</v>
      </c>
      <c r="K2838" s="17">
        <v>57541</v>
      </c>
      <c r="L2838" s="17">
        <v>9142.3336330000002</v>
      </c>
      <c r="M2838" s="17">
        <v>2024</v>
      </c>
      <c r="N2838" s="17" t="s">
        <v>117</v>
      </c>
    </row>
    <row r="2839" spans="1:14" ht="14.25" customHeight="1">
      <c r="A2839" s="17">
        <v>12838</v>
      </c>
      <c r="B2839" s="18">
        <v>45763</v>
      </c>
      <c r="C2839" s="17" t="s">
        <v>50</v>
      </c>
      <c r="D2839" s="17" t="s">
        <v>170</v>
      </c>
      <c r="E2839" s="17" t="s">
        <v>162</v>
      </c>
      <c r="F2839" s="17" t="s">
        <v>172</v>
      </c>
      <c r="G2839" s="17">
        <v>4</v>
      </c>
      <c r="H2839" s="17">
        <v>29654</v>
      </c>
      <c r="I2839" s="17">
        <v>118616</v>
      </c>
      <c r="J2839" s="17">
        <v>3126</v>
      </c>
      <c r="K2839" s="17">
        <v>115490</v>
      </c>
      <c r="L2839" s="17">
        <v>15933.895399999999</v>
      </c>
      <c r="M2839" s="17">
        <v>2025</v>
      </c>
      <c r="N2839" s="17" t="s">
        <v>114</v>
      </c>
    </row>
    <row r="2840" spans="1:14" ht="14.25" customHeight="1">
      <c r="A2840" s="17">
        <v>12839</v>
      </c>
      <c r="B2840" s="18">
        <v>45946</v>
      </c>
      <c r="C2840" s="17" t="s">
        <v>45</v>
      </c>
      <c r="D2840" s="17" t="s">
        <v>86</v>
      </c>
      <c r="E2840" s="17" t="s">
        <v>168</v>
      </c>
      <c r="F2840" s="17" t="s">
        <v>166</v>
      </c>
      <c r="G2840" s="17">
        <v>4</v>
      </c>
      <c r="H2840" s="17">
        <v>63820</v>
      </c>
      <c r="I2840" s="17">
        <v>255280</v>
      </c>
      <c r="J2840" s="17">
        <v>2831</v>
      </c>
      <c r="K2840" s="17">
        <v>252449</v>
      </c>
      <c r="L2840" s="17">
        <v>60158.448830000001</v>
      </c>
      <c r="M2840" s="17">
        <v>2025</v>
      </c>
      <c r="N2840" s="17" t="s">
        <v>174</v>
      </c>
    </row>
    <row r="2841" spans="1:14" ht="14.25" customHeight="1">
      <c r="A2841" s="17">
        <v>12840</v>
      </c>
      <c r="B2841" s="18">
        <v>45490</v>
      </c>
      <c r="C2841" s="17" t="s">
        <v>58</v>
      </c>
      <c r="D2841" s="17" t="s">
        <v>83</v>
      </c>
      <c r="E2841" s="17" t="s">
        <v>165</v>
      </c>
      <c r="F2841" s="17" t="s">
        <v>164</v>
      </c>
      <c r="G2841" s="17">
        <v>4</v>
      </c>
      <c r="H2841" s="17">
        <v>58886</v>
      </c>
      <c r="I2841" s="17">
        <v>235544</v>
      </c>
      <c r="J2841" s="17">
        <v>4275</v>
      </c>
      <c r="K2841" s="17">
        <v>231269</v>
      </c>
      <c r="L2841" s="17">
        <v>27401.154200000001</v>
      </c>
      <c r="M2841" s="17">
        <v>2024</v>
      </c>
      <c r="N2841" s="17" t="s">
        <v>123</v>
      </c>
    </row>
    <row r="2842" spans="1:14" ht="14.25" customHeight="1">
      <c r="A2842" s="17">
        <v>12841</v>
      </c>
      <c r="B2842" s="18">
        <v>45717</v>
      </c>
      <c r="C2842" s="17" t="s">
        <v>39</v>
      </c>
      <c r="D2842" s="17" t="s">
        <v>170</v>
      </c>
      <c r="E2842" s="17" t="s">
        <v>168</v>
      </c>
      <c r="F2842" s="17" t="s">
        <v>164</v>
      </c>
      <c r="G2842" s="17">
        <v>1</v>
      </c>
      <c r="H2842" s="17">
        <v>77470</v>
      </c>
      <c r="I2842" s="17">
        <v>77470</v>
      </c>
      <c r="J2842" s="17">
        <v>2427</v>
      </c>
      <c r="K2842" s="17">
        <v>75043</v>
      </c>
      <c r="L2842" s="17">
        <v>11413.55179</v>
      </c>
      <c r="M2842" s="17">
        <v>2025</v>
      </c>
      <c r="N2842" s="17" t="s">
        <v>112</v>
      </c>
    </row>
    <row r="2843" spans="1:14" ht="14.25" customHeight="1">
      <c r="A2843" s="17">
        <v>12842</v>
      </c>
      <c r="B2843" s="18">
        <v>45957</v>
      </c>
      <c r="C2843" s="17" t="s">
        <v>45</v>
      </c>
      <c r="D2843" s="17" t="s">
        <v>83</v>
      </c>
      <c r="E2843" s="17" t="s">
        <v>162</v>
      </c>
      <c r="F2843" s="17" t="s">
        <v>172</v>
      </c>
      <c r="G2843" s="17">
        <v>9</v>
      </c>
      <c r="H2843" s="17">
        <v>79842</v>
      </c>
      <c r="I2843" s="17">
        <v>718578</v>
      </c>
      <c r="J2843" s="17">
        <v>2980</v>
      </c>
      <c r="K2843" s="17">
        <v>715598</v>
      </c>
      <c r="L2843" s="17">
        <v>80566.926309999995</v>
      </c>
      <c r="M2843" s="17">
        <v>2025</v>
      </c>
      <c r="N2843" s="17" t="s">
        <v>174</v>
      </c>
    </row>
    <row r="2844" spans="1:14" ht="14.25" customHeight="1">
      <c r="A2844" s="17">
        <v>12843</v>
      </c>
      <c r="B2844" s="18">
        <v>45783</v>
      </c>
      <c r="C2844" s="17" t="s">
        <v>167</v>
      </c>
      <c r="D2844" s="17" t="s">
        <v>86</v>
      </c>
      <c r="E2844" s="17" t="s">
        <v>162</v>
      </c>
      <c r="F2844" s="17" t="s">
        <v>172</v>
      </c>
      <c r="G2844" s="17">
        <v>7</v>
      </c>
      <c r="H2844" s="17">
        <v>70324</v>
      </c>
      <c r="I2844" s="17">
        <v>492268</v>
      </c>
      <c r="J2844" s="17">
        <v>3757</v>
      </c>
      <c r="K2844" s="17">
        <v>488511</v>
      </c>
      <c r="L2844" s="17">
        <v>118717.62179999999</v>
      </c>
      <c r="M2844" s="17">
        <v>2025</v>
      </c>
      <c r="N2844" s="17" t="s">
        <v>117</v>
      </c>
    </row>
    <row r="2845" spans="1:14" ht="14.25" customHeight="1">
      <c r="A2845" s="17">
        <v>12844</v>
      </c>
      <c r="B2845" s="18">
        <v>45433</v>
      </c>
      <c r="C2845" s="17" t="s">
        <v>58</v>
      </c>
      <c r="D2845" s="17" t="s">
        <v>89</v>
      </c>
      <c r="E2845" s="17" t="s">
        <v>165</v>
      </c>
      <c r="F2845" s="17" t="s">
        <v>163</v>
      </c>
      <c r="G2845" s="17">
        <v>2</v>
      </c>
      <c r="H2845" s="17">
        <v>70027</v>
      </c>
      <c r="I2845" s="17">
        <v>140054</v>
      </c>
      <c r="J2845" s="17">
        <v>449</v>
      </c>
      <c r="K2845" s="17">
        <v>139605</v>
      </c>
      <c r="L2845" s="17">
        <v>26893.98776</v>
      </c>
      <c r="M2845" s="17">
        <v>2024</v>
      </c>
      <c r="N2845" s="17" t="s">
        <v>117</v>
      </c>
    </row>
    <row r="2846" spans="1:14" ht="14.25" customHeight="1">
      <c r="A2846" s="17">
        <v>12845</v>
      </c>
      <c r="B2846" s="18">
        <v>45604</v>
      </c>
      <c r="C2846" s="17" t="s">
        <v>167</v>
      </c>
      <c r="D2846" s="17" t="s">
        <v>86</v>
      </c>
      <c r="E2846" s="17" t="s">
        <v>168</v>
      </c>
      <c r="F2846" s="17" t="s">
        <v>163</v>
      </c>
      <c r="G2846" s="17">
        <v>3</v>
      </c>
      <c r="H2846" s="17">
        <v>6425</v>
      </c>
      <c r="I2846" s="17">
        <v>19275</v>
      </c>
      <c r="J2846" s="17">
        <v>1284</v>
      </c>
      <c r="K2846" s="17">
        <v>17991</v>
      </c>
      <c r="L2846" s="17">
        <v>2706.3311979999999</v>
      </c>
      <c r="M2846" s="17">
        <v>2024</v>
      </c>
      <c r="N2846" s="17" t="s">
        <v>173</v>
      </c>
    </row>
    <row r="2847" spans="1:14" ht="14.25" customHeight="1">
      <c r="A2847" s="17">
        <v>12846</v>
      </c>
      <c r="B2847" s="18">
        <v>45456</v>
      </c>
      <c r="C2847" s="17" t="s">
        <v>58</v>
      </c>
      <c r="D2847" s="17" t="s">
        <v>111</v>
      </c>
      <c r="E2847" s="17" t="s">
        <v>162</v>
      </c>
      <c r="F2847" s="17" t="s">
        <v>166</v>
      </c>
      <c r="G2847" s="17">
        <v>8</v>
      </c>
      <c r="H2847" s="17">
        <v>6733</v>
      </c>
      <c r="I2847" s="17">
        <v>53864</v>
      </c>
      <c r="J2847" s="17">
        <v>3518</v>
      </c>
      <c r="K2847" s="17">
        <v>50346</v>
      </c>
      <c r="L2847" s="17">
        <v>7115.0213169999997</v>
      </c>
      <c r="M2847" s="17">
        <v>2024</v>
      </c>
      <c r="N2847" s="17" t="s">
        <v>120</v>
      </c>
    </row>
    <row r="2848" spans="1:14" ht="14.25" customHeight="1">
      <c r="A2848" s="17">
        <v>12847</v>
      </c>
      <c r="B2848" s="18">
        <v>45605</v>
      </c>
      <c r="C2848" s="17" t="s">
        <v>45</v>
      </c>
      <c r="D2848" s="17" t="s">
        <v>170</v>
      </c>
      <c r="E2848" s="17" t="s">
        <v>162</v>
      </c>
      <c r="F2848" s="17" t="s">
        <v>172</v>
      </c>
      <c r="G2848" s="17">
        <v>7</v>
      </c>
      <c r="H2848" s="17">
        <v>50375</v>
      </c>
      <c r="I2848" s="17">
        <v>352625</v>
      </c>
      <c r="J2848" s="17">
        <v>1660</v>
      </c>
      <c r="K2848" s="17">
        <v>350965</v>
      </c>
      <c r="L2848" s="17">
        <v>58475.733059999999</v>
      </c>
      <c r="M2848" s="17">
        <v>2024</v>
      </c>
      <c r="N2848" s="17" t="s">
        <v>173</v>
      </c>
    </row>
    <row r="2849" spans="1:14" ht="14.25" customHeight="1">
      <c r="A2849" s="17">
        <v>12848</v>
      </c>
      <c r="B2849" s="18">
        <v>45312</v>
      </c>
      <c r="C2849" s="17" t="s">
        <v>39</v>
      </c>
      <c r="D2849" s="17" t="s">
        <v>86</v>
      </c>
      <c r="E2849" s="17" t="s">
        <v>165</v>
      </c>
      <c r="F2849" s="17" t="s">
        <v>164</v>
      </c>
      <c r="G2849" s="17">
        <v>4</v>
      </c>
      <c r="H2849" s="17">
        <v>69411</v>
      </c>
      <c r="I2849" s="17">
        <v>277644</v>
      </c>
      <c r="J2849" s="17">
        <v>903</v>
      </c>
      <c r="K2849" s="17">
        <v>276741</v>
      </c>
      <c r="L2849" s="17">
        <v>31467.325669999998</v>
      </c>
      <c r="M2849" s="17">
        <v>2024</v>
      </c>
      <c r="N2849" s="17" t="s">
        <v>171</v>
      </c>
    </row>
    <row r="2850" spans="1:14" ht="14.25" customHeight="1">
      <c r="A2850" s="17">
        <v>12849</v>
      </c>
      <c r="B2850" s="18">
        <v>45373</v>
      </c>
      <c r="C2850" s="17" t="s">
        <v>167</v>
      </c>
      <c r="D2850" s="17" t="s">
        <v>89</v>
      </c>
      <c r="E2850" s="17" t="s">
        <v>162</v>
      </c>
      <c r="F2850" s="17" t="s">
        <v>163</v>
      </c>
      <c r="G2850" s="17">
        <v>4</v>
      </c>
      <c r="H2850" s="17">
        <v>15603</v>
      </c>
      <c r="I2850" s="17">
        <v>62412</v>
      </c>
      <c r="J2850" s="17">
        <v>1177</v>
      </c>
      <c r="K2850" s="17">
        <v>61235</v>
      </c>
      <c r="L2850" s="17">
        <v>14292.392260000001</v>
      </c>
      <c r="M2850" s="17">
        <v>2024</v>
      </c>
      <c r="N2850" s="17" t="s">
        <v>112</v>
      </c>
    </row>
    <row r="2851" spans="1:14" ht="14.25" customHeight="1">
      <c r="A2851" s="17">
        <v>12850</v>
      </c>
      <c r="B2851" s="18">
        <v>45872</v>
      </c>
      <c r="C2851" s="17" t="s">
        <v>58</v>
      </c>
      <c r="D2851" s="17" t="s">
        <v>83</v>
      </c>
      <c r="E2851" s="17" t="s">
        <v>162</v>
      </c>
      <c r="F2851" s="17" t="s">
        <v>166</v>
      </c>
      <c r="G2851" s="17">
        <v>9</v>
      </c>
      <c r="H2851" s="17">
        <v>17152</v>
      </c>
      <c r="I2851" s="17">
        <v>154368</v>
      </c>
      <c r="J2851" s="17">
        <v>329</v>
      </c>
      <c r="K2851" s="17">
        <v>154039</v>
      </c>
      <c r="L2851" s="17">
        <v>27209.611710000001</v>
      </c>
      <c r="M2851" s="17">
        <v>2025</v>
      </c>
      <c r="N2851" s="17" t="s">
        <v>126</v>
      </c>
    </row>
    <row r="2852" spans="1:14" ht="14.25" customHeight="1">
      <c r="A2852" s="17">
        <v>12851</v>
      </c>
      <c r="B2852" s="18">
        <v>45422</v>
      </c>
      <c r="C2852" s="17" t="s">
        <v>50</v>
      </c>
      <c r="D2852" s="17" t="s">
        <v>170</v>
      </c>
      <c r="E2852" s="17" t="s">
        <v>168</v>
      </c>
      <c r="F2852" s="17" t="s">
        <v>166</v>
      </c>
      <c r="G2852" s="17">
        <v>5</v>
      </c>
      <c r="H2852" s="17">
        <v>20801</v>
      </c>
      <c r="I2852" s="17">
        <v>104005</v>
      </c>
      <c r="J2852" s="17">
        <v>636</v>
      </c>
      <c r="K2852" s="17">
        <v>103369</v>
      </c>
      <c r="L2852" s="17">
        <v>21579.800210000001</v>
      </c>
      <c r="M2852" s="17">
        <v>2024</v>
      </c>
      <c r="N2852" s="17" t="s">
        <v>117</v>
      </c>
    </row>
    <row r="2853" spans="1:14" ht="14.25" customHeight="1">
      <c r="A2853" s="17">
        <v>12852</v>
      </c>
      <c r="B2853" s="18">
        <v>45890</v>
      </c>
      <c r="C2853" s="17" t="s">
        <v>45</v>
      </c>
      <c r="D2853" s="17" t="s">
        <v>86</v>
      </c>
      <c r="E2853" s="17" t="s">
        <v>165</v>
      </c>
      <c r="F2853" s="17" t="s">
        <v>164</v>
      </c>
      <c r="G2853" s="17">
        <v>5</v>
      </c>
      <c r="H2853" s="17">
        <v>61318</v>
      </c>
      <c r="I2853" s="17">
        <v>306590</v>
      </c>
      <c r="J2853" s="17">
        <v>1889</v>
      </c>
      <c r="K2853" s="17">
        <v>304701</v>
      </c>
      <c r="L2853" s="17">
        <v>41153.48876</v>
      </c>
      <c r="M2853" s="17">
        <v>2025</v>
      </c>
      <c r="N2853" s="17" t="s">
        <v>126</v>
      </c>
    </row>
    <row r="2854" spans="1:14" ht="14.25" customHeight="1">
      <c r="A2854" s="17">
        <v>12853</v>
      </c>
      <c r="B2854" s="18">
        <v>46021</v>
      </c>
      <c r="C2854" s="17" t="s">
        <v>39</v>
      </c>
      <c r="D2854" s="17" t="s">
        <v>89</v>
      </c>
      <c r="E2854" s="17" t="s">
        <v>165</v>
      </c>
      <c r="F2854" s="17" t="s">
        <v>163</v>
      </c>
      <c r="G2854" s="17">
        <v>7</v>
      </c>
      <c r="H2854" s="17">
        <v>21985</v>
      </c>
      <c r="I2854" s="17">
        <v>153895</v>
      </c>
      <c r="J2854" s="17">
        <v>1867</v>
      </c>
      <c r="K2854" s="17">
        <v>152028</v>
      </c>
      <c r="L2854" s="17">
        <v>26690.39889</v>
      </c>
      <c r="M2854" s="17">
        <v>2025</v>
      </c>
      <c r="N2854" s="17" t="s">
        <v>169</v>
      </c>
    </row>
    <row r="2855" spans="1:14" ht="14.25" customHeight="1">
      <c r="A2855" s="17">
        <v>12854</v>
      </c>
      <c r="B2855" s="18">
        <v>45596</v>
      </c>
      <c r="C2855" s="17" t="s">
        <v>45</v>
      </c>
      <c r="D2855" s="17" t="s">
        <v>86</v>
      </c>
      <c r="E2855" s="17" t="s">
        <v>165</v>
      </c>
      <c r="F2855" s="17" t="s">
        <v>164</v>
      </c>
      <c r="G2855" s="17">
        <v>1</v>
      </c>
      <c r="H2855" s="17">
        <v>26068</v>
      </c>
      <c r="I2855" s="17">
        <v>26068</v>
      </c>
      <c r="J2855" s="17">
        <v>2515</v>
      </c>
      <c r="K2855" s="17">
        <v>23553</v>
      </c>
      <c r="L2855" s="17">
        <v>3101.0567649999998</v>
      </c>
      <c r="M2855" s="17">
        <v>2024</v>
      </c>
      <c r="N2855" s="17" t="s">
        <v>174</v>
      </c>
    </row>
    <row r="2856" spans="1:14" ht="14.25" customHeight="1">
      <c r="A2856" s="17">
        <v>12855</v>
      </c>
      <c r="B2856" s="18">
        <v>45662</v>
      </c>
      <c r="C2856" s="17" t="s">
        <v>50</v>
      </c>
      <c r="D2856" s="17" t="s">
        <v>111</v>
      </c>
      <c r="E2856" s="17" t="s">
        <v>168</v>
      </c>
      <c r="F2856" s="17" t="s">
        <v>166</v>
      </c>
      <c r="G2856" s="17">
        <v>3</v>
      </c>
      <c r="H2856" s="17">
        <v>18531</v>
      </c>
      <c r="I2856" s="17">
        <v>55593</v>
      </c>
      <c r="J2856" s="17">
        <v>412</v>
      </c>
      <c r="K2856" s="17">
        <v>55181</v>
      </c>
      <c r="L2856" s="17">
        <v>12273.037539999999</v>
      </c>
      <c r="M2856" s="17">
        <v>2025</v>
      </c>
      <c r="N2856" s="17" t="s">
        <v>171</v>
      </c>
    </row>
    <row r="2857" spans="1:14" ht="14.25" customHeight="1">
      <c r="A2857" s="17">
        <v>12856</v>
      </c>
      <c r="B2857" s="18">
        <v>45675</v>
      </c>
      <c r="C2857" s="17" t="s">
        <v>39</v>
      </c>
      <c r="D2857" s="17" t="s">
        <v>170</v>
      </c>
      <c r="E2857" s="17" t="s">
        <v>165</v>
      </c>
      <c r="F2857" s="17" t="s">
        <v>172</v>
      </c>
      <c r="G2857" s="17">
        <v>2</v>
      </c>
      <c r="H2857" s="17">
        <v>39288</v>
      </c>
      <c r="I2857" s="17">
        <v>78576</v>
      </c>
      <c r="J2857" s="17">
        <v>3833</v>
      </c>
      <c r="K2857" s="17">
        <v>74743</v>
      </c>
      <c r="L2857" s="17">
        <v>16166.257009999999</v>
      </c>
      <c r="M2857" s="17">
        <v>2025</v>
      </c>
      <c r="N2857" s="17" t="s">
        <v>171</v>
      </c>
    </row>
    <row r="2858" spans="1:14" ht="14.25" customHeight="1">
      <c r="A2858" s="17">
        <v>12857</v>
      </c>
      <c r="B2858" s="18">
        <v>45736</v>
      </c>
      <c r="C2858" s="17" t="s">
        <v>50</v>
      </c>
      <c r="D2858" s="17" t="s">
        <v>83</v>
      </c>
      <c r="E2858" s="17" t="s">
        <v>162</v>
      </c>
      <c r="F2858" s="17" t="s">
        <v>164</v>
      </c>
      <c r="G2858" s="17">
        <v>6</v>
      </c>
      <c r="H2858" s="17">
        <v>71653</v>
      </c>
      <c r="I2858" s="17">
        <v>429918</v>
      </c>
      <c r="J2858" s="17">
        <v>2415</v>
      </c>
      <c r="K2858" s="17">
        <v>427503</v>
      </c>
      <c r="L2858" s="17">
        <v>52253.840730000004</v>
      </c>
      <c r="M2858" s="17">
        <v>2025</v>
      </c>
      <c r="N2858" s="17" t="s">
        <v>112</v>
      </c>
    </row>
    <row r="2859" spans="1:14" ht="14.25" customHeight="1">
      <c r="A2859" s="17">
        <v>12858</v>
      </c>
      <c r="B2859" s="18">
        <v>45716</v>
      </c>
      <c r="C2859" s="17" t="s">
        <v>45</v>
      </c>
      <c r="D2859" s="17" t="s">
        <v>89</v>
      </c>
      <c r="E2859" s="17" t="s">
        <v>165</v>
      </c>
      <c r="F2859" s="17" t="s">
        <v>166</v>
      </c>
      <c r="G2859" s="17">
        <v>6</v>
      </c>
      <c r="H2859" s="17">
        <v>45068</v>
      </c>
      <c r="I2859" s="17">
        <v>270408</v>
      </c>
      <c r="J2859" s="17">
        <v>2586</v>
      </c>
      <c r="K2859" s="17">
        <v>267822</v>
      </c>
      <c r="L2859" s="17">
        <v>29775.388080000001</v>
      </c>
      <c r="M2859" s="17">
        <v>2025</v>
      </c>
      <c r="N2859" s="17" t="s">
        <v>175</v>
      </c>
    </row>
    <row r="2860" spans="1:14" ht="14.25" customHeight="1">
      <c r="A2860" s="17">
        <v>12859</v>
      </c>
      <c r="B2860" s="18">
        <v>45452</v>
      </c>
      <c r="C2860" s="17" t="s">
        <v>58</v>
      </c>
      <c r="D2860" s="17" t="s">
        <v>86</v>
      </c>
      <c r="E2860" s="17" t="s">
        <v>162</v>
      </c>
      <c r="F2860" s="17" t="s">
        <v>172</v>
      </c>
      <c r="G2860" s="17">
        <v>1</v>
      </c>
      <c r="H2860" s="17">
        <v>17459</v>
      </c>
      <c r="I2860" s="17">
        <v>17459</v>
      </c>
      <c r="J2860" s="17">
        <v>1564</v>
      </c>
      <c r="K2860" s="17">
        <v>15895</v>
      </c>
      <c r="L2860" s="17">
        <v>3554.5910690000001</v>
      </c>
      <c r="M2860" s="17">
        <v>2024</v>
      </c>
      <c r="N2860" s="17" t="s">
        <v>120</v>
      </c>
    </row>
    <row r="2861" spans="1:14" ht="14.25" customHeight="1">
      <c r="A2861" s="17">
        <v>12860</v>
      </c>
      <c r="B2861" s="18">
        <v>45469</v>
      </c>
      <c r="C2861" s="17" t="s">
        <v>45</v>
      </c>
      <c r="D2861" s="17" t="s">
        <v>170</v>
      </c>
      <c r="E2861" s="17" t="s">
        <v>165</v>
      </c>
      <c r="F2861" s="17" t="s">
        <v>172</v>
      </c>
      <c r="G2861" s="17">
        <v>6</v>
      </c>
      <c r="H2861" s="17">
        <v>37554</v>
      </c>
      <c r="I2861" s="17">
        <v>225324</v>
      </c>
      <c r="J2861" s="17">
        <v>4610</v>
      </c>
      <c r="K2861" s="17">
        <v>220714</v>
      </c>
      <c r="L2861" s="17">
        <v>25701.524150000001</v>
      </c>
      <c r="M2861" s="17">
        <v>2024</v>
      </c>
      <c r="N2861" s="17" t="s">
        <v>120</v>
      </c>
    </row>
    <row r="2862" spans="1:14" ht="14.25" customHeight="1">
      <c r="A2862" s="17">
        <v>12861</v>
      </c>
      <c r="B2862" s="18">
        <v>45920</v>
      </c>
      <c r="C2862" s="17" t="s">
        <v>45</v>
      </c>
      <c r="D2862" s="17" t="s">
        <v>86</v>
      </c>
      <c r="E2862" s="17" t="s">
        <v>165</v>
      </c>
      <c r="F2862" s="17" t="s">
        <v>163</v>
      </c>
      <c r="G2862" s="17">
        <v>2</v>
      </c>
      <c r="H2862" s="17">
        <v>75313</v>
      </c>
      <c r="I2862" s="17">
        <v>150626</v>
      </c>
      <c r="J2862" s="17">
        <v>480</v>
      </c>
      <c r="K2862" s="17">
        <v>150146</v>
      </c>
      <c r="L2862" s="17">
        <v>27367.501359999998</v>
      </c>
      <c r="M2862" s="17">
        <v>2025</v>
      </c>
      <c r="N2862" s="17" t="s">
        <v>129</v>
      </c>
    </row>
    <row r="2863" spans="1:14" ht="14.25" customHeight="1">
      <c r="A2863" s="17">
        <v>12862</v>
      </c>
      <c r="B2863" s="18">
        <v>45999</v>
      </c>
      <c r="C2863" s="17" t="s">
        <v>45</v>
      </c>
      <c r="D2863" s="17" t="s">
        <v>170</v>
      </c>
      <c r="E2863" s="17" t="s">
        <v>168</v>
      </c>
      <c r="F2863" s="17" t="s">
        <v>163</v>
      </c>
      <c r="G2863" s="17">
        <v>4</v>
      </c>
      <c r="H2863" s="17">
        <v>19271</v>
      </c>
      <c r="I2863" s="17">
        <v>77084</v>
      </c>
      <c r="J2863" s="17">
        <v>2275</v>
      </c>
      <c r="K2863" s="17">
        <v>74809</v>
      </c>
      <c r="L2863" s="17">
        <v>13478.56904</v>
      </c>
      <c r="M2863" s="17">
        <v>2025</v>
      </c>
      <c r="N2863" s="17" t="s">
        <v>169</v>
      </c>
    </row>
    <row r="2864" spans="1:14" ht="14.25" customHeight="1">
      <c r="A2864" s="17">
        <v>12863</v>
      </c>
      <c r="B2864" s="18">
        <v>45781</v>
      </c>
      <c r="C2864" s="17" t="s">
        <v>167</v>
      </c>
      <c r="D2864" s="17" t="s">
        <v>111</v>
      </c>
      <c r="E2864" s="17" t="s">
        <v>165</v>
      </c>
      <c r="F2864" s="17" t="s">
        <v>166</v>
      </c>
      <c r="G2864" s="17">
        <v>6</v>
      </c>
      <c r="H2864" s="17">
        <v>8801</v>
      </c>
      <c r="I2864" s="17">
        <v>52806</v>
      </c>
      <c r="J2864" s="17">
        <v>3840</v>
      </c>
      <c r="K2864" s="17">
        <v>48966</v>
      </c>
      <c r="L2864" s="17">
        <v>6387.2038860000002</v>
      </c>
      <c r="M2864" s="17">
        <v>2025</v>
      </c>
      <c r="N2864" s="17" t="s">
        <v>117</v>
      </c>
    </row>
    <row r="2865" spans="1:14" ht="14.25" customHeight="1">
      <c r="A2865" s="17">
        <v>12864</v>
      </c>
      <c r="B2865" s="18">
        <v>45618</v>
      </c>
      <c r="C2865" s="17" t="s">
        <v>50</v>
      </c>
      <c r="D2865" s="17" t="s">
        <v>86</v>
      </c>
      <c r="E2865" s="17" t="s">
        <v>165</v>
      </c>
      <c r="F2865" s="17" t="s">
        <v>164</v>
      </c>
      <c r="G2865" s="17">
        <v>3</v>
      </c>
      <c r="H2865" s="17">
        <v>77593</v>
      </c>
      <c r="I2865" s="17">
        <v>232779</v>
      </c>
      <c r="J2865" s="17">
        <v>3311</v>
      </c>
      <c r="K2865" s="17">
        <v>229468</v>
      </c>
      <c r="L2865" s="17">
        <v>43301.407829999996</v>
      </c>
      <c r="M2865" s="17">
        <v>2024</v>
      </c>
      <c r="N2865" s="17" t="s">
        <v>173</v>
      </c>
    </row>
    <row r="2866" spans="1:14" ht="14.25" customHeight="1">
      <c r="A2866" s="17">
        <v>12865</v>
      </c>
      <c r="B2866" s="18">
        <v>45889</v>
      </c>
      <c r="C2866" s="17" t="s">
        <v>50</v>
      </c>
      <c r="D2866" s="17" t="s">
        <v>111</v>
      </c>
      <c r="E2866" s="17" t="s">
        <v>168</v>
      </c>
      <c r="F2866" s="17" t="s">
        <v>172</v>
      </c>
      <c r="G2866" s="17">
        <v>3</v>
      </c>
      <c r="H2866" s="17">
        <v>31511</v>
      </c>
      <c r="I2866" s="17">
        <v>94533</v>
      </c>
      <c r="J2866" s="17">
        <v>2882</v>
      </c>
      <c r="K2866" s="17">
        <v>91651</v>
      </c>
      <c r="L2866" s="17">
        <v>16076.80263</v>
      </c>
      <c r="M2866" s="17">
        <v>2025</v>
      </c>
      <c r="N2866" s="17" t="s">
        <v>126</v>
      </c>
    </row>
    <row r="2867" spans="1:14" ht="14.25" customHeight="1">
      <c r="A2867" s="17">
        <v>12866</v>
      </c>
      <c r="B2867" s="18">
        <v>45580</v>
      </c>
      <c r="C2867" s="17" t="s">
        <v>50</v>
      </c>
      <c r="D2867" s="17" t="s">
        <v>89</v>
      </c>
      <c r="E2867" s="17" t="s">
        <v>162</v>
      </c>
      <c r="F2867" s="17" t="s">
        <v>163</v>
      </c>
      <c r="G2867" s="17">
        <v>3</v>
      </c>
      <c r="H2867" s="17">
        <v>78046</v>
      </c>
      <c r="I2867" s="17">
        <v>234138</v>
      </c>
      <c r="J2867" s="17">
        <v>3743</v>
      </c>
      <c r="K2867" s="17">
        <v>230395</v>
      </c>
      <c r="L2867" s="17">
        <v>40636.697630000002</v>
      </c>
      <c r="M2867" s="17">
        <v>2024</v>
      </c>
      <c r="N2867" s="17" t="s">
        <v>174</v>
      </c>
    </row>
    <row r="2868" spans="1:14" ht="14.25" customHeight="1">
      <c r="A2868" s="17">
        <v>12867</v>
      </c>
      <c r="B2868" s="18">
        <v>45884</v>
      </c>
      <c r="C2868" s="17" t="s">
        <v>167</v>
      </c>
      <c r="D2868" s="17" t="s">
        <v>111</v>
      </c>
      <c r="E2868" s="17" t="s">
        <v>165</v>
      </c>
      <c r="F2868" s="17" t="s">
        <v>163</v>
      </c>
      <c r="G2868" s="17">
        <v>4</v>
      </c>
      <c r="H2868" s="17">
        <v>78635</v>
      </c>
      <c r="I2868" s="17">
        <v>314540</v>
      </c>
      <c r="J2868" s="17">
        <v>2519</v>
      </c>
      <c r="K2868" s="17">
        <v>312021</v>
      </c>
      <c r="L2868" s="17">
        <v>48037.19195</v>
      </c>
      <c r="M2868" s="17">
        <v>2025</v>
      </c>
      <c r="N2868" s="17" t="s">
        <v>126</v>
      </c>
    </row>
    <row r="2869" spans="1:14" ht="14.25" customHeight="1">
      <c r="A2869" s="17">
        <v>12868</v>
      </c>
      <c r="B2869" s="18">
        <v>45955</v>
      </c>
      <c r="C2869" s="17" t="s">
        <v>58</v>
      </c>
      <c r="D2869" s="17" t="s">
        <v>170</v>
      </c>
      <c r="E2869" s="17" t="s">
        <v>165</v>
      </c>
      <c r="F2869" s="17" t="s">
        <v>164</v>
      </c>
      <c r="G2869" s="17">
        <v>9</v>
      </c>
      <c r="H2869" s="17">
        <v>60233</v>
      </c>
      <c r="I2869" s="17">
        <v>542097</v>
      </c>
      <c r="J2869" s="17">
        <v>4613</v>
      </c>
      <c r="K2869" s="17">
        <v>537484</v>
      </c>
      <c r="L2869" s="17">
        <v>121344.6902</v>
      </c>
      <c r="M2869" s="17">
        <v>2025</v>
      </c>
      <c r="N2869" s="17" t="s">
        <v>174</v>
      </c>
    </row>
    <row r="2870" spans="1:14" ht="14.25" customHeight="1">
      <c r="A2870" s="17">
        <v>12869</v>
      </c>
      <c r="B2870" s="18">
        <v>45864</v>
      </c>
      <c r="C2870" s="17" t="s">
        <v>45</v>
      </c>
      <c r="D2870" s="17" t="s">
        <v>89</v>
      </c>
      <c r="E2870" s="17" t="s">
        <v>162</v>
      </c>
      <c r="F2870" s="17" t="s">
        <v>163</v>
      </c>
      <c r="G2870" s="17">
        <v>4</v>
      </c>
      <c r="H2870" s="17">
        <v>25011</v>
      </c>
      <c r="I2870" s="17">
        <v>100044</v>
      </c>
      <c r="J2870" s="17">
        <v>4400</v>
      </c>
      <c r="K2870" s="17">
        <v>95644</v>
      </c>
      <c r="L2870" s="17">
        <v>10774.83072</v>
      </c>
      <c r="M2870" s="17">
        <v>2025</v>
      </c>
      <c r="N2870" s="17" t="s">
        <v>123</v>
      </c>
    </row>
    <row r="2871" spans="1:14" ht="14.25" customHeight="1">
      <c r="A2871" s="17">
        <v>12870</v>
      </c>
      <c r="B2871" s="18">
        <v>45864</v>
      </c>
      <c r="C2871" s="17" t="s">
        <v>58</v>
      </c>
      <c r="D2871" s="17" t="s">
        <v>86</v>
      </c>
      <c r="E2871" s="17" t="s">
        <v>168</v>
      </c>
      <c r="F2871" s="17" t="s">
        <v>166</v>
      </c>
      <c r="G2871" s="17">
        <v>4</v>
      </c>
      <c r="H2871" s="17">
        <v>67963</v>
      </c>
      <c r="I2871" s="17">
        <v>271852</v>
      </c>
      <c r="J2871" s="17">
        <v>654</v>
      </c>
      <c r="K2871" s="17">
        <v>271198</v>
      </c>
      <c r="L2871" s="17">
        <v>44962.853999999999</v>
      </c>
      <c r="M2871" s="17">
        <v>2025</v>
      </c>
      <c r="N2871" s="17" t="s">
        <v>123</v>
      </c>
    </row>
    <row r="2872" spans="1:14" ht="14.25" customHeight="1">
      <c r="A2872" s="17">
        <v>12871</v>
      </c>
      <c r="B2872" s="18">
        <v>45645</v>
      </c>
      <c r="C2872" s="17" t="s">
        <v>167</v>
      </c>
      <c r="D2872" s="17" t="s">
        <v>86</v>
      </c>
      <c r="E2872" s="17" t="s">
        <v>165</v>
      </c>
      <c r="F2872" s="17" t="s">
        <v>164</v>
      </c>
      <c r="G2872" s="17">
        <v>4</v>
      </c>
      <c r="H2872" s="17">
        <v>53900</v>
      </c>
      <c r="I2872" s="17">
        <v>215600</v>
      </c>
      <c r="J2872" s="17">
        <v>1977</v>
      </c>
      <c r="K2872" s="17">
        <v>213623</v>
      </c>
      <c r="L2872" s="17">
        <v>29687.712479999998</v>
      </c>
      <c r="M2872" s="17">
        <v>2024</v>
      </c>
      <c r="N2872" s="17" t="s">
        <v>169</v>
      </c>
    </row>
    <row r="2873" spans="1:14" ht="14.25" customHeight="1">
      <c r="A2873" s="17">
        <v>12872</v>
      </c>
      <c r="B2873" s="18">
        <v>45319</v>
      </c>
      <c r="C2873" s="17" t="s">
        <v>50</v>
      </c>
      <c r="D2873" s="17" t="s">
        <v>170</v>
      </c>
      <c r="E2873" s="17" t="s">
        <v>168</v>
      </c>
      <c r="F2873" s="17" t="s">
        <v>172</v>
      </c>
      <c r="G2873" s="17">
        <v>7</v>
      </c>
      <c r="H2873" s="17">
        <v>25764</v>
      </c>
      <c r="I2873" s="17">
        <v>180348</v>
      </c>
      <c r="J2873" s="17">
        <v>180</v>
      </c>
      <c r="K2873" s="17">
        <v>180168</v>
      </c>
      <c r="L2873" s="17">
        <v>40945.878320000003</v>
      </c>
      <c r="M2873" s="17">
        <v>2024</v>
      </c>
      <c r="N2873" s="17" t="s">
        <v>171</v>
      </c>
    </row>
    <row r="2874" spans="1:14" ht="14.25" customHeight="1">
      <c r="A2874" s="17">
        <v>12873</v>
      </c>
      <c r="B2874" s="18">
        <v>45334</v>
      </c>
      <c r="C2874" s="17" t="s">
        <v>45</v>
      </c>
      <c r="D2874" s="17" t="s">
        <v>83</v>
      </c>
      <c r="E2874" s="17" t="s">
        <v>162</v>
      </c>
      <c r="F2874" s="17" t="s">
        <v>166</v>
      </c>
      <c r="G2874" s="17">
        <v>5</v>
      </c>
      <c r="H2874" s="17">
        <v>56694</v>
      </c>
      <c r="I2874" s="17">
        <v>283470</v>
      </c>
      <c r="J2874" s="17">
        <v>4125</v>
      </c>
      <c r="K2874" s="17">
        <v>279345</v>
      </c>
      <c r="L2874" s="17">
        <v>37365.766170000003</v>
      </c>
      <c r="M2874" s="17">
        <v>2024</v>
      </c>
      <c r="N2874" s="17" t="s">
        <v>175</v>
      </c>
    </row>
    <row r="2875" spans="1:14" ht="14.25" customHeight="1">
      <c r="A2875" s="17">
        <v>12874</v>
      </c>
      <c r="B2875" s="18">
        <v>45972</v>
      </c>
      <c r="C2875" s="17" t="s">
        <v>39</v>
      </c>
      <c r="D2875" s="17" t="s">
        <v>83</v>
      </c>
      <c r="E2875" s="17" t="s">
        <v>162</v>
      </c>
      <c r="F2875" s="17" t="s">
        <v>172</v>
      </c>
      <c r="G2875" s="17">
        <v>2</v>
      </c>
      <c r="H2875" s="17">
        <v>74986</v>
      </c>
      <c r="I2875" s="17">
        <v>149972</v>
      </c>
      <c r="J2875" s="17">
        <v>3019</v>
      </c>
      <c r="K2875" s="17">
        <v>146953</v>
      </c>
      <c r="L2875" s="17">
        <v>31602.789830000002</v>
      </c>
      <c r="M2875" s="17">
        <v>2025</v>
      </c>
      <c r="N2875" s="17" t="s">
        <v>173</v>
      </c>
    </row>
    <row r="2876" spans="1:14" ht="14.25" customHeight="1">
      <c r="A2876" s="17">
        <v>12875</v>
      </c>
      <c r="B2876" s="18">
        <v>45714</v>
      </c>
      <c r="C2876" s="17" t="s">
        <v>39</v>
      </c>
      <c r="D2876" s="17" t="s">
        <v>86</v>
      </c>
      <c r="E2876" s="17" t="s">
        <v>168</v>
      </c>
      <c r="F2876" s="17" t="s">
        <v>172</v>
      </c>
      <c r="G2876" s="17">
        <v>7</v>
      </c>
      <c r="H2876" s="17">
        <v>11960</v>
      </c>
      <c r="I2876" s="17">
        <v>83720</v>
      </c>
      <c r="J2876" s="17">
        <v>764</v>
      </c>
      <c r="K2876" s="17">
        <v>82956</v>
      </c>
      <c r="L2876" s="17">
        <v>15904.929760000001</v>
      </c>
      <c r="M2876" s="17">
        <v>2025</v>
      </c>
      <c r="N2876" s="17" t="s">
        <v>175</v>
      </c>
    </row>
    <row r="2877" spans="1:14" ht="14.25" customHeight="1">
      <c r="A2877" s="17">
        <v>12876</v>
      </c>
      <c r="B2877" s="18">
        <v>45889</v>
      </c>
      <c r="C2877" s="17" t="s">
        <v>58</v>
      </c>
      <c r="D2877" s="17" t="s">
        <v>170</v>
      </c>
      <c r="E2877" s="17" t="s">
        <v>162</v>
      </c>
      <c r="F2877" s="17" t="s">
        <v>163</v>
      </c>
      <c r="G2877" s="17">
        <v>3</v>
      </c>
      <c r="H2877" s="17">
        <v>21583</v>
      </c>
      <c r="I2877" s="17">
        <v>64749</v>
      </c>
      <c r="J2877" s="17">
        <v>4135</v>
      </c>
      <c r="K2877" s="17">
        <v>60614</v>
      </c>
      <c r="L2877" s="17">
        <v>14015.080480000001</v>
      </c>
      <c r="M2877" s="17">
        <v>2025</v>
      </c>
      <c r="N2877" s="17" t="s">
        <v>126</v>
      </c>
    </row>
    <row r="2878" spans="1:14" ht="14.25" customHeight="1">
      <c r="A2878" s="17">
        <v>12877</v>
      </c>
      <c r="B2878" s="18">
        <v>45468</v>
      </c>
      <c r="C2878" s="17" t="s">
        <v>50</v>
      </c>
      <c r="D2878" s="17" t="s">
        <v>83</v>
      </c>
      <c r="E2878" s="17" t="s">
        <v>162</v>
      </c>
      <c r="F2878" s="17" t="s">
        <v>166</v>
      </c>
      <c r="G2878" s="17">
        <v>1</v>
      </c>
      <c r="H2878" s="17">
        <v>77532</v>
      </c>
      <c r="I2878" s="17">
        <v>77532</v>
      </c>
      <c r="J2878" s="17">
        <v>2366</v>
      </c>
      <c r="K2878" s="17">
        <v>75166</v>
      </c>
      <c r="L2878" s="17">
        <v>14211.56733</v>
      </c>
      <c r="M2878" s="17">
        <v>2024</v>
      </c>
      <c r="N2878" s="17" t="s">
        <v>120</v>
      </c>
    </row>
    <row r="2879" spans="1:14" ht="14.25" customHeight="1">
      <c r="A2879" s="17">
        <v>12878</v>
      </c>
      <c r="B2879" s="18">
        <v>45820</v>
      </c>
      <c r="C2879" s="17" t="s">
        <v>39</v>
      </c>
      <c r="D2879" s="17" t="s">
        <v>111</v>
      </c>
      <c r="E2879" s="17" t="s">
        <v>165</v>
      </c>
      <c r="F2879" s="17" t="s">
        <v>166</v>
      </c>
      <c r="G2879" s="17">
        <v>9</v>
      </c>
      <c r="H2879" s="17">
        <v>19201</v>
      </c>
      <c r="I2879" s="17">
        <v>172809</v>
      </c>
      <c r="J2879" s="17">
        <v>3298</v>
      </c>
      <c r="K2879" s="17">
        <v>169511</v>
      </c>
      <c r="L2879" s="17">
        <v>31100.63322</v>
      </c>
      <c r="M2879" s="17">
        <v>2025</v>
      </c>
      <c r="N2879" s="17" t="s">
        <v>120</v>
      </c>
    </row>
    <row r="2880" spans="1:14" ht="14.25" customHeight="1">
      <c r="A2880" s="17">
        <v>12879</v>
      </c>
      <c r="B2880" s="18">
        <v>45901</v>
      </c>
      <c r="C2880" s="17" t="s">
        <v>58</v>
      </c>
      <c r="D2880" s="17" t="s">
        <v>86</v>
      </c>
      <c r="E2880" s="17" t="s">
        <v>168</v>
      </c>
      <c r="F2880" s="17" t="s">
        <v>164</v>
      </c>
      <c r="G2880" s="17">
        <v>5</v>
      </c>
      <c r="H2880" s="17">
        <v>75579</v>
      </c>
      <c r="I2880" s="17">
        <v>377895</v>
      </c>
      <c r="J2880" s="17">
        <v>2779</v>
      </c>
      <c r="K2880" s="17">
        <v>375116</v>
      </c>
      <c r="L2880" s="17">
        <v>82589.098759999993</v>
      </c>
      <c r="M2880" s="17">
        <v>2025</v>
      </c>
      <c r="N2880" s="17" t="s">
        <v>129</v>
      </c>
    </row>
    <row r="2881" spans="1:14" ht="14.25" customHeight="1">
      <c r="A2881" s="17">
        <v>12880</v>
      </c>
      <c r="B2881" s="18">
        <v>45785</v>
      </c>
      <c r="C2881" s="17" t="s">
        <v>167</v>
      </c>
      <c r="D2881" s="17" t="s">
        <v>111</v>
      </c>
      <c r="E2881" s="17" t="s">
        <v>165</v>
      </c>
      <c r="F2881" s="17" t="s">
        <v>166</v>
      </c>
      <c r="G2881" s="17">
        <v>1</v>
      </c>
      <c r="H2881" s="17">
        <v>65019</v>
      </c>
      <c r="I2881" s="17">
        <v>65019</v>
      </c>
      <c r="J2881" s="17">
        <v>4987</v>
      </c>
      <c r="K2881" s="17">
        <v>60032</v>
      </c>
      <c r="L2881" s="17">
        <v>11068.278130000001</v>
      </c>
      <c r="M2881" s="17">
        <v>2025</v>
      </c>
      <c r="N2881" s="17" t="s">
        <v>117</v>
      </c>
    </row>
    <row r="2882" spans="1:14" ht="14.25" customHeight="1">
      <c r="A2882" s="17">
        <v>12881</v>
      </c>
      <c r="B2882" s="18">
        <v>45489</v>
      </c>
      <c r="C2882" s="17" t="s">
        <v>58</v>
      </c>
      <c r="D2882" s="17" t="s">
        <v>170</v>
      </c>
      <c r="E2882" s="17" t="s">
        <v>168</v>
      </c>
      <c r="F2882" s="17" t="s">
        <v>164</v>
      </c>
      <c r="G2882" s="17">
        <v>1</v>
      </c>
      <c r="H2882" s="17">
        <v>25420</v>
      </c>
      <c r="I2882" s="17">
        <v>25420</v>
      </c>
      <c r="J2882" s="17">
        <v>2371</v>
      </c>
      <c r="K2882" s="17">
        <v>23049</v>
      </c>
      <c r="L2882" s="17">
        <v>5224.7774879999997</v>
      </c>
      <c r="M2882" s="17">
        <v>2024</v>
      </c>
      <c r="N2882" s="17" t="s">
        <v>123</v>
      </c>
    </row>
    <row r="2883" spans="1:14" ht="14.25" customHeight="1">
      <c r="A2883" s="17">
        <v>12882</v>
      </c>
      <c r="B2883" s="18">
        <v>45901</v>
      </c>
      <c r="C2883" s="17" t="s">
        <v>58</v>
      </c>
      <c r="D2883" s="17" t="s">
        <v>111</v>
      </c>
      <c r="E2883" s="17" t="s">
        <v>165</v>
      </c>
      <c r="F2883" s="17" t="s">
        <v>166</v>
      </c>
      <c r="G2883" s="17">
        <v>1</v>
      </c>
      <c r="H2883" s="17">
        <v>45602</v>
      </c>
      <c r="I2883" s="17">
        <v>45602</v>
      </c>
      <c r="J2883" s="17">
        <v>3390</v>
      </c>
      <c r="K2883" s="17">
        <v>42212</v>
      </c>
      <c r="L2883" s="17">
        <v>4533.4719009999999</v>
      </c>
      <c r="M2883" s="17">
        <v>2025</v>
      </c>
      <c r="N2883" s="17" t="s">
        <v>129</v>
      </c>
    </row>
    <row r="2884" spans="1:14" ht="14.25" customHeight="1">
      <c r="A2884" s="17">
        <v>12883</v>
      </c>
      <c r="B2884" s="18">
        <v>45868</v>
      </c>
      <c r="C2884" s="17" t="s">
        <v>58</v>
      </c>
      <c r="D2884" s="17" t="s">
        <v>83</v>
      </c>
      <c r="E2884" s="17" t="s">
        <v>162</v>
      </c>
      <c r="F2884" s="17" t="s">
        <v>172</v>
      </c>
      <c r="G2884" s="17">
        <v>9</v>
      </c>
      <c r="H2884" s="17">
        <v>57645</v>
      </c>
      <c r="I2884" s="17">
        <v>518805</v>
      </c>
      <c r="J2884" s="17">
        <v>1782</v>
      </c>
      <c r="K2884" s="17">
        <v>517023</v>
      </c>
      <c r="L2884" s="17">
        <v>90102.879419999997</v>
      </c>
      <c r="M2884" s="17">
        <v>2025</v>
      </c>
      <c r="N2884" s="17" t="s">
        <v>123</v>
      </c>
    </row>
    <row r="2885" spans="1:14" ht="14.25" customHeight="1">
      <c r="A2885" s="17">
        <v>12884</v>
      </c>
      <c r="B2885" s="18">
        <v>45808</v>
      </c>
      <c r="C2885" s="17" t="s">
        <v>45</v>
      </c>
      <c r="D2885" s="17" t="s">
        <v>83</v>
      </c>
      <c r="E2885" s="17" t="s">
        <v>168</v>
      </c>
      <c r="F2885" s="17" t="s">
        <v>164</v>
      </c>
      <c r="G2885" s="17">
        <v>8</v>
      </c>
      <c r="H2885" s="17">
        <v>58124</v>
      </c>
      <c r="I2885" s="17">
        <v>464992</v>
      </c>
      <c r="J2885" s="17">
        <v>4780</v>
      </c>
      <c r="K2885" s="17">
        <v>460212</v>
      </c>
      <c r="L2885" s="17">
        <v>102122.758</v>
      </c>
      <c r="M2885" s="17">
        <v>2025</v>
      </c>
      <c r="N2885" s="17" t="s">
        <v>117</v>
      </c>
    </row>
    <row r="2886" spans="1:14" ht="14.25" customHeight="1">
      <c r="A2886" s="17">
        <v>12885</v>
      </c>
      <c r="B2886" s="18">
        <v>45805</v>
      </c>
      <c r="C2886" s="17" t="s">
        <v>58</v>
      </c>
      <c r="D2886" s="17" t="s">
        <v>89</v>
      </c>
      <c r="E2886" s="17" t="s">
        <v>168</v>
      </c>
      <c r="F2886" s="17" t="s">
        <v>166</v>
      </c>
      <c r="G2886" s="17">
        <v>6</v>
      </c>
      <c r="H2886" s="17">
        <v>54031</v>
      </c>
      <c r="I2886" s="17">
        <v>324186</v>
      </c>
      <c r="J2886" s="17">
        <v>1064</v>
      </c>
      <c r="K2886" s="17">
        <v>323122</v>
      </c>
      <c r="L2886" s="17">
        <v>73431.016449999996</v>
      </c>
      <c r="M2886" s="17">
        <v>2025</v>
      </c>
      <c r="N2886" s="17" t="s">
        <v>117</v>
      </c>
    </row>
    <row r="2887" spans="1:14" ht="14.25" customHeight="1">
      <c r="A2887" s="17">
        <v>12886</v>
      </c>
      <c r="B2887" s="18">
        <v>45313</v>
      </c>
      <c r="C2887" s="17" t="s">
        <v>58</v>
      </c>
      <c r="D2887" s="17" t="s">
        <v>86</v>
      </c>
      <c r="E2887" s="17" t="s">
        <v>168</v>
      </c>
      <c r="F2887" s="17" t="s">
        <v>164</v>
      </c>
      <c r="G2887" s="17">
        <v>6</v>
      </c>
      <c r="H2887" s="17">
        <v>17629</v>
      </c>
      <c r="I2887" s="17">
        <v>105774</v>
      </c>
      <c r="J2887" s="17">
        <v>2456</v>
      </c>
      <c r="K2887" s="17">
        <v>103318</v>
      </c>
      <c r="L2887" s="17">
        <v>23257.740020000001</v>
      </c>
      <c r="M2887" s="17">
        <v>2024</v>
      </c>
      <c r="N2887" s="17" t="s">
        <v>171</v>
      </c>
    </row>
    <row r="2888" spans="1:14" ht="14.25" customHeight="1">
      <c r="A2888" s="17">
        <v>12887</v>
      </c>
      <c r="B2888" s="18">
        <v>45403</v>
      </c>
      <c r="C2888" s="17" t="s">
        <v>45</v>
      </c>
      <c r="D2888" s="17" t="s">
        <v>170</v>
      </c>
      <c r="E2888" s="17" t="s">
        <v>168</v>
      </c>
      <c r="F2888" s="17" t="s">
        <v>163</v>
      </c>
      <c r="G2888" s="17">
        <v>6</v>
      </c>
      <c r="H2888" s="17">
        <v>62731</v>
      </c>
      <c r="I2888" s="17">
        <v>376386</v>
      </c>
      <c r="J2888" s="17">
        <v>1346</v>
      </c>
      <c r="K2888" s="17">
        <v>375040</v>
      </c>
      <c r="L2888" s="17">
        <v>71504.075519999999</v>
      </c>
      <c r="M2888" s="17">
        <v>2024</v>
      </c>
      <c r="N2888" s="17" t="s">
        <v>114</v>
      </c>
    </row>
    <row r="2889" spans="1:14" ht="14.25" customHeight="1">
      <c r="A2889" s="17">
        <v>12888</v>
      </c>
      <c r="B2889" s="18">
        <v>45348</v>
      </c>
      <c r="C2889" s="17" t="s">
        <v>45</v>
      </c>
      <c r="D2889" s="17" t="s">
        <v>86</v>
      </c>
      <c r="E2889" s="17" t="s">
        <v>162</v>
      </c>
      <c r="F2889" s="17" t="s">
        <v>163</v>
      </c>
      <c r="G2889" s="17">
        <v>4</v>
      </c>
      <c r="H2889" s="17">
        <v>33675</v>
      </c>
      <c r="I2889" s="17">
        <v>134700</v>
      </c>
      <c r="J2889" s="17">
        <v>2227</v>
      </c>
      <c r="K2889" s="17">
        <v>132473</v>
      </c>
      <c r="L2889" s="17">
        <v>32998.454839999999</v>
      </c>
      <c r="M2889" s="17">
        <v>2024</v>
      </c>
      <c r="N2889" s="17" t="s">
        <v>175</v>
      </c>
    </row>
    <row r="2890" spans="1:14" ht="14.25" customHeight="1">
      <c r="A2890" s="17">
        <v>12889</v>
      </c>
      <c r="B2890" s="18">
        <v>45357</v>
      </c>
      <c r="C2890" s="17" t="s">
        <v>167</v>
      </c>
      <c r="D2890" s="17" t="s">
        <v>111</v>
      </c>
      <c r="E2890" s="17" t="s">
        <v>162</v>
      </c>
      <c r="F2890" s="17" t="s">
        <v>164</v>
      </c>
      <c r="G2890" s="17">
        <v>5</v>
      </c>
      <c r="H2890" s="17">
        <v>6662</v>
      </c>
      <c r="I2890" s="17">
        <v>33310</v>
      </c>
      <c r="J2890" s="17">
        <v>1182</v>
      </c>
      <c r="K2890" s="17">
        <v>32128</v>
      </c>
      <c r="L2890" s="17">
        <v>4086.9368949999998</v>
      </c>
      <c r="M2890" s="17">
        <v>2024</v>
      </c>
      <c r="N2890" s="17" t="s">
        <v>112</v>
      </c>
    </row>
    <row r="2891" spans="1:14" ht="14.25" customHeight="1">
      <c r="A2891" s="17">
        <v>12890</v>
      </c>
      <c r="B2891" s="18">
        <v>45389</v>
      </c>
      <c r="C2891" s="17" t="s">
        <v>50</v>
      </c>
      <c r="D2891" s="17" t="s">
        <v>170</v>
      </c>
      <c r="E2891" s="17" t="s">
        <v>162</v>
      </c>
      <c r="F2891" s="17" t="s">
        <v>164</v>
      </c>
      <c r="G2891" s="17">
        <v>3</v>
      </c>
      <c r="H2891" s="17">
        <v>12589</v>
      </c>
      <c r="I2891" s="17">
        <v>37767</v>
      </c>
      <c r="J2891" s="17">
        <v>4132</v>
      </c>
      <c r="K2891" s="17">
        <v>33635</v>
      </c>
      <c r="L2891" s="17">
        <v>4243.6821019999998</v>
      </c>
      <c r="M2891" s="17">
        <v>2024</v>
      </c>
      <c r="N2891" s="17" t="s">
        <v>114</v>
      </c>
    </row>
    <row r="2892" spans="1:14" ht="14.25" customHeight="1">
      <c r="A2892" s="17">
        <v>12891</v>
      </c>
      <c r="B2892" s="18">
        <v>45435</v>
      </c>
      <c r="C2892" s="17" t="s">
        <v>39</v>
      </c>
      <c r="D2892" s="17" t="s">
        <v>170</v>
      </c>
      <c r="E2892" s="17" t="s">
        <v>165</v>
      </c>
      <c r="F2892" s="17" t="s">
        <v>172</v>
      </c>
      <c r="G2892" s="17">
        <v>3</v>
      </c>
      <c r="H2892" s="17">
        <v>54364</v>
      </c>
      <c r="I2892" s="17">
        <v>163092</v>
      </c>
      <c r="J2892" s="17">
        <v>2453</v>
      </c>
      <c r="K2892" s="17">
        <v>160639</v>
      </c>
      <c r="L2892" s="17">
        <v>16854.790239999998</v>
      </c>
      <c r="M2892" s="17">
        <v>2024</v>
      </c>
      <c r="N2892" s="17" t="s">
        <v>117</v>
      </c>
    </row>
    <row r="2893" spans="1:14" ht="14.25" customHeight="1">
      <c r="A2893" s="17">
        <v>12892</v>
      </c>
      <c r="B2893" s="18">
        <v>45726</v>
      </c>
      <c r="C2893" s="17" t="s">
        <v>39</v>
      </c>
      <c r="D2893" s="17" t="s">
        <v>83</v>
      </c>
      <c r="E2893" s="17" t="s">
        <v>162</v>
      </c>
      <c r="F2893" s="17" t="s">
        <v>166</v>
      </c>
      <c r="G2893" s="17">
        <v>7</v>
      </c>
      <c r="H2893" s="17">
        <v>9655</v>
      </c>
      <c r="I2893" s="17">
        <v>67585</v>
      </c>
      <c r="J2893" s="17">
        <v>538</v>
      </c>
      <c r="K2893" s="17">
        <v>67047</v>
      </c>
      <c r="L2893" s="17">
        <v>16654.513449999999</v>
      </c>
      <c r="M2893" s="17">
        <v>2025</v>
      </c>
      <c r="N2893" s="17" t="s">
        <v>112</v>
      </c>
    </row>
    <row r="2894" spans="1:14" ht="14.25" customHeight="1">
      <c r="A2894" s="17">
        <v>12893</v>
      </c>
      <c r="B2894" s="18">
        <v>45928</v>
      </c>
      <c r="C2894" s="17" t="s">
        <v>58</v>
      </c>
      <c r="D2894" s="17" t="s">
        <v>111</v>
      </c>
      <c r="E2894" s="17" t="s">
        <v>165</v>
      </c>
      <c r="F2894" s="17" t="s">
        <v>163</v>
      </c>
      <c r="G2894" s="17">
        <v>5</v>
      </c>
      <c r="H2894" s="17">
        <v>79285</v>
      </c>
      <c r="I2894" s="17">
        <v>396425</v>
      </c>
      <c r="J2894" s="17">
        <v>2423</v>
      </c>
      <c r="K2894" s="17">
        <v>394002</v>
      </c>
      <c r="L2894" s="17">
        <v>59968.316400000003</v>
      </c>
      <c r="M2894" s="17">
        <v>2025</v>
      </c>
      <c r="N2894" s="17" t="s">
        <v>129</v>
      </c>
    </row>
    <row r="2895" spans="1:14" ht="14.25" customHeight="1">
      <c r="A2895" s="17">
        <v>12894</v>
      </c>
      <c r="B2895" s="18">
        <v>45970</v>
      </c>
      <c r="C2895" s="17" t="s">
        <v>167</v>
      </c>
      <c r="D2895" s="17" t="s">
        <v>83</v>
      </c>
      <c r="E2895" s="17" t="s">
        <v>165</v>
      </c>
      <c r="F2895" s="17" t="s">
        <v>163</v>
      </c>
      <c r="G2895" s="17">
        <v>8</v>
      </c>
      <c r="H2895" s="17">
        <v>15797</v>
      </c>
      <c r="I2895" s="17">
        <v>126376</v>
      </c>
      <c r="J2895" s="17">
        <v>2303</v>
      </c>
      <c r="K2895" s="17">
        <v>124073</v>
      </c>
      <c r="L2895" s="17">
        <v>26589.85223</v>
      </c>
      <c r="M2895" s="17">
        <v>2025</v>
      </c>
      <c r="N2895" s="17" t="s">
        <v>173</v>
      </c>
    </row>
    <row r="2896" spans="1:14" ht="14.25" customHeight="1">
      <c r="A2896" s="17">
        <v>12895</v>
      </c>
      <c r="B2896" s="18">
        <v>45377</v>
      </c>
      <c r="C2896" s="17" t="s">
        <v>58</v>
      </c>
      <c r="D2896" s="17" t="s">
        <v>83</v>
      </c>
      <c r="E2896" s="17" t="s">
        <v>162</v>
      </c>
      <c r="F2896" s="17" t="s">
        <v>166</v>
      </c>
      <c r="G2896" s="17">
        <v>5</v>
      </c>
      <c r="H2896" s="17">
        <v>11645</v>
      </c>
      <c r="I2896" s="17">
        <v>58225</v>
      </c>
      <c r="J2896" s="17">
        <v>248</v>
      </c>
      <c r="K2896" s="17">
        <v>57977</v>
      </c>
      <c r="L2896" s="17">
        <v>6316.9737210000003</v>
      </c>
      <c r="M2896" s="17">
        <v>2024</v>
      </c>
      <c r="N2896" s="17" t="s">
        <v>112</v>
      </c>
    </row>
    <row r="2897" spans="1:14" ht="14.25" customHeight="1">
      <c r="A2897" s="17">
        <v>12896</v>
      </c>
      <c r="B2897" s="18">
        <v>45879</v>
      </c>
      <c r="C2897" s="17" t="s">
        <v>39</v>
      </c>
      <c r="D2897" s="17" t="s">
        <v>89</v>
      </c>
      <c r="E2897" s="17" t="s">
        <v>162</v>
      </c>
      <c r="F2897" s="17" t="s">
        <v>163</v>
      </c>
      <c r="G2897" s="17">
        <v>4</v>
      </c>
      <c r="H2897" s="17">
        <v>39762</v>
      </c>
      <c r="I2897" s="17">
        <v>159048</v>
      </c>
      <c r="J2897" s="17">
        <v>4788</v>
      </c>
      <c r="K2897" s="17">
        <v>154260</v>
      </c>
      <c r="L2897" s="17">
        <v>22337.344089999999</v>
      </c>
      <c r="M2897" s="17">
        <v>2025</v>
      </c>
      <c r="N2897" s="17" t="s">
        <v>126</v>
      </c>
    </row>
    <row r="2898" spans="1:14" ht="14.25" customHeight="1">
      <c r="A2898" s="17">
        <v>12897</v>
      </c>
      <c r="B2898" s="18">
        <v>45635</v>
      </c>
      <c r="C2898" s="17" t="s">
        <v>45</v>
      </c>
      <c r="D2898" s="17" t="s">
        <v>83</v>
      </c>
      <c r="E2898" s="17" t="s">
        <v>162</v>
      </c>
      <c r="F2898" s="17" t="s">
        <v>163</v>
      </c>
      <c r="G2898" s="17">
        <v>3</v>
      </c>
      <c r="H2898" s="17">
        <v>52634</v>
      </c>
      <c r="I2898" s="17">
        <v>157902</v>
      </c>
      <c r="J2898" s="17">
        <v>1040</v>
      </c>
      <c r="K2898" s="17">
        <v>156862</v>
      </c>
      <c r="L2898" s="17">
        <v>30364.891250000001</v>
      </c>
      <c r="M2898" s="17">
        <v>2024</v>
      </c>
      <c r="N2898" s="17" t="s">
        <v>169</v>
      </c>
    </row>
    <row r="2899" spans="1:14" ht="14.25" customHeight="1">
      <c r="A2899" s="17">
        <v>12898</v>
      </c>
      <c r="B2899" s="18">
        <v>45585</v>
      </c>
      <c r="C2899" s="17" t="s">
        <v>50</v>
      </c>
      <c r="D2899" s="17" t="s">
        <v>86</v>
      </c>
      <c r="E2899" s="17" t="s">
        <v>165</v>
      </c>
      <c r="F2899" s="17" t="s">
        <v>164</v>
      </c>
      <c r="G2899" s="17">
        <v>2</v>
      </c>
      <c r="H2899" s="17">
        <v>26432</v>
      </c>
      <c r="I2899" s="17">
        <v>52864</v>
      </c>
      <c r="J2899" s="17">
        <v>1391</v>
      </c>
      <c r="K2899" s="17">
        <v>51473</v>
      </c>
      <c r="L2899" s="17">
        <v>9199.1008829999992</v>
      </c>
      <c r="M2899" s="17">
        <v>2024</v>
      </c>
      <c r="N2899" s="17" t="s">
        <v>174</v>
      </c>
    </row>
    <row r="2900" spans="1:14" ht="14.25" customHeight="1">
      <c r="A2900" s="17">
        <v>12899</v>
      </c>
      <c r="B2900" s="18">
        <v>45862</v>
      </c>
      <c r="C2900" s="17" t="s">
        <v>167</v>
      </c>
      <c r="D2900" s="17" t="s">
        <v>170</v>
      </c>
      <c r="E2900" s="17" t="s">
        <v>168</v>
      </c>
      <c r="F2900" s="17" t="s">
        <v>163</v>
      </c>
      <c r="G2900" s="17">
        <v>3</v>
      </c>
      <c r="H2900" s="17">
        <v>52890</v>
      </c>
      <c r="I2900" s="17">
        <v>158670</v>
      </c>
      <c r="J2900" s="17">
        <v>2172</v>
      </c>
      <c r="K2900" s="17">
        <v>156498</v>
      </c>
      <c r="L2900" s="17">
        <v>20526.6276</v>
      </c>
      <c r="M2900" s="17">
        <v>2025</v>
      </c>
      <c r="N2900" s="17" t="s">
        <v>123</v>
      </c>
    </row>
    <row r="2901" spans="1:14" ht="14.25" customHeight="1">
      <c r="A2901" s="17">
        <v>12900</v>
      </c>
      <c r="B2901" s="18">
        <v>45941</v>
      </c>
      <c r="C2901" s="17" t="s">
        <v>45</v>
      </c>
      <c r="D2901" s="17" t="s">
        <v>83</v>
      </c>
      <c r="E2901" s="17" t="s">
        <v>162</v>
      </c>
      <c r="F2901" s="17" t="s">
        <v>163</v>
      </c>
      <c r="G2901" s="17">
        <v>7</v>
      </c>
      <c r="H2901" s="17">
        <v>64111</v>
      </c>
      <c r="I2901" s="17">
        <v>448777</v>
      </c>
      <c r="J2901" s="17">
        <v>1335</v>
      </c>
      <c r="K2901" s="17">
        <v>447442</v>
      </c>
      <c r="L2901" s="17">
        <v>75724.608410000001</v>
      </c>
      <c r="M2901" s="17">
        <v>2025</v>
      </c>
      <c r="N2901" s="17" t="s">
        <v>174</v>
      </c>
    </row>
    <row r="2902" spans="1:14" ht="14.25" customHeight="1">
      <c r="A2902" s="17">
        <v>12901</v>
      </c>
      <c r="B2902" s="18">
        <v>45902</v>
      </c>
      <c r="C2902" s="17" t="s">
        <v>50</v>
      </c>
      <c r="D2902" s="17" t="s">
        <v>86</v>
      </c>
      <c r="E2902" s="17" t="s">
        <v>165</v>
      </c>
      <c r="F2902" s="17" t="s">
        <v>163</v>
      </c>
      <c r="G2902" s="17">
        <v>8</v>
      </c>
      <c r="H2902" s="17">
        <v>78769</v>
      </c>
      <c r="I2902" s="17">
        <v>630152</v>
      </c>
      <c r="J2902" s="17">
        <v>2259</v>
      </c>
      <c r="K2902" s="17">
        <v>627893</v>
      </c>
      <c r="L2902" s="17">
        <v>73034.817679999993</v>
      </c>
      <c r="M2902" s="17">
        <v>2025</v>
      </c>
      <c r="N2902" s="17" t="s">
        <v>129</v>
      </c>
    </row>
    <row r="2903" spans="1:14" ht="14.25" customHeight="1">
      <c r="A2903" s="17">
        <v>12902</v>
      </c>
      <c r="B2903" s="18">
        <v>45995</v>
      </c>
      <c r="C2903" s="17" t="s">
        <v>167</v>
      </c>
      <c r="D2903" s="17" t="s">
        <v>111</v>
      </c>
      <c r="E2903" s="17" t="s">
        <v>165</v>
      </c>
      <c r="F2903" s="17" t="s">
        <v>166</v>
      </c>
      <c r="G2903" s="17">
        <v>5</v>
      </c>
      <c r="H2903" s="17">
        <v>48611</v>
      </c>
      <c r="I2903" s="17">
        <v>243055</v>
      </c>
      <c r="J2903" s="17">
        <v>499</v>
      </c>
      <c r="K2903" s="17">
        <v>242556</v>
      </c>
      <c r="L2903" s="17">
        <v>44000.997510000001</v>
      </c>
      <c r="M2903" s="17">
        <v>2025</v>
      </c>
      <c r="N2903" s="17" t="s">
        <v>169</v>
      </c>
    </row>
    <row r="2904" spans="1:14" ht="14.25" customHeight="1">
      <c r="A2904" s="17">
        <v>12903</v>
      </c>
      <c r="B2904" s="18">
        <v>45534</v>
      </c>
      <c r="C2904" s="17" t="s">
        <v>167</v>
      </c>
      <c r="D2904" s="17" t="s">
        <v>170</v>
      </c>
      <c r="E2904" s="17" t="s">
        <v>162</v>
      </c>
      <c r="F2904" s="17" t="s">
        <v>172</v>
      </c>
      <c r="G2904" s="17">
        <v>1</v>
      </c>
      <c r="H2904" s="17">
        <v>31671</v>
      </c>
      <c r="I2904" s="17">
        <v>31671</v>
      </c>
      <c r="J2904" s="17">
        <v>810</v>
      </c>
      <c r="K2904" s="17">
        <v>30861</v>
      </c>
      <c r="L2904" s="17">
        <v>3534.8564809999998</v>
      </c>
      <c r="M2904" s="17">
        <v>2024</v>
      </c>
      <c r="N2904" s="17" t="s">
        <v>126</v>
      </c>
    </row>
    <row r="2905" spans="1:14" ht="14.25" customHeight="1">
      <c r="A2905" s="17">
        <v>12904</v>
      </c>
      <c r="B2905" s="18">
        <v>45852</v>
      </c>
      <c r="C2905" s="17" t="s">
        <v>39</v>
      </c>
      <c r="D2905" s="17" t="s">
        <v>111</v>
      </c>
      <c r="E2905" s="17" t="s">
        <v>165</v>
      </c>
      <c r="F2905" s="17" t="s">
        <v>164</v>
      </c>
      <c r="G2905" s="17">
        <v>3</v>
      </c>
      <c r="H2905" s="17">
        <v>41760</v>
      </c>
      <c r="I2905" s="17">
        <v>125280</v>
      </c>
      <c r="J2905" s="17">
        <v>4984</v>
      </c>
      <c r="K2905" s="17">
        <v>120296</v>
      </c>
      <c r="L2905" s="17">
        <v>23504.673770000001</v>
      </c>
      <c r="M2905" s="17">
        <v>2025</v>
      </c>
      <c r="N2905" s="17" t="s">
        <v>123</v>
      </c>
    </row>
    <row r="2906" spans="1:14" ht="14.25" customHeight="1">
      <c r="A2906" s="17">
        <v>12905</v>
      </c>
      <c r="B2906" s="18">
        <v>45323</v>
      </c>
      <c r="C2906" s="17" t="s">
        <v>45</v>
      </c>
      <c r="D2906" s="17" t="s">
        <v>86</v>
      </c>
      <c r="E2906" s="17" t="s">
        <v>162</v>
      </c>
      <c r="F2906" s="17" t="s">
        <v>172</v>
      </c>
      <c r="G2906" s="17">
        <v>4</v>
      </c>
      <c r="H2906" s="17">
        <v>33233</v>
      </c>
      <c r="I2906" s="17">
        <v>132932</v>
      </c>
      <c r="J2906" s="17">
        <v>3713</v>
      </c>
      <c r="K2906" s="17">
        <v>129219</v>
      </c>
      <c r="L2906" s="17">
        <v>15933.172629999999</v>
      </c>
      <c r="M2906" s="17">
        <v>2024</v>
      </c>
      <c r="N2906" s="17" t="s">
        <v>175</v>
      </c>
    </row>
    <row r="2907" spans="1:14" ht="14.25" customHeight="1">
      <c r="A2907" s="17">
        <v>12906</v>
      </c>
      <c r="B2907" s="18">
        <v>45682</v>
      </c>
      <c r="C2907" s="17" t="s">
        <v>167</v>
      </c>
      <c r="D2907" s="17" t="s">
        <v>111</v>
      </c>
      <c r="E2907" s="17" t="s">
        <v>165</v>
      </c>
      <c r="F2907" s="17" t="s">
        <v>163</v>
      </c>
      <c r="G2907" s="17">
        <v>4</v>
      </c>
      <c r="H2907" s="17">
        <v>42591</v>
      </c>
      <c r="I2907" s="17">
        <v>170364</v>
      </c>
      <c r="J2907" s="17">
        <v>3704</v>
      </c>
      <c r="K2907" s="17">
        <v>166660</v>
      </c>
      <c r="L2907" s="17">
        <v>30342.60022</v>
      </c>
      <c r="M2907" s="17">
        <v>2025</v>
      </c>
      <c r="N2907" s="17" t="s">
        <v>171</v>
      </c>
    </row>
    <row r="2908" spans="1:14" ht="14.25" customHeight="1">
      <c r="A2908" s="17">
        <v>12907</v>
      </c>
      <c r="B2908" s="18">
        <v>45568</v>
      </c>
      <c r="C2908" s="17" t="s">
        <v>167</v>
      </c>
      <c r="D2908" s="17" t="s">
        <v>111</v>
      </c>
      <c r="E2908" s="17" t="s">
        <v>168</v>
      </c>
      <c r="F2908" s="17" t="s">
        <v>163</v>
      </c>
      <c r="G2908" s="17">
        <v>1</v>
      </c>
      <c r="H2908" s="17">
        <v>72804</v>
      </c>
      <c r="I2908" s="17">
        <v>72804</v>
      </c>
      <c r="J2908" s="17">
        <v>1210</v>
      </c>
      <c r="K2908" s="17">
        <v>71594</v>
      </c>
      <c r="L2908" s="17">
        <v>8546.0398929999992</v>
      </c>
      <c r="M2908" s="17">
        <v>2024</v>
      </c>
      <c r="N2908" s="17" t="s">
        <v>174</v>
      </c>
    </row>
    <row r="2909" spans="1:14" ht="14.25" customHeight="1">
      <c r="A2909" s="17">
        <v>12908</v>
      </c>
      <c r="B2909" s="18">
        <v>45823</v>
      </c>
      <c r="C2909" s="17" t="s">
        <v>50</v>
      </c>
      <c r="D2909" s="17" t="s">
        <v>111</v>
      </c>
      <c r="E2909" s="17" t="s">
        <v>165</v>
      </c>
      <c r="F2909" s="17" t="s">
        <v>163</v>
      </c>
      <c r="G2909" s="17">
        <v>9</v>
      </c>
      <c r="H2909" s="17">
        <v>55091</v>
      </c>
      <c r="I2909" s="17">
        <v>495819</v>
      </c>
      <c r="J2909" s="17">
        <v>3745</v>
      </c>
      <c r="K2909" s="17">
        <v>492074</v>
      </c>
      <c r="L2909" s="17">
        <v>78784.277889999998</v>
      </c>
      <c r="M2909" s="17">
        <v>2025</v>
      </c>
      <c r="N2909" s="17" t="s">
        <v>120</v>
      </c>
    </row>
    <row r="2910" spans="1:14" ht="14.25" customHeight="1">
      <c r="A2910" s="17">
        <v>12909</v>
      </c>
      <c r="B2910" s="18">
        <v>45445</v>
      </c>
      <c r="C2910" s="17" t="s">
        <v>39</v>
      </c>
      <c r="D2910" s="17" t="s">
        <v>83</v>
      </c>
      <c r="E2910" s="17" t="s">
        <v>162</v>
      </c>
      <c r="F2910" s="17" t="s">
        <v>172</v>
      </c>
      <c r="G2910" s="17">
        <v>4</v>
      </c>
      <c r="H2910" s="17">
        <v>9438</v>
      </c>
      <c r="I2910" s="17">
        <v>37752</v>
      </c>
      <c r="J2910" s="17">
        <v>1986</v>
      </c>
      <c r="K2910" s="17">
        <v>35766</v>
      </c>
      <c r="L2910" s="17">
        <v>5464.1410550000001</v>
      </c>
      <c r="M2910" s="17">
        <v>2024</v>
      </c>
      <c r="N2910" s="17" t="s">
        <v>120</v>
      </c>
    </row>
    <row r="2911" spans="1:14" ht="14.25" customHeight="1">
      <c r="A2911" s="17">
        <v>12910</v>
      </c>
      <c r="B2911" s="18">
        <v>45674</v>
      </c>
      <c r="C2911" s="17" t="s">
        <v>58</v>
      </c>
      <c r="D2911" s="17" t="s">
        <v>83</v>
      </c>
      <c r="E2911" s="17" t="s">
        <v>168</v>
      </c>
      <c r="F2911" s="17" t="s">
        <v>166</v>
      </c>
      <c r="G2911" s="17">
        <v>2</v>
      </c>
      <c r="H2911" s="17">
        <v>50896</v>
      </c>
      <c r="I2911" s="17">
        <v>101792</v>
      </c>
      <c r="J2911" s="17">
        <v>1491</v>
      </c>
      <c r="K2911" s="17">
        <v>100301</v>
      </c>
      <c r="L2911" s="17">
        <v>21410.41244</v>
      </c>
      <c r="M2911" s="17">
        <v>2025</v>
      </c>
      <c r="N2911" s="17" t="s">
        <v>171</v>
      </c>
    </row>
    <row r="2912" spans="1:14" ht="14.25" customHeight="1">
      <c r="A2912" s="17">
        <v>12911</v>
      </c>
      <c r="B2912" s="18">
        <v>45359</v>
      </c>
      <c r="C2912" s="17" t="s">
        <v>39</v>
      </c>
      <c r="D2912" s="17" t="s">
        <v>83</v>
      </c>
      <c r="E2912" s="17" t="s">
        <v>162</v>
      </c>
      <c r="F2912" s="17" t="s">
        <v>166</v>
      </c>
      <c r="G2912" s="17">
        <v>9</v>
      </c>
      <c r="H2912" s="17">
        <v>16319</v>
      </c>
      <c r="I2912" s="17">
        <v>146871</v>
      </c>
      <c r="J2912" s="17">
        <v>4270</v>
      </c>
      <c r="K2912" s="17">
        <v>142601</v>
      </c>
      <c r="L2912" s="17">
        <v>27974.643749999999</v>
      </c>
      <c r="M2912" s="17">
        <v>2024</v>
      </c>
      <c r="N2912" s="17" t="s">
        <v>112</v>
      </c>
    </row>
    <row r="2913" spans="1:14" ht="14.25" customHeight="1">
      <c r="A2913" s="17">
        <v>12912</v>
      </c>
      <c r="B2913" s="18">
        <v>45505</v>
      </c>
      <c r="C2913" s="17" t="s">
        <v>58</v>
      </c>
      <c r="D2913" s="17" t="s">
        <v>170</v>
      </c>
      <c r="E2913" s="17" t="s">
        <v>165</v>
      </c>
      <c r="F2913" s="17" t="s">
        <v>164</v>
      </c>
      <c r="G2913" s="17">
        <v>4</v>
      </c>
      <c r="H2913" s="17">
        <v>11028</v>
      </c>
      <c r="I2913" s="17">
        <v>44112</v>
      </c>
      <c r="J2913" s="17">
        <v>3048</v>
      </c>
      <c r="K2913" s="17">
        <v>41064</v>
      </c>
      <c r="L2913" s="17">
        <v>9878.4922979999992</v>
      </c>
      <c r="M2913" s="17">
        <v>2024</v>
      </c>
      <c r="N2913" s="17" t="s">
        <v>126</v>
      </c>
    </row>
    <row r="2914" spans="1:14" ht="14.25" customHeight="1">
      <c r="A2914" s="17">
        <v>12913</v>
      </c>
      <c r="B2914" s="18">
        <v>45946</v>
      </c>
      <c r="C2914" s="17" t="s">
        <v>45</v>
      </c>
      <c r="D2914" s="17" t="s">
        <v>86</v>
      </c>
      <c r="E2914" s="17" t="s">
        <v>168</v>
      </c>
      <c r="F2914" s="17" t="s">
        <v>172</v>
      </c>
      <c r="G2914" s="17">
        <v>4</v>
      </c>
      <c r="H2914" s="17">
        <v>30940</v>
      </c>
      <c r="I2914" s="17">
        <v>123760</v>
      </c>
      <c r="J2914" s="17">
        <v>4919</v>
      </c>
      <c r="K2914" s="17">
        <v>118841</v>
      </c>
      <c r="L2914" s="17">
        <v>28318.217570000001</v>
      </c>
      <c r="M2914" s="17">
        <v>2025</v>
      </c>
      <c r="N2914" s="17" t="s">
        <v>174</v>
      </c>
    </row>
    <row r="2915" spans="1:14" ht="14.25" customHeight="1">
      <c r="A2915" s="17">
        <v>12914</v>
      </c>
      <c r="B2915" s="18">
        <v>45667</v>
      </c>
      <c r="C2915" s="17" t="s">
        <v>45</v>
      </c>
      <c r="D2915" s="17" t="s">
        <v>83</v>
      </c>
      <c r="E2915" s="17" t="s">
        <v>168</v>
      </c>
      <c r="F2915" s="17" t="s">
        <v>166</v>
      </c>
      <c r="G2915" s="17">
        <v>6</v>
      </c>
      <c r="H2915" s="17">
        <v>13422</v>
      </c>
      <c r="I2915" s="17">
        <v>80532</v>
      </c>
      <c r="J2915" s="17">
        <v>2934</v>
      </c>
      <c r="K2915" s="17">
        <v>77598</v>
      </c>
      <c r="L2915" s="17">
        <v>16198.536270000001</v>
      </c>
      <c r="M2915" s="17">
        <v>2025</v>
      </c>
      <c r="N2915" s="17" t="s">
        <v>171</v>
      </c>
    </row>
    <row r="2916" spans="1:14" ht="14.25" customHeight="1">
      <c r="A2916" s="17">
        <v>12915</v>
      </c>
      <c r="B2916" s="18">
        <v>45504</v>
      </c>
      <c r="C2916" s="17" t="s">
        <v>167</v>
      </c>
      <c r="D2916" s="17" t="s">
        <v>111</v>
      </c>
      <c r="E2916" s="17" t="s">
        <v>165</v>
      </c>
      <c r="F2916" s="17" t="s">
        <v>164</v>
      </c>
      <c r="G2916" s="17">
        <v>8</v>
      </c>
      <c r="H2916" s="17">
        <v>56651</v>
      </c>
      <c r="I2916" s="17">
        <v>453208</v>
      </c>
      <c r="J2916" s="17">
        <v>4364</v>
      </c>
      <c r="K2916" s="17">
        <v>448844</v>
      </c>
      <c r="L2916" s="17">
        <v>96765.317920000001</v>
      </c>
      <c r="M2916" s="17">
        <v>2024</v>
      </c>
      <c r="N2916" s="17" t="s">
        <v>123</v>
      </c>
    </row>
    <row r="2917" spans="1:14" ht="14.25" customHeight="1">
      <c r="A2917" s="17">
        <v>12916</v>
      </c>
      <c r="B2917" s="18">
        <v>45370</v>
      </c>
      <c r="C2917" s="17" t="s">
        <v>45</v>
      </c>
      <c r="D2917" s="17" t="s">
        <v>111</v>
      </c>
      <c r="E2917" s="17" t="s">
        <v>168</v>
      </c>
      <c r="F2917" s="17" t="s">
        <v>163</v>
      </c>
      <c r="G2917" s="17">
        <v>5</v>
      </c>
      <c r="H2917" s="17">
        <v>64648</v>
      </c>
      <c r="I2917" s="17">
        <v>323240</v>
      </c>
      <c r="J2917" s="17">
        <v>1817</v>
      </c>
      <c r="K2917" s="17">
        <v>321423</v>
      </c>
      <c r="L2917" s="17">
        <v>62271.483549999997</v>
      </c>
      <c r="M2917" s="17">
        <v>2024</v>
      </c>
      <c r="N2917" s="17" t="s">
        <v>112</v>
      </c>
    </row>
    <row r="2918" spans="1:14" ht="14.25" customHeight="1">
      <c r="A2918" s="17">
        <v>12917</v>
      </c>
      <c r="B2918" s="18">
        <v>46017</v>
      </c>
      <c r="C2918" s="17" t="s">
        <v>167</v>
      </c>
      <c r="D2918" s="17" t="s">
        <v>111</v>
      </c>
      <c r="E2918" s="17" t="s">
        <v>168</v>
      </c>
      <c r="F2918" s="17" t="s">
        <v>163</v>
      </c>
      <c r="G2918" s="17">
        <v>8</v>
      </c>
      <c r="H2918" s="17">
        <v>48441</v>
      </c>
      <c r="I2918" s="17">
        <v>387528</v>
      </c>
      <c r="J2918" s="17">
        <v>4319</v>
      </c>
      <c r="K2918" s="17">
        <v>383209</v>
      </c>
      <c r="L2918" s="17">
        <v>78078.636249999996</v>
      </c>
      <c r="M2918" s="17">
        <v>2025</v>
      </c>
      <c r="N2918" s="17" t="s">
        <v>169</v>
      </c>
    </row>
    <row r="2919" spans="1:14" ht="14.25" customHeight="1">
      <c r="A2919" s="17">
        <v>12918</v>
      </c>
      <c r="B2919" s="18">
        <v>45919</v>
      </c>
      <c r="C2919" s="17" t="s">
        <v>39</v>
      </c>
      <c r="D2919" s="17" t="s">
        <v>111</v>
      </c>
      <c r="E2919" s="17" t="s">
        <v>168</v>
      </c>
      <c r="F2919" s="17" t="s">
        <v>164</v>
      </c>
      <c r="G2919" s="17">
        <v>1</v>
      </c>
      <c r="H2919" s="17">
        <v>25688</v>
      </c>
      <c r="I2919" s="17">
        <v>25688</v>
      </c>
      <c r="J2919" s="17">
        <v>1275</v>
      </c>
      <c r="K2919" s="17">
        <v>24413</v>
      </c>
      <c r="L2919" s="17">
        <v>4701.5374529999999</v>
      </c>
      <c r="M2919" s="17">
        <v>2025</v>
      </c>
      <c r="N2919" s="17" t="s">
        <v>129</v>
      </c>
    </row>
    <row r="2920" spans="1:14" ht="14.25" customHeight="1">
      <c r="A2920" s="17">
        <v>12919</v>
      </c>
      <c r="B2920" s="18">
        <v>45895</v>
      </c>
      <c r="C2920" s="17" t="s">
        <v>45</v>
      </c>
      <c r="D2920" s="17" t="s">
        <v>89</v>
      </c>
      <c r="E2920" s="17" t="s">
        <v>162</v>
      </c>
      <c r="F2920" s="17" t="s">
        <v>166</v>
      </c>
      <c r="G2920" s="17">
        <v>4</v>
      </c>
      <c r="H2920" s="17">
        <v>51280</v>
      </c>
      <c r="I2920" s="17">
        <v>205120</v>
      </c>
      <c r="J2920" s="17">
        <v>3022</v>
      </c>
      <c r="K2920" s="17">
        <v>202098</v>
      </c>
      <c r="L2920" s="17">
        <v>29660.863389999999</v>
      </c>
      <c r="M2920" s="17">
        <v>2025</v>
      </c>
      <c r="N2920" s="17" t="s">
        <v>126</v>
      </c>
    </row>
    <row r="2921" spans="1:14" ht="14.25" customHeight="1">
      <c r="A2921" s="17">
        <v>12920</v>
      </c>
      <c r="B2921" s="18">
        <v>45672</v>
      </c>
      <c r="C2921" s="17" t="s">
        <v>39</v>
      </c>
      <c r="D2921" s="17" t="s">
        <v>170</v>
      </c>
      <c r="E2921" s="17" t="s">
        <v>162</v>
      </c>
      <c r="F2921" s="17" t="s">
        <v>172</v>
      </c>
      <c r="G2921" s="17">
        <v>1</v>
      </c>
      <c r="H2921" s="17">
        <v>19472</v>
      </c>
      <c r="I2921" s="17">
        <v>19472</v>
      </c>
      <c r="J2921" s="17">
        <v>2877</v>
      </c>
      <c r="K2921" s="17">
        <v>16595</v>
      </c>
      <c r="L2921" s="17">
        <v>2532.4540430000002</v>
      </c>
      <c r="M2921" s="17">
        <v>2025</v>
      </c>
      <c r="N2921" s="17" t="s">
        <v>171</v>
      </c>
    </row>
    <row r="2922" spans="1:14" ht="14.25" customHeight="1">
      <c r="A2922" s="17">
        <v>12921</v>
      </c>
      <c r="B2922" s="18">
        <v>45971</v>
      </c>
      <c r="C2922" s="17" t="s">
        <v>39</v>
      </c>
      <c r="D2922" s="17" t="s">
        <v>86</v>
      </c>
      <c r="E2922" s="17" t="s">
        <v>168</v>
      </c>
      <c r="F2922" s="17" t="s">
        <v>164</v>
      </c>
      <c r="G2922" s="17">
        <v>3</v>
      </c>
      <c r="H2922" s="17">
        <v>40671</v>
      </c>
      <c r="I2922" s="17">
        <v>122013</v>
      </c>
      <c r="J2922" s="17">
        <v>4014</v>
      </c>
      <c r="K2922" s="17">
        <v>117999</v>
      </c>
      <c r="L2922" s="17">
        <v>21972.60254</v>
      </c>
      <c r="M2922" s="17">
        <v>2025</v>
      </c>
      <c r="N2922" s="17" t="s">
        <v>173</v>
      </c>
    </row>
    <row r="2923" spans="1:14" ht="14.25" customHeight="1">
      <c r="A2923" s="17">
        <v>12922</v>
      </c>
      <c r="B2923" s="18">
        <v>45349</v>
      </c>
      <c r="C2923" s="17" t="s">
        <v>45</v>
      </c>
      <c r="D2923" s="17" t="s">
        <v>86</v>
      </c>
      <c r="E2923" s="17" t="s">
        <v>165</v>
      </c>
      <c r="F2923" s="17" t="s">
        <v>166</v>
      </c>
      <c r="G2923" s="17">
        <v>7</v>
      </c>
      <c r="H2923" s="17">
        <v>65809</v>
      </c>
      <c r="I2923" s="17">
        <v>460663</v>
      </c>
      <c r="J2923" s="17">
        <v>4087</v>
      </c>
      <c r="K2923" s="17">
        <v>456576</v>
      </c>
      <c r="L2923" s="17">
        <v>94979.92512</v>
      </c>
      <c r="M2923" s="17">
        <v>2024</v>
      </c>
      <c r="N2923" s="17" t="s">
        <v>175</v>
      </c>
    </row>
    <row r="2924" spans="1:14" ht="14.25" customHeight="1">
      <c r="A2924" s="17">
        <v>12923</v>
      </c>
      <c r="B2924" s="18">
        <v>45317</v>
      </c>
      <c r="C2924" s="17" t="s">
        <v>39</v>
      </c>
      <c r="D2924" s="17" t="s">
        <v>83</v>
      </c>
      <c r="E2924" s="17" t="s">
        <v>165</v>
      </c>
      <c r="F2924" s="17" t="s">
        <v>164</v>
      </c>
      <c r="G2924" s="17">
        <v>1</v>
      </c>
      <c r="H2924" s="17">
        <v>78299</v>
      </c>
      <c r="I2924" s="17">
        <v>78299</v>
      </c>
      <c r="J2924" s="17">
        <v>1147</v>
      </c>
      <c r="K2924" s="17">
        <v>77152</v>
      </c>
      <c r="L2924" s="17">
        <v>12415.1345</v>
      </c>
      <c r="M2924" s="17">
        <v>2024</v>
      </c>
      <c r="N2924" s="17" t="s">
        <v>171</v>
      </c>
    </row>
    <row r="2925" spans="1:14" ht="14.25" customHeight="1">
      <c r="A2925" s="17">
        <v>12924</v>
      </c>
      <c r="B2925" s="18">
        <v>45738</v>
      </c>
      <c r="C2925" s="17" t="s">
        <v>45</v>
      </c>
      <c r="D2925" s="17" t="s">
        <v>89</v>
      </c>
      <c r="E2925" s="17" t="s">
        <v>162</v>
      </c>
      <c r="F2925" s="17" t="s">
        <v>166</v>
      </c>
      <c r="G2925" s="17">
        <v>5</v>
      </c>
      <c r="H2925" s="17">
        <v>15960</v>
      </c>
      <c r="I2925" s="17">
        <v>79800</v>
      </c>
      <c r="J2925" s="17">
        <v>237</v>
      </c>
      <c r="K2925" s="17">
        <v>79563</v>
      </c>
      <c r="L2925" s="17">
        <v>9658.9617359999993</v>
      </c>
      <c r="M2925" s="17">
        <v>2025</v>
      </c>
      <c r="N2925" s="17" t="s">
        <v>112</v>
      </c>
    </row>
    <row r="2926" spans="1:14" ht="14.25" customHeight="1">
      <c r="A2926" s="17">
        <v>12925</v>
      </c>
      <c r="B2926" s="18">
        <v>45357</v>
      </c>
      <c r="C2926" s="17" t="s">
        <v>45</v>
      </c>
      <c r="D2926" s="17" t="s">
        <v>86</v>
      </c>
      <c r="E2926" s="17" t="s">
        <v>165</v>
      </c>
      <c r="F2926" s="17" t="s">
        <v>163</v>
      </c>
      <c r="G2926" s="17">
        <v>1</v>
      </c>
      <c r="H2926" s="17">
        <v>7074</v>
      </c>
      <c r="I2926" s="17">
        <v>7074</v>
      </c>
      <c r="J2926" s="17">
        <v>2122</v>
      </c>
      <c r="K2926" s="17">
        <v>4952</v>
      </c>
      <c r="L2926" s="17">
        <v>836.45507269999996</v>
      </c>
      <c r="M2926" s="17">
        <v>2024</v>
      </c>
      <c r="N2926" s="17" t="s">
        <v>112</v>
      </c>
    </row>
    <row r="2927" spans="1:14" ht="14.25" customHeight="1">
      <c r="A2927" s="17">
        <v>12926</v>
      </c>
      <c r="B2927" s="18">
        <v>45545</v>
      </c>
      <c r="C2927" s="17" t="s">
        <v>45</v>
      </c>
      <c r="D2927" s="17" t="s">
        <v>170</v>
      </c>
      <c r="E2927" s="17" t="s">
        <v>168</v>
      </c>
      <c r="F2927" s="17" t="s">
        <v>164</v>
      </c>
      <c r="G2927" s="17">
        <v>6</v>
      </c>
      <c r="H2927" s="17">
        <v>78361</v>
      </c>
      <c r="I2927" s="17">
        <v>470166</v>
      </c>
      <c r="J2927" s="17">
        <v>4595</v>
      </c>
      <c r="K2927" s="17">
        <v>465571</v>
      </c>
      <c r="L2927" s="17">
        <v>113821.94749999999</v>
      </c>
      <c r="M2927" s="17">
        <v>2024</v>
      </c>
      <c r="N2927" s="17" t="s">
        <v>129</v>
      </c>
    </row>
    <row r="2928" spans="1:14" ht="14.25" customHeight="1">
      <c r="A2928" s="17">
        <v>12927</v>
      </c>
      <c r="B2928" s="18">
        <v>45335</v>
      </c>
      <c r="C2928" s="17" t="s">
        <v>58</v>
      </c>
      <c r="D2928" s="17" t="s">
        <v>111</v>
      </c>
      <c r="E2928" s="17" t="s">
        <v>165</v>
      </c>
      <c r="F2928" s="17" t="s">
        <v>172</v>
      </c>
      <c r="G2928" s="17">
        <v>9</v>
      </c>
      <c r="H2928" s="17">
        <v>39833</v>
      </c>
      <c r="I2928" s="17">
        <v>358497</v>
      </c>
      <c r="J2928" s="17">
        <v>1545</v>
      </c>
      <c r="K2928" s="17">
        <v>356952</v>
      </c>
      <c r="L2928" s="17">
        <v>47158.010349999997</v>
      </c>
      <c r="M2928" s="17">
        <v>2024</v>
      </c>
      <c r="N2928" s="17" t="s">
        <v>175</v>
      </c>
    </row>
    <row r="2929" spans="1:14" ht="14.25" customHeight="1">
      <c r="A2929" s="17">
        <v>12928</v>
      </c>
      <c r="B2929" s="18">
        <v>45388</v>
      </c>
      <c r="C2929" s="17" t="s">
        <v>39</v>
      </c>
      <c r="D2929" s="17" t="s">
        <v>83</v>
      </c>
      <c r="E2929" s="17" t="s">
        <v>162</v>
      </c>
      <c r="F2929" s="17" t="s">
        <v>164</v>
      </c>
      <c r="G2929" s="17">
        <v>3</v>
      </c>
      <c r="H2929" s="17">
        <v>40976</v>
      </c>
      <c r="I2929" s="17">
        <v>122928</v>
      </c>
      <c r="J2929" s="17">
        <v>3983</v>
      </c>
      <c r="K2929" s="17">
        <v>118945</v>
      </c>
      <c r="L2929" s="17">
        <v>23475.02838</v>
      </c>
      <c r="M2929" s="17">
        <v>2024</v>
      </c>
      <c r="N2929" s="17" t="s">
        <v>114</v>
      </c>
    </row>
    <row r="2930" spans="1:14" ht="14.25" customHeight="1">
      <c r="A2930" s="17">
        <v>12929</v>
      </c>
      <c r="B2930" s="18">
        <v>45845</v>
      </c>
      <c r="C2930" s="17" t="s">
        <v>50</v>
      </c>
      <c r="D2930" s="17" t="s">
        <v>170</v>
      </c>
      <c r="E2930" s="17" t="s">
        <v>162</v>
      </c>
      <c r="F2930" s="17" t="s">
        <v>163</v>
      </c>
      <c r="G2930" s="17">
        <v>6</v>
      </c>
      <c r="H2930" s="17">
        <v>75210</v>
      </c>
      <c r="I2930" s="17">
        <v>451260</v>
      </c>
      <c r="J2930" s="17">
        <v>4363</v>
      </c>
      <c r="K2930" s="17">
        <v>446897</v>
      </c>
      <c r="L2930" s="17">
        <v>110553.9473</v>
      </c>
      <c r="M2930" s="17">
        <v>2025</v>
      </c>
      <c r="N2930" s="17" t="s">
        <v>123</v>
      </c>
    </row>
    <row r="2931" spans="1:14" ht="14.25" customHeight="1">
      <c r="A2931" s="17">
        <v>12930</v>
      </c>
      <c r="B2931" s="18">
        <v>45518</v>
      </c>
      <c r="C2931" s="17" t="s">
        <v>45</v>
      </c>
      <c r="D2931" s="17" t="s">
        <v>86</v>
      </c>
      <c r="E2931" s="17" t="s">
        <v>168</v>
      </c>
      <c r="F2931" s="17" t="s">
        <v>163</v>
      </c>
      <c r="G2931" s="17">
        <v>4</v>
      </c>
      <c r="H2931" s="17">
        <v>70658</v>
      </c>
      <c r="I2931" s="17">
        <v>282632</v>
      </c>
      <c r="J2931" s="17">
        <v>986</v>
      </c>
      <c r="K2931" s="17">
        <v>281646</v>
      </c>
      <c r="L2931" s="17">
        <v>44059.477310000002</v>
      </c>
      <c r="M2931" s="17">
        <v>2024</v>
      </c>
      <c r="N2931" s="17" t="s">
        <v>126</v>
      </c>
    </row>
    <row r="2932" spans="1:14" ht="14.25" customHeight="1">
      <c r="A2932" s="17">
        <v>12931</v>
      </c>
      <c r="B2932" s="18">
        <v>45970</v>
      </c>
      <c r="C2932" s="17" t="s">
        <v>39</v>
      </c>
      <c r="D2932" s="17" t="s">
        <v>89</v>
      </c>
      <c r="E2932" s="17" t="s">
        <v>162</v>
      </c>
      <c r="F2932" s="17" t="s">
        <v>166</v>
      </c>
      <c r="G2932" s="17">
        <v>6</v>
      </c>
      <c r="H2932" s="17">
        <v>55108</v>
      </c>
      <c r="I2932" s="17">
        <v>330648</v>
      </c>
      <c r="J2932" s="17">
        <v>1623</v>
      </c>
      <c r="K2932" s="17">
        <v>329025</v>
      </c>
      <c r="L2932" s="17">
        <v>76722.88566</v>
      </c>
      <c r="M2932" s="17">
        <v>2025</v>
      </c>
      <c r="N2932" s="17" t="s">
        <v>173</v>
      </c>
    </row>
    <row r="2933" spans="1:14" ht="14.25" customHeight="1">
      <c r="A2933" s="17">
        <v>12932</v>
      </c>
      <c r="B2933" s="18">
        <v>45727</v>
      </c>
      <c r="C2933" s="17" t="s">
        <v>167</v>
      </c>
      <c r="D2933" s="17" t="s">
        <v>83</v>
      </c>
      <c r="E2933" s="17" t="s">
        <v>162</v>
      </c>
      <c r="F2933" s="17" t="s">
        <v>163</v>
      </c>
      <c r="G2933" s="17">
        <v>2</v>
      </c>
      <c r="H2933" s="17">
        <v>26480</v>
      </c>
      <c r="I2933" s="17">
        <v>52960</v>
      </c>
      <c r="J2933" s="17">
        <v>3121</v>
      </c>
      <c r="K2933" s="17">
        <v>49839</v>
      </c>
      <c r="L2933" s="17">
        <v>11443.09957</v>
      </c>
      <c r="M2933" s="17">
        <v>2025</v>
      </c>
      <c r="N2933" s="17" t="s">
        <v>112</v>
      </c>
    </row>
    <row r="2934" spans="1:14" ht="14.25" customHeight="1">
      <c r="A2934" s="17">
        <v>12933</v>
      </c>
      <c r="B2934" s="18">
        <v>45892</v>
      </c>
      <c r="C2934" s="17" t="s">
        <v>45</v>
      </c>
      <c r="D2934" s="17" t="s">
        <v>86</v>
      </c>
      <c r="E2934" s="17" t="s">
        <v>162</v>
      </c>
      <c r="F2934" s="17" t="s">
        <v>166</v>
      </c>
      <c r="G2934" s="17">
        <v>4</v>
      </c>
      <c r="H2934" s="17">
        <v>55138</v>
      </c>
      <c r="I2934" s="17">
        <v>220552</v>
      </c>
      <c r="J2934" s="17">
        <v>3726</v>
      </c>
      <c r="K2934" s="17">
        <v>216826</v>
      </c>
      <c r="L2934" s="17">
        <v>32709.664339999999</v>
      </c>
      <c r="M2934" s="17">
        <v>2025</v>
      </c>
      <c r="N2934" s="17" t="s">
        <v>126</v>
      </c>
    </row>
    <row r="2935" spans="1:14" ht="14.25" customHeight="1">
      <c r="A2935" s="17">
        <v>12934</v>
      </c>
      <c r="B2935" s="18">
        <v>45670</v>
      </c>
      <c r="C2935" s="17" t="s">
        <v>45</v>
      </c>
      <c r="D2935" s="17" t="s">
        <v>83</v>
      </c>
      <c r="E2935" s="17" t="s">
        <v>165</v>
      </c>
      <c r="F2935" s="17" t="s">
        <v>163</v>
      </c>
      <c r="G2935" s="17">
        <v>7</v>
      </c>
      <c r="H2935" s="17">
        <v>14443</v>
      </c>
      <c r="I2935" s="17">
        <v>101101</v>
      </c>
      <c r="J2935" s="17">
        <v>3901</v>
      </c>
      <c r="K2935" s="17">
        <v>97200</v>
      </c>
      <c r="L2935" s="17">
        <v>11156.382600000001</v>
      </c>
      <c r="M2935" s="17">
        <v>2025</v>
      </c>
      <c r="N2935" s="17" t="s">
        <v>171</v>
      </c>
    </row>
    <row r="2936" spans="1:14" ht="14.25" customHeight="1">
      <c r="A2936" s="17">
        <v>12935</v>
      </c>
      <c r="B2936" s="18">
        <v>45469</v>
      </c>
      <c r="C2936" s="17" t="s">
        <v>50</v>
      </c>
      <c r="D2936" s="17" t="s">
        <v>86</v>
      </c>
      <c r="E2936" s="17" t="s">
        <v>162</v>
      </c>
      <c r="F2936" s="17" t="s">
        <v>166</v>
      </c>
      <c r="G2936" s="17">
        <v>6</v>
      </c>
      <c r="H2936" s="17">
        <v>74969</v>
      </c>
      <c r="I2936" s="17">
        <v>449814</v>
      </c>
      <c r="J2936" s="17">
        <v>722</v>
      </c>
      <c r="K2936" s="17">
        <v>449092</v>
      </c>
      <c r="L2936" s="17">
        <v>56936.275900000001</v>
      </c>
      <c r="M2936" s="17">
        <v>2024</v>
      </c>
      <c r="N2936" s="17" t="s">
        <v>120</v>
      </c>
    </row>
    <row r="2937" spans="1:14" ht="14.25" customHeight="1">
      <c r="A2937" s="17">
        <v>12936</v>
      </c>
      <c r="B2937" s="18">
        <v>45718</v>
      </c>
      <c r="C2937" s="17" t="s">
        <v>58</v>
      </c>
      <c r="D2937" s="17" t="s">
        <v>111</v>
      </c>
      <c r="E2937" s="17" t="s">
        <v>165</v>
      </c>
      <c r="F2937" s="17" t="s">
        <v>172</v>
      </c>
      <c r="G2937" s="17">
        <v>9</v>
      </c>
      <c r="H2937" s="17">
        <v>5990</v>
      </c>
      <c r="I2937" s="17">
        <v>53910</v>
      </c>
      <c r="J2937" s="17">
        <v>1095</v>
      </c>
      <c r="K2937" s="17">
        <v>52815</v>
      </c>
      <c r="L2937" s="17">
        <v>8179.0564260000001</v>
      </c>
      <c r="M2937" s="17">
        <v>2025</v>
      </c>
      <c r="N2937" s="17" t="s">
        <v>112</v>
      </c>
    </row>
    <row r="2938" spans="1:14" ht="14.25" customHeight="1">
      <c r="A2938" s="17">
        <v>12937</v>
      </c>
      <c r="B2938" s="18">
        <v>46000</v>
      </c>
      <c r="C2938" s="17" t="s">
        <v>58</v>
      </c>
      <c r="D2938" s="17" t="s">
        <v>89</v>
      </c>
      <c r="E2938" s="17" t="s">
        <v>162</v>
      </c>
      <c r="F2938" s="17" t="s">
        <v>166</v>
      </c>
      <c r="G2938" s="17">
        <v>7</v>
      </c>
      <c r="H2938" s="17">
        <v>76092</v>
      </c>
      <c r="I2938" s="17">
        <v>532644</v>
      </c>
      <c r="J2938" s="17">
        <v>3827</v>
      </c>
      <c r="K2938" s="17">
        <v>528817</v>
      </c>
      <c r="L2938" s="17">
        <v>128962.6792</v>
      </c>
      <c r="M2938" s="17">
        <v>2025</v>
      </c>
      <c r="N2938" s="17" t="s">
        <v>169</v>
      </c>
    </row>
    <row r="2939" spans="1:14" ht="14.25" customHeight="1">
      <c r="A2939" s="17">
        <v>12938</v>
      </c>
      <c r="B2939" s="18">
        <v>45598</v>
      </c>
      <c r="C2939" s="17" t="s">
        <v>45</v>
      </c>
      <c r="D2939" s="17" t="s">
        <v>111</v>
      </c>
      <c r="E2939" s="17" t="s">
        <v>162</v>
      </c>
      <c r="F2939" s="17" t="s">
        <v>166</v>
      </c>
      <c r="G2939" s="17">
        <v>1</v>
      </c>
      <c r="H2939" s="17">
        <v>66336</v>
      </c>
      <c r="I2939" s="17">
        <v>66336</v>
      </c>
      <c r="J2939" s="17">
        <v>4285</v>
      </c>
      <c r="K2939" s="17">
        <v>62051</v>
      </c>
      <c r="L2939" s="17">
        <v>8759.5858929999995</v>
      </c>
      <c r="M2939" s="17">
        <v>2024</v>
      </c>
      <c r="N2939" s="17" t="s">
        <v>173</v>
      </c>
    </row>
    <row r="2940" spans="1:14" ht="14.25" customHeight="1">
      <c r="A2940" s="17">
        <v>12939</v>
      </c>
      <c r="B2940" s="18">
        <v>45795</v>
      </c>
      <c r="C2940" s="17" t="s">
        <v>39</v>
      </c>
      <c r="D2940" s="17" t="s">
        <v>86</v>
      </c>
      <c r="E2940" s="17" t="s">
        <v>165</v>
      </c>
      <c r="F2940" s="17" t="s">
        <v>172</v>
      </c>
      <c r="G2940" s="17">
        <v>6</v>
      </c>
      <c r="H2940" s="17">
        <v>34097</v>
      </c>
      <c r="I2940" s="17">
        <v>204582</v>
      </c>
      <c r="J2940" s="17">
        <v>995</v>
      </c>
      <c r="K2940" s="17">
        <v>203587</v>
      </c>
      <c r="L2940" s="17">
        <v>48663.341950000002</v>
      </c>
      <c r="M2940" s="17">
        <v>2025</v>
      </c>
      <c r="N2940" s="17" t="s">
        <v>117</v>
      </c>
    </row>
    <row r="2941" spans="1:14" ht="14.25" customHeight="1">
      <c r="A2941" s="17">
        <v>12940</v>
      </c>
      <c r="B2941" s="18">
        <v>45559</v>
      </c>
      <c r="C2941" s="17" t="s">
        <v>167</v>
      </c>
      <c r="D2941" s="17" t="s">
        <v>170</v>
      </c>
      <c r="E2941" s="17" t="s">
        <v>165</v>
      </c>
      <c r="F2941" s="17" t="s">
        <v>166</v>
      </c>
      <c r="G2941" s="17">
        <v>3</v>
      </c>
      <c r="H2941" s="17">
        <v>75245</v>
      </c>
      <c r="I2941" s="17">
        <v>225735</v>
      </c>
      <c r="J2941" s="17">
        <v>4661</v>
      </c>
      <c r="K2941" s="17">
        <v>221074</v>
      </c>
      <c r="L2941" s="17">
        <v>28121.652480000001</v>
      </c>
      <c r="M2941" s="17">
        <v>2024</v>
      </c>
      <c r="N2941" s="17" t="s">
        <v>129</v>
      </c>
    </row>
    <row r="2942" spans="1:14" ht="14.25" customHeight="1">
      <c r="A2942" s="17">
        <v>12941</v>
      </c>
      <c r="B2942" s="18">
        <v>45877</v>
      </c>
      <c r="C2942" s="17" t="s">
        <v>167</v>
      </c>
      <c r="D2942" s="17" t="s">
        <v>111</v>
      </c>
      <c r="E2942" s="17" t="s">
        <v>168</v>
      </c>
      <c r="F2942" s="17" t="s">
        <v>166</v>
      </c>
      <c r="G2942" s="17">
        <v>8</v>
      </c>
      <c r="H2942" s="17">
        <v>24186</v>
      </c>
      <c r="I2942" s="17">
        <v>193488</v>
      </c>
      <c r="J2942" s="17">
        <v>992</v>
      </c>
      <c r="K2942" s="17">
        <v>192496</v>
      </c>
      <c r="L2942" s="17">
        <v>47252.351900000001</v>
      </c>
      <c r="M2942" s="17">
        <v>2025</v>
      </c>
      <c r="N2942" s="17" t="s">
        <v>126</v>
      </c>
    </row>
    <row r="2943" spans="1:14" ht="14.25" customHeight="1">
      <c r="A2943" s="17">
        <v>12942</v>
      </c>
      <c r="B2943" s="18">
        <v>45299</v>
      </c>
      <c r="C2943" s="17" t="s">
        <v>39</v>
      </c>
      <c r="D2943" s="17" t="s">
        <v>170</v>
      </c>
      <c r="E2943" s="17" t="s">
        <v>168</v>
      </c>
      <c r="F2943" s="17" t="s">
        <v>172</v>
      </c>
      <c r="G2943" s="17">
        <v>1</v>
      </c>
      <c r="H2943" s="17">
        <v>56356</v>
      </c>
      <c r="I2943" s="17">
        <v>56356</v>
      </c>
      <c r="J2943" s="17">
        <v>2783</v>
      </c>
      <c r="K2943" s="17">
        <v>53573</v>
      </c>
      <c r="L2943" s="17">
        <v>7716.691366</v>
      </c>
      <c r="M2943" s="17">
        <v>2024</v>
      </c>
      <c r="N2943" s="17" t="s">
        <v>171</v>
      </c>
    </row>
    <row r="2944" spans="1:14" ht="14.25" customHeight="1">
      <c r="A2944" s="17">
        <v>12943</v>
      </c>
      <c r="B2944" s="18">
        <v>45799</v>
      </c>
      <c r="C2944" s="17" t="s">
        <v>45</v>
      </c>
      <c r="D2944" s="17" t="s">
        <v>86</v>
      </c>
      <c r="E2944" s="17" t="s">
        <v>165</v>
      </c>
      <c r="F2944" s="17" t="s">
        <v>163</v>
      </c>
      <c r="G2944" s="17">
        <v>2</v>
      </c>
      <c r="H2944" s="17">
        <v>17922</v>
      </c>
      <c r="I2944" s="17">
        <v>35844</v>
      </c>
      <c r="J2944" s="17">
        <v>155</v>
      </c>
      <c r="K2944" s="17">
        <v>35689</v>
      </c>
      <c r="L2944" s="17">
        <v>6958.0644679999996</v>
      </c>
      <c r="M2944" s="17">
        <v>2025</v>
      </c>
      <c r="N2944" s="17" t="s">
        <v>117</v>
      </c>
    </row>
    <row r="2945" spans="1:14" ht="14.25" customHeight="1">
      <c r="A2945" s="17">
        <v>12944</v>
      </c>
      <c r="B2945" s="18">
        <v>45767</v>
      </c>
      <c r="C2945" s="17" t="s">
        <v>167</v>
      </c>
      <c r="D2945" s="17" t="s">
        <v>89</v>
      </c>
      <c r="E2945" s="17" t="s">
        <v>162</v>
      </c>
      <c r="F2945" s="17" t="s">
        <v>164</v>
      </c>
      <c r="G2945" s="17">
        <v>3</v>
      </c>
      <c r="H2945" s="17">
        <v>35766</v>
      </c>
      <c r="I2945" s="17">
        <v>107298</v>
      </c>
      <c r="J2945" s="17">
        <v>1895</v>
      </c>
      <c r="K2945" s="17">
        <v>105403</v>
      </c>
      <c r="L2945" s="17">
        <v>11642.14962</v>
      </c>
      <c r="M2945" s="17">
        <v>2025</v>
      </c>
      <c r="N2945" s="17" t="s">
        <v>114</v>
      </c>
    </row>
    <row r="2946" spans="1:14" ht="14.25" customHeight="1">
      <c r="A2946" s="17">
        <v>12945</v>
      </c>
      <c r="B2946" s="18">
        <v>45588</v>
      </c>
      <c r="C2946" s="17" t="s">
        <v>58</v>
      </c>
      <c r="D2946" s="17" t="s">
        <v>170</v>
      </c>
      <c r="E2946" s="17" t="s">
        <v>168</v>
      </c>
      <c r="F2946" s="17" t="s">
        <v>166</v>
      </c>
      <c r="G2946" s="17">
        <v>3</v>
      </c>
      <c r="H2946" s="17">
        <v>24787</v>
      </c>
      <c r="I2946" s="17">
        <v>74361</v>
      </c>
      <c r="J2946" s="17">
        <v>1776</v>
      </c>
      <c r="K2946" s="17">
        <v>72585</v>
      </c>
      <c r="L2946" s="17">
        <v>10521.16858</v>
      </c>
      <c r="M2946" s="17">
        <v>2024</v>
      </c>
      <c r="N2946" s="17" t="s">
        <v>174</v>
      </c>
    </row>
    <row r="2947" spans="1:14" ht="14.25" customHeight="1">
      <c r="A2947" s="17">
        <v>12946</v>
      </c>
      <c r="B2947" s="18">
        <v>45455</v>
      </c>
      <c r="C2947" s="17" t="s">
        <v>39</v>
      </c>
      <c r="D2947" s="17" t="s">
        <v>86</v>
      </c>
      <c r="E2947" s="17" t="s">
        <v>165</v>
      </c>
      <c r="F2947" s="17" t="s">
        <v>163</v>
      </c>
      <c r="G2947" s="17">
        <v>7</v>
      </c>
      <c r="H2947" s="17">
        <v>27537</v>
      </c>
      <c r="I2947" s="17">
        <v>192759</v>
      </c>
      <c r="J2947" s="17">
        <v>4768</v>
      </c>
      <c r="K2947" s="17">
        <v>187991</v>
      </c>
      <c r="L2947" s="17">
        <v>24740.848999999998</v>
      </c>
      <c r="M2947" s="17">
        <v>2024</v>
      </c>
      <c r="N2947" s="17" t="s">
        <v>120</v>
      </c>
    </row>
    <row r="2948" spans="1:14" ht="14.25" customHeight="1">
      <c r="A2948" s="17">
        <v>12947</v>
      </c>
      <c r="B2948" s="18">
        <v>45776</v>
      </c>
      <c r="C2948" s="17" t="s">
        <v>50</v>
      </c>
      <c r="D2948" s="17" t="s">
        <v>170</v>
      </c>
      <c r="E2948" s="17" t="s">
        <v>165</v>
      </c>
      <c r="F2948" s="17" t="s">
        <v>164</v>
      </c>
      <c r="G2948" s="17">
        <v>8</v>
      </c>
      <c r="H2948" s="17">
        <v>58034</v>
      </c>
      <c r="I2948" s="17">
        <v>464272</v>
      </c>
      <c r="J2948" s="17">
        <v>2116</v>
      </c>
      <c r="K2948" s="17">
        <v>462156</v>
      </c>
      <c r="L2948" s="17">
        <v>46452.455090000003</v>
      </c>
      <c r="M2948" s="17">
        <v>2025</v>
      </c>
      <c r="N2948" s="17" t="s">
        <v>114</v>
      </c>
    </row>
    <row r="2949" spans="1:14" ht="14.25" customHeight="1">
      <c r="A2949" s="17">
        <v>12948</v>
      </c>
      <c r="B2949" s="18">
        <v>45888</v>
      </c>
      <c r="C2949" s="17" t="s">
        <v>45</v>
      </c>
      <c r="D2949" s="17" t="s">
        <v>111</v>
      </c>
      <c r="E2949" s="17" t="s">
        <v>162</v>
      </c>
      <c r="F2949" s="17" t="s">
        <v>172</v>
      </c>
      <c r="G2949" s="17">
        <v>9</v>
      </c>
      <c r="H2949" s="17">
        <v>50542</v>
      </c>
      <c r="I2949" s="17">
        <v>454878</v>
      </c>
      <c r="J2949" s="17">
        <v>2420</v>
      </c>
      <c r="K2949" s="17">
        <v>452458</v>
      </c>
      <c r="L2949" s="17">
        <v>55885.561690000002</v>
      </c>
      <c r="M2949" s="17">
        <v>2025</v>
      </c>
      <c r="N2949" s="17" t="s">
        <v>126</v>
      </c>
    </row>
    <row r="2950" spans="1:14" ht="14.25" customHeight="1">
      <c r="A2950" s="17">
        <v>12949</v>
      </c>
      <c r="B2950" s="18">
        <v>45363</v>
      </c>
      <c r="C2950" s="17" t="s">
        <v>39</v>
      </c>
      <c r="D2950" s="17" t="s">
        <v>86</v>
      </c>
      <c r="E2950" s="17" t="s">
        <v>165</v>
      </c>
      <c r="F2950" s="17" t="s">
        <v>166</v>
      </c>
      <c r="G2950" s="17">
        <v>7</v>
      </c>
      <c r="H2950" s="17">
        <v>8207</v>
      </c>
      <c r="I2950" s="17">
        <v>57449</v>
      </c>
      <c r="J2950" s="17">
        <v>54</v>
      </c>
      <c r="K2950" s="17">
        <v>57395</v>
      </c>
      <c r="L2950" s="17">
        <v>10845.677600000001</v>
      </c>
      <c r="M2950" s="17">
        <v>2024</v>
      </c>
      <c r="N2950" s="17" t="s">
        <v>112</v>
      </c>
    </row>
    <row r="2951" spans="1:14" ht="14.25" customHeight="1">
      <c r="A2951" s="17">
        <v>12950</v>
      </c>
      <c r="B2951" s="18">
        <v>45858</v>
      </c>
      <c r="C2951" s="17" t="s">
        <v>167</v>
      </c>
      <c r="D2951" s="17" t="s">
        <v>111</v>
      </c>
      <c r="E2951" s="17" t="s">
        <v>168</v>
      </c>
      <c r="F2951" s="17" t="s">
        <v>166</v>
      </c>
      <c r="G2951" s="17">
        <v>8</v>
      </c>
      <c r="H2951" s="17">
        <v>33234</v>
      </c>
      <c r="I2951" s="17">
        <v>265872</v>
      </c>
      <c r="J2951" s="17">
        <v>84</v>
      </c>
      <c r="K2951" s="17">
        <v>265788</v>
      </c>
      <c r="L2951" s="17">
        <v>42124.215450000003</v>
      </c>
      <c r="M2951" s="17">
        <v>2025</v>
      </c>
      <c r="N2951" s="17" t="s">
        <v>123</v>
      </c>
    </row>
    <row r="2952" spans="1:14" ht="14.25" customHeight="1">
      <c r="A2952" s="17">
        <v>12951</v>
      </c>
      <c r="B2952" s="18">
        <v>45850</v>
      </c>
      <c r="C2952" s="17" t="s">
        <v>45</v>
      </c>
      <c r="D2952" s="17" t="s">
        <v>83</v>
      </c>
      <c r="E2952" s="17" t="s">
        <v>162</v>
      </c>
      <c r="F2952" s="17" t="s">
        <v>172</v>
      </c>
      <c r="G2952" s="17">
        <v>6</v>
      </c>
      <c r="H2952" s="17">
        <v>35568</v>
      </c>
      <c r="I2952" s="17">
        <v>213408</v>
      </c>
      <c r="J2952" s="17">
        <v>2888</v>
      </c>
      <c r="K2952" s="17">
        <v>210520</v>
      </c>
      <c r="L2952" s="17">
        <v>43869.346449999997</v>
      </c>
      <c r="M2952" s="17">
        <v>2025</v>
      </c>
      <c r="N2952" s="17" t="s">
        <v>123</v>
      </c>
    </row>
    <row r="2953" spans="1:14" ht="14.25" customHeight="1">
      <c r="A2953" s="17">
        <v>12952</v>
      </c>
      <c r="B2953" s="18">
        <v>45529</v>
      </c>
      <c r="C2953" s="17" t="s">
        <v>58</v>
      </c>
      <c r="D2953" s="17" t="s">
        <v>86</v>
      </c>
      <c r="E2953" s="17" t="s">
        <v>165</v>
      </c>
      <c r="F2953" s="17" t="s">
        <v>166</v>
      </c>
      <c r="G2953" s="17">
        <v>2</v>
      </c>
      <c r="H2953" s="17">
        <v>73633</v>
      </c>
      <c r="I2953" s="17">
        <v>147266</v>
      </c>
      <c r="J2953" s="17">
        <v>4687</v>
      </c>
      <c r="K2953" s="17">
        <v>142579</v>
      </c>
      <c r="L2953" s="17">
        <v>28610.071820000001</v>
      </c>
      <c r="M2953" s="17">
        <v>2024</v>
      </c>
      <c r="N2953" s="17" t="s">
        <v>126</v>
      </c>
    </row>
    <row r="2954" spans="1:14" ht="14.25" customHeight="1">
      <c r="A2954" s="17">
        <v>12953</v>
      </c>
      <c r="B2954" s="18">
        <v>45395</v>
      </c>
      <c r="C2954" s="17" t="s">
        <v>45</v>
      </c>
      <c r="D2954" s="17" t="s">
        <v>170</v>
      </c>
      <c r="E2954" s="17" t="s">
        <v>165</v>
      </c>
      <c r="F2954" s="17" t="s">
        <v>164</v>
      </c>
      <c r="G2954" s="17">
        <v>1</v>
      </c>
      <c r="H2954" s="17">
        <v>59703</v>
      </c>
      <c r="I2954" s="17">
        <v>59703</v>
      </c>
      <c r="J2954" s="17">
        <v>2779</v>
      </c>
      <c r="K2954" s="17">
        <v>56924</v>
      </c>
      <c r="L2954" s="17">
        <v>12517.298790000001</v>
      </c>
      <c r="M2954" s="17">
        <v>2024</v>
      </c>
      <c r="N2954" s="17" t="s">
        <v>114</v>
      </c>
    </row>
    <row r="2955" spans="1:14" ht="14.25" customHeight="1">
      <c r="A2955" s="17">
        <v>12954</v>
      </c>
      <c r="B2955" s="18">
        <v>45501</v>
      </c>
      <c r="C2955" s="17" t="s">
        <v>45</v>
      </c>
      <c r="D2955" s="17" t="s">
        <v>83</v>
      </c>
      <c r="E2955" s="17" t="s">
        <v>162</v>
      </c>
      <c r="F2955" s="17" t="s">
        <v>164</v>
      </c>
      <c r="G2955" s="17">
        <v>3</v>
      </c>
      <c r="H2955" s="17">
        <v>57623</v>
      </c>
      <c r="I2955" s="17">
        <v>172869</v>
      </c>
      <c r="J2955" s="17">
        <v>2669</v>
      </c>
      <c r="K2955" s="17">
        <v>170200</v>
      </c>
      <c r="L2955" s="17">
        <v>39155.148840000002</v>
      </c>
      <c r="M2955" s="17">
        <v>2024</v>
      </c>
      <c r="N2955" s="17" t="s">
        <v>123</v>
      </c>
    </row>
    <row r="2956" spans="1:14" ht="14.25" customHeight="1">
      <c r="A2956" s="17">
        <v>12955</v>
      </c>
      <c r="B2956" s="18">
        <v>45845</v>
      </c>
      <c r="C2956" s="17" t="s">
        <v>58</v>
      </c>
      <c r="D2956" s="17" t="s">
        <v>111</v>
      </c>
      <c r="E2956" s="17" t="s">
        <v>162</v>
      </c>
      <c r="F2956" s="17" t="s">
        <v>172</v>
      </c>
      <c r="G2956" s="17">
        <v>9</v>
      </c>
      <c r="H2956" s="17">
        <v>58454</v>
      </c>
      <c r="I2956" s="17">
        <v>526086</v>
      </c>
      <c r="J2956" s="17">
        <v>3836</v>
      </c>
      <c r="K2956" s="17">
        <v>522250</v>
      </c>
      <c r="L2956" s="17">
        <v>116448.08040000001</v>
      </c>
      <c r="M2956" s="17">
        <v>2025</v>
      </c>
      <c r="N2956" s="17" t="s">
        <v>123</v>
      </c>
    </row>
    <row r="2957" spans="1:14" ht="14.25" customHeight="1">
      <c r="A2957" s="17">
        <v>12956</v>
      </c>
      <c r="B2957" s="18">
        <v>45759</v>
      </c>
      <c r="C2957" s="17" t="s">
        <v>58</v>
      </c>
      <c r="D2957" s="17" t="s">
        <v>111</v>
      </c>
      <c r="E2957" s="17" t="s">
        <v>162</v>
      </c>
      <c r="F2957" s="17" t="s">
        <v>166</v>
      </c>
      <c r="G2957" s="17">
        <v>7</v>
      </c>
      <c r="H2957" s="17">
        <v>65631</v>
      </c>
      <c r="I2957" s="17">
        <v>459417</v>
      </c>
      <c r="J2957" s="17">
        <v>1008</v>
      </c>
      <c r="K2957" s="17">
        <v>458409</v>
      </c>
      <c r="L2957" s="17">
        <v>76650.168220000007</v>
      </c>
      <c r="M2957" s="17">
        <v>2025</v>
      </c>
      <c r="N2957" s="17" t="s">
        <v>114</v>
      </c>
    </row>
    <row r="2958" spans="1:14" ht="14.25" customHeight="1">
      <c r="A2958" s="17">
        <v>12957</v>
      </c>
      <c r="B2958" s="18">
        <v>45745</v>
      </c>
      <c r="C2958" s="17" t="s">
        <v>45</v>
      </c>
      <c r="D2958" s="17" t="s">
        <v>170</v>
      </c>
      <c r="E2958" s="17" t="s">
        <v>168</v>
      </c>
      <c r="F2958" s="17" t="s">
        <v>163</v>
      </c>
      <c r="G2958" s="17">
        <v>2</v>
      </c>
      <c r="H2958" s="17">
        <v>21642</v>
      </c>
      <c r="I2958" s="17">
        <v>43284</v>
      </c>
      <c r="J2958" s="17">
        <v>2364</v>
      </c>
      <c r="K2958" s="17">
        <v>40920</v>
      </c>
      <c r="L2958" s="17">
        <v>5986.9708090000004</v>
      </c>
      <c r="M2958" s="17">
        <v>2025</v>
      </c>
      <c r="N2958" s="17" t="s">
        <v>112</v>
      </c>
    </row>
    <row r="2959" spans="1:14" ht="14.25" customHeight="1">
      <c r="A2959" s="17">
        <v>12958</v>
      </c>
      <c r="B2959" s="18">
        <v>45559</v>
      </c>
      <c r="C2959" s="17" t="s">
        <v>58</v>
      </c>
      <c r="D2959" s="17" t="s">
        <v>83</v>
      </c>
      <c r="E2959" s="17" t="s">
        <v>168</v>
      </c>
      <c r="F2959" s="17" t="s">
        <v>166</v>
      </c>
      <c r="G2959" s="17">
        <v>1</v>
      </c>
      <c r="H2959" s="17">
        <v>13990</v>
      </c>
      <c r="I2959" s="17">
        <v>13990</v>
      </c>
      <c r="J2959" s="17">
        <v>3686</v>
      </c>
      <c r="K2959" s="17">
        <v>10304</v>
      </c>
      <c r="L2959" s="17">
        <v>1806.758687</v>
      </c>
      <c r="M2959" s="17">
        <v>2024</v>
      </c>
      <c r="N2959" s="17" t="s">
        <v>129</v>
      </c>
    </row>
    <row r="2960" spans="1:14" ht="14.25" customHeight="1">
      <c r="A2960" s="17">
        <v>12959</v>
      </c>
      <c r="B2960" s="18">
        <v>45677</v>
      </c>
      <c r="C2960" s="17" t="s">
        <v>39</v>
      </c>
      <c r="D2960" s="17" t="s">
        <v>89</v>
      </c>
      <c r="E2960" s="17" t="s">
        <v>165</v>
      </c>
      <c r="F2960" s="17" t="s">
        <v>172</v>
      </c>
      <c r="G2960" s="17">
        <v>2</v>
      </c>
      <c r="H2960" s="17">
        <v>58622</v>
      </c>
      <c r="I2960" s="17">
        <v>117244</v>
      </c>
      <c r="J2960" s="17">
        <v>4347</v>
      </c>
      <c r="K2960" s="17">
        <v>112897</v>
      </c>
      <c r="L2960" s="17">
        <v>20351.86045</v>
      </c>
      <c r="M2960" s="17">
        <v>2025</v>
      </c>
      <c r="N2960" s="17" t="s">
        <v>171</v>
      </c>
    </row>
    <row r="2961" spans="1:14" ht="14.25" customHeight="1">
      <c r="A2961" s="17">
        <v>12960</v>
      </c>
      <c r="B2961" s="18">
        <v>45678</v>
      </c>
      <c r="C2961" s="17" t="s">
        <v>58</v>
      </c>
      <c r="D2961" s="17" t="s">
        <v>170</v>
      </c>
      <c r="E2961" s="17" t="s">
        <v>165</v>
      </c>
      <c r="F2961" s="17" t="s">
        <v>163</v>
      </c>
      <c r="G2961" s="17">
        <v>3</v>
      </c>
      <c r="H2961" s="17">
        <v>56663</v>
      </c>
      <c r="I2961" s="17">
        <v>169989</v>
      </c>
      <c r="J2961" s="17">
        <v>2199</v>
      </c>
      <c r="K2961" s="17">
        <v>167790</v>
      </c>
      <c r="L2961" s="17">
        <v>24661.132829999999</v>
      </c>
      <c r="M2961" s="17">
        <v>2025</v>
      </c>
      <c r="N2961" s="17" t="s">
        <v>171</v>
      </c>
    </row>
    <row r="2962" spans="1:14" ht="14.25" customHeight="1">
      <c r="A2962" s="17">
        <v>12961</v>
      </c>
      <c r="B2962" s="18">
        <v>45550</v>
      </c>
      <c r="C2962" s="17" t="s">
        <v>58</v>
      </c>
      <c r="D2962" s="17" t="s">
        <v>111</v>
      </c>
      <c r="E2962" s="17" t="s">
        <v>162</v>
      </c>
      <c r="F2962" s="17" t="s">
        <v>164</v>
      </c>
      <c r="G2962" s="17">
        <v>6</v>
      </c>
      <c r="H2962" s="17">
        <v>9170</v>
      </c>
      <c r="I2962" s="17">
        <v>55020</v>
      </c>
      <c r="J2962" s="17">
        <v>1359</v>
      </c>
      <c r="K2962" s="17">
        <v>53661</v>
      </c>
      <c r="L2962" s="17">
        <v>9712.6936829999995</v>
      </c>
      <c r="M2962" s="17">
        <v>2024</v>
      </c>
      <c r="N2962" s="17" t="s">
        <v>129</v>
      </c>
    </row>
    <row r="2963" spans="1:14" ht="14.25" customHeight="1">
      <c r="A2963" s="17">
        <v>12962</v>
      </c>
      <c r="B2963" s="18">
        <v>45574</v>
      </c>
      <c r="C2963" s="17" t="s">
        <v>45</v>
      </c>
      <c r="D2963" s="17" t="s">
        <v>86</v>
      </c>
      <c r="E2963" s="17" t="s">
        <v>165</v>
      </c>
      <c r="F2963" s="17" t="s">
        <v>164</v>
      </c>
      <c r="G2963" s="17">
        <v>9</v>
      </c>
      <c r="H2963" s="17">
        <v>29817</v>
      </c>
      <c r="I2963" s="17">
        <v>268353</v>
      </c>
      <c r="J2963" s="17">
        <v>909</v>
      </c>
      <c r="K2963" s="17">
        <v>267444</v>
      </c>
      <c r="L2963" s="17">
        <v>30987.919989999999</v>
      </c>
      <c r="M2963" s="17">
        <v>2024</v>
      </c>
      <c r="N2963" s="17" t="s">
        <v>174</v>
      </c>
    </row>
    <row r="2964" spans="1:14" ht="14.25" customHeight="1">
      <c r="A2964" s="17">
        <v>12963</v>
      </c>
      <c r="B2964" s="18">
        <v>45917</v>
      </c>
      <c r="C2964" s="17" t="s">
        <v>39</v>
      </c>
      <c r="D2964" s="17" t="s">
        <v>83</v>
      </c>
      <c r="E2964" s="17" t="s">
        <v>165</v>
      </c>
      <c r="F2964" s="17" t="s">
        <v>163</v>
      </c>
      <c r="G2964" s="17">
        <v>8</v>
      </c>
      <c r="H2964" s="17">
        <v>10136</v>
      </c>
      <c r="I2964" s="17">
        <v>81088</v>
      </c>
      <c r="J2964" s="17">
        <v>3439</v>
      </c>
      <c r="K2964" s="17">
        <v>77649</v>
      </c>
      <c r="L2964" s="17">
        <v>10455.924650000001</v>
      </c>
      <c r="M2964" s="17">
        <v>2025</v>
      </c>
      <c r="N2964" s="17" t="s">
        <v>129</v>
      </c>
    </row>
    <row r="2965" spans="1:14" ht="14.25" customHeight="1">
      <c r="A2965" s="17">
        <v>12964</v>
      </c>
      <c r="B2965" s="18">
        <v>45331</v>
      </c>
      <c r="C2965" s="17" t="s">
        <v>50</v>
      </c>
      <c r="D2965" s="17" t="s">
        <v>89</v>
      </c>
      <c r="E2965" s="17" t="s">
        <v>162</v>
      </c>
      <c r="F2965" s="17" t="s">
        <v>163</v>
      </c>
      <c r="G2965" s="17">
        <v>9</v>
      </c>
      <c r="H2965" s="17">
        <v>6712</v>
      </c>
      <c r="I2965" s="17">
        <v>60408</v>
      </c>
      <c r="J2965" s="17">
        <v>2913</v>
      </c>
      <c r="K2965" s="17">
        <v>57495</v>
      </c>
      <c r="L2965" s="17">
        <v>12183.60521</v>
      </c>
      <c r="M2965" s="17">
        <v>2024</v>
      </c>
      <c r="N2965" s="17" t="s">
        <v>175</v>
      </c>
    </row>
    <row r="2966" spans="1:14" ht="14.25" customHeight="1">
      <c r="A2966" s="17">
        <v>12965</v>
      </c>
      <c r="B2966" s="18">
        <v>45777</v>
      </c>
      <c r="C2966" s="17" t="s">
        <v>50</v>
      </c>
      <c r="D2966" s="17" t="s">
        <v>86</v>
      </c>
      <c r="E2966" s="17" t="s">
        <v>168</v>
      </c>
      <c r="F2966" s="17" t="s">
        <v>172</v>
      </c>
      <c r="G2966" s="17">
        <v>8</v>
      </c>
      <c r="H2966" s="17">
        <v>78687</v>
      </c>
      <c r="I2966" s="17">
        <v>629496</v>
      </c>
      <c r="J2966" s="17">
        <v>4695</v>
      </c>
      <c r="K2966" s="17">
        <v>624801</v>
      </c>
      <c r="L2966" s="17">
        <v>79615.163860000001</v>
      </c>
      <c r="M2966" s="17">
        <v>2025</v>
      </c>
      <c r="N2966" s="17" t="s">
        <v>114</v>
      </c>
    </row>
    <row r="2967" spans="1:14" ht="14.25" customHeight="1">
      <c r="A2967" s="17">
        <v>12966</v>
      </c>
      <c r="B2967" s="18">
        <v>45511</v>
      </c>
      <c r="C2967" s="17" t="s">
        <v>167</v>
      </c>
      <c r="D2967" s="17" t="s">
        <v>83</v>
      </c>
      <c r="E2967" s="17" t="s">
        <v>168</v>
      </c>
      <c r="F2967" s="17" t="s">
        <v>166</v>
      </c>
      <c r="G2967" s="17">
        <v>7</v>
      </c>
      <c r="H2967" s="17">
        <v>57479</v>
      </c>
      <c r="I2967" s="17">
        <v>402353</v>
      </c>
      <c r="J2967" s="17">
        <v>1006</v>
      </c>
      <c r="K2967" s="17">
        <v>401347</v>
      </c>
      <c r="L2967" s="17">
        <v>48505.06349</v>
      </c>
      <c r="M2967" s="17">
        <v>2024</v>
      </c>
      <c r="N2967" s="17" t="s">
        <v>126</v>
      </c>
    </row>
    <row r="2968" spans="1:14" ht="14.25" customHeight="1">
      <c r="A2968" s="17">
        <v>12967</v>
      </c>
      <c r="B2968" s="18">
        <v>45420</v>
      </c>
      <c r="C2968" s="17" t="s">
        <v>58</v>
      </c>
      <c r="D2968" s="17" t="s">
        <v>170</v>
      </c>
      <c r="E2968" s="17" t="s">
        <v>168</v>
      </c>
      <c r="F2968" s="17" t="s">
        <v>164</v>
      </c>
      <c r="G2968" s="17">
        <v>6</v>
      </c>
      <c r="H2968" s="17">
        <v>15473</v>
      </c>
      <c r="I2968" s="17">
        <v>92838</v>
      </c>
      <c r="J2968" s="17">
        <v>3052</v>
      </c>
      <c r="K2968" s="17">
        <v>89786</v>
      </c>
      <c r="L2968" s="17">
        <v>12848.50937</v>
      </c>
      <c r="M2968" s="17">
        <v>2024</v>
      </c>
      <c r="N2968" s="17" t="s">
        <v>117</v>
      </c>
    </row>
    <row r="2969" spans="1:14" ht="14.25" customHeight="1">
      <c r="A2969" s="17">
        <v>12968</v>
      </c>
      <c r="B2969" s="18">
        <v>45811</v>
      </c>
      <c r="C2969" s="17" t="s">
        <v>58</v>
      </c>
      <c r="D2969" s="17" t="s">
        <v>170</v>
      </c>
      <c r="E2969" s="17" t="s">
        <v>165</v>
      </c>
      <c r="F2969" s="17" t="s">
        <v>166</v>
      </c>
      <c r="G2969" s="17">
        <v>8</v>
      </c>
      <c r="H2969" s="17">
        <v>26625</v>
      </c>
      <c r="I2969" s="17">
        <v>213000</v>
      </c>
      <c r="J2969" s="17">
        <v>1143</v>
      </c>
      <c r="K2969" s="17">
        <v>211857</v>
      </c>
      <c r="L2969" s="17">
        <v>32977.102910000001</v>
      </c>
      <c r="M2969" s="17">
        <v>2025</v>
      </c>
      <c r="N2969" s="17" t="s">
        <v>120</v>
      </c>
    </row>
    <row r="2970" spans="1:14" ht="14.25" customHeight="1">
      <c r="A2970" s="17">
        <v>12969</v>
      </c>
      <c r="B2970" s="18">
        <v>45904</v>
      </c>
      <c r="C2970" s="17" t="s">
        <v>39</v>
      </c>
      <c r="D2970" s="17" t="s">
        <v>83</v>
      </c>
      <c r="E2970" s="17" t="s">
        <v>162</v>
      </c>
      <c r="F2970" s="17" t="s">
        <v>164</v>
      </c>
      <c r="G2970" s="17">
        <v>6</v>
      </c>
      <c r="H2970" s="17">
        <v>18761</v>
      </c>
      <c r="I2970" s="17">
        <v>112566</v>
      </c>
      <c r="J2970" s="17">
        <v>4398</v>
      </c>
      <c r="K2970" s="17">
        <v>108168</v>
      </c>
      <c r="L2970" s="17">
        <v>16147.56811</v>
      </c>
      <c r="M2970" s="17">
        <v>2025</v>
      </c>
      <c r="N2970" s="17" t="s">
        <v>129</v>
      </c>
    </row>
    <row r="2971" spans="1:14" ht="14.25" customHeight="1">
      <c r="A2971" s="17">
        <v>12970</v>
      </c>
      <c r="B2971" s="18">
        <v>45979</v>
      </c>
      <c r="C2971" s="17" t="s">
        <v>50</v>
      </c>
      <c r="D2971" s="17" t="s">
        <v>89</v>
      </c>
      <c r="E2971" s="17" t="s">
        <v>168</v>
      </c>
      <c r="F2971" s="17" t="s">
        <v>166</v>
      </c>
      <c r="G2971" s="17">
        <v>2</v>
      </c>
      <c r="H2971" s="17">
        <v>79454</v>
      </c>
      <c r="I2971" s="17">
        <v>158908</v>
      </c>
      <c r="J2971" s="17">
        <v>3220</v>
      </c>
      <c r="K2971" s="17">
        <v>155688</v>
      </c>
      <c r="L2971" s="17">
        <v>24317.034469999999</v>
      </c>
      <c r="M2971" s="17">
        <v>2025</v>
      </c>
      <c r="N2971" s="17" t="s">
        <v>173</v>
      </c>
    </row>
    <row r="2972" spans="1:14" ht="14.25" customHeight="1">
      <c r="A2972" s="17">
        <v>12971</v>
      </c>
      <c r="B2972" s="18">
        <v>45910</v>
      </c>
      <c r="C2972" s="17" t="s">
        <v>167</v>
      </c>
      <c r="D2972" s="17" t="s">
        <v>83</v>
      </c>
      <c r="E2972" s="17" t="s">
        <v>165</v>
      </c>
      <c r="F2972" s="17" t="s">
        <v>164</v>
      </c>
      <c r="G2972" s="17">
        <v>9</v>
      </c>
      <c r="H2972" s="17">
        <v>6821</v>
      </c>
      <c r="I2972" s="17">
        <v>61389</v>
      </c>
      <c r="J2972" s="17">
        <v>1224</v>
      </c>
      <c r="K2972" s="17">
        <v>60165</v>
      </c>
      <c r="L2972" s="17">
        <v>7279.1739170000001</v>
      </c>
      <c r="M2972" s="17">
        <v>2025</v>
      </c>
      <c r="N2972" s="17" t="s">
        <v>129</v>
      </c>
    </row>
    <row r="2973" spans="1:14" ht="14.25" customHeight="1">
      <c r="A2973" s="17">
        <v>12972</v>
      </c>
      <c r="B2973" s="18">
        <v>45904</v>
      </c>
      <c r="C2973" s="17" t="s">
        <v>39</v>
      </c>
      <c r="D2973" s="17" t="s">
        <v>86</v>
      </c>
      <c r="E2973" s="17" t="s">
        <v>162</v>
      </c>
      <c r="F2973" s="17" t="s">
        <v>166</v>
      </c>
      <c r="G2973" s="17">
        <v>9</v>
      </c>
      <c r="H2973" s="17">
        <v>53646</v>
      </c>
      <c r="I2973" s="17">
        <v>482814</v>
      </c>
      <c r="J2973" s="17">
        <v>3878</v>
      </c>
      <c r="K2973" s="17">
        <v>478936</v>
      </c>
      <c r="L2973" s="17">
        <v>59775.654309999998</v>
      </c>
      <c r="M2973" s="17">
        <v>2025</v>
      </c>
      <c r="N2973" s="17" t="s">
        <v>129</v>
      </c>
    </row>
    <row r="2974" spans="1:14" ht="14.25" customHeight="1">
      <c r="A2974" s="17">
        <v>12973</v>
      </c>
      <c r="B2974" s="18">
        <v>45551</v>
      </c>
      <c r="C2974" s="17" t="s">
        <v>58</v>
      </c>
      <c r="D2974" s="17" t="s">
        <v>86</v>
      </c>
      <c r="E2974" s="17" t="s">
        <v>168</v>
      </c>
      <c r="F2974" s="17" t="s">
        <v>172</v>
      </c>
      <c r="G2974" s="17">
        <v>3</v>
      </c>
      <c r="H2974" s="17">
        <v>41200</v>
      </c>
      <c r="I2974" s="17">
        <v>123600</v>
      </c>
      <c r="J2974" s="17">
        <v>4495</v>
      </c>
      <c r="K2974" s="17">
        <v>119105</v>
      </c>
      <c r="L2974" s="17">
        <v>16123.86879</v>
      </c>
      <c r="M2974" s="17">
        <v>2024</v>
      </c>
      <c r="N2974" s="17" t="s">
        <v>129</v>
      </c>
    </row>
    <row r="2975" spans="1:14" ht="14.25" customHeight="1">
      <c r="A2975" s="17">
        <v>12974</v>
      </c>
      <c r="B2975" s="18">
        <v>45657</v>
      </c>
      <c r="C2975" s="17" t="s">
        <v>50</v>
      </c>
      <c r="D2975" s="17" t="s">
        <v>170</v>
      </c>
      <c r="E2975" s="17" t="s">
        <v>168</v>
      </c>
      <c r="F2975" s="17" t="s">
        <v>164</v>
      </c>
      <c r="G2975" s="17">
        <v>9</v>
      </c>
      <c r="H2975" s="17">
        <v>53250</v>
      </c>
      <c r="I2975" s="17">
        <v>479250</v>
      </c>
      <c r="J2975" s="17">
        <v>67</v>
      </c>
      <c r="K2975" s="17">
        <v>479183</v>
      </c>
      <c r="L2975" s="17">
        <v>76812.461129999996</v>
      </c>
      <c r="M2975" s="17">
        <v>2024</v>
      </c>
      <c r="N2975" s="17" t="s">
        <v>169</v>
      </c>
    </row>
    <row r="2976" spans="1:14" ht="14.25" customHeight="1">
      <c r="A2976" s="17">
        <v>12975</v>
      </c>
      <c r="B2976" s="18">
        <v>45835</v>
      </c>
      <c r="C2976" s="17" t="s">
        <v>167</v>
      </c>
      <c r="D2976" s="17" t="s">
        <v>83</v>
      </c>
      <c r="E2976" s="17" t="s">
        <v>162</v>
      </c>
      <c r="F2976" s="17" t="s">
        <v>172</v>
      </c>
      <c r="G2976" s="17">
        <v>2</v>
      </c>
      <c r="H2976" s="17">
        <v>41447</v>
      </c>
      <c r="I2976" s="17">
        <v>82894</v>
      </c>
      <c r="J2976" s="17">
        <v>4249</v>
      </c>
      <c r="K2976" s="17">
        <v>78645</v>
      </c>
      <c r="L2976" s="17">
        <v>11827.01773</v>
      </c>
      <c r="M2976" s="17">
        <v>2025</v>
      </c>
      <c r="N2976" s="17" t="s">
        <v>120</v>
      </c>
    </row>
    <row r="2977" spans="1:14" ht="14.25" customHeight="1">
      <c r="A2977" s="17">
        <v>12976</v>
      </c>
      <c r="B2977" s="18">
        <v>45940</v>
      </c>
      <c r="C2977" s="17" t="s">
        <v>45</v>
      </c>
      <c r="D2977" s="17" t="s">
        <v>170</v>
      </c>
      <c r="E2977" s="17" t="s">
        <v>165</v>
      </c>
      <c r="F2977" s="17" t="s">
        <v>164</v>
      </c>
      <c r="G2977" s="17">
        <v>3</v>
      </c>
      <c r="H2977" s="17">
        <v>34184</v>
      </c>
      <c r="I2977" s="17">
        <v>102552</v>
      </c>
      <c r="J2977" s="17">
        <v>1014</v>
      </c>
      <c r="K2977" s="17">
        <v>101538</v>
      </c>
      <c r="L2977" s="17">
        <v>22206.38494</v>
      </c>
      <c r="M2977" s="17">
        <v>2025</v>
      </c>
      <c r="N2977" s="17" t="s">
        <v>174</v>
      </c>
    </row>
    <row r="2978" spans="1:14" ht="14.25" customHeight="1">
      <c r="A2978" s="17">
        <v>12977</v>
      </c>
      <c r="B2978" s="18">
        <v>45815</v>
      </c>
      <c r="C2978" s="17" t="s">
        <v>50</v>
      </c>
      <c r="D2978" s="17" t="s">
        <v>89</v>
      </c>
      <c r="E2978" s="17" t="s">
        <v>165</v>
      </c>
      <c r="F2978" s="17" t="s">
        <v>164</v>
      </c>
      <c r="G2978" s="17">
        <v>6</v>
      </c>
      <c r="H2978" s="17">
        <v>54754</v>
      </c>
      <c r="I2978" s="17">
        <v>328524</v>
      </c>
      <c r="J2978" s="17">
        <v>181</v>
      </c>
      <c r="K2978" s="17">
        <v>328343</v>
      </c>
      <c r="L2978" s="17">
        <v>58716.819230000001</v>
      </c>
      <c r="M2978" s="17">
        <v>2025</v>
      </c>
      <c r="N2978" s="17" t="s">
        <v>120</v>
      </c>
    </row>
    <row r="2979" spans="1:14" ht="14.25" customHeight="1">
      <c r="A2979" s="17">
        <v>12978</v>
      </c>
      <c r="B2979" s="18">
        <v>45307</v>
      </c>
      <c r="C2979" s="17" t="s">
        <v>167</v>
      </c>
      <c r="D2979" s="17" t="s">
        <v>86</v>
      </c>
      <c r="E2979" s="17" t="s">
        <v>168</v>
      </c>
      <c r="F2979" s="17" t="s">
        <v>164</v>
      </c>
      <c r="G2979" s="17">
        <v>4</v>
      </c>
      <c r="H2979" s="17">
        <v>21811</v>
      </c>
      <c r="I2979" s="17">
        <v>87244</v>
      </c>
      <c r="J2979" s="17">
        <v>4620</v>
      </c>
      <c r="K2979" s="17">
        <v>82624</v>
      </c>
      <c r="L2979" s="17">
        <v>15397.40825</v>
      </c>
      <c r="M2979" s="17">
        <v>2024</v>
      </c>
      <c r="N2979" s="17" t="s">
        <v>171</v>
      </c>
    </row>
    <row r="2980" spans="1:14" ht="14.25" customHeight="1">
      <c r="A2980" s="17">
        <v>12979</v>
      </c>
      <c r="B2980" s="18">
        <v>45420</v>
      </c>
      <c r="C2980" s="17" t="s">
        <v>39</v>
      </c>
      <c r="D2980" s="17" t="s">
        <v>111</v>
      </c>
      <c r="E2980" s="17" t="s">
        <v>162</v>
      </c>
      <c r="F2980" s="17" t="s">
        <v>166</v>
      </c>
      <c r="G2980" s="17">
        <v>8</v>
      </c>
      <c r="H2980" s="17">
        <v>31595</v>
      </c>
      <c r="I2980" s="17">
        <v>252760</v>
      </c>
      <c r="J2980" s="17">
        <v>4115</v>
      </c>
      <c r="K2980" s="17">
        <v>248645</v>
      </c>
      <c r="L2980" s="17">
        <v>45772.794529999999</v>
      </c>
      <c r="M2980" s="17">
        <v>2024</v>
      </c>
      <c r="N2980" s="17" t="s">
        <v>117</v>
      </c>
    </row>
    <row r="2981" spans="1:14" ht="14.25" customHeight="1">
      <c r="A2981" s="17">
        <v>12980</v>
      </c>
      <c r="B2981" s="18">
        <v>45866</v>
      </c>
      <c r="C2981" s="17" t="s">
        <v>45</v>
      </c>
      <c r="D2981" s="17" t="s">
        <v>111</v>
      </c>
      <c r="E2981" s="17" t="s">
        <v>165</v>
      </c>
      <c r="F2981" s="17" t="s">
        <v>164</v>
      </c>
      <c r="G2981" s="17">
        <v>1</v>
      </c>
      <c r="H2981" s="17">
        <v>22757</v>
      </c>
      <c r="I2981" s="17">
        <v>22757</v>
      </c>
      <c r="J2981" s="17">
        <v>4946</v>
      </c>
      <c r="K2981" s="17">
        <v>17811</v>
      </c>
      <c r="L2981" s="17">
        <v>2846.4873849999999</v>
      </c>
      <c r="M2981" s="17">
        <v>2025</v>
      </c>
      <c r="N2981" s="17" t="s">
        <v>123</v>
      </c>
    </row>
    <row r="2982" spans="1:14" ht="14.25" customHeight="1">
      <c r="A2982" s="17">
        <v>12981</v>
      </c>
      <c r="B2982" s="18">
        <v>45400</v>
      </c>
      <c r="C2982" s="17" t="s">
        <v>167</v>
      </c>
      <c r="D2982" s="17" t="s">
        <v>83</v>
      </c>
      <c r="E2982" s="17" t="s">
        <v>162</v>
      </c>
      <c r="F2982" s="17" t="s">
        <v>172</v>
      </c>
      <c r="G2982" s="17">
        <v>6</v>
      </c>
      <c r="H2982" s="17">
        <v>16954</v>
      </c>
      <c r="I2982" s="17">
        <v>101724</v>
      </c>
      <c r="J2982" s="17">
        <v>2945</v>
      </c>
      <c r="K2982" s="17">
        <v>98779</v>
      </c>
      <c r="L2982" s="17">
        <v>24405.573970000001</v>
      </c>
      <c r="M2982" s="17">
        <v>2024</v>
      </c>
      <c r="N2982" s="17" t="s">
        <v>114</v>
      </c>
    </row>
    <row r="2983" spans="1:14" ht="14.25" customHeight="1">
      <c r="A2983" s="17">
        <v>12982</v>
      </c>
      <c r="B2983" s="18">
        <v>45824</v>
      </c>
      <c r="C2983" s="17" t="s">
        <v>167</v>
      </c>
      <c r="D2983" s="17" t="s">
        <v>83</v>
      </c>
      <c r="E2983" s="17" t="s">
        <v>162</v>
      </c>
      <c r="F2983" s="17" t="s">
        <v>166</v>
      </c>
      <c r="G2983" s="17">
        <v>2</v>
      </c>
      <c r="H2983" s="17">
        <v>66349</v>
      </c>
      <c r="I2983" s="17">
        <v>132698</v>
      </c>
      <c r="J2983" s="17">
        <v>2057</v>
      </c>
      <c r="K2983" s="17">
        <v>130641</v>
      </c>
      <c r="L2983" s="17">
        <v>13795.60032</v>
      </c>
      <c r="M2983" s="17">
        <v>2025</v>
      </c>
      <c r="N2983" s="17" t="s">
        <v>120</v>
      </c>
    </row>
    <row r="2984" spans="1:14" ht="14.25" customHeight="1">
      <c r="A2984" s="17">
        <v>12983</v>
      </c>
      <c r="B2984" s="18">
        <v>45961</v>
      </c>
      <c r="C2984" s="17" t="s">
        <v>58</v>
      </c>
      <c r="D2984" s="17" t="s">
        <v>111</v>
      </c>
      <c r="E2984" s="17" t="s">
        <v>168</v>
      </c>
      <c r="F2984" s="17" t="s">
        <v>166</v>
      </c>
      <c r="G2984" s="17">
        <v>6</v>
      </c>
      <c r="H2984" s="17">
        <v>42930</v>
      </c>
      <c r="I2984" s="17">
        <v>257580</v>
      </c>
      <c r="J2984" s="17">
        <v>2747</v>
      </c>
      <c r="K2984" s="17">
        <v>254833</v>
      </c>
      <c r="L2984" s="17">
        <v>33733.688280000002</v>
      </c>
      <c r="M2984" s="17">
        <v>2025</v>
      </c>
      <c r="N2984" s="17" t="s">
        <v>174</v>
      </c>
    </row>
    <row r="2985" spans="1:14" ht="14.25" customHeight="1">
      <c r="A2985" s="17">
        <v>12984</v>
      </c>
      <c r="B2985" s="18">
        <v>45560</v>
      </c>
      <c r="C2985" s="17" t="s">
        <v>50</v>
      </c>
      <c r="D2985" s="17" t="s">
        <v>83</v>
      </c>
      <c r="E2985" s="17" t="s">
        <v>162</v>
      </c>
      <c r="F2985" s="17" t="s">
        <v>164</v>
      </c>
      <c r="G2985" s="17">
        <v>1</v>
      </c>
      <c r="H2985" s="17">
        <v>8811</v>
      </c>
      <c r="I2985" s="17">
        <v>8811</v>
      </c>
      <c r="J2985" s="17">
        <v>1880</v>
      </c>
      <c r="K2985" s="17">
        <v>6931</v>
      </c>
      <c r="L2985" s="17">
        <v>989.04125750000003</v>
      </c>
      <c r="M2985" s="17">
        <v>2024</v>
      </c>
      <c r="N2985" s="17" t="s">
        <v>129</v>
      </c>
    </row>
    <row r="2986" spans="1:14" ht="14.25" customHeight="1">
      <c r="A2986" s="17">
        <v>12985</v>
      </c>
      <c r="B2986" s="18">
        <v>45453</v>
      </c>
      <c r="C2986" s="17" t="s">
        <v>58</v>
      </c>
      <c r="D2986" s="17" t="s">
        <v>86</v>
      </c>
      <c r="E2986" s="17" t="s">
        <v>162</v>
      </c>
      <c r="F2986" s="17" t="s">
        <v>163</v>
      </c>
      <c r="G2986" s="17">
        <v>2</v>
      </c>
      <c r="H2986" s="17">
        <v>35368</v>
      </c>
      <c r="I2986" s="17">
        <v>70736</v>
      </c>
      <c r="J2986" s="17">
        <v>3602</v>
      </c>
      <c r="K2986" s="17">
        <v>67134</v>
      </c>
      <c r="L2986" s="17">
        <v>15588.159659999999</v>
      </c>
      <c r="M2986" s="17">
        <v>2024</v>
      </c>
      <c r="N2986" s="17" t="s">
        <v>120</v>
      </c>
    </row>
    <row r="2987" spans="1:14" ht="14.25" customHeight="1">
      <c r="A2987" s="17">
        <v>12986</v>
      </c>
      <c r="B2987" s="18">
        <v>45551</v>
      </c>
      <c r="C2987" s="17" t="s">
        <v>45</v>
      </c>
      <c r="D2987" s="17" t="s">
        <v>89</v>
      </c>
      <c r="E2987" s="17" t="s">
        <v>162</v>
      </c>
      <c r="F2987" s="17" t="s">
        <v>166</v>
      </c>
      <c r="G2987" s="17">
        <v>9</v>
      </c>
      <c r="H2987" s="17">
        <v>37719</v>
      </c>
      <c r="I2987" s="17">
        <v>339471</v>
      </c>
      <c r="J2987" s="17">
        <v>654</v>
      </c>
      <c r="K2987" s="17">
        <v>338817</v>
      </c>
      <c r="L2987" s="17">
        <v>80580.972599999994</v>
      </c>
      <c r="M2987" s="17">
        <v>2024</v>
      </c>
      <c r="N2987" s="17" t="s">
        <v>129</v>
      </c>
    </row>
    <row r="2988" spans="1:14" ht="14.25" customHeight="1">
      <c r="A2988" s="17">
        <v>12987</v>
      </c>
      <c r="B2988" s="18">
        <v>45393</v>
      </c>
      <c r="C2988" s="17" t="s">
        <v>167</v>
      </c>
      <c r="D2988" s="17" t="s">
        <v>89</v>
      </c>
      <c r="E2988" s="17" t="s">
        <v>165</v>
      </c>
      <c r="F2988" s="17" t="s">
        <v>164</v>
      </c>
      <c r="G2988" s="17">
        <v>6</v>
      </c>
      <c r="H2988" s="17">
        <v>13637</v>
      </c>
      <c r="I2988" s="17">
        <v>81822</v>
      </c>
      <c r="J2988" s="17">
        <v>3686</v>
      </c>
      <c r="K2988" s="17">
        <v>78136</v>
      </c>
      <c r="L2988" s="17">
        <v>17730.27521</v>
      </c>
      <c r="M2988" s="17">
        <v>2024</v>
      </c>
      <c r="N2988" s="17" t="s">
        <v>114</v>
      </c>
    </row>
    <row r="2989" spans="1:14" ht="14.25" customHeight="1">
      <c r="A2989" s="17">
        <v>12988</v>
      </c>
      <c r="B2989" s="18">
        <v>45797</v>
      </c>
      <c r="C2989" s="17" t="s">
        <v>58</v>
      </c>
      <c r="D2989" s="17" t="s">
        <v>170</v>
      </c>
      <c r="E2989" s="17" t="s">
        <v>168</v>
      </c>
      <c r="F2989" s="17" t="s">
        <v>172</v>
      </c>
      <c r="G2989" s="17">
        <v>8</v>
      </c>
      <c r="H2989" s="17">
        <v>17133</v>
      </c>
      <c r="I2989" s="17">
        <v>137064</v>
      </c>
      <c r="J2989" s="17">
        <v>2288</v>
      </c>
      <c r="K2989" s="17">
        <v>134776</v>
      </c>
      <c r="L2989" s="17">
        <v>21906.847809999999</v>
      </c>
      <c r="M2989" s="17">
        <v>2025</v>
      </c>
      <c r="N2989" s="17" t="s">
        <v>117</v>
      </c>
    </row>
    <row r="2990" spans="1:14" ht="14.25" customHeight="1">
      <c r="A2990" s="17">
        <v>12989</v>
      </c>
      <c r="B2990" s="18">
        <v>45862</v>
      </c>
      <c r="C2990" s="17" t="s">
        <v>50</v>
      </c>
      <c r="D2990" s="17" t="s">
        <v>86</v>
      </c>
      <c r="E2990" s="17" t="s">
        <v>168</v>
      </c>
      <c r="F2990" s="17" t="s">
        <v>163</v>
      </c>
      <c r="G2990" s="17">
        <v>7</v>
      </c>
      <c r="H2990" s="17">
        <v>51986</v>
      </c>
      <c r="I2990" s="17">
        <v>363902</v>
      </c>
      <c r="J2990" s="17">
        <v>2199</v>
      </c>
      <c r="K2990" s="17">
        <v>361703</v>
      </c>
      <c r="L2990" s="17">
        <v>85793.630720000001</v>
      </c>
      <c r="M2990" s="17">
        <v>2025</v>
      </c>
      <c r="N2990" s="17" t="s">
        <v>123</v>
      </c>
    </row>
    <row r="2991" spans="1:14" ht="14.25" customHeight="1">
      <c r="A2991" s="17">
        <v>12990</v>
      </c>
      <c r="B2991" s="18">
        <v>45538</v>
      </c>
      <c r="C2991" s="17" t="s">
        <v>45</v>
      </c>
      <c r="D2991" s="17" t="s">
        <v>83</v>
      </c>
      <c r="E2991" s="17" t="s">
        <v>162</v>
      </c>
      <c r="F2991" s="17" t="s">
        <v>166</v>
      </c>
      <c r="G2991" s="17">
        <v>9</v>
      </c>
      <c r="H2991" s="17">
        <v>33871</v>
      </c>
      <c r="I2991" s="17">
        <v>304839</v>
      </c>
      <c r="J2991" s="17">
        <v>2831</v>
      </c>
      <c r="K2991" s="17">
        <v>302008</v>
      </c>
      <c r="L2991" s="17">
        <v>34663.334970000004</v>
      </c>
      <c r="M2991" s="17">
        <v>2024</v>
      </c>
      <c r="N2991" s="17" t="s">
        <v>129</v>
      </c>
    </row>
    <row r="2992" spans="1:14" ht="14.25" customHeight="1">
      <c r="A2992" s="17">
        <v>12991</v>
      </c>
      <c r="B2992" s="18">
        <v>45931</v>
      </c>
      <c r="C2992" s="17" t="s">
        <v>39</v>
      </c>
      <c r="D2992" s="17" t="s">
        <v>83</v>
      </c>
      <c r="E2992" s="17" t="s">
        <v>162</v>
      </c>
      <c r="F2992" s="17" t="s">
        <v>163</v>
      </c>
      <c r="G2992" s="17">
        <v>9</v>
      </c>
      <c r="H2992" s="17">
        <v>46472</v>
      </c>
      <c r="I2992" s="17">
        <v>418248</v>
      </c>
      <c r="J2992" s="17">
        <v>3408</v>
      </c>
      <c r="K2992" s="17">
        <v>414840</v>
      </c>
      <c r="L2992" s="17">
        <v>82082.401660000003</v>
      </c>
      <c r="M2992" s="17">
        <v>2025</v>
      </c>
      <c r="N2992" s="17" t="s">
        <v>174</v>
      </c>
    </row>
    <row r="2993" spans="1:14" ht="14.25" customHeight="1">
      <c r="A2993" s="17">
        <v>12992</v>
      </c>
      <c r="B2993" s="18">
        <v>45828</v>
      </c>
      <c r="C2993" s="17" t="s">
        <v>58</v>
      </c>
      <c r="D2993" s="17" t="s">
        <v>170</v>
      </c>
      <c r="E2993" s="17" t="s">
        <v>165</v>
      </c>
      <c r="F2993" s="17" t="s">
        <v>166</v>
      </c>
      <c r="G2993" s="17">
        <v>4</v>
      </c>
      <c r="H2993" s="17">
        <v>63333</v>
      </c>
      <c r="I2993" s="17">
        <v>253332</v>
      </c>
      <c r="J2993" s="17">
        <v>2235</v>
      </c>
      <c r="K2993" s="17">
        <v>251097</v>
      </c>
      <c r="L2993" s="17">
        <v>60409.811829999999</v>
      </c>
      <c r="M2993" s="17">
        <v>2025</v>
      </c>
      <c r="N2993" s="17" t="s">
        <v>120</v>
      </c>
    </row>
    <row r="2994" spans="1:14" ht="14.25" customHeight="1">
      <c r="A2994" s="17">
        <v>12993</v>
      </c>
      <c r="B2994" s="18">
        <v>45422</v>
      </c>
      <c r="C2994" s="17" t="s">
        <v>45</v>
      </c>
      <c r="D2994" s="17" t="s">
        <v>170</v>
      </c>
      <c r="E2994" s="17" t="s">
        <v>168</v>
      </c>
      <c r="F2994" s="17" t="s">
        <v>163</v>
      </c>
      <c r="G2994" s="17">
        <v>7</v>
      </c>
      <c r="H2994" s="17">
        <v>60508</v>
      </c>
      <c r="I2994" s="17">
        <v>423556</v>
      </c>
      <c r="J2994" s="17">
        <v>2511</v>
      </c>
      <c r="K2994" s="17">
        <v>421045</v>
      </c>
      <c r="L2994" s="17">
        <v>89781.520470000003</v>
      </c>
      <c r="M2994" s="17">
        <v>2024</v>
      </c>
      <c r="N2994" s="17" t="s">
        <v>117</v>
      </c>
    </row>
    <row r="2995" spans="1:14" ht="14.25" customHeight="1">
      <c r="A2995" s="17">
        <v>12994</v>
      </c>
      <c r="B2995" s="18">
        <v>45644</v>
      </c>
      <c r="C2995" s="17" t="s">
        <v>39</v>
      </c>
      <c r="D2995" s="17" t="s">
        <v>83</v>
      </c>
      <c r="E2995" s="17" t="s">
        <v>165</v>
      </c>
      <c r="F2995" s="17" t="s">
        <v>163</v>
      </c>
      <c r="G2995" s="17">
        <v>5</v>
      </c>
      <c r="H2995" s="17">
        <v>6401</v>
      </c>
      <c r="I2995" s="17">
        <v>32005</v>
      </c>
      <c r="J2995" s="17">
        <v>721</v>
      </c>
      <c r="K2995" s="17">
        <v>31284</v>
      </c>
      <c r="L2995" s="17">
        <v>4432.3194750000002</v>
      </c>
      <c r="M2995" s="17">
        <v>2024</v>
      </c>
      <c r="N2995" s="17" t="s">
        <v>169</v>
      </c>
    </row>
    <row r="2996" spans="1:14" ht="14.25" customHeight="1">
      <c r="A2996" s="17">
        <v>12995</v>
      </c>
      <c r="B2996" s="18">
        <v>45487</v>
      </c>
      <c r="C2996" s="17" t="s">
        <v>58</v>
      </c>
      <c r="D2996" s="17" t="s">
        <v>83</v>
      </c>
      <c r="E2996" s="17" t="s">
        <v>168</v>
      </c>
      <c r="F2996" s="17" t="s">
        <v>172</v>
      </c>
      <c r="G2996" s="17">
        <v>7</v>
      </c>
      <c r="H2996" s="17">
        <v>15004</v>
      </c>
      <c r="I2996" s="17">
        <v>105028</v>
      </c>
      <c r="J2996" s="17">
        <v>3248</v>
      </c>
      <c r="K2996" s="17">
        <v>101780</v>
      </c>
      <c r="L2996" s="17">
        <v>21132.161319999999</v>
      </c>
      <c r="M2996" s="17">
        <v>2024</v>
      </c>
      <c r="N2996" s="17" t="s">
        <v>123</v>
      </c>
    </row>
    <row r="2997" spans="1:14" ht="14.25" customHeight="1">
      <c r="A2997" s="17">
        <v>12996</v>
      </c>
      <c r="B2997" s="18">
        <v>45957</v>
      </c>
      <c r="C2997" s="17" t="s">
        <v>45</v>
      </c>
      <c r="D2997" s="17" t="s">
        <v>86</v>
      </c>
      <c r="E2997" s="17" t="s">
        <v>165</v>
      </c>
      <c r="F2997" s="17" t="s">
        <v>163</v>
      </c>
      <c r="G2997" s="17">
        <v>4</v>
      </c>
      <c r="H2997" s="17">
        <v>40301</v>
      </c>
      <c r="I2997" s="17">
        <v>161204</v>
      </c>
      <c r="J2997" s="17">
        <v>1200</v>
      </c>
      <c r="K2997" s="17">
        <v>160004</v>
      </c>
      <c r="L2997" s="17">
        <v>23074.897730000001</v>
      </c>
      <c r="M2997" s="17">
        <v>2025</v>
      </c>
      <c r="N2997" s="17" t="s">
        <v>174</v>
      </c>
    </row>
    <row r="2998" spans="1:14" ht="14.25" customHeight="1">
      <c r="A2998" s="17">
        <v>12997</v>
      </c>
      <c r="B2998" s="18">
        <v>45673</v>
      </c>
      <c r="C2998" s="17" t="s">
        <v>45</v>
      </c>
      <c r="D2998" s="17" t="s">
        <v>170</v>
      </c>
      <c r="E2998" s="17" t="s">
        <v>162</v>
      </c>
      <c r="F2998" s="17" t="s">
        <v>172</v>
      </c>
      <c r="G2998" s="17">
        <v>1</v>
      </c>
      <c r="H2998" s="17">
        <v>10901</v>
      </c>
      <c r="I2998" s="17">
        <v>10901</v>
      </c>
      <c r="J2998" s="17">
        <v>4976</v>
      </c>
      <c r="K2998" s="17">
        <v>5925</v>
      </c>
      <c r="L2998" s="17">
        <v>691.66860399999996</v>
      </c>
      <c r="M2998" s="17">
        <v>2025</v>
      </c>
      <c r="N2998" s="17" t="s">
        <v>171</v>
      </c>
    </row>
    <row r="2999" spans="1:14" ht="14.25" customHeight="1">
      <c r="A2999" s="17">
        <v>12998</v>
      </c>
      <c r="B2999" s="18">
        <v>45936</v>
      </c>
      <c r="C2999" s="17" t="s">
        <v>58</v>
      </c>
      <c r="D2999" s="17" t="s">
        <v>86</v>
      </c>
      <c r="E2999" s="17" t="s">
        <v>165</v>
      </c>
      <c r="F2999" s="17" t="s">
        <v>164</v>
      </c>
      <c r="G2999" s="17">
        <v>4</v>
      </c>
      <c r="H2999" s="17">
        <v>74621</v>
      </c>
      <c r="I2999" s="17">
        <v>298484</v>
      </c>
      <c r="J2999" s="17">
        <v>2462</v>
      </c>
      <c r="K2999" s="17">
        <v>296022</v>
      </c>
      <c r="L2999" s="17">
        <v>61449.202929999999</v>
      </c>
      <c r="M2999" s="17">
        <v>2025</v>
      </c>
      <c r="N2999" s="17" t="s">
        <v>174</v>
      </c>
    </row>
    <row r="3000" spans="1:14" ht="14.25" customHeight="1">
      <c r="A3000" s="17">
        <v>12999</v>
      </c>
      <c r="B3000" s="18">
        <v>45518</v>
      </c>
      <c r="C3000" s="17" t="s">
        <v>45</v>
      </c>
      <c r="D3000" s="17" t="s">
        <v>83</v>
      </c>
      <c r="E3000" s="17" t="s">
        <v>162</v>
      </c>
      <c r="F3000" s="17" t="s">
        <v>166</v>
      </c>
      <c r="G3000" s="17">
        <v>3</v>
      </c>
      <c r="H3000" s="17">
        <v>72751</v>
      </c>
      <c r="I3000" s="17">
        <v>218253</v>
      </c>
      <c r="J3000" s="17">
        <v>4673</v>
      </c>
      <c r="K3000" s="17">
        <v>213580</v>
      </c>
      <c r="L3000" s="17">
        <v>27099.883979999999</v>
      </c>
      <c r="M3000" s="17">
        <v>2024</v>
      </c>
      <c r="N3000" s="17" t="s">
        <v>126</v>
      </c>
    </row>
    <row r="3001" spans="1:14" ht="14.25" customHeight="1">
      <c r="A3001" s="17">
        <v>13000</v>
      </c>
      <c r="B3001" s="18">
        <v>45992</v>
      </c>
      <c r="C3001" s="17" t="s">
        <v>167</v>
      </c>
      <c r="D3001" s="17" t="s">
        <v>111</v>
      </c>
      <c r="E3001" s="17" t="s">
        <v>168</v>
      </c>
      <c r="F3001" s="17" t="s">
        <v>172</v>
      </c>
      <c r="G3001" s="17">
        <v>9</v>
      </c>
      <c r="H3001" s="17">
        <v>53809</v>
      </c>
      <c r="I3001" s="17">
        <v>484281</v>
      </c>
      <c r="J3001" s="17">
        <v>309</v>
      </c>
      <c r="K3001" s="17">
        <v>483972</v>
      </c>
      <c r="L3001" s="17">
        <v>56460.048089999997</v>
      </c>
      <c r="M3001" s="17">
        <v>2025</v>
      </c>
      <c r="N3001" s="17" t="s">
        <v>169</v>
      </c>
    </row>
    <row r="3002" spans="1:14" ht="14.25" customHeight="1">
      <c r="A3002" s="17">
        <v>13001</v>
      </c>
      <c r="B3002" s="18">
        <v>45767</v>
      </c>
      <c r="C3002" s="17" t="s">
        <v>58</v>
      </c>
      <c r="D3002" s="17" t="s">
        <v>111</v>
      </c>
      <c r="E3002" s="17" t="s">
        <v>168</v>
      </c>
      <c r="F3002" s="17" t="s">
        <v>166</v>
      </c>
      <c r="G3002" s="17">
        <v>5</v>
      </c>
      <c r="H3002" s="17">
        <v>63171</v>
      </c>
      <c r="I3002" s="17">
        <v>315855</v>
      </c>
      <c r="J3002" s="17">
        <v>1025</v>
      </c>
      <c r="K3002" s="17">
        <v>314830</v>
      </c>
      <c r="L3002" s="17">
        <v>57539.592700000001</v>
      </c>
      <c r="M3002" s="17">
        <v>2025</v>
      </c>
      <c r="N3002" s="17" t="s">
        <v>114</v>
      </c>
    </row>
    <row r="3003" spans="1:14" ht="14.25" customHeight="1">
      <c r="A3003" s="17">
        <v>13002</v>
      </c>
      <c r="B3003" s="18">
        <v>45768</v>
      </c>
      <c r="C3003" s="17" t="s">
        <v>45</v>
      </c>
      <c r="D3003" s="17" t="s">
        <v>83</v>
      </c>
      <c r="E3003" s="17" t="s">
        <v>162</v>
      </c>
      <c r="F3003" s="17" t="s">
        <v>172</v>
      </c>
      <c r="G3003" s="17">
        <v>4</v>
      </c>
      <c r="H3003" s="17">
        <v>72720</v>
      </c>
      <c r="I3003" s="17">
        <v>290880</v>
      </c>
      <c r="J3003" s="17">
        <v>4412</v>
      </c>
      <c r="K3003" s="17">
        <v>286468</v>
      </c>
      <c r="L3003" s="17">
        <v>55315.191500000001</v>
      </c>
      <c r="M3003" s="17">
        <v>2025</v>
      </c>
      <c r="N3003" s="17" t="s">
        <v>114</v>
      </c>
    </row>
    <row r="3004" spans="1:14" ht="14.25" customHeight="1">
      <c r="A3004" s="17">
        <v>13003</v>
      </c>
      <c r="B3004" s="18">
        <v>45556</v>
      </c>
      <c r="C3004" s="17" t="s">
        <v>39</v>
      </c>
      <c r="D3004" s="17" t="s">
        <v>170</v>
      </c>
      <c r="E3004" s="17" t="s">
        <v>168</v>
      </c>
      <c r="F3004" s="17" t="s">
        <v>166</v>
      </c>
      <c r="G3004" s="17">
        <v>8</v>
      </c>
      <c r="H3004" s="17">
        <v>69744</v>
      </c>
      <c r="I3004" s="17">
        <v>557952</v>
      </c>
      <c r="J3004" s="17">
        <v>1532</v>
      </c>
      <c r="K3004" s="17">
        <v>556420</v>
      </c>
      <c r="L3004" s="17">
        <v>59903.310669999999</v>
      </c>
      <c r="M3004" s="17">
        <v>2024</v>
      </c>
      <c r="N3004" s="17" t="s">
        <v>129</v>
      </c>
    </row>
    <row r="3005" spans="1:14" ht="14.25" customHeight="1">
      <c r="A3005" s="17">
        <v>13004</v>
      </c>
      <c r="B3005" s="18">
        <v>45663</v>
      </c>
      <c r="C3005" s="17" t="s">
        <v>39</v>
      </c>
      <c r="D3005" s="17" t="s">
        <v>111</v>
      </c>
      <c r="E3005" s="17" t="s">
        <v>165</v>
      </c>
      <c r="F3005" s="17" t="s">
        <v>172</v>
      </c>
      <c r="G3005" s="17">
        <v>5</v>
      </c>
      <c r="H3005" s="17">
        <v>15354</v>
      </c>
      <c r="I3005" s="17">
        <v>76770</v>
      </c>
      <c r="J3005" s="17">
        <v>3643</v>
      </c>
      <c r="K3005" s="17">
        <v>73127</v>
      </c>
      <c r="L3005" s="17">
        <v>7361.7194559999998</v>
      </c>
      <c r="M3005" s="17">
        <v>2025</v>
      </c>
      <c r="N3005" s="17" t="s">
        <v>171</v>
      </c>
    </row>
    <row r="3006" spans="1:14" ht="14.25" customHeight="1">
      <c r="A3006" s="17">
        <v>13005</v>
      </c>
      <c r="B3006" s="18">
        <v>45777</v>
      </c>
      <c r="C3006" s="17" t="s">
        <v>167</v>
      </c>
      <c r="D3006" s="17" t="s">
        <v>170</v>
      </c>
      <c r="E3006" s="17" t="s">
        <v>162</v>
      </c>
      <c r="F3006" s="17" t="s">
        <v>166</v>
      </c>
      <c r="G3006" s="17">
        <v>3</v>
      </c>
      <c r="H3006" s="17">
        <v>63860</v>
      </c>
      <c r="I3006" s="17">
        <v>191580</v>
      </c>
      <c r="J3006" s="17">
        <v>367</v>
      </c>
      <c r="K3006" s="17">
        <v>191213</v>
      </c>
      <c r="L3006" s="17">
        <v>44420.79711</v>
      </c>
      <c r="M3006" s="17">
        <v>2025</v>
      </c>
      <c r="N3006" s="17" t="s">
        <v>114</v>
      </c>
    </row>
    <row r="3007" spans="1:14" ht="14.25" customHeight="1">
      <c r="A3007" s="17">
        <v>13006</v>
      </c>
      <c r="B3007" s="18">
        <v>45725</v>
      </c>
      <c r="C3007" s="17" t="s">
        <v>58</v>
      </c>
      <c r="D3007" s="17" t="s">
        <v>111</v>
      </c>
      <c r="E3007" s="17" t="s">
        <v>168</v>
      </c>
      <c r="F3007" s="17" t="s">
        <v>164</v>
      </c>
      <c r="G3007" s="17">
        <v>2</v>
      </c>
      <c r="H3007" s="17">
        <v>14504</v>
      </c>
      <c r="I3007" s="17">
        <v>29008</v>
      </c>
      <c r="J3007" s="17">
        <v>4650</v>
      </c>
      <c r="K3007" s="17">
        <v>24358</v>
      </c>
      <c r="L3007" s="17">
        <v>2856.8982820000001</v>
      </c>
      <c r="M3007" s="17">
        <v>2025</v>
      </c>
      <c r="N3007" s="17" t="s">
        <v>112</v>
      </c>
    </row>
    <row r="3008" spans="1:14" ht="14.25" customHeight="1">
      <c r="A3008" s="17">
        <v>13007</v>
      </c>
      <c r="B3008" s="18">
        <v>45937</v>
      </c>
      <c r="C3008" s="17" t="s">
        <v>45</v>
      </c>
      <c r="D3008" s="17" t="s">
        <v>170</v>
      </c>
      <c r="E3008" s="17" t="s">
        <v>165</v>
      </c>
      <c r="F3008" s="17" t="s">
        <v>166</v>
      </c>
      <c r="G3008" s="17">
        <v>8</v>
      </c>
      <c r="H3008" s="17">
        <v>59320</v>
      </c>
      <c r="I3008" s="17">
        <v>474560</v>
      </c>
      <c r="J3008" s="17">
        <v>2652</v>
      </c>
      <c r="K3008" s="17">
        <v>471908</v>
      </c>
      <c r="L3008" s="17">
        <v>88522.724350000004</v>
      </c>
      <c r="M3008" s="17">
        <v>2025</v>
      </c>
      <c r="N3008" s="17" t="s">
        <v>174</v>
      </c>
    </row>
    <row r="3009" spans="1:14" ht="14.25" customHeight="1">
      <c r="A3009" s="17">
        <v>13008</v>
      </c>
      <c r="B3009" s="18">
        <v>45502</v>
      </c>
      <c r="C3009" s="17" t="s">
        <v>45</v>
      </c>
      <c r="D3009" s="17" t="s">
        <v>111</v>
      </c>
      <c r="E3009" s="17" t="s">
        <v>165</v>
      </c>
      <c r="F3009" s="17" t="s">
        <v>164</v>
      </c>
      <c r="G3009" s="17">
        <v>2</v>
      </c>
      <c r="H3009" s="17">
        <v>8523</v>
      </c>
      <c r="I3009" s="17">
        <v>17046</v>
      </c>
      <c r="J3009" s="17">
        <v>1249</v>
      </c>
      <c r="K3009" s="17">
        <v>15797</v>
      </c>
      <c r="L3009" s="17">
        <v>3839.1755109999999</v>
      </c>
      <c r="M3009" s="17">
        <v>2024</v>
      </c>
      <c r="N3009" s="17" t="s">
        <v>123</v>
      </c>
    </row>
    <row r="3010" spans="1:14" ht="14.25" customHeight="1">
      <c r="A3010" s="17">
        <v>13009</v>
      </c>
      <c r="B3010" s="18">
        <v>45863</v>
      </c>
      <c r="C3010" s="17" t="s">
        <v>39</v>
      </c>
      <c r="D3010" s="17" t="s">
        <v>170</v>
      </c>
      <c r="E3010" s="17" t="s">
        <v>168</v>
      </c>
      <c r="F3010" s="17" t="s">
        <v>164</v>
      </c>
      <c r="G3010" s="17">
        <v>8</v>
      </c>
      <c r="H3010" s="17">
        <v>79243</v>
      </c>
      <c r="I3010" s="17">
        <v>633944</v>
      </c>
      <c r="J3010" s="17">
        <v>2983</v>
      </c>
      <c r="K3010" s="17">
        <v>630961</v>
      </c>
      <c r="L3010" s="17">
        <v>111545.39780000001</v>
      </c>
      <c r="M3010" s="17">
        <v>2025</v>
      </c>
      <c r="N3010" s="17" t="s">
        <v>123</v>
      </c>
    </row>
    <row r="3011" spans="1:14" ht="14.25" customHeight="1">
      <c r="A3011" s="17">
        <v>13010</v>
      </c>
      <c r="B3011" s="18">
        <v>45668</v>
      </c>
      <c r="C3011" s="17" t="s">
        <v>167</v>
      </c>
      <c r="D3011" s="17" t="s">
        <v>86</v>
      </c>
      <c r="E3011" s="17" t="s">
        <v>168</v>
      </c>
      <c r="F3011" s="17" t="s">
        <v>164</v>
      </c>
      <c r="G3011" s="17">
        <v>5</v>
      </c>
      <c r="H3011" s="17">
        <v>38787</v>
      </c>
      <c r="I3011" s="17">
        <v>193935</v>
      </c>
      <c r="J3011" s="17">
        <v>4575</v>
      </c>
      <c r="K3011" s="17">
        <v>189360</v>
      </c>
      <c r="L3011" s="17">
        <v>22906.822649999998</v>
      </c>
      <c r="M3011" s="17">
        <v>2025</v>
      </c>
      <c r="N3011" s="17" t="s">
        <v>171</v>
      </c>
    </row>
    <row r="3012" spans="1:14" ht="14.25" customHeight="1">
      <c r="A3012" s="17">
        <v>13011</v>
      </c>
      <c r="B3012" s="18">
        <v>45686</v>
      </c>
      <c r="C3012" s="17" t="s">
        <v>39</v>
      </c>
      <c r="D3012" s="17" t="s">
        <v>170</v>
      </c>
      <c r="E3012" s="17" t="s">
        <v>165</v>
      </c>
      <c r="F3012" s="17" t="s">
        <v>163</v>
      </c>
      <c r="G3012" s="17">
        <v>8</v>
      </c>
      <c r="H3012" s="17">
        <v>28982</v>
      </c>
      <c r="I3012" s="17">
        <v>231856</v>
      </c>
      <c r="J3012" s="17">
        <v>3028</v>
      </c>
      <c r="K3012" s="17">
        <v>228828</v>
      </c>
      <c r="L3012" s="17">
        <v>36388.840790000002</v>
      </c>
      <c r="M3012" s="17">
        <v>2025</v>
      </c>
      <c r="N3012" s="17" t="s">
        <v>171</v>
      </c>
    </row>
    <row r="3013" spans="1:14" ht="14.25" customHeight="1">
      <c r="A3013" s="17">
        <v>13012</v>
      </c>
      <c r="B3013" s="18">
        <v>45741</v>
      </c>
      <c r="C3013" s="17" t="s">
        <v>39</v>
      </c>
      <c r="D3013" s="17" t="s">
        <v>86</v>
      </c>
      <c r="E3013" s="17" t="s">
        <v>162</v>
      </c>
      <c r="F3013" s="17" t="s">
        <v>166</v>
      </c>
      <c r="G3013" s="17">
        <v>5</v>
      </c>
      <c r="H3013" s="17">
        <v>6049</v>
      </c>
      <c r="I3013" s="17">
        <v>30245</v>
      </c>
      <c r="J3013" s="17">
        <v>3134</v>
      </c>
      <c r="K3013" s="17">
        <v>27111</v>
      </c>
      <c r="L3013" s="17">
        <v>5248.8610010000002</v>
      </c>
      <c r="M3013" s="17">
        <v>2025</v>
      </c>
      <c r="N3013" s="17" t="s">
        <v>112</v>
      </c>
    </row>
    <row r="3014" spans="1:14" ht="14.25" customHeight="1">
      <c r="A3014" s="17">
        <v>13013</v>
      </c>
      <c r="B3014" s="18">
        <v>45655</v>
      </c>
      <c r="C3014" s="17" t="s">
        <v>167</v>
      </c>
      <c r="D3014" s="17" t="s">
        <v>86</v>
      </c>
      <c r="E3014" s="17" t="s">
        <v>168</v>
      </c>
      <c r="F3014" s="17" t="s">
        <v>163</v>
      </c>
      <c r="G3014" s="17">
        <v>1</v>
      </c>
      <c r="H3014" s="17">
        <v>18381</v>
      </c>
      <c r="I3014" s="17">
        <v>18381</v>
      </c>
      <c r="J3014" s="17">
        <v>4095</v>
      </c>
      <c r="K3014" s="17">
        <v>14286</v>
      </c>
      <c r="L3014" s="17">
        <v>3063.2890579999998</v>
      </c>
      <c r="M3014" s="17">
        <v>2024</v>
      </c>
      <c r="N3014" s="17" t="s">
        <v>169</v>
      </c>
    </row>
    <row r="3015" spans="1:14" ht="14.25" customHeight="1">
      <c r="A3015" s="17">
        <v>13014</v>
      </c>
      <c r="B3015" s="18">
        <v>45748</v>
      </c>
      <c r="C3015" s="17" t="s">
        <v>58</v>
      </c>
      <c r="D3015" s="17" t="s">
        <v>83</v>
      </c>
      <c r="E3015" s="17" t="s">
        <v>168</v>
      </c>
      <c r="F3015" s="17" t="s">
        <v>163</v>
      </c>
      <c r="G3015" s="17">
        <v>2</v>
      </c>
      <c r="H3015" s="17">
        <v>72876</v>
      </c>
      <c r="I3015" s="17">
        <v>145752</v>
      </c>
      <c r="J3015" s="17">
        <v>939</v>
      </c>
      <c r="K3015" s="17">
        <v>144813</v>
      </c>
      <c r="L3015" s="17">
        <v>27665.176769999998</v>
      </c>
      <c r="M3015" s="17">
        <v>2025</v>
      </c>
      <c r="N3015" s="17" t="s">
        <v>114</v>
      </c>
    </row>
    <row r="3016" spans="1:14" ht="14.25" customHeight="1">
      <c r="A3016" s="17">
        <v>13015</v>
      </c>
      <c r="B3016" s="18">
        <v>46016</v>
      </c>
      <c r="C3016" s="17" t="s">
        <v>45</v>
      </c>
      <c r="D3016" s="17" t="s">
        <v>86</v>
      </c>
      <c r="E3016" s="17" t="s">
        <v>162</v>
      </c>
      <c r="F3016" s="17" t="s">
        <v>166</v>
      </c>
      <c r="G3016" s="17">
        <v>6</v>
      </c>
      <c r="H3016" s="17">
        <v>53390</v>
      </c>
      <c r="I3016" s="17">
        <v>320340</v>
      </c>
      <c r="J3016" s="17">
        <v>4109</v>
      </c>
      <c r="K3016" s="17">
        <v>316231</v>
      </c>
      <c r="L3016" s="17">
        <v>33250.854859999999</v>
      </c>
      <c r="M3016" s="17">
        <v>2025</v>
      </c>
      <c r="N3016" s="17" t="s">
        <v>169</v>
      </c>
    </row>
    <row r="3017" spans="1:14" ht="14.25" customHeight="1">
      <c r="A3017" s="17">
        <v>13016</v>
      </c>
      <c r="B3017" s="18">
        <v>46019</v>
      </c>
      <c r="C3017" s="17" t="s">
        <v>58</v>
      </c>
      <c r="D3017" s="17" t="s">
        <v>89</v>
      </c>
      <c r="E3017" s="17" t="s">
        <v>162</v>
      </c>
      <c r="F3017" s="17" t="s">
        <v>164</v>
      </c>
      <c r="G3017" s="17">
        <v>3</v>
      </c>
      <c r="H3017" s="17">
        <v>17061</v>
      </c>
      <c r="I3017" s="17">
        <v>51183</v>
      </c>
      <c r="J3017" s="17">
        <v>4237</v>
      </c>
      <c r="K3017" s="17">
        <v>46946</v>
      </c>
      <c r="L3017" s="17">
        <v>5702.3160669999997</v>
      </c>
      <c r="M3017" s="17">
        <v>2025</v>
      </c>
      <c r="N3017" s="17" t="s">
        <v>169</v>
      </c>
    </row>
    <row r="3018" spans="1:14" ht="14.25" customHeight="1">
      <c r="A3018" s="17">
        <v>13017</v>
      </c>
      <c r="B3018" s="18">
        <v>45517</v>
      </c>
      <c r="C3018" s="17" t="s">
        <v>50</v>
      </c>
      <c r="D3018" s="17" t="s">
        <v>86</v>
      </c>
      <c r="E3018" s="17" t="s">
        <v>168</v>
      </c>
      <c r="F3018" s="17" t="s">
        <v>163</v>
      </c>
      <c r="G3018" s="17">
        <v>8</v>
      </c>
      <c r="H3018" s="17">
        <v>76241</v>
      </c>
      <c r="I3018" s="17">
        <v>609928</v>
      </c>
      <c r="J3018" s="17">
        <v>4023</v>
      </c>
      <c r="K3018" s="17">
        <v>605905</v>
      </c>
      <c r="L3018" s="17">
        <v>94381.975340000005</v>
      </c>
      <c r="M3018" s="17">
        <v>2024</v>
      </c>
      <c r="N3018" s="17" t="s">
        <v>126</v>
      </c>
    </row>
    <row r="3019" spans="1:14" ht="14.25" customHeight="1">
      <c r="A3019" s="17">
        <v>13018</v>
      </c>
      <c r="B3019" s="18">
        <v>45422</v>
      </c>
      <c r="C3019" s="17" t="s">
        <v>50</v>
      </c>
      <c r="D3019" s="17" t="s">
        <v>170</v>
      </c>
      <c r="E3019" s="17" t="s">
        <v>162</v>
      </c>
      <c r="F3019" s="17" t="s">
        <v>163</v>
      </c>
      <c r="G3019" s="17">
        <v>5</v>
      </c>
      <c r="H3019" s="17">
        <v>55296</v>
      </c>
      <c r="I3019" s="17">
        <v>276480</v>
      </c>
      <c r="J3019" s="17">
        <v>3691</v>
      </c>
      <c r="K3019" s="17">
        <v>272789</v>
      </c>
      <c r="L3019" s="17">
        <v>56155.539579999997</v>
      </c>
      <c r="M3019" s="17">
        <v>2024</v>
      </c>
      <c r="N3019" s="17" t="s">
        <v>117</v>
      </c>
    </row>
    <row r="3020" spans="1:14" ht="14.25" customHeight="1">
      <c r="A3020" s="17">
        <v>13019</v>
      </c>
      <c r="B3020" s="18">
        <v>45879</v>
      </c>
      <c r="C3020" s="17" t="s">
        <v>50</v>
      </c>
      <c r="D3020" s="17" t="s">
        <v>86</v>
      </c>
      <c r="E3020" s="17" t="s">
        <v>165</v>
      </c>
      <c r="F3020" s="17" t="s">
        <v>172</v>
      </c>
      <c r="G3020" s="17">
        <v>3</v>
      </c>
      <c r="H3020" s="17">
        <v>29014</v>
      </c>
      <c r="I3020" s="17">
        <v>87042</v>
      </c>
      <c r="J3020" s="17">
        <v>589</v>
      </c>
      <c r="K3020" s="17">
        <v>86453</v>
      </c>
      <c r="L3020" s="17">
        <v>16222.83596</v>
      </c>
      <c r="M3020" s="17">
        <v>2025</v>
      </c>
      <c r="N3020" s="17" t="s">
        <v>126</v>
      </c>
    </row>
    <row r="3021" spans="1:14" ht="14.25" customHeight="1">
      <c r="A3021" s="17">
        <v>13020</v>
      </c>
      <c r="B3021" s="18">
        <v>45767</v>
      </c>
      <c r="C3021" s="17" t="s">
        <v>167</v>
      </c>
      <c r="D3021" s="17" t="s">
        <v>170</v>
      </c>
      <c r="E3021" s="17" t="s">
        <v>165</v>
      </c>
      <c r="F3021" s="17" t="s">
        <v>166</v>
      </c>
      <c r="G3021" s="17">
        <v>7</v>
      </c>
      <c r="H3021" s="17">
        <v>69535</v>
      </c>
      <c r="I3021" s="17">
        <v>486745</v>
      </c>
      <c r="J3021" s="17">
        <v>1782</v>
      </c>
      <c r="K3021" s="17">
        <v>484963</v>
      </c>
      <c r="L3021" s="17">
        <v>51747.612000000001</v>
      </c>
      <c r="M3021" s="17">
        <v>2025</v>
      </c>
      <c r="N3021" s="17" t="s">
        <v>114</v>
      </c>
    </row>
    <row r="3022" spans="1:14" ht="14.25" customHeight="1">
      <c r="A3022" s="17">
        <v>13021</v>
      </c>
      <c r="B3022" s="18">
        <v>45568</v>
      </c>
      <c r="C3022" s="17" t="s">
        <v>39</v>
      </c>
      <c r="D3022" s="17" t="s">
        <v>170</v>
      </c>
      <c r="E3022" s="17" t="s">
        <v>165</v>
      </c>
      <c r="F3022" s="17" t="s">
        <v>163</v>
      </c>
      <c r="G3022" s="17">
        <v>8</v>
      </c>
      <c r="H3022" s="17">
        <v>70191</v>
      </c>
      <c r="I3022" s="17">
        <v>561528</v>
      </c>
      <c r="J3022" s="17">
        <v>4568</v>
      </c>
      <c r="K3022" s="17">
        <v>556960</v>
      </c>
      <c r="L3022" s="17">
        <v>122271.03630000001</v>
      </c>
      <c r="M3022" s="17">
        <v>2024</v>
      </c>
      <c r="N3022" s="17" t="s">
        <v>174</v>
      </c>
    </row>
    <row r="3023" spans="1:14" ht="14.25" customHeight="1">
      <c r="A3023" s="17">
        <v>13022</v>
      </c>
      <c r="B3023" s="18">
        <v>45447</v>
      </c>
      <c r="C3023" s="17" t="s">
        <v>58</v>
      </c>
      <c r="D3023" s="17" t="s">
        <v>89</v>
      </c>
      <c r="E3023" s="17" t="s">
        <v>168</v>
      </c>
      <c r="F3023" s="17" t="s">
        <v>166</v>
      </c>
      <c r="G3023" s="17">
        <v>4</v>
      </c>
      <c r="H3023" s="17">
        <v>56576</v>
      </c>
      <c r="I3023" s="17">
        <v>226304</v>
      </c>
      <c r="J3023" s="17">
        <v>1207</v>
      </c>
      <c r="K3023" s="17">
        <v>225097</v>
      </c>
      <c r="L3023" s="17">
        <v>42941.454120000002</v>
      </c>
      <c r="M3023" s="17">
        <v>2024</v>
      </c>
      <c r="N3023" s="17" t="s">
        <v>120</v>
      </c>
    </row>
    <row r="3024" spans="1:14" ht="14.25" customHeight="1">
      <c r="A3024" s="17">
        <v>13023</v>
      </c>
      <c r="B3024" s="18">
        <v>45509</v>
      </c>
      <c r="C3024" s="17" t="s">
        <v>45</v>
      </c>
      <c r="D3024" s="17" t="s">
        <v>86</v>
      </c>
      <c r="E3024" s="17" t="s">
        <v>162</v>
      </c>
      <c r="F3024" s="17" t="s">
        <v>166</v>
      </c>
      <c r="G3024" s="17">
        <v>9</v>
      </c>
      <c r="H3024" s="17">
        <v>33147</v>
      </c>
      <c r="I3024" s="17">
        <v>298323</v>
      </c>
      <c r="J3024" s="17">
        <v>4412</v>
      </c>
      <c r="K3024" s="17">
        <v>293911</v>
      </c>
      <c r="L3024" s="17">
        <v>68502.573109999998</v>
      </c>
      <c r="M3024" s="17">
        <v>2024</v>
      </c>
      <c r="N3024" s="17" t="s">
        <v>126</v>
      </c>
    </row>
    <row r="3025" spans="1:14" ht="14.25" customHeight="1">
      <c r="A3025" s="17">
        <v>13024</v>
      </c>
      <c r="B3025" s="18">
        <v>45481</v>
      </c>
      <c r="C3025" s="17" t="s">
        <v>50</v>
      </c>
      <c r="D3025" s="17" t="s">
        <v>86</v>
      </c>
      <c r="E3025" s="17" t="s">
        <v>165</v>
      </c>
      <c r="F3025" s="17" t="s">
        <v>163</v>
      </c>
      <c r="G3025" s="17">
        <v>6</v>
      </c>
      <c r="H3025" s="17">
        <v>73020</v>
      </c>
      <c r="I3025" s="17">
        <v>438120</v>
      </c>
      <c r="J3025" s="17">
        <v>4540</v>
      </c>
      <c r="K3025" s="17">
        <v>433580</v>
      </c>
      <c r="L3025" s="17">
        <v>70520.904580000002</v>
      </c>
      <c r="M3025" s="17">
        <v>2024</v>
      </c>
      <c r="N3025" s="17" t="s">
        <v>123</v>
      </c>
    </row>
    <row r="3026" spans="1:14" ht="14.25" customHeight="1">
      <c r="A3026" s="17">
        <v>13025</v>
      </c>
      <c r="B3026" s="18">
        <v>45708</v>
      </c>
      <c r="C3026" s="17" t="s">
        <v>58</v>
      </c>
      <c r="D3026" s="17" t="s">
        <v>111</v>
      </c>
      <c r="E3026" s="17" t="s">
        <v>162</v>
      </c>
      <c r="F3026" s="17" t="s">
        <v>166</v>
      </c>
      <c r="G3026" s="17">
        <v>1</v>
      </c>
      <c r="H3026" s="17">
        <v>61148</v>
      </c>
      <c r="I3026" s="17">
        <v>61148</v>
      </c>
      <c r="J3026" s="17">
        <v>2343</v>
      </c>
      <c r="K3026" s="17">
        <v>58805</v>
      </c>
      <c r="L3026" s="17">
        <v>10204.44736</v>
      </c>
      <c r="M3026" s="17">
        <v>2025</v>
      </c>
      <c r="N3026" s="17" t="s">
        <v>175</v>
      </c>
    </row>
    <row r="3027" spans="1:14" ht="14.25" customHeight="1">
      <c r="A3027" s="17">
        <v>13026</v>
      </c>
      <c r="B3027" s="18">
        <v>45966</v>
      </c>
      <c r="C3027" s="17" t="s">
        <v>50</v>
      </c>
      <c r="D3027" s="17" t="s">
        <v>111</v>
      </c>
      <c r="E3027" s="17" t="s">
        <v>165</v>
      </c>
      <c r="F3027" s="17" t="s">
        <v>164</v>
      </c>
      <c r="G3027" s="17">
        <v>5</v>
      </c>
      <c r="H3027" s="17">
        <v>6745</v>
      </c>
      <c r="I3027" s="17">
        <v>33725</v>
      </c>
      <c r="J3027" s="17">
        <v>846</v>
      </c>
      <c r="K3027" s="17">
        <v>32879</v>
      </c>
      <c r="L3027" s="17">
        <v>5288.0155629999999</v>
      </c>
      <c r="M3027" s="17">
        <v>2025</v>
      </c>
      <c r="N3027" s="17" t="s">
        <v>173</v>
      </c>
    </row>
    <row r="3028" spans="1:14" ht="14.25" customHeight="1">
      <c r="A3028" s="17">
        <v>13027</v>
      </c>
      <c r="B3028" s="18">
        <v>45983</v>
      </c>
      <c r="C3028" s="17" t="s">
        <v>50</v>
      </c>
      <c r="D3028" s="17" t="s">
        <v>83</v>
      </c>
      <c r="E3028" s="17" t="s">
        <v>162</v>
      </c>
      <c r="F3028" s="17" t="s">
        <v>163</v>
      </c>
      <c r="G3028" s="17">
        <v>5</v>
      </c>
      <c r="H3028" s="17">
        <v>27148</v>
      </c>
      <c r="I3028" s="17">
        <v>135740</v>
      </c>
      <c r="J3028" s="17">
        <v>2424</v>
      </c>
      <c r="K3028" s="17">
        <v>133316</v>
      </c>
      <c r="L3028" s="17">
        <v>27778.81221</v>
      </c>
      <c r="M3028" s="17">
        <v>2025</v>
      </c>
      <c r="N3028" s="17" t="s">
        <v>173</v>
      </c>
    </row>
    <row r="3029" spans="1:14" ht="14.25" customHeight="1">
      <c r="A3029" s="17">
        <v>13028</v>
      </c>
      <c r="B3029" s="18">
        <v>45837</v>
      </c>
      <c r="C3029" s="17" t="s">
        <v>45</v>
      </c>
      <c r="D3029" s="17" t="s">
        <v>170</v>
      </c>
      <c r="E3029" s="17" t="s">
        <v>165</v>
      </c>
      <c r="F3029" s="17" t="s">
        <v>163</v>
      </c>
      <c r="G3029" s="17">
        <v>7</v>
      </c>
      <c r="H3029" s="17">
        <v>21216</v>
      </c>
      <c r="I3029" s="17">
        <v>148512</v>
      </c>
      <c r="J3029" s="17">
        <v>4680</v>
      </c>
      <c r="K3029" s="17">
        <v>143832</v>
      </c>
      <c r="L3029" s="17">
        <v>30610.272789999999</v>
      </c>
      <c r="M3029" s="17">
        <v>2025</v>
      </c>
      <c r="N3029" s="17" t="s">
        <v>120</v>
      </c>
    </row>
    <row r="3030" spans="1:14" ht="14.25" customHeight="1">
      <c r="A3030" s="17">
        <v>13029</v>
      </c>
      <c r="B3030" s="18">
        <v>45332</v>
      </c>
      <c r="C3030" s="17" t="s">
        <v>167</v>
      </c>
      <c r="D3030" s="17" t="s">
        <v>89</v>
      </c>
      <c r="E3030" s="17" t="s">
        <v>165</v>
      </c>
      <c r="F3030" s="17" t="s">
        <v>163</v>
      </c>
      <c r="G3030" s="17">
        <v>7</v>
      </c>
      <c r="H3030" s="17">
        <v>46929</v>
      </c>
      <c r="I3030" s="17">
        <v>328503</v>
      </c>
      <c r="J3030" s="17">
        <v>798</v>
      </c>
      <c r="K3030" s="17">
        <v>327705</v>
      </c>
      <c r="L3030" s="17">
        <v>68322.02231</v>
      </c>
      <c r="M3030" s="17">
        <v>2024</v>
      </c>
      <c r="N3030" s="17" t="s">
        <v>175</v>
      </c>
    </row>
    <row r="3031" spans="1:14" ht="14.25" customHeight="1">
      <c r="A3031" s="17">
        <v>13030</v>
      </c>
      <c r="B3031" s="18">
        <v>45598</v>
      </c>
      <c r="C3031" s="17" t="s">
        <v>39</v>
      </c>
      <c r="D3031" s="17" t="s">
        <v>111</v>
      </c>
      <c r="E3031" s="17" t="s">
        <v>165</v>
      </c>
      <c r="F3031" s="17" t="s">
        <v>172</v>
      </c>
      <c r="G3031" s="17">
        <v>6</v>
      </c>
      <c r="H3031" s="17">
        <v>67637</v>
      </c>
      <c r="I3031" s="17">
        <v>405822</v>
      </c>
      <c r="J3031" s="17">
        <v>470</v>
      </c>
      <c r="K3031" s="17">
        <v>405352</v>
      </c>
      <c r="L3031" s="17">
        <v>58265.253909999999</v>
      </c>
      <c r="M3031" s="17">
        <v>2024</v>
      </c>
      <c r="N3031" s="17" t="s">
        <v>173</v>
      </c>
    </row>
    <row r="3032" spans="1:14" ht="14.25" customHeight="1">
      <c r="A3032" s="17">
        <v>13031</v>
      </c>
      <c r="B3032" s="18">
        <v>45629</v>
      </c>
      <c r="C3032" s="17" t="s">
        <v>167</v>
      </c>
      <c r="D3032" s="17" t="s">
        <v>86</v>
      </c>
      <c r="E3032" s="17" t="s">
        <v>165</v>
      </c>
      <c r="F3032" s="17" t="s">
        <v>172</v>
      </c>
      <c r="G3032" s="17">
        <v>8</v>
      </c>
      <c r="H3032" s="17">
        <v>64991</v>
      </c>
      <c r="I3032" s="17">
        <v>519928</v>
      </c>
      <c r="J3032" s="17">
        <v>3909</v>
      </c>
      <c r="K3032" s="17">
        <v>516019</v>
      </c>
      <c r="L3032" s="17">
        <v>100832.5537</v>
      </c>
      <c r="M3032" s="17">
        <v>2024</v>
      </c>
      <c r="N3032" s="17" t="s">
        <v>169</v>
      </c>
    </row>
    <row r="3033" spans="1:14" ht="14.25" customHeight="1">
      <c r="A3033" s="17">
        <v>13032</v>
      </c>
      <c r="B3033" s="18">
        <v>45605</v>
      </c>
      <c r="C3033" s="17" t="s">
        <v>58</v>
      </c>
      <c r="D3033" s="17" t="s">
        <v>83</v>
      </c>
      <c r="E3033" s="17" t="s">
        <v>165</v>
      </c>
      <c r="F3033" s="17" t="s">
        <v>172</v>
      </c>
      <c r="G3033" s="17">
        <v>2</v>
      </c>
      <c r="H3033" s="17">
        <v>27012</v>
      </c>
      <c r="I3033" s="17">
        <v>54024</v>
      </c>
      <c r="J3033" s="17">
        <v>4827</v>
      </c>
      <c r="K3033" s="17">
        <v>49197</v>
      </c>
      <c r="L3033" s="17">
        <v>7417.8855279999998</v>
      </c>
      <c r="M3033" s="17">
        <v>2024</v>
      </c>
      <c r="N3033" s="17" t="s">
        <v>173</v>
      </c>
    </row>
    <row r="3034" spans="1:14" ht="14.25" customHeight="1">
      <c r="A3034" s="17">
        <v>13033</v>
      </c>
      <c r="B3034" s="18">
        <v>45366</v>
      </c>
      <c r="C3034" s="17" t="s">
        <v>167</v>
      </c>
      <c r="D3034" s="17" t="s">
        <v>89</v>
      </c>
      <c r="E3034" s="17" t="s">
        <v>165</v>
      </c>
      <c r="F3034" s="17" t="s">
        <v>172</v>
      </c>
      <c r="G3034" s="17">
        <v>7</v>
      </c>
      <c r="H3034" s="17">
        <v>71313</v>
      </c>
      <c r="I3034" s="17">
        <v>499191</v>
      </c>
      <c r="J3034" s="17">
        <v>2094</v>
      </c>
      <c r="K3034" s="17">
        <v>497097</v>
      </c>
      <c r="L3034" s="17">
        <v>111911.4783</v>
      </c>
      <c r="M3034" s="17">
        <v>2024</v>
      </c>
      <c r="N3034" s="17" t="s">
        <v>112</v>
      </c>
    </row>
    <row r="3035" spans="1:14" ht="14.25" customHeight="1">
      <c r="A3035" s="17">
        <v>13034</v>
      </c>
      <c r="B3035" s="18">
        <v>45570</v>
      </c>
      <c r="C3035" s="17" t="s">
        <v>58</v>
      </c>
      <c r="D3035" s="17" t="s">
        <v>86</v>
      </c>
      <c r="E3035" s="17" t="s">
        <v>165</v>
      </c>
      <c r="F3035" s="17" t="s">
        <v>163</v>
      </c>
      <c r="G3035" s="17">
        <v>7</v>
      </c>
      <c r="H3035" s="17">
        <v>14525</v>
      </c>
      <c r="I3035" s="17">
        <v>101675</v>
      </c>
      <c r="J3035" s="17">
        <v>2994</v>
      </c>
      <c r="K3035" s="17">
        <v>98681</v>
      </c>
      <c r="L3035" s="17">
        <v>10683.9377</v>
      </c>
      <c r="M3035" s="17">
        <v>2024</v>
      </c>
      <c r="N3035" s="17" t="s">
        <v>174</v>
      </c>
    </row>
    <row r="3036" spans="1:14" ht="14.25" customHeight="1">
      <c r="A3036" s="17">
        <v>13035</v>
      </c>
      <c r="B3036" s="18">
        <v>45467</v>
      </c>
      <c r="C3036" s="17" t="s">
        <v>58</v>
      </c>
      <c r="D3036" s="17" t="s">
        <v>86</v>
      </c>
      <c r="E3036" s="17" t="s">
        <v>165</v>
      </c>
      <c r="F3036" s="17" t="s">
        <v>164</v>
      </c>
      <c r="G3036" s="17">
        <v>4</v>
      </c>
      <c r="H3036" s="17">
        <v>48348</v>
      </c>
      <c r="I3036" s="17">
        <v>193392</v>
      </c>
      <c r="J3036" s="17">
        <v>3129</v>
      </c>
      <c r="K3036" s="17">
        <v>190263</v>
      </c>
      <c r="L3036" s="17">
        <v>20102.829539999999</v>
      </c>
      <c r="M3036" s="17">
        <v>2024</v>
      </c>
      <c r="N3036" s="17" t="s">
        <v>120</v>
      </c>
    </row>
    <row r="3037" spans="1:14" ht="14.25" customHeight="1">
      <c r="A3037" s="17">
        <v>13036</v>
      </c>
      <c r="B3037" s="18">
        <v>45953</v>
      </c>
      <c r="C3037" s="17" t="s">
        <v>39</v>
      </c>
      <c r="D3037" s="17" t="s">
        <v>170</v>
      </c>
      <c r="E3037" s="17" t="s">
        <v>165</v>
      </c>
      <c r="F3037" s="17" t="s">
        <v>166</v>
      </c>
      <c r="G3037" s="17">
        <v>2</v>
      </c>
      <c r="H3037" s="17">
        <v>65447</v>
      </c>
      <c r="I3037" s="17">
        <v>130894</v>
      </c>
      <c r="J3037" s="17">
        <v>1313</v>
      </c>
      <c r="K3037" s="17">
        <v>129581</v>
      </c>
      <c r="L3037" s="17">
        <v>14935.0219</v>
      </c>
      <c r="M3037" s="17">
        <v>2025</v>
      </c>
      <c r="N3037" s="17" t="s">
        <v>174</v>
      </c>
    </row>
    <row r="3038" spans="1:14" ht="14.25" customHeight="1">
      <c r="A3038" s="17">
        <v>13037</v>
      </c>
      <c r="B3038" s="18">
        <v>45564</v>
      </c>
      <c r="C3038" s="17" t="s">
        <v>45</v>
      </c>
      <c r="D3038" s="17" t="s">
        <v>170</v>
      </c>
      <c r="E3038" s="17" t="s">
        <v>162</v>
      </c>
      <c r="F3038" s="17" t="s">
        <v>166</v>
      </c>
      <c r="G3038" s="17">
        <v>4</v>
      </c>
      <c r="H3038" s="17">
        <v>73650</v>
      </c>
      <c r="I3038" s="17">
        <v>294600</v>
      </c>
      <c r="J3038" s="17">
        <v>2878</v>
      </c>
      <c r="K3038" s="17">
        <v>291722</v>
      </c>
      <c r="L3038" s="17">
        <v>38027.269370000002</v>
      </c>
      <c r="M3038" s="17">
        <v>2024</v>
      </c>
      <c r="N3038" s="17" t="s">
        <v>129</v>
      </c>
    </row>
    <row r="3039" spans="1:14" ht="14.25" customHeight="1">
      <c r="A3039" s="17">
        <v>13038</v>
      </c>
      <c r="B3039" s="18">
        <v>45911</v>
      </c>
      <c r="C3039" s="17" t="s">
        <v>39</v>
      </c>
      <c r="D3039" s="17" t="s">
        <v>111</v>
      </c>
      <c r="E3039" s="17" t="s">
        <v>162</v>
      </c>
      <c r="F3039" s="17" t="s">
        <v>163</v>
      </c>
      <c r="G3039" s="17">
        <v>4</v>
      </c>
      <c r="H3039" s="17">
        <v>71881</v>
      </c>
      <c r="I3039" s="17">
        <v>287524</v>
      </c>
      <c r="J3039" s="17">
        <v>3515</v>
      </c>
      <c r="K3039" s="17">
        <v>284009</v>
      </c>
      <c r="L3039" s="17">
        <v>30004.217100000002</v>
      </c>
      <c r="M3039" s="17">
        <v>2025</v>
      </c>
      <c r="N3039" s="17" t="s">
        <v>129</v>
      </c>
    </row>
    <row r="3040" spans="1:14" ht="14.25" customHeight="1">
      <c r="A3040" s="17">
        <v>13039</v>
      </c>
      <c r="B3040" s="18">
        <v>45942</v>
      </c>
      <c r="C3040" s="17" t="s">
        <v>167</v>
      </c>
      <c r="D3040" s="17" t="s">
        <v>111</v>
      </c>
      <c r="E3040" s="17" t="s">
        <v>168</v>
      </c>
      <c r="F3040" s="17" t="s">
        <v>164</v>
      </c>
      <c r="G3040" s="17">
        <v>6</v>
      </c>
      <c r="H3040" s="17">
        <v>7041</v>
      </c>
      <c r="I3040" s="17">
        <v>42246</v>
      </c>
      <c r="J3040" s="17">
        <v>1047</v>
      </c>
      <c r="K3040" s="17">
        <v>41199</v>
      </c>
      <c r="L3040" s="17">
        <v>4562.4803970000003</v>
      </c>
      <c r="M3040" s="17">
        <v>2025</v>
      </c>
      <c r="N3040" s="17" t="s">
        <v>174</v>
      </c>
    </row>
    <row r="3041" spans="1:14" ht="14.25" customHeight="1">
      <c r="A3041" s="17">
        <v>13040</v>
      </c>
      <c r="B3041" s="18">
        <v>45580</v>
      </c>
      <c r="C3041" s="17" t="s">
        <v>58</v>
      </c>
      <c r="D3041" s="17" t="s">
        <v>86</v>
      </c>
      <c r="E3041" s="17" t="s">
        <v>165</v>
      </c>
      <c r="F3041" s="17" t="s">
        <v>166</v>
      </c>
      <c r="G3041" s="17">
        <v>7</v>
      </c>
      <c r="H3041" s="17">
        <v>56826</v>
      </c>
      <c r="I3041" s="17">
        <v>397782</v>
      </c>
      <c r="J3041" s="17">
        <v>1087</v>
      </c>
      <c r="K3041" s="17">
        <v>396695</v>
      </c>
      <c r="L3041" s="17">
        <v>57881.162060000002</v>
      </c>
      <c r="M3041" s="17">
        <v>2024</v>
      </c>
      <c r="N3041" s="17" t="s">
        <v>174</v>
      </c>
    </row>
    <row r="3042" spans="1:14" ht="14.25" customHeight="1">
      <c r="A3042" s="17">
        <v>13041</v>
      </c>
      <c r="B3042" s="18">
        <v>46015</v>
      </c>
      <c r="C3042" s="17" t="s">
        <v>50</v>
      </c>
      <c r="D3042" s="17" t="s">
        <v>86</v>
      </c>
      <c r="E3042" s="17" t="s">
        <v>162</v>
      </c>
      <c r="F3042" s="17" t="s">
        <v>164</v>
      </c>
      <c r="G3042" s="17">
        <v>3</v>
      </c>
      <c r="H3042" s="17">
        <v>22073</v>
      </c>
      <c r="I3042" s="17">
        <v>66219</v>
      </c>
      <c r="J3042" s="17">
        <v>3681</v>
      </c>
      <c r="K3042" s="17">
        <v>62538</v>
      </c>
      <c r="L3042" s="17">
        <v>7189.9064490000001</v>
      </c>
      <c r="M3042" s="17">
        <v>2025</v>
      </c>
      <c r="N3042" s="17" t="s">
        <v>169</v>
      </c>
    </row>
    <row r="3043" spans="1:14" ht="14.25" customHeight="1">
      <c r="A3043" s="17">
        <v>13042</v>
      </c>
      <c r="B3043" s="18">
        <v>45563</v>
      </c>
      <c r="C3043" s="17" t="s">
        <v>50</v>
      </c>
      <c r="D3043" s="17" t="s">
        <v>111</v>
      </c>
      <c r="E3043" s="17" t="s">
        <v>162</v>
      </c>
      <c r="F3043" s="17" t="s">
        <v>163</v>
      </c>
      <c r="G3043" s="17">
        <v>1</v>
      </c>
      <c r="H3043" s="17">
        <v>33028</v>
      </c>
      <c r="I3043" s="17">
        <v>33028</v>
      </c>
      <c r="J3043" s="17">
        <v>282</v>
      </c>
      <c r="K3043" s="17">
        <v>32746</v>
      </c>
      <c r="L3043" s="17">
        <v>7214.306184</v>
      </c>
      <c r="M3043" s="17">
        <v>2024</v>
      </c>
      <c r="N3043" s="17" t="s">
        <v>129</v>
      </c>
    </row>
    <row r="3044" spans="1:14" ht="14.25" customHeight="1">
      <c r="A3044" s="17">
        <v>13043</v>
      </c>
      <c r="B3044" s="18">
        <v>45357</v>
      </c>
      <c r="C3044" s="17" t="s">
        <v>58</v>
      </c>
      <c r="D3044" s="17" t="s">
        <v>111</v>
      </c>
      <c r="E3044" s="17" t="s">
        <v>162</v>
      </c>
      <c r="F3044" s="17" t="s">
        <v>172</v>
      </c>
      <c r="G3044" s="17">
        <v>3</v>
      </c>
      <c r="H3044" s="17">
        <v>28440</v>
      </c>
      <c r="I3044" s="17">
        <v>85320</v>
      </c>
      <c r="J3044" s="17">
        <v>3648</v>
      </c>
      <c r="K3044" s="17">
        <v>81672</v>
      </c>
      <c r="L3044" s="17">
        <v>8827.1186089999992</v>
      </c>
      <c r="M3044" s="17">
        <v>2024</v>
      </c>
      <c r="N3044" s="17" t="s">
        <v>112</v>
      </c>
    </row>
    <row r="3045" spans="1:14" ht="14.25" customHeight="1">
      <c r="A3045" s="17">
        <v>13044</v>
      </c>
      <c r="B3045" s="18">
        <v>45774</v>
      </c>
      <c r="C3045" s="17" t="s">
        <v>39</v>
      </c>
      <c r="D3045" s="17" t="s">
        <v>86</v>
      </c>
      <c r="E3045" s="17" t="s">
        <v>162</v>
      </c>
      <c r="F3045" s="17" t="s">
        <v>164</v>
      </c>
      <c r="G3045" s="17">
        <v>9</v>
      </c>
      <c r="H3045" s="17">
        <v>37887</v>
      </c>
      <c r="I3045" s="17">
        <v>340983</v>
      </c>
      <c r="J3045" s="17">
        <v>1398</v>
      </c>
      <c r="K3045" s="17">
        <v>339585</v>
      </c>
      <c r="L3045" s="17">
        <v>80206.383180000004</v>
      </c>
      <c r="M3045" s="17">
        <v>2025</v>
      </c>
      <c r="N3045" s="17" t="s">
        <v>114</v>
      </c>
    </row>
    <row r="3046" spans="1:14" ht="14.25" customHeight="1">
      <c r="A3046" s="17">
        <v>13045</v>
      </c>
      <c r="B3046" s="18">
        <v>45539</v>
      </c>
      <c r="C3046" s="17" t="s">
        <v>45</v>
      </c>
      <c r="D3046" s="17" t="s">
        <v>89</v>
      </c>
      <c r="E3046" s="17" t="s">
        <v>162</v>
      </c>
      <c r="F3046" s="17" t="s">
        <v>166</v>
      </c>
      <c r="G3046" s="17">
        <v>1</v>
      </c>
      <c r="H3046" s="17">
        <v>43937</v>
      </c>
      <c r="I3046" s="17">
        <v>43937</v>
      </c>
      <c r="J3046" s="17">
        <v>2733</v>
      </c>
      <c r="K3046" s="17">
        <v>41204</v>
      </c>
      <c r="L3046" s="17">
        <v>9502.7108850000004</v>
      </c>
      <c r="M3046" s="17">
        <v>2024</v>
      </c>
      <c r="N3046" s="17" t="s">
        <v>129</v>
      </c>
    </row>
    <row r="3047" spans="1:14" ht="14.25" customHeight="1">
      <c r="A3047" s="17">
        <v>13046</v>
      </c>
      <c r="B3047" s="18">
        <v>45447</v>
      </c>
      <c r="C3047" s="17" t="s">
        <v>39</v>
      </c>
      <c r="D3047" s="17" t="s">
        <v>86</v>
      </c>
      <c r="E3047" s="17" t="s">
        <v>162</v>
      </c>
      <c r="F3047" s="17" t="s">
        <v>166</v>
      </c>
      <c r="G3047" s="17">
        <v>8</v>
      </c>
      <c r="H3047" s="17">
        <v>70045</v>
      </c>
      <c r="I3047" s="17">
        <v>560360</v>
      </c>
      <c r="J3047" s="17">
        <v>4067</v>
      </c>
      <c r="K3047" s="17">
        <v>556293</v>
      </c>
      <c r="L3047" s="17">
        <v>73017.714609999995</v>
      </c>
      <c r="M3047" s="17">
        <v>2024</v>
      </c>
      <c r="N3047" s="17" t="s">
        <v>120</v>
      </c>
    </row>
    <row r="3048" spans="1:14" ht="14.25" customHeight="1">
      <c r="A3048" s="17">
        <v>13047</v>
      </c>
      <c r="B3048" s="18">
        <v>45338</v>
      </c>
      <c r="C3048" s="17" t="s">
        <v>58</v>
      </c>
      <c r="D3048" s="17" t="s">
        <v>89</v>
      </c>
      <c r="E3048" s="17" t="s">
        <v>168</v>
      </c>
      <c r="F3048" s="17" t="s">
        <v>166</v>
      </c>
      <c r="G3048" s="17">
        <v>2</v>
      </c>
      <c r="H3048" s="17">
        <v>66503</v>
      </c>
      <c r="I3048" s="17">
        <v>133006</v>
      </c>
      <c r="J3048" s="17">
        <v>2357</v>
      </c>
      <c r="K3048" s="17">
        <v>130649</v>
      </c>
      <c r="L3048" s="17">
        <v>14466.64069</v>
      </c>
      <c r="M3048" s="17">
        <v>2024</v>
      </c>
      <c r="N3048" s="17" t="s">
        <v>175</v>
      </c>
    </row>
    <row r="3049" spans="1:14" ht="14.25" customHeight="1">
      <c r="A3049" s="17">
        <v>13048</v>
      </c>
      <c r="B3049" s="18">
        <v>45745</v>
      </c>
      <c r="C3049" s="17" t="s">
        <v>58</v>
      </c>
      <c r="D3049" s="17" t="s">
        <v>89</v>
      </c>
      <c r="E3049" s="17" t="s">
        <v>162</v>
      </c>
      <c r="F3049" s="17" t="s">
        <v>172</v>
      </c>
      <c r="G3049" s="17">
        <v>6</v>
      </c>
      <c r="H3049" s="17">
        <v>32428</v>
      </c>
      <c r="I3049" s="17">
        <v>194568</v>
      </c>
      <c r="J3049" s="17">
        <v>2935</v>
      </c>
      <c r="K3049" s="17">
        <v>191633</v>
      </c>
      <c r="L3049" s="17">
        <v>22196.899600000001</v>
      </c>
      <c r="M3049" s="17">
        <v>2025</v>
      </c>
      <c r="N3049" s="17" t="s">
        <v>112</v>
      </c>
    </row>
    <row r="3050" spans="1:14" ht="14.25" customHeight="1">
      <c r="A3050" s="17">
        <v>13049</v>
      </c>
      <c r="B3050" s="18">
        <v>45492</v>
      </c>
      <c r="C3050" s="17" t="s">
        <v>45</v>
      </c>
      <c r="D3050" s="17" t="s">
        <v>86</v>
      </c>
      <c r="E3050" s="17" t="s">
        <v>168</v>
      </c>
      <c r="F3050" s="17" t="s">
        <v>164</v>
      </c>
      <c r="G3050" s="17">
        <v>3</v>
      </c>
      <c r="H3050" s="17">
        <v>6613</v>
      </c>
      <c r="I3050" s="17">
        <v>19839</v>
      </c>
      <c r="J3050" s="17">
        <v>3818</v>
      </c>
      <c r="K3050" s="17">
        <v>16021</v>
      </c>
      <c r="L3050" s="17">
        <v>2945.672896</v>
      </c>
      <c r="M3050" s="17">
        <v>2024</v>
      </c>
      <c r="N3050" s="17" t="s">
        <v>123</v>
      </c>
    </row>
    <row r="3051" spans="1:14" ht="14.25" customHeight="1">
      <c r="A3051" s="17">
        <v>13050</v>
      </c>
      <c r="B3051" s="18">
        <v>45951</v>
      </c>
      <c r="C3051" s="17" t="s">
        <v>167</v>
      </c>
      <c r="D3051" s="17" t="s">
        <v>83</v>
      </c>
      <c r="E3051" s="17" t="s">
        <v>168</v>
      </c>
      <c r="F3051" s="17" t="s">
        <v>164</v>
      </c>
      <c r="G3051" s="17">
        <v>7</v>
      </c>
      <c r="H3051" s="17">
        <v>53343</v>
      </c>
      <c r="I3051" s="17">
        <v>373401</v>
      </c>
      <c r="J3051" s="17">
        <v>3238</v>
      </c>
      <c r="K3051" s="17">
        <v>370163</v>
      </c>
      <c r="L3051" s="17">
        <v>70381.815960000007</v>
      </c>
      <c r="M3051" s="17">
        <v>2025</v>
      </c>
      <c r="N3051" s="17" t="s">
        <v>174</v>
      </c>
    </row>
    <row r="3052" spans="1:14" ht="14.25" customHeight="1">
      <c r="A3052" s="17">
        <v>13051</v>
      </c>
      <c r="B3052" s="18">
        <v>45415</v>
      </c>
      <c r="C3052" s="17" t="s">
        <v>167</v>
      </c>
      <c r="D3052" s="17" t="s">
        <v>111</v>
      </c>
      <c r="E3052" s="17" t="s">
        <v>165</v>
      </c>
      <c r="F3052" s="17" t="s">
        <v>166</v>
      </c>
      <c r="G3052" s="17">
        <v>2</v>
      </c>
      <c r="H3052" s="17">
        <v>78159</v>
      </c>
      <c r="I3052" s="17">
        <v>156318</v>
      </c>
      <c r="J3052" s="17">
        <v>1772</v>
      </c>
      <c r="K3052" s="17">
        <v>154546</v>
      </c>
      <c r="L3052" s="17">
        <v>22770.408589999999</v>
      </c>
      <c r="M3052" s="17">
        <v>2024</v>
      </c>
      <c r="N3052" s="17" t="s">
        <v>117</v>
      </c>
    </row>
    <row r="3053" spans="1:14" ht="14.25" customHeight="1">
      <c r="A3053" s="17">
        <v>13052</v>
      </c>
      <c r="B3053" s="18">
        <v>45292</v>
      </c>
      <c r="C3053" s="17" t="s">
        <v>45</v>
      </c>
      <c r="D3053" s="17" t="s">
        <v>170</v>
      </c>
      <c r="E3053" s="17" t="s">
        <v>165</v>
      </c>
      <c r="F3053" s="17" t="s">
        <v>164</v>
      </c>
      <c r="G3053" s="17">
        <v>4</v>
      </c>
      <c r="H3053" s="17">
        <v>65127</v>
      </c>
      <c r="I3053" s="17">
        <v>260508</v>
      </c>
      <c r="J3053" s="17">
        <v>4077</v>
      </c>
      <c r="K3053" s="17">
        <v>256431</v>
      </c>
      <c r="L3053" s="17">
        <v>37060.703159999997</v>
      </c>
      <c r="M3053" s="17">
        <v>2024</v>
      </c>
      <c r="N3053" s="17" t="s">
        <v>171</v>
      </c>
    </row>
    <row r="3054" spans="1:14" ht="14.25" customHeight="1">
      <c r="A3054" s="17">
        <v>13053</v>
      </c>
      <c r="B3054" s="18">
        <v>45931</v>
      </c>
      <c r="C3054" s="17" t="s">
        <v>167</v>
      </c>
      <c r="D3054" s="17" t="s">
        <v>86</v>
      </c>
      <c r="E3054" s="17" t="s">
        <v>165</v>
      </c>
      <c r="F3054" s="17" t="s">
        <v>166</v>
      </c>
      <c r="G3054" s="17">
        <v>9</v>
      </c>
      <c r="H3054" s="17">
        <v>57088</v>
      </c>
      <c r="I3054" s="17">
        <v>513792</v>
      </c>
      <c r="J3054" s="17">
        <v>4102</v>
      </c>
      <c r="K3054" s="17">
        <v>509690</v>
      </c>
      <c r="L3054" s="17">
        <v>91604.132230000003</v>
      </c>
      <c r="M3054" s="17">
        <v>2025</v>
      </c>
      <c r="N3054" s="17" t="s">
        <v>174</v>
      </c>
    </row>
    <row r="3055" spans="1:14" ht="14.25" customHeight="1">
      <c r="A3055" s="17">
        <v>13054</v>
      </c>
      <c r="B3055" s="18">
        <v>45482</v>
      </c>
      <c r="C3055" s="17" t="s">
        <v>50</v>
      </c>
      <c r="D3055" s="17" t="s">
        <v>89</v>
      </c>
      <c r="E3055" s="17" t="s">
        <v>162</v>
      </c>
      <c r="F3055" s="17" t="s">
        <v>164</v>
      </c>
      <c r="G3055" s="17">
        <v>6</v>
      </c>
      <c r="H3055" s="17">
        <v>76195</v>
      </c>
      <c r="I3055" s="17">
        <v>457170</v>
      </c>
      <c r="J3055" s="17">
        <v>787</v>
      </c>
      <c r="K3055" s="17">
        <v>456383</v>
      </c>
      <c r="L3055" s="17">
        <v>66560.816550000003</v>
      </c>
      <c r="M3055" s="17">
        <v>2024</v>
      </c>
      <c r="N3055" s="17" t="s">
        <v>123</v>
      </c>
    </row>
    <row r="3056" spans="1:14" ht="14.25" customHeight="1">
      <c r="A3056" s="17">
        <v>13055</v>
      </c>
      <c r="B3056" s="18">
        <v>45870</v>
      </c>
      <c r="C3056" s="17" t="s">
        <v>167</v>
      </c>
      <c r="D3056" s="17" t="s">
        <v>86</v>
      </c>
      <c r="E3056" s="17" t="s">
        <v>165</v>
      </c>
      <c r="F3056" s="17" t="s">
        <v>172</v>
      </c>
      <c r="G3056" s="17">
        <v>4</v>
      </c>
      <c r="H3056" s="17">
        <v>50023</v>
      </c>
      <c r="I3056" s="17">
        <v>200092</v>
      </c>
      <c r="J3056" s="17">
        <v>3224</v>
      </c>
      <c r="K3056" s="17">
        <v>196868</v>
      </c>
      <c r="L3056" s="17">
        <v>47277.44154</v>
      </c>
      <c r="M3056" s="17">
        <v>2025</v>
      </c>
      <c r="N3056" s="17" t="s">
        <v>126</v>
      </c>
    </row>
    <row r="3057" spans="1:14" ht="14.25" customHeight="1">
      <c r="A3057" s="17">
        <v>13056</v>
      </c>
      <c r="B3057" s="18">
        <v>45807</v>
      </c>
      <c r="C3057" s="17" t="s">
        <v>167</v>
      </c>
      <c r="D3057" s="17" t="s">
        <v>111</v>
      </c>
      <c r="E3057" s="17" t="s">
        <v>162</v>
      </c>
      <c r="F3057" s="17" t="s">
        <v>172</v>
      </c>
      <c r="G3057" s="17">
        <v>2</v>
      </c>
      <c r="H3057" s="17">
        <v>34653</v>
      </c>
      <c r="I3057" s="17">
        <v>69306</v>
      </c>
      <c r="J3057" s="17">
        <v>42</v>
      </c>
      <c r="K3057" s="17">
        <v>69264</v>
      </c>
      <c r="L3057" s="17">
        <v>10901.79113</v>
      </c>
      <c r="M3057" s="17">
        <v>2025</v>
      </c>
      <c r="N3057" s="17" t="s">
        <v>117</v>
      </c>
    </row>
    <row r="3058" spans="1:14" ht="14.25" customHeight="1">
      <c r="A3058" s="17">
        <v>13057</v>
      </c>
      <c r="B3058" s="18">
        <v>45733</v>
      </c>
      <c r="C3058" s="17" t="s">
        <v>167</v>
      </c>
      <c r="D3058" s="17" t="s">
        <v>89</v>
      </c>
      <c r="E3058" s="17" t="s">
        <v>162</v>
      </c>
      <c r="F3058" s="17" t="s">
        <v>163</v>
      </c>
      <c r="G3058" s="17">
        <v>9</v>
      </c>
      <c r="H3058" s="17">
        <v>20718</v>
      </c>
      <c r="I3058" s="17">
        <v>186462</v>
      </c>
      <c r="J3058" s="17">
        <v>4296</v>
      </c>
      <c r="K3058" s="17">
        <v>182166</v>
      </c>
      <c r="L3058" s="17">
        <v>24222.988700000002</v>
      </c>
      <c r="M3058" s="17">
        <v>2025</v>
      </c>
      <c r="N3058" s="17" t="s">
        <v>112</v>
      </c>
    </row>
    <row r="3059" spans="1:14" ht="14.25" customHeight="1">
      <c r="A3059" s="17">
        <v>13058</v>
      </c>
      <c r="B3059" s="18">
        <v>45434</v>
      </c>
      <c r="C3059" s="17" t="s">
        <v>50</v>
      </c>
      <c r="D3059" s="17" t="s">
        <v>170</v>
      </c>
      <c r="E3059" s="17" t="s">
        <v>165</v>
      </c>
      <c r="F3059" s="17" t="s">
        <v>163</v>
      </c>
      <c r="G3059" s="17">
        <v>4</v>
      </c>
      <c r="H3059" s="17">
        <v>79877</v>
      </c>
      <c r="I3059" s="17">
        <v>319508</v>
      </c>
      <c r="J3059" s="17">
        <v>2942</v>
      </c>
      <c r="K3059" s="17">
        <v>316566</v>
      </c>
      <c r="L3059" s="17">
        <v>38587.726139999999</v>
      </c>
      <c r="M3059" s="17">
        <v>2024</v>
      </c>
      <c r="N3059" s="17" t="s">
        <v>117</v>
      </c>
    </row>
    <row r="3060" spans="1:14" ht="14.25" customHeight="1">
      <c r="A3060" s="17">
        <v>13059</v>
      </c>
      <c r="B3060" s="18">
        <v>45482</v>
      </c>
      <c r="C3060" s="17" t="s">
        <v>167</v>
      </c>
      <c r="D3060" s="17" t="s">
        <v>170</v>
      </c>
      <c r="E3060" s="17" t="s">
        <v>165</v>
      </c>
      <c r="F3060" s="17" t="s">
        <v>163</v>
      </c>
      <c r="G3060" s="17">
        <v>9</v>
      </c>
      <c r="H3060" s="17">
        <v>59219</v>
      </c>
      <c r="I3060" s="17">
        <v>532971</v>
      </c>
      <c r="J3060" s="17">
        <v>4643</v>
      </c>
      <c r="K3060" s="17">
        <v>528328</v>
      </c>
      <c r="L3060" s="17">
        <v>102895.16899999999</v>
      </c>
      <c r="M3060" s="17">
        <v>2024</v>
      </c>
      <c r="N3060" s="17" t="s">
        <v>123</v>
      </c>
    </row>
    <row r="3061" spans="1:14" ht="14.25" customHeight="1">
      <c r="A3061" s="17">
        <v>13060</v>
      </c>
      <c r="B3061" s="18">
        <v>45824</v>
      </c>
      <c r="C3061" s="17" t="s">
        <v>50</v>
      </c>
      <c r="D3061" s="17" t="s">
        <v>170</v>
      </c>
      <c r="E3061" s="17" t="s">
        <v>168</v>
      </c>
      <c r="F3061" s="17" t="s">
        <v>164</v>
      </c>
      <c r="G3061" s="17">
        <v>2</v>
      </c>
      <c r="H3061" s="17">
        <v>58954</v>
      </c>
      <c r="I3061" s="17">
        <v>117908</v>
      </c>
      <c r="J3061" s="17">
        <v>4321</v>
      </c>
      <c r="K3061" s="17">
        <v>113587</v>
      </c>
      <c r="L3061" s="17">
        <v>16924.376950000002</v>
      </c>
      <c r="M3061" s="17">
        <v>2025</v>
      </c>
      <c r="N3061" s="17" t="s">
        <v>120</v>
      </c>
    </row>
    <row r="3062" spans="1:14" ht="14.25" customHeight="1">
      <c r="A3062" s="17">
        <v>13061</v>
      </c>
      <c r="B3062" s="18">
        <v>45518</v>
      </c>
      <c r="C3062" s="17" t="s">
        <v>45</v>
      </c>
      <c r="D3062" s="17" t="s">
        <v>83</v>
      </c>
      <c r="E3062" s="17" t="s">
        <v>168</v>
      </c>
      <c r="F3062" s="17" t="s">
        <v>172</v>
      </c>
      <c r="G3062" s="17">
        <v>7</v>
      </c>
      <c r="H3062" s="17">
        <v>21296</v>
      </c>
      <c r="I3062" s="17">
        <v>149072</v>
      </c>
      <c r="J3062" s="17">
        <v>3905</v>
      </c>
      <c r="K3062" s="17">
        <v>145167</v>
      </c>
      <c r="L3062" s="17">
        <v>18627.716919999999</v>
      </c>
      <c r="M3062" s="17">
        <v>2024</v>
      </c>
      <c r="N3062" s="17" t="s">
        <v>126</v>
      </c>
    </row>
    <row r="3063" spans="1:14" ht="14.25" customHeight="1">
      <c r="A3063" s="17">
        <v>13062</v>
      </c>
      <c r="B3063" s="18">
        <v>45604</v>
      </c>
      <c r="C3063" s="17" t="s">
        <v>39</v>
      </c>
      <c r="D3063" s="17" t="s">
        <v>89</v>
      </c>
      <c r="E3063" s="17" t="s">
        <v>162</v>
      </c>
      <c r="F3063" s="17" t="s">
        <v>172</v>
      </c>
      <c r="G3063" s="17">
        <v>5</v>
      </c>
      <c r="H3063" s="17">
        <v>31285</v>
      </c>
      <c r="I3063" s="17">
        <v>156425</v>
      </c>
      <c r="J3063" s="17">
        <v>4728</v>
      </c>
      <c r="K3063" s="17">
        <v>151697</v>
      </c>
      <c r="L3063" s="17">
        <v>21445.758150000001</v>
      </c>
      <c r="M3063" s="17">
        <v>2024</v>
      </c>
      <c r="N3063" s="17" t="s">
        <v>173</v>
      </c>
    </row>
    <row r="3064" spans="1:14" ht="14.25" customHeight="1">
      <c r="A3064" s="17">
        <v>13063</v>
      </c>
      <c r="B3064" s="18">
        <v>45920</v>
      </c>
      <c r="C3064" s="17" t="s">
        <v>45</v>
      </c>
      <c r="D3064" s="17" t="s">
        <v>89</v>
      </c>
      <c r="E3064" s="17" t="s">
        <v>162</v>
      </c>
      <c r="F3064" s="17" t="s">
        <v>172</v>
      </c>
      <c r="G3064" s="17">
        <v>8</v>
      </c>
      <c r="H3064" s="17">
        <v>57310</v>
      </c>
      <c r="I3064" s="17">
        <v>458480</v>
      </c>
      <c r="J3064" s="17">
        <v>3410</v>
      </c>
      <c r="K3064" s="17">
        <v>455070</v>
      </c>
      <c r="L3064" s="17">
        <v>66523.150120000006</v>
      </c>
      <c r="M3064" s="17">
        <v>2025</v>
      </c>
      <c r="N3064" s="17" t="s">
        <v>129</v>
      </c>
    </row>
    <row r="3065" spans="1:14" ht="14.25" customHeight="1">
      <c r="A3065" s="17">
        <v>13064</v>
      </c>
      <c r="B3065" s="18">
        <v>45593</v>
      </c>
      <c r="C3065" s="17" t="s">
        <v>39</v>
      </c>
      <c r="D3065" s="17" t="s">
        <v>83</v>
      </c>
      <c r="E3065" s="17" t="s">
        <v>165</v>
      </c>
      <c r="F3065" s="17" t="s">
        <v>166</v>
      </c>
      <c r="G3065" s="17">
        <v>8</v>
      </c>
      <c r="H3065" s="17">
        <v>19134</v>
      </c>
      <c r="I3065" s="17">
        <v>153072</v>
      </c>
      <c r="J3065" s="17">
        <v>1358</v>
      </c>
      <c r="K3065" s="17">
        <v>151714</v>
      </c>
      <c r="L3065" s="17">
        <v>29413.55488</v>
      </c>
      <c r="M3065" s="17">
        <v>2024</v>
      </c>
      <c r="N3065" s="17" t="s">
        <v>174</v>
      </c>
    </row>
    <row r="3066" spans="1:14" ht="14.25" customHeight="1">
      <c r="A3066" s="17">
        <v>13065</v>
      </c>
      <c r="B3066" s="18">
        <v>45945</v>
      </c>
      <c r="C3066" s="17" t="s">
        <v>45</v>
      </c>
      <c r="D3066" s="17" t="s">
        <v>89</v>
      </c>
      <c r="E3066" s="17" t="s">
        <v>165</v>
      </c>
      <c r="F3066" s="17" t="s">
        <v>164</v>
      </c>
      <c r="G3066" s="17">
        <v>4</v>
      </c>
      <c r="H3066" s="17">
        <v>58642</v>
      </c>
      <c r="I3066" s="17">
        <v>234568</v>
      </c>
      <c r="J3066" s="17">
        <v>1204</v>
      </c>
      <c r="K3066" s="17">
        <v>233364</v>
      </c>
      <c r="L3066" s="17">
        <v>29451.056039999999</v>
      </c>
      <c r="M3066" s="17">
        <v>2025</v>
      </c>
      <c r="N3066" s="17" t="s">
        <v>174</v>
      </c>
    </row>
    <row r="3067" spans="1:14" ht="14.25" customHeight="1">
      <c r="A3067" s="17">
        <v>13066</v>
      </c>
      <c r="B3067" s="18">
        <v>45751</v>
      </c>
      <c r="C3067" s="17" t="s">
        <v>39</v>
      </c>
      <c r="D3067" s="17" t="s">
        <v>83</v>
      </c>
      <c r="E3067" s="17" t="s">
        <v>168</v>
      </c>
      <c r="F3067" s="17" t="s">
        <v>164</v>
      </c>
      <c r="G3067" s="17">
        <v>4</v>
      </c>
      <c r="H3067" s="17">
        <v>5455</v>
      </c>
      <c r="I3067" s="17">
        <v>21820</v>
      </c>
      <c r="J3067" s="17">
        <v>3604</v>
      </c>
      <c r="K3067" s="17">
        <v>18216</v>
      </c>
      <c r="L3067" s="17">
        <v>3823.913008</v>
      </c>
      <c r="M3067" s="17">
        <v>2025</v>
      </c>
      <c r="N3067" s="17" t="s">
        <v>114</v>
      </c>
    </row>
    <row r="3068" spans="1:14" ht="14.25" customHeight="1">
      <c r="A3068" s="17">
        <v>13067</v>
      </c>
      <c r="B3068" s="18">
        <v>45692</v>
      </c>
      <c r="C3068" s="17" t="s">
        <v>39</v>
      </c>
      <c r="D3068" s="17" t="s">
        <v>86</v>
      </c>
      <c r="E3068" s="17" t="s">
        <v>165</v>
      </c>
      <c r="F3068" s="17" t="s">
        <v>163</v>
      </c>
      <c r="G3068" s="17">
        <v>8</v>
      </c>
      <c r="H3068" s="17">
        <v>78179</v>
      </c>
      <c r="I3068" s="17">
        <v>625432</v>
      </c>
      <c r="J3068" s="17">
        <v>2993</v>
      </c>
      <c r="K3068" s="17">
        <v>622439</v>
      </c>
      <c r="L3068" s="17">
        <v>90709.492110000007</v>
      </c>
      <c r="M3068" s="17">
        <v>2025</v>
      </c>
      <c r="N3068" s="17" t="s">
        <v>175</v>
      </c>
    </row>
    <row r="3069" spans="1:14" ht="14.25" customHeight="1">
      <c r="A3069" s="17">
        <v>13068</v>
      </c>
      <c r="B3069" s="18">
        <v>45842</v>
      </c>
      <c r="C3069" s="17" t="s">
        <v>58</v>
      </c>
      <c r="D3069" s="17" t="s">
        <v>111</v>
      </c>
      <c r="E3069" s="17" t="s">
        <v>162</v>
      </c>
      <c r="F3069" s="17" t="s">
        <v>166</v>
      </c>
      <c r="G3069" s="17">
        <v>3</v>
      </c>
      <c r="H3069" s="17">
        <v>75156</v>
      </c>
      <c r="I3069" s="17">
        <v>225468</v>
      </c>
      <c r="J3069" s="17">
        <v>2241</v>
      </c>
      <c r="K3069" s="17">
        <v>223227</v>
      </c>
      <c r="L3069" s="17">
        <v>38673.282749999998</v>
      </c>
      <c r="M3069" s="17">
        <v>2025</v>
      </c>
      <c r="N3069" s="17" t="s">
        <v>123</v>
      </c>
    </row>
    <row r="3070" spans="1:14" ht="14.25" customHeight="1">
      <c r="A3070" s="17">
        <v>13069</v>
      </c>
      <c r="B3070" s="18">
        <v>45684</v>
      </c>
      <c r="C3070" s="17" t="s">
        <v>39</v>
      </c>
      <c r="D3070" s="17" t="s">
        <v>170</v>
      </c>
      <c r="E3070" s="17" t="s">
        <v>165</v>
      </c>
      <c r="F3070" s="17" t="s">
        <v>166</v>
      </c>
      <c r="G3070" s="17">
        <v>7</v>
      </c>
      <c r="H3070" s="17">
        <v>13867</v>
      </c>
      <c r="I3070" s="17">
        <v>97069</v>
      </c>
      <c r="J3070" s="17">
        <v>537</v>
      </c>
      <c r="K3070" s="17">
        <v>96532</v>
      </c>
      <c r="L3070" s="17">
        <v>19135.137900000002</v>
      </c>
      <c r="M3070" s="17">
        <v>2025</v>
      </c>
      <c r="N3070" s="17" t="s">
        <v>171</v>
      </c>
    </row>
    <row r="3071" spans="1:14" ht="14.25" customHeight="1">
      <c r="A3071" s="17">
        <v>13070</v>
      </c>
      <c r="B3071" s="18">
        <v>45498</v>
      </c>
      <c r="C3071" s="17" t="s">
        <v>39</v>
      </c>
      <c r="D3071" s="17" t="s">
        <v>83</v>
      </c>
      <c r="E3071" s="17" t="s">
        <v>168</v>
      </c>
      <c r="F3071" s="17" t="s">
        <v>172</v>
      </c>
      <c r="G3071" s="17">
        <v>8</v>
      </c>
      <c r="H3071" s="17">
        <v>30577</v>
      </c>
      <c r="I3071" s="17">
        <v>244616</v>
      </c>
      <c r="J3071" s="17">
        <v>4011</v>
      </c>
      <c r="K3071" s="17">
        <v>240605</v>
      </c>
      <c r="L3071" s="17">
        <v>43680.157379999997</v>
      </c>
      <c r="M3071" s="17">
        <v>2024</v>
      </c>
      <c r="N3071" s="17" t="s">
        <v>123</v>
      </c>
    </row>
    <row r="3072" spans="1:14" ht="14.25" customHeight="1">
      <c r="A3072" s="17">
        <v>13071</v>
      </c>
      <c r="B3072" s="18">
        <v>45501</v>
      </c>
      <c r="C3072" s="17" t="s">
        <v>58</v>
      </c>
      <c r="D3072" s="17" t="s">
        <v>83</v>
      </c>
      <c r="E3072" s="17" t="s">
        <v>162</v>
      </c>
      <c r="F3072" s="17" t="s">
        <v>163</v>
      </c>
      <c r="G3072" s="17">
        <v>8</v>
      </c>
      <c r="H3072" s="17">
        <v>33647</v>
      </c>
      <c r="I3072" s="17">
        <v>269176</v>
      </c>
      <c r="J3072" s="17">
        <v>3868</v>
      </c>
      <c r="K3072" s="17">
        <v>265308</v>
      </c>
      <c r="L3072" s="17">
        <v>52885.178480000002</v>
      </c>
      <c r="M3072" s="17">
        <v>2024</v>
      </c>
      <c r="N3072" s="17" t="s">
        <v>123</v>
      </c>
    </row>
    <row r="3073" spans="1:14" ht="14.25" customHeight="1">
      <c r="A3073" s="17">
        <v>13072</v>
      </c>
      <c r="B3073" s="18">
        <v>45406</v>
      </c>
      <c r="C3073" s="17" t="s">
        <v>167</v>
      </c>
      <c r="D3073" s="17" t="s">
        <v>83</v>
      </c>
      <c r="E3073" s="17" t="s">
        <v>168</v>
      </c>
      <c r="F3073" s="17" t="s">
        <v>164</v>
      </c>
      <c r="G3073" s="17">
        <v>4</v>
      </c>
      <c r="H3073" s="17">
        <v>53894</v>
      </c>
      <c r="I3073" s="17">
        <v>215576</v>
      </c>
      <c r="J3073" s="17">
        <v>4576</v>
      </c>
      <c r="K3073" s="17">
        <v>211000</v>
      </c>
      <c r="L3073" s="17">
        <v>31310.147700000001</v>
      </c>
      <c r="M3073" s="17">
        <v>2024</v>
      </c>
      <c r="N3073" s="17" t="s">
        <v>114</v>
      </c>
    </row>
    <row r="3074" spans="1:14" ht="14.25" customHeight="1">
      <c r="A3074" s="17">
        <v>13073</v>
      </c>
      <c r="B3074" s="18">
        <v>45937</v>
      </c>
      <c r="C3074" s="17" t="s">
        <v>167</v>
      </c>
      <c r="D3074" s="17" t="s">
        <v>86</v>
      </c>
      <c r="E3074" s="17" t="s">
        <v>168</v>
      </c>
      <c r="F3074" s="17" t="s">
        <v>166</v>
      </c>
      <c r="G3074" s="17">
        <v>9</v>
      </c>
      <c r="H3074" s="17">
        <v>75635</v>
      </c>
      <c r="I3074" s="17">
        <v>680715</v>
      </c>
      <c r="J3074" s="17">
        <v>4525</v>
      </c>
      <c r="K3074" s="17">
        <v>676190</v>
      </c>
      <c r="L3074" s="17">
        <v>165340.2801</v>
      </c>
      <c r="M3074" s="17">
        <v>2025</v>
      </c>
      <c r="N3074" s="17" t="s">
        <v>174</v>
      </c>
    </row>
    <row r="3075" spans="1:14" ht="14.25" customHeight="1">
      <c r="A3075" s="17">
        <v>13074</v>
      </c>
      <c r="B3075" s="18">
        <v>45542</v>
      </c>
      <c r="C3075" s="17" t="s">
        <v>58</v>
      </c>
      <c r="D3075" s="17" t="s">
        <v>83</v>
      </c>
      <c r="E3075" s="17" t="s">
        <v>162</v>
      </c>
      <c r="F3075" s="17" t="s">
        <v>172</v>
      </c>
      <c r="G3075" s="17">
        <v>4</v>
      </c>
      <c r="H3075" s="17">
        <v>18887</v>
      </c>
      <c r="I3075" s="17">
        <v>75548</v>
      </c>
      <c r="J3075" s="17">
        <v>3583</v>
      </c>
      <c r="K3075" s="17">
        <v>71965</v>
      </c>
      <c r="L3075" s="17">
        <v>12151.1793</v>
      </c>
      <c r="M3075" s="17">
        <v>2024</v>
      </c>
      <c r="N3075" s="17" t="s">
        <v>129</v>
      </c>
    </row>
    <row r="3076" spans="1:14" ht="14.25" customHeight="1">
      <c r="A3076" s="17">
        <v>13075</v>
      </c>
      <c r="B3076" s="18">
        <v>45510</v>
      </c>
      <c r="C3076" s="17" t="s">
        <v>50</v>
      </c>
      <c r="D3076" s="17" t="s">
        <v>111</v>
      </c>
      <c r="E3076" s="17" t="s">
        <v>168</v>
      </c>
      <c r="F3076" s="17" t="s">
        <v>164</v>
      </c>
      <c r="G3076" s="17">
        <v>8</v>
      </c>
      <c r="H3076" s="17">
        <v>48314</v>
      </c>
      <c r="I3076" s="17">
        <v>386512</v>
      </c>
      <c r="J3076" s="17">
        <v>1350</v>
      </c>
      <c r="K3076" s="17">
        <v>385162</v>
      </c>
      <c r="L3076" s="17">
        <v>57115.688950000003</v>
      </c>
      <c r="M3076" s="17">
        <v>2024</v>
      </c>
      <c r="N3076" s="17" t="s">
        <v>126</v>
      </c>
    </row>
    <row r="3077" spans="1:14" ht="14.25" customHeight="1">
      <c r="A3077" s="17">
        <v>13076</v>
      </c>
      <c r="B3077" s="18">
        <v>45698</v>
      </c>
      <c r="C3077" s="17" t="s">
        <v>39</v>
      </c>
      <c r="D3077" s="17" t="s">
        <v>111</v>
      </c>
      <c r="E3077" s="17" t="s">
        <v>165</v>
      </c>
      <c r="F3077" s="17" t="s">
        <v>172</v>
      </c>
      <c r="G3077" s="17">
        <v>6</v>
      </c>
      <c r="H3077" s="17">
        <v>53203</v>
      </c>
      <c r="I3077" s="17">
        <v>319218</v>
      </c>
      <c r="J3077" s="17">
        <v>944</v>
      </c>
      <c r="K3077" s="17">
        <v>318274</v>
      </c>
      <c r="L3077" s="17">
        <v>45977.57374</v>
      </c>
      <c r="M3077" s="17">
        <v>2025</v>
      </c>
      <c r="N3077" s="17" t="s">
        <v>175</v>
      </c>
    </row>
    <row r="3078" spans="1:14" ht="14.25" customHeight="1">
      <c r="A3078" s="17">
        <v>13077</v>
      </c>
      <c r="B3078" s="18">
        <v>45734</v>
      </c>
      <c r="C3078" s="17" t="s">
        <v>39</v>
      </c>
      <c r="D3078" s="17" t="s">
        <v>170</v>
      </c>
      <c r="E3078" s="17" t="s">
        <v>165</v>
      </c>
      <c r="F3078" s="17" t="s">
        <v>164</v>
      </c>
      <c r="G3078" s="17">
        <v>5</v>
      </c>
      <c r="H3078" s="17">
        <v>5059</v>
      </c>
      <c r="I3078" s="17">
        <v>25295</v>
      </c>
      <c r="J3078" s="17">
        <v>3856</v>
      </c>
      <c r="K3078" s="17">
        <v>21439</v>
      </c>
      <c r="L3078" s="17">
        <v>2281.2006179999998</v>
      </c>
      <c r="M3078" s="17">
        <v>2025</v>
      </c>
      <c r="N3078" s="17" t="s">
        <v>112</v>
      </c>
    </row>
    <row r="3079" spans="1:14" ht="14.25" customHeight="1">
      <c r="A3079" s="17">
        <v>13078</v>
      </c>
      <c r="B3079" s="18">
        <v>45894</v>
      </c>
      <c r="C3079" s="17" t="s">
        <v>58</v>
      </c>
      <c r="D3079" s="17" t="s">
        <v>86</v>
      </c>
      <c r="E3079" s="17" t="s">
        <v>168</v>
      </c>
      <c r="F3079" s="17" t="s">
        <v>172</v>
      </c>
      <c r="G3079" s="17">
        <v>4</v>
      </c>
      <c r="H3079" s="17">
        <v>17673</v>
      </c>
      <c r="I3079" s="17">
        <v>70692</v>
      </c>
      <c r="J3079" s="17">
        <v>1823</v>
      </c>
      <c r="K3079" s="17">
        <v>68869</v>
      </c>
      <c r="L3079" s="17">
        <v>13961.184310000001</v>
      </c>
      <c r="M3079" s="17">
        <v>2025</v>
      </c>
      <c r="N3079" s="17" t="s">
        <v>126</v>
      </c>
    </row>
    <row r="3080" spans="1:14" ht="14.25" customHeight="1">
      <c r="A3080" s="17">
        <v>13079</v>
      </c>
      <c r="B3080" s="18">
        <v>45645</v>
      </c>
      <c r="C3080" s="17" t="s">
        <v>58</v>
      </c>
      <c r="D3080" s="17" t="s">
        <v>111</v>
      </c>
      <c r="E3080" s="17" t="s">
        <v>165</v>
      </c>
      <c r="F3080" s="17" t="s">
        <v>164</v>
      </c>
      <c r="G3080" s="17">
        <v>5</v>
      </c>
      <c r="H3080" s="17">
        <v>60351</v>
      </c>
      <c r="I3080" s="17">
        <v>301755</v>
      </c>
      <c r="J3080" s="17">
        <v>2625</v>
      </c>
      <c r="K3080" s="17">
        <v>299130</v>
      </c>
      <c r="L3080" s="17">
        <v>41691.929230000002</v>
      </c>
      <c r="M3080" s="17">
        <v>2024</v>
      </c>
      <c r="N3080" s="17" t="s">
        <v>169</v>
      </c>
    </row>
    <row r="3081" spans="1:14" ht="14.25" customHeight="1">
      <c r="A3081" s="17">
        <v>13080</v>
      </c>
      <c r="B3081" s="18">
        <v>45849</v>
      </c>
      <c r="C3081" s="17" t="s">
        <v>50</v>
      </c>
      <c r="D3081" s="17" t="s">
        <v>89</v>
      </c>
      <c r="E3081" s="17" t="s">
        <v>168</v>
      </c>
      <c r="F3081" s="17" t="s">
        <v>163</v>
      </c>
      <c r="G3081" s="17">
        <v>1</v>
      </c>
      <c r="H3081" s="17">
        <v>76067</v>
      </c>
      <c r="I3081" s="17">
        <v>76067</v>
      </c>
      <c r="J3081" s="17">
        <v>3898</v>
      </c>
      <c r="K3081" s="17">
        <v>72169</v>
      </c>
      <c r="L3081" s="17">
        <v>17597.65511</v>
      </c>
      <c r="M3081" s="17">
        <v>2025</v>
      </c>
      <c r="N3081" s="17" t="s">
        <v>123</v>
      </c>
    </row>
    <row r="3082" spans="1:14" ht="14.25" customHeight="1">
      <c r="A3082" s="17">
        <v>13081</v>
      </c>
      <c r="B3082" s="18">
        <v>45841</v>
      </c>
      <c r="C3082" s="17" t="s">
        <v>167</v>
      </c>
      <c r="D3082" s="17" t="s">
        <v>89</v>
      </c>
      <c r="E3082" s="17" t="s">
        <v>165</v>
      </c>
      <c r="F3082" s="17" t="s">
        <v>164</v>
      </c>
      <c r="G3082" s="17">
        <v>7</v>
      </c>
      <c r="H3082" s="17">
        <v>73300</v>
      </c>
      <c r="I3082" s="17">
        <v>513100</v>
      </c>
      <c r="J3082" s="17">
        <v>3487</v>
      </c>
      <c r="K3082" s="17">
        <v>509613</v>
      </c>
      <c r="L3082" s="17">
        <v>67048.106700000004</v>
      </c>
      <c r="M3082" s="17">
        <v>2025</v>
      </c>
      <c r="N3082" s="17" t="s">
        <v>123</v>
      </c>
    </row>
    <row r="3083" spans="1:14" ht="14.25" customHeight="1">
      <c r="A3083" s="17">
        <v>13082</v>
      </c>
      <c r="B3083" s="18">
        <v>45433</v>
      </c>
      <c r="C3083" s="17" t="s">
        <v>45</v>
      </c>
      <c r="D3083" s="17" t="s">
        <v>89</v>
      </c>
      <c r="E3083" s="17" t="s">
        <v>168</v>
      </c>
      <c r="F3083" s="17" t="s">
        <v>164</v>
      </c>
      <c r="G3083" s="17">
        <v>8</v>
      </c>
      <c r="H3083" s="17">
        <v>6794</v>
      </c>
      <c r="I3083" s="17">
        <v>54352</v>
      </c>
      <c r="J3083" s="17">
        <v>4206</v>
      </c>
      <c r="K3083" s="17">
        <v>50146</v>
      </c>
      <c r="L3083" s="17">
        <v>8997.3798100000004</v>
      </c>
      <c r="M3083" s="17">
        <v>2024</v>
      </c>
      <c r="N3083" s="17" t="s">
        <v>117</v>
      </c>
    </row>
    <row r="3084" spans="1:14" ht="14.25" customHeight="1">
      <c r="A3084" s="17">
        <v>13083</v>
      </c>
      <c r="B3084" s="18">
        <v>45903</v>
      </c>
      <c r="C3084" s="17" t="s">
        <v>167</v>
      </c>
      <c r="D3084" s="17" t="s">
        <v>83</v>
      </c>
      <c r="E3084" s="17" t="s">
        <v>165</v>
      </c>
      <c r="F3084" s="17" t="s">
        <v>164</v>
      </c>
      <c r="G3084" s="17">
        <v>9</v>
      </c>
      <c r="H3084" s="17">
        <v>15721</v>
      </c>
      <c r="I3084" s="17">
        <v>141489</v>
      </c>
      <c r="J3084" s="17">
        <v>4307</v>
      </c>
      <c r="K3084" s="17">
        <v>137182</v>
      </c>
      <c r="L3084" s="17">
        <v>28852.201229999999</v>
      </c>
      <c r="M3084" s="17">
        <v>2025</v>
      </c>
      <c r="N3084" s="17" t="s">
        <v>129</v>
      </c>
    </row>
    <row r="3085" spans="1:14" ht="14.25" customHeight="1">
      <c r="A3085" s="17">
        <v>13084</v>
      </c>
      <c r="B3085" s="18">
        <v>45792</v>
      </c>
      <c r="C3085" s="17" t="s">
        <v>39</v>
      </c>
      <c r="D3085" s="17" t="s">
        <v>83</v>
      </c>
      <c r="E3085" s="17" t="s">
        <v>162</v>
      </c>
      <c r="F3085" s="17" t="s">
        <v>172</v>
      </c>
      <c r="G3085" s="17">
        <v>3</v>
      </c>
      <c r="H3085" s="17">
        <v>64286</v>
      </c>
      <c r="I3085" s="17">
        <v>192858</v>
      </c>
      <c r="J3085" s="17">
        <v>850</v>
      </c>
      <c r="K3085" s="17">
        <v>192008</v>
      </c>
      <c r="L3085" s="17">
        <v>44261.164629999999</v>
      </c>
      <c r="M3085" s="17">
        <v>2025</v>
      </c>
      <c r="N3085" s="17" t="s">
        <v>117</v>
      </c>
    </row>
    <row r="3086" spans="1:14" ht="14.25" customHeight="1">
      <c r="A3086" s="17">
        <v>13085</v>
      </c>
      <c r="B3086" s="18">
        <v>45993</v>
      </c>
      <c r="C3086" s="17" t="s">
        <v>58</v>
      </c>
      <c r="D3086" s="17" t="s">
        <v>89</v>
      </c>
      <c r="E3086" s="17" t="s">
        <v>162</v>
      </c>
      <c r="F3086" s="17" t="s">
        <v>166</v>
      </c>
      <c r="G3086" s="17">
        <v>9</v>
      </c>
      <c r="H3086" s="17">
        <v>10686</v>
      </c>
      <c r="I3086" s="17">
        <v>96174</v>
      </c>
      <c r="J3086" s="17">
        <v>2925</v>
      </c>
      <c r="K3086" s="17">
        <v>93249</v>
      </c>
      <c r="L3086" s="17">
        <v>11513.37327</v>
      </c>
      <c r="M3086" s="17">
        <v>2025</v>
      </c>
      <c r="N3086" s="17" t="s">
        <v>169</v>
      </c>
    </row>
    <row r="3087" spans="1:14" ht="14.25" customHeight="1">
      <c r="A3087" s="17">
        <v>13086</v>
      </c>
      <c r="B3087" s="18">
        <v>45838</v>
      </c>
      <c r="C3087" s="17" t="s">
        <v>50</v>
      </c>
      <c r="D3087" s="17" t="s">
        <v>170</v>
      </c>
      <c r="E3087" s="17" t="s">
        <v>165</v>
      </c>
      <c r="F3087" s="17" t="s">
        <v>164</v>
      </c>
      <c r="G3087" s="17">
        <v>5</v>
      </c>
      <c r="H3087" s="17">
        <v>52443</v>
      </c>
      <c r="I3087" s="17">
        <v>262215</v>
      </c>
      <c r="J3087" s="17">
        <v>995</v>
      </c>
      <c r="K3087" s="17">
        <v>261220</v>
      </c>
      <c r="L3087" s="17">
        <v>64732.988559999998</v>
      </c>
      <c r="M3087" s="17">
        <v>2025</v>
      </c>
      <c r="N3087" s="17" t="s">
        <v>120</v>
      </c>
    </row>
    <row r="3088" spans="1:14" ht="14.25" customHeight="1">
      <c r="A3088" s="17">
        <v>13087</v>
      </c>
      <c r="B3088" s="18">
        <v>45950</v>
      </c>
      <c r="C3088" s="17" t="s">
        <v>167</v>
      </c>
      <c r="D3088" s="17" t="s">
        <v>170</v>
      </c>
      <c r="E3088" s="17" t="s">
        <v>168</v>
      </c>
      <c r="F3088" s="17" t="s">
        <v>164</v>
      </c>
      <c r="G3088" s="17">
        <v>6</v>
      </c>
      <c r="H3088" s="17">
        <v>69263</v>
      </c>
      <c r="I3088" s="17">
        <v>415578</v>
      </c>
      <c r="J3088" s="17">
        <v>4761</v>
      </c>
      <c r="K3088" s="17">
        <v>410817</v>
      </c>
      <c r="L3088" s="17">
        <v>96957.884690000006</v>
      </c>
      <c r="M3088" s="17">
        <v>2025</v>
      </c>
      <c r="N3088" s="17" t="s">
        <v>174</v>
      </c>
    </row>
    <row r="3089" spans="1:14" ht="14.25" customHeight="1">
      <c r="A3089" s="17">
        <v>13088</v>
      </c>
      <c r="B3089" s="18">
        <v>45833</v>
      </c>
      <c r="C3089" s="17" t="s">
        <v>50</v>
      </c>
      <c r="D3089" s="17" t="s">
        <v>83</v>
      </c>
      <c r="E3089" s="17" t="s">
        <v>165</v>
      </c>
      <c r="F3089" s="17" t="s">
        <v>163</v>
      </c>
      <c r="G3089" s="17">
        <v>1</v>
      </c>
      <c r="H3089" s="17">
        <v>67722</v>
      </c>
      <c r="I3089" s="17">
        <v>67722</v>
      </c>
      <c r="J3089" s="17">
        <v>349</v>
      </c>
      <c r="K3089" s="17">
        <v>67373</v>
      </c>
      <c r="L3089" s="17">
        <v>16467.811600000001</v>
      </c>
      <c r="M3089" s="17">
        <v>2025</v>
      </c>
      <c r="N3089" s="17" t="s">
        <v>120</v>
      </c>
    </row>
    <row r="3090" spans="1:14" ht="14.25" customHeight="1">
      <c r="A3090" s="17">
        <v>13089</v>
      </c>
      <c r="B3090" s="18">
        <v>45798</v>
      </c>
      <c r="C3090" s="17" t="s">
        <v>167</v>
      </c>
      <c r="D3090" s="17" t="s">
        <v>89</v>
      </c>
      <c r="E3090" s="17" t="s">
        <v>168</v>
      </c>
      <c r="F3090" s="17" t="s">
        <v>164</v>
      </c>
      <c r="G3090" s="17">
        <v>9</v>
      </c>
      <c r="H3090" s="17">
        <v>57573</v>
      </c>
      <c r="I3090" s="17">
        <v>518157</v>
      </c>
      <c r="J3090" s="17">
        <v>1537</v>
      </c>
      <c r="K3090" s="17">
        <v>516620</v>
      </c>
      <c r="L3090" s="17">
        <v>117738.01519999999</v>
      </c>
      <c r="M3090" s="17">
        <v>2025</v>
      </c>
      <c r="N3090" s="17" t="s">
        <v>117</v>
      </c>
    </row>
    <row r="3091" spans="1:14" ht="14.25" customHeight="1">
      <c r="A3091" s="17">
        <v>13090</v>
      </c>
      <c r="B3091" s="18">
        <v>45887</v>
      </c>
      <c r="C3091" s="17" t="s">
        <v>39</v>
      </c>
      <c r="D3091" s="17" t="s">
        <v>170</v>
      </c>
      <c r="E3091" s="17" t="s">
        <v>165</v>
      </c>
      <c r="F3091" s="17" t="s">
        <v>163</v>
      </c>
      <c r="G3091" s="17">
        <v>9</v>
      </c>
      <c r="H3091" s="17">
        <v>17888</v>
      </c>
      <c r="I3091" s="17">
        <v>160992</v>
      </c>
      <c r="J3091" s="17">
        <v>2977</v>
      </c>
      <c r="K3091" s="17">
        <v>158015</v>
      </c>
      <c r="L3091" s="17">
        <v>36604.235460000004</v>
      </c>
      <c r="M3091" s="17">
        <v>2025</v>
      </c>
      <c r="N3091" s="17" t="s">
        <v>126</v>
      </c>
    </row>
    <row r="3092" spans="1:14" ht="14.25" customHeight="1">
      <c r="A3092" s="17">
        <v>13091</v>
      </c>
      <c r="B3092" s="18">
        <v>45572</v>
      </c>
      <c r="C3092" s="17" t="s">
        <v>45</v>
      </c>
      <c r="D3092" s="17" t="s">
        <v>83</v>
      </c>
      <c r="E3092" s="17" t="s">
        <v>165</v>
      </c>
      <c r="F3092" s="17" t="s">
        <v>164</v>
      </c>
      <c r="G3092" s="17">
        <v>6</v>
      </c>
      <c r="H3092" s="17">
        <v>44348</v>
      </c>
      <c r="I3092" s="17">
        <v>266088</v>
      </c>
      <c r="J3092" s="17">
        <v>2728</v>
      </c>
      <c r="K3092" s="17">
        <v>263360</v>
      </c>
      <c r="L3092" s="17">
        <v>49992.137490000001</v>
      </c>
      <c r="M3092" s="17">
        <v>2024</v>
      </c>
      <c r="N3092" s="17" t="s">
        <v>174</v>
      </c>
    </row>
    <row r="3093" spans="1:14" ht="14.25" customHeight="1">
      <c r="A3093" s="17">
        <v>13092</v>
      </c>
      <c r="B3093" s="18">
        <v>45715</v>
      </c>
      <c r="C3093" s="17" t="s">
        <v>50</v>
      </c>
      <c r="D3093" s="17" t="s">
        <v>89</v>
      </c>
      <c r="E3093" s="17" t="s">
        <v>162</v>
      </c>
      <c r="F3093" s="17" t="s">
        <v>172</v>
      </c>
      <c r="G3093" s="17">
        <v>8</v>
      </c>
      <c r="H3093" s="17">
        <v>18533</v>
      </c>
      <c r="I3093" s="17">
        <v>148264</v>
      </c>
      <c r="J3093" s="17">
        <v>4346</v>
      </c>
      <c r="K3093" s="17">
        <v>143918</v>
      </c>
      <c r="L3093" s="17">
        <v>32640.100050000001</v>
      </c>
      <c r="M3093" s="17">
        <v>2025</v>
      </c>
      <c r="N3093" s="17" t="s">
        <v>175</v>
      </c>
    </row>
    <row r="3094" spans="1:14" ht="14.25" customHeight="1">
      <c r="A3094" s="17">
        <v>13093</v>
      </c>
      <c r="B3094" s="18">
        <v>45561</v>
      </c>
      <c r="C3094" s="17" t="s">
        <v>50</v>
      </c>
      <c r="D3094" s="17" t="s">
        <v>86</v>
      </c>
      <c r="E3094" s="17" t="s">
        <v>168</v>
      </c>
      <c r="F3094" s="17" t="s">
        <v>166</v>
      </c>
      <c r="G3094" s="17">
        <v>4</v>
      </c>
      <c r="H3094" s="17">
        <v>26916</v>
      </c>
      <c r="I3094" s="17">
        <v>107664</v>
      </c>
      <c r="J3094" s="17">
        <v>2366</v>
      </c>
      <c r="K3094" s="17">
        <v>105298</v>
      </c>
      <c r="L3094" s="17">
        <v>18964.38078</v>
      </c>
      <c r="M3094" s="17">
        <v>2024</v>
      </c>
      <c r="N3094" s="17" t="s">
        <v>129</v>
      </c>
    </row>
    <row r="3095" spans="1:14" ht="14.25" customHeight="1">
      <c r="A3095" s="17">
        <v>13094</v>
      </c>
      <c r="B3095" s="18">
        <v>45445</v>
      </c>
      <c r="C3095" s="17" t="s">
        <v>45</v>
      </c>
      <c r="D3095" s="17" t="s">
        <v>89</v>
      </c>
      <c r="E3095" s="17" t="s">
        <v>168</v>
      </c>
      <c r="F3095" s="17" t="s">
        <v>166</v>
      </c>
      <c r="G3095" s="17">
        <v>5</v>
      </c>
      <c r="H3095" s="17">
        <v>66422</v>
      </c>
      <c r="I3095" s="17">
        <v>332110</v>
      </c>
      <c r="J3095" s="17">
        <v>2236</v>
      </c>
      <c r="K3095" s="17">
        <v>329874</v>
      </c>
      <c r="L3095" s="17">
        <v>59618.977639999997</v>
      </c>
      <c r="M3095" s="17">
        <v>2024</v>
      </c>
      <c r="N3095" s="17" t="s">
        <v>120</v>
      </c>
    </row>
    <row r="3096" spans="1:14" ht="14.25" customHeight="1">
      <c r="A3096" s="17">
        <v>13095</v>
      </c>
      <c r="B3096" s="18">
        <v>45905</v>
      </c>
      <c r="C3096" s="17" t="s">
        <v>50</v>
      </c>
      <c r="D3096" s="17" t="s">
        <v>89</v>
      </c>
      <c r="E3096" s="17" t="s">
        <v>168</v>
      </c>
      <c r="F3096" s="17" t="s">
        <v>166</v>
      </c>
      <c r="G3096" s="17">
        <v>5</v>
      </c>
      <c r="H3096" s="17">
        <v>55525</v>
      </c>
      <c r="I3096" s="17">
        <v>277625</v>
      </c>
      <c r="J3096" s="17">
        <v>3875</v>
      </c>
      <c r="K3096" s="17">
        <v>273750</v>
      </c>
      <c r="L3096" s="17">
        <v>50475.945019999999</v>
      </c>
      <c r="M3096" s="17">
        <v>2025</v>
      </c>
      <c r="N3096" s="17" t="s">
        <v>129</v>
      </c>
    </row>
    <row r="3097" spans="1:14" ht="14.25" customHeight="1">
      <c r="A3097" s="17">
        <v>13096</v>
      </c>
      <c r="B3097" s="18">
        <v>46018</v>
      </c>
      <c r="C3097" s="17" t="s">
        <v>50</v>
      </c>
      <c r="D3097" s="17" t="s">
        <v>111</v>
      </c>
      <c r="E3097" s="17" t="s">
        <v>168</v>
      </c>
      <c r="F3097" s="17" t="s">
        <v>172</v>
      </c>
      <c r="G3097" s="17">
        <v>7</v>
      </c>
      <c r="H3097" s="17">
        <v>8553</v>
      </c>
      <c r="I3097" s="17">
        <v>59871</v>
      </c>
      <c r="J3097" s="17">
        <v>3094</v>
      </c>
      <c r="K3097" s="17">
        <v>56777</v>
      </c>
      <c r="L3097" s="17">
        <v>14162.89142</v>
      </c>
      <c r="M3097" s="17">
        <v>2025</v>
      </c>
      <c r="N3097" s="17" t="s">
        <v>169</v>
      </c>
    </row>
    <row r="3098" spans="1:14" ht="14.25" customHeight="1">
      <c r="A3098" s="17">
        <v>13097</v>
      </c>
      <c r="B3098" s="18">
        <v>45953</v>
      </c>
      <c r="C3098" s="17" t="s">
        <v>167</v>
      </c>
      <c r="D3098" s="17" t="s">
        <v>111</v>
      </c>
      <c r="E3098" s="17" t="s">
        <v>168</v>
      </c>
      <c r="F3098" s="17" t="s">
        <v>163</v>
      </c>
      <c r="G3098" s="17">
        <v>7</v>
      </c>
      <c r="H3098" s="17">
        <v>13144</v>
      </c>
      <c r="I3098" s="17">
        <v>92008</v>
      </c>
      <c r="J3098" s="17">
        <v>3601</v>
      </c>
      <c r="K3098" s="17">
        <v>88407</v>
      </c>
      <c r="L3098" s="17">
        <v>10225.08519</v>
      </c>
      <c r="M3098" s="17">
        <v>2025</v>
      </c>
      <c r="N3098" s="17" t="s">
        <v>174</v>
      </c>
    </row>
    <row r="3099" spans="1:14" ht="14.25" customHeight="1">
      <c r="A3099" s="17">
        <v>13098</v>
      </c>
      <c r="B3099" s="18">
        <v>45374</v>
      </c>
      <c r="C3099" s="17" t="s">
        <v>167</v>
      </c>
      <c r="D3099" s="17" t="s">
        <v>86</v>
      </c>
      <c r="E3099" s="17" t="s">
        <v>162</v>
      </c>
      <c r="F3099" s="17" t="s">
        <v>166</v>
      </c>
      <c r="G3099" s="17">
        <v>7</v>
      </c>
      <c r="H3099" s="17">
        <v>64931</v>
      </c>
      <c r="I3099" s="17">
        <v>454517</v>
      </c>
      <c r="J3099" s="17">
        <v>4174</v>
      </c>
      <c r="K3099" s="17">
        <v>450343</v>
      </c>
      <c r="L3099" s="17">
        <v>99454.422179999994</v>
      </c>
      <c r="M3099" s="17">
        <v>2024</v>
      </c>
      <c r="N3099" s="17" t="s">
        <v>112</v>
      </c>
    </row>
    <row r="3100" spans="1:14" ht="14.25" customHeight="1">
      <c r="A3100" s="17">
        <v>13099</v>
      </c>
      <c r="B3100" s="18">
        <v>45913</v>
      </c>
      <c r="C3100" s="17" t="s">
        <v>45</v>
      </c>
      <c r="D3100" s="17" t="s">
        <v>86</v>
      </c>
      <c r="E3100" s="17" t="s">
        <v>165</v>
      </c>
      <c r="F3100" s="17" t="s">
        <v>172</v>
      </c>
      <c r="G3100" s="17">
        <v>5</v>
      </c>
      <c r="H3100" s="17">
        <v>68712</v>
      </c>
      <c r="I3100" s="17">
        <v>343560</v>
      </c>
      <c r="J3100" s="17">
        <v>4641</v>
      </c>
      <c r="K3100" s="17">
        <v>338919</v>
      </c>
      <c r="L3100" s="17">
        <v>47786.521050000003</v>
      </c>
      <c r="M3100" s="17">
        <v>2025</v>
      </c>
      <c r="N3100" s="17" t="s">
        <v>129</v>
      </c>
    </row>
    <row r="3101" spans="1:14" ht="14.25" customHeight="1">
      <c r="A3101" s="17">
        <v>13100</v>
      </c>
      <c r="B3101" s="18">
        <v>45717</v>
      </c>
      <c r="C3101" s="17" t="s">
        <v>39</v>
      </c>
      <c r="D3101" s="17" t="s">
        <v>89</v>
      </c>
      <c r="E3101" s="17" t="s">
        <v>168</v>
      </c>
      <c r="F3101" s="17" t="s">
        <v>172</v>
      </c>
      <c r="G3101" s="17">
        <v>4</v>
      </c>
      <c r="H3101" s="17">
        <v>10437</v>
      </c>
      <c r="I3101" s="17">
        <v>41748</v>
      </c>
      <c r="J3101" s="17">
        <v>923</v>
      </c>
      <c r="K3101" s="17">
        <v>40825</v>
      </c>
      <c r="L3101" s="17">
        <v>6294.5643470000005</v>
      </c>
      <c r="M3101" s="17">
        <v>2025</v>
      </c>
      <c r="N3101" s="17" t="s">
        <v>112</v>
      </c>
    </row>
    <row r="3102" spans="1:14" ht="14.25" customHeight="1">
      <c r="A3102" s="17">
        <v>13101</v>
      </c>
      <c r="B3102" s="18">
        <v>45566</v>
      </c>
      <c r="C3102" s="17" t="s">
        <v>50</v>
      </c>
      <c r="D3102" s="17" t="s">
        <v>170</v>
      </c>
      <c r="E3102" s="17" t="s">
        <v>168</v>
      </c>
      <c r="F3102" s="17" t="s">
        <v>164</v>
      </c>
      <c r="G3102" s="17">
        <v>8</v>
      </c>
      <c r="H3102" s="17">
        <v>37518</v>
      </c>
      <c r="I3102" s="17">
        <v>300144</v>
      </c>
      <c r="J3102" s="17">
        <v>618</v>
      </c>
      <c r="K3102" s="17">
        <v>299526</v>
      </c>
      <c r="L3102" s="17">
        <v>33570.87066</v>
      </c>
      <c r="M3102" s="17">
        <v>2024</v>
      </c>
      <c r="N3102" s="17" t="s">
        <v>174</v>
      </c>
    </row>
    <row r="3103" spans="1:14" ht="14.25" customHeight="1">
      <c r="A3103" s="17">
        <v>13102</v>
      </c>
      <c r="B3103" s="18">
        <v>46004</v>
      </c>
      <c r="C3103" s="17" t="s">
        <v>39</v>
      </c>
      <c r="D3103" s="17" t="s">
        <v>86</v>
      </c>
      <c r="E3103" s="17" t="s">
        <v>165</v>
      </c>
      <c r="F3103" s="17" t="s">
        <v>163</v>
      </c>
      <c r="G3103" s="17">
        <v>1</v>
      </c>
      <c r="H3103" s="17">
        <v>28830</v>
      </c>
      <c r="I3103" s="17">
        <v>28830</v>
      </c>
      <c r="J3103" s="17">
        <v>4400</v>
      </c>
      <c r="K3103" s="17">
        <v>24430</v>
      </c>
      <c r="L3103" s="17">
        <v>3731.342122</v>
      </c>
      <c r="M3103" s="17">
        <v>2025</v>
      </c>
      <c r="N3103" s="17" t="s">
        <v>169</v>
      </c>
    </row>
    <row r="3104" spans="1:14" ht="14.25" customHeight="1">
      <c r="A3104" s="17">
        <v>13103</v>
      </c>
      <c r="B3104" s="18">
        <v>45575</v>
      </c>
      <c r="C3104" s="17" t="s">
        <v>45</v>
      </c>
      <c r="D3104" s="17" t="s">
        <v>89</v>
      </c>
      <c r="E3104" s="17" t="s">
        <v>162</v>
      </c>
      <c r="F3104" s="17" t="s">
        <v>172</v>
      </c>
      <c r="G3104" s="17">
        <v>1</v>
      </c>
      <c r="H3104" s="17">
        <v>79285</v>
      </c>
      <c r="I3104" s="17">
        <v>79285</v>
      </c>
      <c r="J3104" s="17">
        <v>3262</v>
      </c>
      <c r="K3104" s="17">
        <v>76023</v>
      </c>
      <c r="L3104" s="17">
        <v>18900.41288</v>
      </c>
      <c r="M3104" s="17">
        <v>2024</v>
      </c>
      <c r="N3104" s="17" t="s">
        <v>174</v>
      </c>
    </row>
    <row r="3105" spans="1:14" ht="14.25" customHeight="1">
      <c r="A3105" s="17">
        <v>13104</v>
      </c>
      <c r="B3105" s="18">
        <v>45464</v>
      </c>
      <c r="C3105" s="17" t="s">
        <v>45</v>
      </c>
      <c r="D3105" s="17" t="s">
        <v>83</v>
      </c>
      <c r="E3105" s="17" t="s">
        <v>162</v>
      </c>
      <c r="F3105" s="17" t="s">
        <v>163</v>
      </c>
      <c r="G3105" s="17">
        <v>6</v>
      </c>
      <c r="H3105" s="17">
        <v>51553</v>
      </c>
      <c r="I3105" s="17">
        <v>309318</v>
      </c>
      <c r="J3105" s="17">
        <v>3303</v>
      </c>
      <c r="K3105" s="17">
        <v>306015</v>
      </c>
      <c r="L3105" s="17">
        <v>48827.872519999997</v>
      </c>
      <c r="M3105" s="17">
        <v>2024</v>
      </c>
      <c r="N3105" s="17" t="s">
        <v>120</v>
      </c>
    </row>
    <row r="3106" spans="1:14" ht="14.25" customHeight="1">
      <c r="A3106" s="17">
        <v>13105</v>
      </c>
      <c r="B3106" s="18">
        <v>45618</v>
      </c>
      <c r="C3106" s="17" t="s">
        <v>167</v>
      </c>
      <c r="D3106" s="17" t="s">
        <v>111</v>
      </c>
      <c r="E3106" s="17" t="s">
        <v>162</v>
      </c>
      <c r="F3106" s="17" t="s">
        <v>166</v>
      </c>
      <c r="G3106" s="17">
        <v>2</v>
      </c>
      <c r="H3106" s="17">
        <v>10915</v>
      </c>
      <c r="I3106" s="17">
        <v>21830</v>
      </c>
      <c r="J3106" s="17">
        <v>2601</v>
      </c>
      <c r="K3106" s="17">
        <v>19229</v>
      </c>
      <c r="L3106" s="17">
        <v>3854.5143520000001</v>
      </c>
      <c r="M3106" s="17">
        <v>2024</v>
      </c>
      <c r="N3106" s="17" t="s">
        <v>173</v>
      </c>
    </row>
    <row r="3107" spans="1:14" ht="14.25" customHeight="1">
      <c r="A3107" s="17">
        <v>13106</v>
      </c>
      <c r="B3107" s="18">
        <v>46009</v>
      </c>
      <c r="C3107" s="17" t="s">
        <v>50</v>
      </c>
      <c r="D3107" s="17" t="s">
        <v>170</v>
      </c>
      <c r="E3107" s="17" t="s">
        <v>165</v>
      </c>
      <c r="F3107" s="17" t="s">
        <v>166</v>
      </c>
      <c r="G3107" s="17">
        <v>3</v>
      </c>
      <c r="H3107" s="17">
        <v>33695</v>
      </c>
      <c r="I3107" s="17">
        <v>101085</v>
      </c>
      <c r="J3107" s="17">
        <v>1047</v>
      </c>
      <c r="K3107" s="17">
        <v>100038</v>
      </c>
      <c r="L3107" s="17">
        <v>11815.185890000001</v>
      </c>
      <c r="M3107" s="17">
        <v>2025</v>
      </c>
      <c r="N3107" s="17" t="s">
        <v>169</v>
      </c>
    </row>
    <row r="3108" spans="1:14" ht="14.25" customHeight="1">
      <c r="A3108" s="17">
        <v>13107</v>
      </c>
      <c r="B3108" s="18">
        <v>45354</v>
      </c>
      <c r="C3108" s="17" t="s">
        <v>58</v>
      </c>
      <c r="D3108" s="17" t="s">
        <v>89</v>
      </c>
      <c r="E3108" s="17" t="s">
        <v>165</v>
      </c>
      <c r="F3108" s="17" t="s">
        <v>166</v>
      </c>
      <c r="G3108" s="17">
        <v>4</v>
      </c>
      <c r="H3108" s="17">
        <v>19703</v>
      </c>
      <c r="I3108" s="17">
        <v>78812</v>
      </c>
      <c r="J3108" s="17">
        <v>1698</v>
      </c>
      <c r="K3108" s="17">
        <v>77114</v>
      </c>
      <c r="L3108" s="17">
        <v>18382.017469999999</v>
      </c>
      <c r="M3108" s="17">
        <v>2024</v>
      </c>
      <c r="N3108" s="17" t="s">
        <v>112</v>
      </c>
    </row>
    <row r="3109" spans="1:14" ht="14.25" customHeight="1">
      <c r="A3109" s="17">
        <v>13108</v>
      </c>
      <c r="B3109" s="18">
        <v>45364</v>
      </c>
      <c r="C3109" s="17" t="s">
        <v>45</v>
      </c>
      <c r="D3109" s="17" t="s">
        <v>83</v>
      </c>
      <c r="E3109" s="17" t="s">
        <v>162</v>
      </c>
      <c r="F3109" s="17" t="s">
        <v>164</v>
      </c>
      <c r="G3109" s="17">
        <v>2</v>
      </c>
      <c r="H3109" s="17">
        <v>26478</v>
      </c>
      <c r="I3109" s="17">
        <v>52956</v>
      </c>
      <c r="J3109" s="17">
        <v>2230</v>
      </c>
      <c r="K3109" s="17">
        <v>50726</v>
      </c>
      <c r="L3109" s="17">
        <v>11370.831819999999</v>
      </c>
      <c r="M3109" s="17">
        <v>2024</v>
      </c>
      <c r="N3109" s="17" t="s">
        <v>112</v>
      </c>
    </row>
    <row r="3110" spans="1:14" ht="14.25" customHeight="1">
      <c r="A3110" s="17">
        <v>13109</v>
      </c>
      <c r="B3110" s="18">
        <v>45927</v>
      </c>
      <c r="C3110" s="17" t="s">
        <v>50</v>
      </c>
      <c r="D3110" s="17" t="s">
        <v>111</v>
      </c>
      <c r="E3110" s="17" t="s">
        <v>162</v>
      </c>
      <c r="F3110" s="17" t="s">
        <v>164</v>
      </c>
      <c r="G3110" s="17">
        <v>7</v>
      </c>
      <c r="H3110" s="17">
        <v>72918</v>
      </c>
      <c r="I3110" s="17">
        <v>510426</v>
      </c>
      <c r="J3110" s="17">
        <v>1868</v>
      </c>
      <c r="K3110" s="17">
        <v>508558</v>
      </c>
      <c r="L3110" s="17">
        <v>80323.758809999999</v>
      </c>
      <c r="M3110" s="17">
        <v>2025</v>
      </c>
      <c r="N3110" s="17" t="s">
        <v>129</v>
      </c>
    </row>
    <row r="3111" spans="1:14" ht="14.25" customHeight="1">
      <c r="A3111" s="17">
        <v>13110</v>
      </c>
      <c r="B3111" s="18">
        <v>45666</v>
      </c>
      <c r="C3111" s="17" t="s">
        <v>39</v>
      </c>
      <c r="D3111" s="17" t="s">
        <v>83</v>
      </c>
      <c r="E3111" s="17" t="s">
        <v>165</v>
      </c>
      <c r="F3111" s="17" t="s">
        <v>163</v>
      </c>
      <c r="G3111" s="17">
        <v>1</v>
      </c>
      <c r="H3111" s="17">
        <v>35128</v>
      </c>
      <c r="I3111" s="17">
        <v>35128</v>
      </c>
      <c r="J3111" s="17">
        <v>2654</v>
      </c>
      <c r="K3111" s="17">
        <v>32474</v>
      </c>
      <c r="L3111" s="17">
        <v>4944.7997400000004</v>
      </c>
      <c r="M3111" s="17">
        <v>2025</v>
      </c>
      <c r="N3111" s="17" t="s">
        <v>171</v>
      </c>
    </row>
    <row r="3112" spans="1:14" ht="14.25" customHeight="1">
      <c r="A3112" s="17">
        <v>13111</v>
      </c>
      <c r="B3112" s="18">
        <v>45924</v>
      </c>
      <c r="C3112" s="17" t="s">
        <v>167</v>
      </c>
      <c r="D3112" s="17" t="s">
        <v>89</v>
      </c>
      <c r="E3112" s="17" t="s">
        <v>162</v>
      </c>
      <c r="F3112" s="17" t="s">
        <v>163</v>
      </c>
      <c r="G3112" s="17">
        <v>3</v>
      </c>
      <c r="H3112" s="17">
        <v>58250</v>
      </c>
      <c r="I3112" s="17">
        <v>174750</v>
      </c>
      <c r="J3112" s="17">
        <v>82</v>
      </c>
      <c r="K3112" s="17">
        <v>174668</v>
      </c>
      <c r="L3112" s="17">
        <v>28792.281950000001</v>
      </c>
      <c r="M3112" s="17">
        <v>2025</v>
      </c>
      <c r="N3112" s="17" t="s">
        <v>129</v>
      </c>
    </row>
    <row r="3113" spans="1:14" ht="14.25" customHeight="1">
      <c r="A3113" s="17">
        <v>13112</v>
      </c>
      <c r="B3113" s="18">
        <v>45799</v>
      </c>
      <c r="C3113" s="17" t="s">
        <v>39</v>
      </c>
      <c r="D3113" s="17" t="s">
        <v>86</v>
      </c>
      <c r="E3113" s="17" t="s">
        <v>168</v>
      </c>
      <c r="F3113" s="17" t="s">
        <v>164</v>
      </c>
      <c r="G3113" s="17">
        <v>2</v>
      </c>
      <c r="H3113" s="17">
        <v>42126</v>
      </c>
      <c r="I3113" s="17">
        <v>84252</v>
      </c>
      <c r="J3113" s="17">
        <v>92</v>
      </c>
      <c r="K3113" s="17">
        <v>84160</v>
      </c>
      <c r="L3113" s="17">
        <v>13481.4833</v>
      </c>
      <c r="M3113" s="17">
        <v>2025</v>
      </c>
      <c r="N3113" s="17" t="s">
        <v>117</v>
      </c>
    </row>
    <row r="3114" spans="1:14" ht="14.25" customHeight="1">
      <c r="A3114" s="17">
        <v>13113</v>
      </c>
      <c r="B3114" s="18">
        <v>45689</v>
      </c>
      <c r="C3114" s="17" t="s">
        <v>45</v>
      </c>
      <c r="D3114" s="17" t="s">
        <v>111</v>
      </c>
      <c r="E3114" s="17" t="s">
        <v>165</v>
      </c>
      <c r="F3114" s="17" t="s">
        <v>172</v>
      </c>
      <c r="G3114" s="17">
        <v>9</v>
      </c>
      <c r="H3114" s="17">
        <v>51799</v>
      </c>
      <c r="I3114" s="17">
        <v>466191</v>
      </c>
      <c r="J3114" s="17">
        <v>3156</v>
      </c>
      <c r="K3114" s="17">
        <v>463035</v>
      </c>
      <c r="L3114" s="17">
        <v>64226.483160000003</v>
      </c>
      <c r="M3114" s="17">
        <v>2025</v>
      </c>
      <c r="N3114" s="17" t="s">
        <v>175</v>
      </c>
    </row>
    <row r="3115" spans="1:14" ht="14.25" customHeight="1">
      <c r="A3115" s="17">
        <v>13114</v>
      </c>
      <c r="B3115" s="18">
        <v>45411</v>
      </c>
      <c r="C3115" s="17" t="s">
        <v>45</v>
      </c>
      <c r="D3115" s="17" t="s">
        <v>83</v>
      </c>
      <c r="E3115" s="17" t="s">
        <v>162</v>
      </c>
      <c r="F3115" s="17" t="s">
        <v>163</v>
      </c>
      <c r="G3115" s="17">
        <v>8</v>
      </c>
      <c r="H3115" s="17">
        <v>63248</v>
      </c>
      <c r="I3115" s="17">
        <v>505984</v>
      </c>
      <c r="J3115" s="17">
        <v>3048</v>
      </c>
      <c r="K3115" s="17">
        <v>502936</v>
      </c>
      <c r="L3115" s="17">
        <v>125043.4393</v>
      </c>
      <c r="M3115" s="17">
        <v>2024</v>
      </c>
      <c r="N3115" s="17" t="s">
        <v>114</v>
      </c>
    </row>
    <row r="3116" spans="1:14" ht="14.25" customHeight="1">
      <c r="A3116" s="17">
        <v>13115</v>
      </c>
      <c r="B3116" s="18">
        <v>45728</v>
      </c>
      <c r="C3116" s="17" t="s">
        <v>39</v>
      </c>
      <c r="D3116" s="17" t="s">
        <v>86</v>
      </c>
      <c r="E3116" s="17" t="s">
        <v>168</v>
      </c>
      <c r="F3116" s="17" t="s">
        <v>163</v>
      </c>
      <c r="G3116" s="17">
        <v>3</v>
      </c>
      <c r="H3116" s="17">
        <v>37907</v>
      </c>
      <c r="I3116" s="17">
        <v>113721</v>
      </c>
      <c r="J3116" s="17">
        <v>1467</v>
      </c>
      <c r="K3116" s="17">
        <v>112254</v>
      </c>
      <c r="L3116" s="17">
        <v>24873.46228</v>
      </c>
      <c r="M3116" s="17">
        <v>2025</v>
      </c>
      <c r="N3116" s="17" t="s">
        <v>112</v>
      </c>
    </row>
    <row r="3117" spans="1:14" ht="14.25" customHeight="1">
      <c r="A3117" s="17">
        <v>13116</v>
      </c>
      <c r="B3117" s="18">
        <v>45967</v>
      </c>
      <c r="C3117" s="17" t="s">
        <v>45</v>
      </c>
      <c r="D3117" s="17" t="s">
        <v>170</v>
      </c>
      <c r="E3117" s="17" t="s">
        <v>165</v>
      </c>
      <c r="F3117" s="17" t="s">
        <v>166</v>
      </c>
      <c r="G3117" s="17">
        <v>5</v>
      </c>
      <c r="H3117" s="17">
        <v>12644</v>
      </c>
      <c r="I3117" s="17">
        <v>63220</v>
      </c>
      <c r="J3117" s="17">
        <v>2024</v>
      </c>
      <c r="K3117" s="17">
        <v>61196</v>
      </c>
      <c r="L3117" s="17">
        <v>8578.974768</v>
      </c>
      <c r="M3117" s="17">
        <v>2025</v>
      </c>
      <c r="N3117" s="17" t="s">
        <v>173</v>
      </c>
    </row>
    <row r="3118" spans="1:14" ht="14.25" customHeight="1">
      <c r="A3118" s="17">
        <v>13117</v>
      </c>
      <c r="B3118" s="18">
        <v>45756</v>
      </c>
      <c r="C3118" s="17" t="s">
        <v>50</v>
      </c>
      <c r="D3118" s="17" t="s">
        <v>89</v>
      </c>
      <c r="E3118" s="17" t="s">
        <v>165</v>
      </c>
      <c r="F3118" s="17" t="s">
        <v>163</v>
      </c>
      <c r="G3118" s="17">
        <v>3</v>
      </c>
      <c r="H3118" s="17">
        <v>39583</v>
      </c>
      <c r="I3118" s="17">
        <v>118749</v>
      </c>
      <c r="J3118" s="17">
        <v>4869</v>
      </c>
      <c r="K3118" s="17">
        <v>113880</v>
      </c>
      <c r="L3118" s="17">
        <v>28157.823049999999</v>
      </c>
      <c r="M3118" s="17">
        <v>2025</v>
      </c>
      <c r="N3118" s="17" t="s">
        <v>114</v>
      </c>
    </row>
    <row r="3119" spans="1:14" ht="14.25" customHeight="1">
      <c r="A3119" s="17">
        <v>13118</v>
      </c>
      <c r="B3119" s="18">
        <v>45577</v>
      </c>
      <c r="C3119" s="17" t="s">
        <v>45</v>
      </c>
      <c r="D3119" s="17" t="s">
        <v>89</v>
      </c>
      <c r="E3119" s="17" t="s">
        <v>168</v>
      </c>
      <c r="F3119" s="17" t="s">
        <v>163</v>
      </c>
      <c r="G3119" s="17">
        <v>6</v>
      </c>
      <c r="H3119" s="17">
        <v>59560</v>
      </c>
      <c r="I3119" s="17">
        <v>357360</v>
      </c>
      <c r="J3119" s="17">
        <v>3817</v>
      </c>
      <c r="K3119" s="17">
        <v>353543</v>
      </c>
      <c r="L3119" s="17">
        <v>36177.885739999998</v>
      </c>
      <c r="M3119" s="17">
        <v>2024</v>
      </c>
      <c r="N3119" s="17" t="s">
        <v>174</v>
      </c>
    </row>
    <row r="3120" spans="1:14" ht="14.25" customHeight="1">
      <c r="A3120" s="17">
        <v>13119</v>
      </c>
      <c r="B3120" s="18">
        <v>45556</v>
      </c>
      <c r="C3120" s="17" t="s">
        <v>167</v>
      </c>
      <c r="D3120" s="17" t="s">
        <v>111</v>
      </c>
      <c r="E3120" s="17" t="s">
        <v>165</v>
      </c>
      <c r="F3120" s="17" t="s">
        <v>172</v>
      </c>
      <c r="G3120" s="17">
        <v>5</v>
      </c>
      <c r="H3120" s="17">
        <v>20185</v>
      </c>
      <c r="I3120" s="17">
        <v>100925</v>
      </c>
      <c r="J3120" s="17">
        <v>2698</v>
      </c>
      <c r="K3120" s="17">
        <v>98227</v>
      </c>
      <c r="L3120" s="17">
        <v>16274.705669999999</v>
      </c>
      <c r="M3120" s="17">
        <v>2024</v>
      </c>
      <c r="N3120" s="17" t="s">
        <v>129</v>
      </c>
    </row>
    <row r="3121" spans="1:14" ht="14.25" customHeight="1">
      <c r="A3121" s="17">
        <v>13120</v>
      </c>
      <c r="B3121" s="18">
        <v>45611</v>
      </c>
      <c r="C3121" s="17" t="s">
        <v>50</v>
      </c>
      <c r="D3121" s="17" t="s">
        <v>83</v>
      </c>
      <c r="E3121" s="17" t="s">
        <v>162</v>
      </c>
      <c r="F3121" s="17" t="s">
        <v>163</v>
      </c>
      <c r="G3121" s="17">
        <v>2</v>
      </c>
      <c r="H3121" s="17">
        <v>46988</v>
      </c>
      <c r="I3121" s="17">
        <v>93976</v>
      </c>
      <c r="J3121" s="17">
        <v>791</v>
      </c>
      <c r="K3121" s="17">
        <v>93185</v>
      </c>
      <c r="L3121" s="17">
        <v>17278.621709999999</v>
      </c>
      <c r="M3121" s="17">
        <v>2024</v>
      </c>
      <c r="N3121" s="17" t="s">
        <v>173</v>
      </c>
    </row>
    <row r="3122" spans="1:14" ht="14.25" customHeight="1">
      <c r="A3122" s="17">
        <v>13121</v>
      </c>
      <c r="B3122" s="18">
        <v>45964</v>
      </c>
      <c r="C3122" s="17" t="s">
        <v>58</v>
      </c>
      <c r="D3122" s="17" t="s">
        <v>170</v>
      </c>
      <c r="E3122" s="17" t="s">
        <v>165</v>
      </c>
      <c r="F3122" s="17" t="s">
        <v>172</v>
      </c>
      <c r="G3122" s="17">
        <v>8</v>
      </c>
      <c r="H3122" s="17">
        <v>15446</v>
      </c>
      <c r="I3122" s="17">
        <v>123568</v>
      </c>
      <c r="J3122" s="17">
        <v>475</v>
      </c>
      <c r="K3122" s="17">
        <v>123093</v>
      </c>
      <c r="L3122" s="17">
        <v>13003.29751</v>
      </c>
      <c r="M3122" s="17">
        <v>2025</v>
      </c>
      <c r="N3122" s="17" t="s">
        <v>173</v>
      </c>
    </row>
    <row r="3123" spans="1:14" ht="14.25" customHeight="1">
      <c r="A3123" s="17">
        <v>13122</v>
      </c>
      <c r="B3123" s="18">
        <v>45667</v>
      </c>
      <c r="C3123" s="17" t="s">
        <v>45</v>
      </c>
      <c r="D3123" s="17" t="s">
        <v>111</v>
      </c>
      <c r="E3123" s="17" t="s">
        <v>162</v>
      </c>
      <c r="F3123" s="17" t="s">
        <v>166</v>
      </c>
      <c r="G3123" s="17">
        <v>6</v>
      </c>
      <c r="H3123" s="17">
        <v>28162</v>
      </c>
      <c r="I3123" s="17">
        <v>168972</v>
      </c>
      <c r="J3123" s="17">
        <v>503</v>
      </c>
      <c r="K3123" s="17">
        <v>168469</v>
      </c>
      <c r="L3123" s="17">
        <v>20916.366170000001</v>
      </c>
      <c r="M3123" s="17">
        <v>2025</v>
      </c>
      <c r="N3123" s="17" t="s">
        <v>171</v>
      </c>
    </row>
    <row r="3124" spans="1:14" ht="14.25" customHeight="1">
      <c r="A3124" s="17">
        <v>13123</v>
      </c>
      <c r="B3124" s="18">
        <v>45380</v>
      </c>
      <c r="C3124" s="17" t="s">
        <v>45</v>
      </c>
      <c r="D3124" s="17" t="s">
        <v>111</v>
      </c>
      <c r="E3124" s="17" t="s">
        <v>168</v>
      </c>
      <c r="F3124" s="17" t="s">
        <v>164</v>
      </c>
      <c r="G3124" s="17">
        <v>3</v>
      </c>
      <c r="H3124" s="17">
        <v>19150</v>
      </c>
      <c r="I3124" s="17">
        <v>57450</v>
      </c>
      <c r="J3124" s="17">
        <v>230</v>
      </c>
      <c r="K3124" s="17">
        <v>57220</v>
      </c>
      <c r="L3124" s="17">
        <v>7937.5390779999998</v>
      </c>
      <c r="M3124" s="17">
        <v>2024</v>
      </c>
      <c r="N3124" s="17" t="s">
        <v>112</v>
      </c>
    </row>
    <row r="3125" spans="1:14" ht="14.25" customHeight="1">
      <c r="A3125" s="17">
        <v>13124</v>
      </c>
      <c r="B3125" s="18">
        <v>45945</v>
      </c>
      <c r="C3125" s="17" t="s">
        <v>167</v>
      </c>
      <c r="D3125" s="17" t="s">
        <v>83</v>
      </c>
      <c r="E3125" s="17" t="s">
        <v>168</v>
      </c>
      <c r="F3125" s="17" t="s">
        <v>166</v>
      </c>
      <c r="G3125" s="17">
        <v>1</v>
      </c>
      <c r="H3125" s="17">
        <v>46304</v>
      </c>
      <c r="I3125" s="17">
        <v>46304</v>
      </c>
      <c r="J3125" s="17">
        <v>1586</v>
      </c>
      <c r="K3125" s="17">
        <v>44718</v>
      </c>
      <c r="L3125" s="17">
        <v>9302.8670349999993</v>
      </c>
      <c r="M3125" s="17">
        <v>2025</v>
      </c>
      <c r="N3125" s="17" t="s">
        <v>174</v>
      </c>
    </row>
    <row r="3126" spans="1:14" ht="14.25" customHeight="1">
      <c r="A3126" s="17">
        <v>13125</v>
      </c>
      <c r="B3126" s="18">
        <v>45494</v>
      </c>
      <c r="C3126" s="17" t="s">
        <v>167</v>
      </c>
      <c r="D3126" s="17" t="s">
        <v>170</v>
      </c>
      <c r="E3126" s="17" t="s">
        <v>165</v>
      </c>
      <c r="F3126" s="17" t="s">
        <v>172</v>
      </c>
      <c r="G3126" s="17">
        <v>5</v>
      </c>
      <c r="H3126" s="17">
        <v>41003</v>
      </c>
      <c r="I3126" s="17">
        <v>205015</v>
      </c>
      <c r="J3126" s="17">
        <v>1774</v>
      </c>
      <c r="K3126" s="17">
        <v>203241</v>
      </c>
      <c r="L3126" s="17">
        <v>48973.262179999998</v>
      </c>
      <c r="M3126" s="17">
        <v>2024</v>
      </c>
      <c r="N3126" s="17" t="s">
        <v>123</v>
      </c>
    </row>
    <row r="3127" spans="1:14" ht="14.25" customHeight="1">
      <c r="A3127" s="17">
        <v>13126</v>
      </c>
      <c r="B3127" s="18">
        <v>45625</v>
      </c>
      <c r="C3127" s="17" t="s">
        <v>39</v>
      </c>
      <c r="D3127" s="17" t="s">
        <v>83</v>
      </c>
      <c r="E3127" s="17" t="s">
        <v>168</v>
      </c>
      <c r="F3127" s="17" t="s">
        <v>172</v>
      </c>
      <c r="G3127" s="17">
        <v>2</v>
      </c>
      <c r="H3127" s="17">
        <v>56746</v>
      </c>
      <c r="I3127" s="17">
        <v>113492</v>
      </c>
      <c r="J3127" s="17">
        <v>3090</v>
      </c>
      <c r="K3127" s="17">
        <v>110402</v>
      </c>
      <c r="L3127" s="17">
        <v>21382.688399999999</v>
      </c>
      <c r="M3127" s="17">
        <v>2024</v>
      </c>
      <c r="N3127" s="17" t="s">
        <v>173</v>
      </c>
    </row>
    <row r="3128" spans="1:14" ht="14.25" customHeight="1">
      <c r="A3128" s="17">
        <v>13127</v>
      </c>
      <c r="B3128" s="18">
        <v>45513</v>
      </c>
      <c r="C3128" s="17" t="s">
        <v>39</v>
      </c>
      <c r="D3128" s="17" t="s">
        <v>89</v>
      </c>
      <c r="E3128" s="17" t="s">
        <v>168</v>
      </c>
      <c r="F3128" s="17" t="s">
        <v>163</v>
      </c>
      <c r="G3128" s="17">
        <v>2</v>
      </c>
      <c r="H3128" s="17">
        <v>71923</v>
      </c>
      <c r="I3128" s="17">
        <v>143846</v>
      </c>
      <c r="J3128" s="17">
        <v>2256</v>
      </c>
      <c r="K3128" s="17">
        <v>141590</v>
      </c>
      <c r="L3128" s="17">
        <v>26109.088199999998</v>
      </c>
      <c r="M3128" s="17">
        <v>2024</v>
      </c>
      <c r="N3128" s="17" t="s">
        <v>126</v>
      </c>
    </row>
    <row r="3129" spans="1:14" ht="14.25" customHeight="1">
      <c r="A3129" s="17">
        <v>13128</v>
      </c>
      <c r="B3129" s="18">
        <v>45332</v>
      </c>
      <c r="C3129" s="17" t="s">
        <v>39</v>
      </c>
      <c r="D3129" s="17" t="s">
        <v>86</v>
      </c>
      <c r="E3129" s="17" t="s">
        <v>165</v>
      </c>
      <c r="F3129" s="17" t="s">
        <v>163</v>
      </c>
      <c r="G3129" s="17">
        <v>9</v>
      </c>
      <c r="H3129" s="17">
        <v>5983</v>
      </c>
      <c r="I3129" s="17">
        <v>53847</v>
      </c>
      <c r="J3129" s="17">
        <v>3970</v>
      </c>
      <c r="K3129" s="17">
        <v>49877</v>
      </c>
      <c r="L3129" s="17">
        <v>9003.490194</v>
      </c>
      <c r="M3129" s="17">
        <v>2024</v>
      </c>
      <c r="N3129" s="17" t="s">
        <v>175</v>
      </c>
    </row>
    <row r="3130" spans="1:14" ht="14.25" customHeight="1">
      <c r="A3130" s="17">
        <v>13129</v>
      </c>
      <c r="B3130" s="18">
        <v>45999</v>
      </c>
      <c r="C3130" s="17" t="s">
        <v>167</v>
      </c>
      <c r="D3130" s="17" t="s">
        <v>89</v>
      </c>
      <c r="E3130" s="17" t="s">
        <v>162</v>
      </c>
      <c r="F3130" s="17" t="s">
        <v>164</v>
      </c>
      <c r="G3130" s="17">
        <v>7</v>
      </c>
      <c r="H3130" s="17">
        <v>52114</v>
      </c>
      <c r="I3130" s="17">
        <v>364798</v>
      </c>
      <c r="J3130" s="17">
        <v>4226</v>
      </c>
      <c r="K3130" s="17">
        <v>360572</v>
      </c>
      <c r="L3130" s="17">
        <v>55025.28746</v>
      </c>
      <c r="M3130" s="17">
        <v>2025</v>
      </c>
      <c r="N3130" s="17" t="s">
        <v>169</v>
      </c>
    </row>
    <row r="3131" spans="1:14" ht="14.25" customHeight="1">
      <c r="A3131" s="17">
        <v>13130</v>
      </c>
      <c r="B3131" s="18">
        <v>45359</v>
      </c>
      <c r="C3131" s="17" t="s">
        <v>39</v>
      </c>
      <c r="D3131" s="17" t="s">
        <v>89</v>
      </c>
      <c r="E3131" s="17" t="s">
        <v>165</v>
      </c>
      <c r="F3131" s="17" t="s">
        <v>172</v>
      </c>
      <c r="G3131" s="17">
        <v>6</v>
      </c>
      <c r="H3131" s="17">
        <v>56274</v>
      </c>
      <c r="I3131" s="17">
        <v>337644</v>
      </c>
      <c r="J3131" s="17">
        <v>4838</v>
      </c>
      <c r="K3131" s="17">
        <v>332806</v>
      </c>
      <c r="L3131" s="17">
        <v>74600.845100000006</v>
      </c>
      <c r="M3131" s="17">
        <v>2024</v>
      </c>
      <c r="N3131" s="17" t="s">
        <v>112</v>
      </c>
    </row>
    <row r="3132" spans="1:14" ht="14.25" customHeight="1">
      <c r="A3132" s="17">
        <v>13131</v>
      </c>
      <c r="B3132" s="18">
        <v>45805</v>
      </c>
      <c r="C3132" s="17" t="s">
        <v>39</v>
      </c>
      <c r="D3132" s="17" t="s">
        <v>111</v>
      </c>
      <c r="E3132" s="17" t="s">
        <v>165</v>
      </c>
      <c r="F3132" s="17" t="s">
        <v>172</v>
      </c>
      <c r="G3132" s="17">
        <v>1</v>
      </c>
      <c r="H3132" s="17">
        <v>24378</v>
      </c>
      <c r="I3132" s="17">
        <v>24378</v>
      </c>
      <c r="J3132" s="17">
        <v>383</v>
      </c>
      <c r="K3132" s="17">
        <v>23995</v>
      </c>
      <c r="L3132" s="17">
        <v>4345.8572020000001</v>
      </c>
      <c r="M3132" s="17">
        <v>2025</v>
      </c>
      <c r="N3132" s="17" t="s">
        <v>117</v>
      </c>
    </row>
    <row r="3133" spans="1:14" ht="14.25" customHeight="1">
      <c r="A3133" s="17">
        <v>13132</v>
      </c>
      <c r="B3133" s="18">
        <v>45928</v>
      </c>
      <c r="C3133" s="17" t="s">
        <v>58</v>
      </c>
      <c r="D3133" s="17" t="s">
        <v>89</v>
      </c>
      <c r="E3133" s="17" t="s">
        <v>162</v>
      </c>
      <c r="F3133" s="17" t="s">
        <v>166</v>
      </c>
      <c r="G3133" s="17">
        <v>2</v>
      </c>
      <c r="H3133" s="17">
        <v>12548</v>
      </c>
      <c r="I3133" s="17">
        <v>25096</v>
      </c>
      <c r="J3133" s="17">
        <v>3163</v>
      </c>
      <c r="K3133" s="17">
        <v>21933</v>
      </c>
      <c r="L3133" s="17">
        <v>2950.3279550000002</v>
      </c>
      <c r="M3133" s="17">
        <v>2025</v>
      </c>
      <c r="N3133" s="17" t="s">
        <v>129</v>
      </c>
    </row>
    <row r="3134" spans="1:14" ht="14.25" customHeight="1">
      <c r="A3134" s="17">
        <v>13133</v>
      </c>
      <c r="B3134" s="18">
        <v>45913</v>
      </c>
      <c r="C3134" s="17" t="s">
        <v>39</v>
      </c>
      <c r="D3134" s="17" t="s">
        <v>170</v>
      </c>
      <c r="E3134" s="17" t="s">
        <v>162</v>
      </c>
      <c r="F3134" s="17" t="s">
        <v>164</v>
      </c>
      <c r="G3134" s="17">
        <v>7</v>
      </c>
      <c r="H3134" s="17">
        <v>44621</v>
      </c>
      <c r="I3134" s="17">
        <v>312347</v>
      </c>
      <c r="J3134" s="17">
        <v>2409</v>
      </c>
      <c r="K3134" s="17">
        <v>309938</v>
      </c>
      <c r="L3134" s="17">
        <v>37355.178650000002</v>
      </c>
      <c r="M3134" s="17">
        <v>2025</v>
      </c>
      <c r="N3134" s="17" t="s">
        <v>129</v>
      </c>
    </row>
    <row r="3135" spans="1:14" ht="14.25" customHeight="1">
      <c r="A3135" s="17">
        <v>13134</v>
      </c>
      <c r="B3135" s="18">
        <v>45889</v>
      </c>
      <c r="C3135" s="17" t="s">
        <v>45</v>
      </c>
      <c r="D3135" s="17" t="s">
        <v>89</v>
      </c>
      <c r="E3135" s="17" t="s">
        <v>162</v>
      </c>
      <c r="F3135" s="17" t="s">
        <v>166</v>
      </c>
      <c r="G3135" s="17">
        <v>3</v>
      </c>
      <c r="H3135" s="17">
        <v>71311</v>
      </c>
      <c r="I3135" s="17">
        <v>213933</v>
      </c>
      <c r="J3135" s="17">
        <v>760</v>
      </c>
      <c r="K3135" s="17">
        <v>213173</v>
      </c>
      <c r="L3135" s="17">
        <v>52829.998899999999</v>
      </c>
      <c r="M3135" s="17">
        <v>2025</v>
      </c>
      <c r="N3135" s="17" t="s">
        <v>126</v>
      </c>
    </row>
    <row r="3136" spans="1:14" ht="14.25" customHeight="1">
      <c r="A3136" s="17">
        <v>13135</v>
      </c>
      <c r="B3136" s="18">
        <v>45923</v>
      </c>
      <c r="C3136" s="17" t="s">
        <v>167</v>
      </c>
      <c r="D3136" s="17" t="s">
        <v>170</v>
      </c>
      <c r="E3136" s="17" t="s">
        <v>165</v>
      </c>
      <c r="F3136" s="17" t="s">
        <v>163</v>
      </c>
      <c r="G3136" s="17">
        <v>2</v>
      </c>
      <c r="H3136" s="17">
        <v>26531</v>
      </c>
      <c r="I3136" s="17">
        <v>53062</v>
      </c>
      <c r="J3136" s="17">
        <v>3952</v>
      </c>
      <c r="K3136" s="17">
        <v>49110</v>
      </c>
      <c r="L3136" s="17">
        <v>5039.7164380000004</v>
      </c>
      <c r="M3136" s="17">
        <v>2025</v>
      </c>
      <c r="N3136" s="17" t="s">
        <v>129</v>
      </c>
    </row>
    <row r="3137" spans="1:14" ht="14.25" customHeight="1">
      <c r="A3137" s="17">
        <v>13136</v>
      </c>
      <c r="B3137" s="18">
        <v>45418</v>
      </c>
      <c r="C3137" s="17" t="s">
        <v>50</v>
      </c>
      <c r="D3137" s="17" t="s">
        <v>83</v>
      </c>
      <c r="E3137" s="17" t="s">
        <v>162</v>
      </c>
      <c r="F3137" s="17" t="s">
        <v>163</v>
      </c>
      <c r="G3137" s="17">
        <v>6</v>
      </c>
      <c r="H3137" s="17">
        <v>22870</v>
      </c>
      <c r="I3137" s="17">
        <v>137220</v>
      </c>
      <c r="J3137" s="17">
        <v>942</v>
      </c>
      <c r="K3137" s="17">
        <v>136278</v>
      </c>
      <c r="L3137" s="17">
        <v>32708.90106</v>
      </c>
      <c r="M3137" s="17">
        <v>2024</v>
      </c>
      <c r="N3137" s="17" t="s">
        <v>117</v>
      </c>
    </row>
    <row r="3138" spans="1:14" ht="14.25" customHeight="1">
      <c r="A3138" s="17">
        <v>13137</v>
      </c>
      <c r="B3138" s="18">
        <v>45546</v>
      </c>
      <c r="C3138" s="17" t="s">
        <v>58</v>
      </c>
      <c r="D3138" s="17" t="s">
        <v>111</v>
      </c>
      <c r="E3138" s="17" t="s">
        <v>168</v>
      </c>
      <c r="F3138" s="17" t="s">
        <v>166</v>
      </c>
      <c r="G3138" s="17">
        <v>8</v>
      </c>
      <c r="H3138" s="17">
        <v>54547</v>
      </c>
      <c r="I3138" s="17">
        <v>436376</v>
      </c>
      <c r="J3138" s="17">
        <v>2695</v>
      </c>
      <c r="K3138" s="17">
        <v>433681</v>
      </c>
      <c r="L3138" s="17">
        <v>57569.199090000002</v>
      </c>
      <c r="M3138" s="17">
        <v>2024</v>
      </c>
      <c r="N3138" s="17" t="s">
        <v>129</v>
      </c>
    </row>
    <row r="3139" spans="1:14" ht="14.25" customHeight="1">
      <c r="A3139" s="17">
        <v>13138</v>
      </c>
      <c r="B3139" s="18">
        <v>45986</v>
      </c>
      <c r="C3139" s="17" t="s">
        <v>167</v>
      </c>
      <c r="D3139" s="17" t="s">
        <v>170</v>
      </c>
      <c r="E3139" s="17" t="s">
        <v>162</v>
      </c>
      <c r="F3139" s="17" t="s">
        <v>163</v>
      </c>
      <c r="G3139" s="17">
        <v>8</v>
      </c>
      <c r="H3139" s="17">
        <v>50738</v>
      </c>
      <c r="I3139" s="17">
        <v>405904</v>
      </c>
      <c r="J3139" s="17">
        <v>1296</v>
      </c>
      <c r="K3139" s="17">
        <v>404608</v>
      </c>
      <c r="L3139" s="17">
        <v>80368.270199999999</v>
      </c>
      <c r="M3139" s="17">
        <v>2025</v>
      </c>
      <c r="N3139" s="17" t="s">
        <v>173</v>
      </c>
    </row>
    <row r="3140" spans="1:14" ht="14.25" customHeight="1">
      <c r="A3140" s="17">
        <v>13139</v>
      </c>
      <c r="B3140" s="18">
        <v>45307</v>
      </c>
      <c r="C3140" s="17" t="s">
        <v>167</v>
      </c>
      <c r="D3140" s="17" t="s">
        <v>89</v>
      </c>
      <c r="E3140" s="17" t="s">
        <v>168</v>
      </c>
      <c r="F3140" s="17" t="s">
        <v>166</v>
      </c>
      <c r="G3140" s="17">
        <v>2</v>
      </c>
      <c r="H3140" s="17">
        <v>72537</v>
      </c>
      <c r="I3140" s="17">
        <v>145074</v>
      </c>
      <c r="J3140" s="17">
        <v>2402</v>
      </c>
      <c r="K3140" s="17">
        <v>142672</v>
      </c>
      <c r="L3140" s="17">
        <v>20720.237270000001</v>
      </c>
      <c r="M3140" s="17">
        <v>2024</v>
      </c>
      <c r="N3140" s="17" t="s">
        <v>171</v>
      </c>
    </row>
    <row r="3141" spans="1:14" ht="14.25" customHeight="1">
      <c r="A3141" s="17">
        <v>13140</v>
      </c>
      <c r="B3141" s="18">
        <v>45768</v>
      </c>
      <c r="C3141" s="17" t="s">
        <v>45</v>
      </c>
      <c r="D3141" s="17" t="s">
        <v>111</v>
      </c>
      <c r="E3141" s="17" t="s">
        <v>162</v>
      </c>
      <c r="F3141" s="17" t="s">
        <v>172</v>
      </c>
      <c r="G3141" s="17">
        <v>6</v>
      </c>
      <c r="H3141" s="17">
        <v>19756</v>
      </c>
      <c r="I3141" s="17">
        <v>118536</v>
      </c>
      <c r="J3141" s="17">
        <v>2147</v>
      </c>
      <c r="K3141" s="17">
        <v>116389</v>
      </c>
      <c r="L3141" s="17">
        <v>26649.771100000002</v>
      </c>
      <c r="M3141" s="17">
        <v>2025</v>
      </c>
      <c r="N3141" s="17" t="s">
        <v>114</v>
      </c>
    </row>
    <row r="3142" spans="1:14" ht="14.25" customHeight="1">
      <c r="A3142" s="17">
        <v>13141</v>
      </c>
      <c r="B3142" s="18">
        <v>45353</v>
      </c>
      <c r="C3142" s="17" t="s">
        <v>39</v>
      </c>
      <c r="D3142" s="17" t="s">
        <v>111</v>
      </c>
      <c r="E3142" s="17" t="s">
        <v>168</v>
      </c>
      <c r="F3142" s="17" t="s">
        <v>172</v>
      </c>
      <c r="G3142" s="17">
        <v>5</v>
      </c>
      <c r="H3142" s="17">
        <v>62707</v>
      </c>
      <c r="I3142" s="17">
        <v>313535</v>
      </c>
      <c r="J3142" s="17">
        <v>1639</v>
      </c>
      <c r="K3142" s="17">
        <v>311896</v>
      </c>
      <c r="L3142" s="17">
        <v>56614.36333</v>
      </c>
      <c r="M3142" s="17">
        <v>2024</v>
      </c>
      <c r="N3142" s="17" t="s">
        <v>112</v>
      </c>
    </row>
    <row r="3143" spans="1:14" ht="14.25" customHeight="1">
      <c r="A3143" s="17">
        <v>13142</v>
      </c>
      <c r="B3143" s="18">
        <v>45723</v>
      </c>
      <c r="C3143" s="17" t="s">
        <v>45</v>
      </c>
      <c r="D3143" s="17" t="s">
        <v>170</v>
      </c>
      <c r="E3143" s="17" t="s">
        <v>168</v>
      </c>
      <c r="F3143" s="17" t="s">
        <v>163</v>
      </c>
      <c r="G3143" s="17">
        <v>7</v>
      </c>
      <c r="H3143" s="17">
        <v>45830</v>
      </c>
      <c r="I3143" s="17">
        <v>320810</v>
      </c>
      <c r="J3143" s="17">
        <v>4396</v>
      </c>
      <c r="K3143" s="17">
        <v>316414</v>
      </c>
      <c r="L3143" s="17">
        <v>38336.297319999998</v>
      </c>
      <c r="M3143" s="17">
        <v>2025</v>
      </c>
      <c r="N3143" s="17" t="s">
        <v>112</v>
      </c>
    </row>
    <row r="3144" spans="1:14" ht="14.25" customHeight="1">
      <c r="A3144" s="17">
        <v>13143</v>
      </c>
      <c r="B3144" s="18">
        <v>45961</v>
      </c>
      <c r="C3144" s="17" t="s">
        <v>39</v>
      </c>
      <c r="D3144" s="17" t="s">
        <v>170</v>
      </c>
      <c r="E3144" s="17" t="s">
        <v>168</v>
      </c>
      <c r="F3144" s="17" t="s">
        <v>164</v>
      </c>
      <c r="G3144" s="17">
        <v>4</v>
      </c>
      <c r="H3144" s="17">
        <v>15046</v>
      </c>
      <c r="I3144" s="17">
        <v>60184</v>
      </c>
      <c r="J3144" s="17">
        <v>608</v>
      </c>
      <c r="K3144" s="17">
        <v>59576</v>
      </c>
      <c r="L3144" s="17">
        <v>8368.9534980000008</v>
      </c>
      <c r="M3144" s="17">
        <v>2025</v>
      </c>
      <c r="N3144" s="17" t="s">
        <v>174</v>
      </c>
    </row>
    <row r="3145" spans="1:14" ht="14.25" customHeight="1">
      <c r="A3145" s="17">
        <v>13144</v>
      </c>
      <c r="B3145" s="18">
        <v>45559</v>
      </c>
      <c r="C3145" s="17" t="s">
        <v>39</v>
      </c>
      <c r="D3145" s="17" t="s">
        <v>86</v>
      </c>
      <c r="E3145" s="17" t="s">
        <v>168</v>
      </c>
      <c r="F3145" s="17" t="s">
        <v>172</v>
      </c>
      <c r="G3145" s="17">
        <v>2</v>
      </c>
      <c r="H3145" s="17">
        <v>28652</v>
      </c>
      <c r="I3145" s="17">
        <v>57304</v>
      </c>
      <c r="J3145" s="17">
        <v>881</v>
      </c>
      <c r="K3145" s="17">
        <v>56423</v>
      </c>
      <c r="L3145" s="17">
        <v>8353.3002309999993</v>
      </c>
      <c r="M3145" s="17">
        <v>2024</v>
      </c>
      <c r="N3145" s="17" t="s">
        <v>129</v>
      </c>
    </row>
    <row r="3146" spans="1:14" ht="14.25" customHeight="1">
      <c r="A3146" s="17">
        <v>13145</v>
      </c>
      <c r="B3146" s="18">
        <v>45326</v>
      </c>
      <c r="C3146" s="17" t="s">
        <v>167</v>
      </c>
      <c r="D3146" s="17" t="s">
        <v>86</v>
      </c>
      <c r="E3146" s="17" t="s">
        <v>168</v>
      </c>
      <c r="F3146" s="17" t="s">
        <v>163</v>
      </c>
      <c r="G3146" s="17">
        <v>3</v>
      </c>
      <c r="H3146" s="17">
        <v>60029</v>
      </c>
      <c r="I3146" s="17">
        <v>180087</v>
      </c>
      <c r="J3146" s="17">
        <v>2250</v>
      </c>
      <c r="K3146" s="17">
        <v>177837</v>
      </c>
      <c r="L3146" s="17">
        <v>41416.16633</v>
      </c>
      <c r="M3146" s="17">
        <v>2024</v>
      </c>
      <c r="N3146" s="17" t="s">
        <v>175</v>
      </c>
    </row>
    <row r="3147" spans="1:14" ht="14.25" customHeight="1">
      <c r="A3147" s="17">
        <v>13146</v>
      </c>
      <c r="B3147" s="18">
        <v>45867</v>
      </c>
      <c r="C3147" s="17" t="s">
        <v>39</v>
      </c>
      <c r="D3147" s="17" t="s">
        <v>111</v>
      </c>
      <c r="E3147" s="17" t="s">
        <v>162</v>
      </c>
      <c r="F3147" s="17" t="s">
        <v>164</v>
      </c>
      <c r="G3147" s="17">
        <v>9</v>
      </c>
      <c r="H3147" s="17">
        <v>41956</v>
      </c>
      <c r="I3147" s="17">
        <v>377604</v>
      </c>
      <c r="J3147" s="17">
        <v>3092</v>
      </c>
      <c r="K3147" s="17">
        <v>374512</v>
      </c>
      <c r="L3147" s="17">
        <v>80524.110799999995</v>
      </c>
      <c r="M3147" s="17">
        <v>2025</v>
      </c>
      <c r="N3147" s="17" t="s">
        <v>123</v>
      </c>
    </row>
    <row r="3148" spans="1:14" ht="14.25" customHeight="1">
      <c r="A3148" s="17">
        <v>13147</v>
      </c>
      <c r="B3148" s="18">
        <v>45785</v>
      </c>
      <c r="C3148" s="17" t="s">
        <v>58</v>
      </c>
      <c r="D3148" s="17" t="s">
        <v>86</v>
      </c>
      <c r="E3148" s="17" t="s">
        <v>165</v>
      </c>
      <c r="F3148" s="17" t="s">
        <v>163</v>
      </c>
      <c r="G3148" s="17">
        <v>8</v>
      </c>
      <c r="H3148" s="17">
        <v>18886</v>
      </c>
      <c r="I3148" s="17">
        <v>151088</v>
      </c>
      <c r="J3148" s="17">
        <v>2159</v>
      </c>
      <c r="K3148" s="17">
        <v>148929</v>
      </c>
      <c r="L3148" s="17">
        <v>33425.341330000003</v>
      </c>
      <c r="M3148" s="17">
        <v>2025</v>
      </c>
      <c r="N3148" s="17" t="s">
        <v>117</v>
      </c>
    </row>
    <row r="3149" spans="1:14" ht="14.25" customHeight="1">
      <c r="A3149" s="17">
        <v>13148</v>
      </c>
      <c r="B3149" s="18">
        <v>45853</v>
      </c>
      <c r="C3149" s="17" t="s">
        <v>58</v>
      </c>
      <c r="D3149" s="17" t="s">
        <v>89</v>
      </c>
      <c r="E3149" s="17" t="s">
        <v>165</v>
      </c>
      <c r="F3149" s="17" t="s">
        <v>166</v>
      </c>
      <c r="G3149" s="17">
        <v>9</v>
      </c>
      <c r="H3149" s="17">
        <v>36823</v>
      </c>
      <c r="I3149" s="17">
        <v>331407</v>
      </c>
      <c r="J3149" s="17">
        <v>2428</v>
      </c>
      <c r="K3149" s="17">
        <v>328979</v>
      </c>
      <c r="L3149" s="17">
        <v>35476.380879999997</v>
      </c>
      <c r="M3149" s="17">
        <v>2025</v>
      </c>
      <c r="N3149" s="17" t="s">
        <v>123</v>
      </c>
    </row>
    <row r="3150" spans="1:14" ht="14.25" customHeight="1">
      <c r="A3150" s="17">
        <v>13149</v>
      </c>
      <c r="B3150" s="18">
        <v>45760</v>
      </c>
      <c r="C3150" s="17" t="s">
        <v>58</v>
      </c>
      <c r="D3150" s="17" t="s">
        <v>83</v>
      </c>
      <c r="E3150" s="17" t="s">
        <v>165</v>
      </c>
      <c r="F3150" s="17" t="s">
        <v>163</v>
      </c>
      <c r="G3150" s="17">
        <v>5</v>
      </c>
      <c r="H3150" s="17">
        <v>43948</v>
      </c>
      <c r="I3150" s="17">
        <v>219740</v>
      </c>
      <c r="J3150" s="17">
        <v>4850</v>
      </c>
      <c r="K3150" s="17">
        <v>214890</v>
      </c>
      <c r="L3150" s="17">
        <v>40145.176220000001</v>
      </c>
      <c r="M3150" s="17">
        <v>2025</v>
      </c>
      <c r="N3150" s="17" t="s">
        <v>114</v>
      </c>
    </row>
    <row r="3151" spans="1:14" ht="14.25" customHeight="1">
      <c r="A3151" s="17">
        <v>13150</v>
      </c>
      <c r="B3151" s="18">
        <v>45952</v>
      </c>
      <c r="C3151" s="17" t="s">
        <v>167</v>
      </c>
      <c r="D3151" s="17" t="s">
        <v>111</v>
      </c>
      <c r="E3151" s="17" t="s">
        <v>165</v>
      </c>
      <c r="F3151" s="17" t="s">
        <v>166</v>
      </c>
      <c r="G3151" s="17">
        <v>5</v>
      </c>
      <c r="H3151" s="17">
        <v>18322</v>
      </c>
      <c r="I3151" s="17">
        <v>91610</v>
      </c>
      <c r="J3151" s="17">
        <v>3001</v>
      </c>
      <c r="K3151" s="17">
        <v>88609</v>
      </c>
      <c r="L3151" s="17">
        <v>22141.310300000001</v>
      </c>
      <c r="M3151" s="17">
        <v>2025</v>
      </c>
      <c r="N3151" s="17" t="s">
        <v>174</v>
      </c>
    </row>
    <row r="3152" spans="1:14" ht="14.25" customHeight="1">
      <c r="A3152" s="17">
        <v>13151</v>
      </c>
      <c r="B3152" s="18">
        <v>45616</v>
      </c>
      <c r="C3152" s="17" t="s">
        <v>45</v>
      </c>
      <c r="D3152" s="17" t="s">
        <v>83</v>
      </c>
      <c r="E3152" s="17" t="s">
        <v>165</v>
      </c>
      <c r="F3152" s="17" t="s">
        <v>172</v>
      </c>
      <c r="G3152" s="17">
        <v>7</v>
      </c>
      <c r="H3152" s="17">
        <v>78330</v>
      </c>
      <c r="I3152" s="17">
        <v>548310</v>
      </c>
      <c r="J3152" s="17">
        <v>4891</v>
      </c>
      <c r="K3152" s="17">
        <v>543419</v>
      </c>
      <c r="L3152" s="17">
        <v>118345.7604</v>
      </c>
      <c r="M3152" s="17">
        <v>2024</v>
      </c>
      <c r="N3152" s="17" t="s">
        <v>173</v>
      </c>
    </row>
    <row r="3153" spans="1:14" ht="14.25" customHeight="1">
      <c r="A3153" s="17">
        <v>13152</v>
      </c>
      <c r="B3153" s="18">
        <v>45595</v>
      </c>
      <c r="C3153" s="17" t="s">
        <v>50</v>
      </c>
      <c r="D3153" s="17" t="s">
        <v>86</v>
      </c>
      <c r="E3153" s="17" t="s">
        <v>168</v>
      </c>
      <c r="F3153" s="17" t="s">
        <v>172</v>
      </c>
      <c r="G3153" s="17">
        <v>7</v>
      </c>
      <c r="H3153" s="17">
        <v>11162</v>
      </c>
      <c r="I3153" s="17">
        <v>78134</v>
      </c>
      <c r="J3153" s="17">
        <v>1994</v>
      </c>
      <c r="K3153" s="17">
        <v>76140</v>
      </c>
      <c r="L3153" s="17">
        <v>8992.6024290000005</v>
      </c>
      <c r="M3153" s="17">
        <v>2024</v>
      </c>
      <c r="N3153" s="17" t="s">
        <v>174</v>
      </c>
    </row>
    <row r="3154" spans="1:14" ht="14.25" customHeight="1">
      <c r="A3154" s="17">
        <v>13153</v>
      </c>
      <c r="B3154" s="18">
        <v>45567</v>
      </c>
      <c r="C3154" s="17" t="s">
        <v>39</v>
      </c>
      <c r="D3154" s="17" t="s">
        <v>170</v>
      </c>
      <c r="E3154" s="17" t="s">
        <v>162</v>
      </c>
      <c r="F3154" s="17" t="s">
        <v>163</v>
      </c>
      <c r="G3154" s="17">
        <v>1</v>
      </c>
      <c r="H3154" s="17">
        <v>10905</v>
      </c>
      <c r="I3154" s="17">
        <v>10905</v>
      </c>
      <c r="J3154" s="17">
        <v>1323</v>
      </c>
      <c r="K3154" s="17">
        <v>9582</v>
      </c>
      <c r="L3154" s="17">
        <v>1933.865352</v>
      </c>
      <c r="M3154" s="17">
        <v>2024</v>
      </c>
      <c r="N3154" s="17" t="s">
        <v>174</v>
      </c>
    </row>
    <row r="3155" spans="1:14" ht="14.25" customHeight="1">
      <c r="A3155" s="17">
        <v>13154</v>
      </c>
      <c r="B3155" s="18">
        <v>45975</v>
      </c>
      <c r="C3155" s="17" t="s">
        <v>50</v>
      </c>
      <c r="D3155" s="17" t="s">
        <v>111</v>
      </c>
      <c r="E3155" s="17" t="s">
        <v>168</v>
      </c>
      <c r="F3155" s="17" t="s">
        <v>164</v>
      </c>
      <c r="G3155" s="17">
        <v>5</v>
      </c>
      <c r="H3155" s="17">
        <v>62483</v>
      </c>
      <c r="I3155" s="17">
        <v>312415</v>
      </c>
      <c r="J3155" s="17">
        <v>4317</v>
      </c>
      <c r="K3155" s="17">
        <v>308098</v>
      </c>
      <c r="L3155" s="17">
        <v>65254.716789999999</v>
      </c>
      <c r="M3155" s="17">
        <v>2025</v>
      </c>
      <c r="N3155" s="17" t="s">
        <v>173</v>
      </c>
    </row>
    <row r="3156" spans="1:14" ht="14.25" customHeight="1">
      <c r="A3156" s="17">
        <v>13155</v>
      </c>
      <c r="B3156" s="18">
        <v>45492</v>
      </c>
      <c r="C3156" s="17" t="s">
        <v>45</v>
      </c>
      <c r="D3156" s="17" t="s">
        <v>86</v>
      </c>
      <c r="E3156" s="17" t="s">
        <v>162</v>
      </c>
      <c r="F3156" s="17" t="s">
        <v>163</v>
      </c>
      <c r="G3156" s="17">
        <v>8</v>
      </c>
      <c r="H3156" s="17">
        <v>43457</v>
      </c>
      <c r="I3156" s="17">
        <v>347656</v>
      </c>
      <c r="J3156" s="17">
        <v>1011</v>
      </c>
      <c r="K3156" s="17">
        <v>346645</v>
      </c>
      <c r="L3156" s="17">
        <v>61403.743199999997</v>
      </c>
      <c r="M3156" s="17">
        <v>2024</v>
      </c>
      <c r="N3156" s="17" t="s">
        <v>123</v>
      </c>
    </row>
    <row r="3157" spans="1:14" ht="14.25" customHeight="1">
      <c r="A3157" s="17">
        <v>13156</v>
      </c>
      <c r="B3157" s="18">
        <v>45736</v>
      </c>
      <c r="C3157" s="17" t="s">
        <v>45</v>
      </c>
      <c r="D3157" s="17" t="s">
        <v>89</v>
      </c>
      <c r="E3157" s="17" t="s">
        <v>162</v>
      </c>
      <c r="F3157" s="17" t="s">
        <v>163</v>
      </c>
      <c r="G3157" s="17">
        <v>7</v>
      </c>
      <c r="H3157" s="17">
        <v>20380</v>
      </c>
      <c r="I3157" s="17">
        <v>142660</v>
      </c>
      <c r="J3157" s="17">
        <v>4038</v>
      </c>
      <c r="K3157" s="17">
        <v>138622</v>
      </c>
      <c r="L3157" s="17">
        <v>15499.73783</v>
      </c>
      <c r="M3157" s="17">
        <v>2025</v>
      </c>
      <c r="N3157" s="17" t="s">
        <v>112</v>
      </c>
    </row>
    <row r="3158" spans="1:14" ht="14.25" customHeight="1">
      <c r="A3158" s="17">
        <v>13157</v>
      </c>
      <c r="B3158" s="18">
        <v>45615</v>
      </c>
      <c r="C3158" s="17" t="s">
        <v>167</v>
      </c>
      <c r="D3158" s="17" t="s">
        <v>111</v>
      </c>
      <c r="E3158" s="17" t="s">
        <v>162</v>
      </c>
      <c r="F3158" s="17" t="s">
        <v>172</v>
      </c>
      <c r="G3158" s="17">
        <v>2</v>
      </c>
      <c r="H3158" s="17">
        <v>20508</v>
      </c>
      <c r="I3158" s="17">
        <v>41016</v>
      </c>
      <c r="J3158" s="17">
        <v>688</v>
      </c>
      <c r="K3158" s="17">
        <v>40328</v>
      </c>
      <c r="L3158" s="17">
        <v>4242.6239740000001</v>
      </c>
      <c r="M3158" s="17">
        <v>2024</v>
      </c>
      <c r="N3158" s="17" t="s">
        <v>173</v>
      </c>
    </row>
    <row r="3159" spans="1:14" ht="14.25" customHeight="1">
      <c r="A3159" s="17">
        <v>13158</v>
      </c>
      <c r="B3159" s="18">
        <v>45326</v>
      </c>
      <c r="C3159" s="17" t="s">
        <v>58</v>
      </c>
      <c r="D3159" s="17" t="s">
        <v>111</v>
      </c>
      <c r="E3159" s="17" t="s">
        <v>162</v>
      </c>
      <c r="F3159" s="17" t="s">
        <v>172</v>
      </c>
      <c r="G3159" s="17">
        <v>8</v>
      </c>
      <c r="H3159" s="17">
        <v>24676</v>
      </c>
      <c r="I3159" s="17">
        <v>197408</v>
      </c>
      <c r="J3159" s="17">
        <v>4068</v>
      </c>
      <c r="K3159" s="17">
        <v>193340</v>
      </c>
      <c r="L3159" s="17">
        <v>46531.419029999997</v>
      </c>
      <c r="M3159" s="17">
        <v>2024</v>
      </c>
      <c r="N3159" s="17" t="s">
        <v>175</v>
      </c>
    </row>
    <row r="3160" spans="1:14" ht="14.25" customHeight="1">
      <c r="A3160" s="17">
        <v>13159</v>
      </c>
      <c r="B3160" s="18">
        <v>45773</v>
      </c>
      <c r="C3160" s="17" t="s">
        <v>58</v>
      </c>
      <c r="D3160" s="17" t="s">
        <v>170</v>
      </c>
      <c r="E3160" s="17" t="s">
        <v>165</v>
      </c>
      <c r="F3160" s="17" t="s">
        <v>163</v>
      </c>
      <c r="G3160" s="17">
        <v>2</v>
      </c>
      <c r="H3160" s="17">
        <v>77433</v>
      </c>
      <c r="I3160" s="17">
        <v>154866</v>
      </c>
      <c r="J3160" s="17">
        <v>4213</v>
      </c>
      <c r="K3160" s="17">
        <v>150653</v>
      </c>
      <c r="L3160" s="17">
        <v>20884.58772</v>
      </c>
      <c r="M3160" s="17">
        <v>2025</v>
      </c>
      <c r="N3160" s="17" t="s">
        <v>114</v>
      </c>
    </row>
    <row r="3161" spans="1:14" ht="14.25" customHeight="1">
      <c r="A3161" s="17">
        <v>13160</v>
      </c>
      <c r="B3161" s="18">
        <v>46019</v>
      </c>
      <c r="C3161" s="17" t="s">
        <v>45</v>
      </c>
      <c r="D3161" s="17" t="s">
        <v>111</v>
      </c>
      <c r="E3161" s="17" t="s">
        <v>162</v>
      </c>
      <c r="F3161" s="17" t="s">
        <v>172</v>
      </c>
      <c r="G3161" s="17">
        <v>1</v>
      </c>
      <c r="H3161" s="17">
        <v>6564</v>
      </c>
      <c r="I3161" s="17">
        <v>6564</v>
      </c>
      <c r="J3161" s="17">
        <v>4269</v>
      </c>
      <c r="K3161" s="17">
        <v>2295</v>
      </c>
      <c r="L3161" s="17">
        <v>359.95977770000002</v>
      </c>
      <c r="M3161" s="17">
        <v>2025</v>
      </c>
      <c r="N3161" s="17" t="s">
        <v>169</v>
      </c>
    </row>
    <row r="3162" spans="1:14" ht="14.25" customHeight="1">
      <c r="A3162" s="17">
        <v>13161</v>
      </c>
      <c r="B3162" s="18">
        <v>45771</v>
      </c>
      <c r="C3162" s="17" t="s">
        <v>167</v>
      </c>
      <c r="D3162" s="17" t="s">
        <v>170</v>
      </c>
      <c r="E3162" s="17" t="s">
        <v>162</v>
      </c>
      <c r="F3162" s="17" t="s">
        <v>166</v>
      </c>
      <c r="G3162" s="17">
        <v>3</v>
      </c>
      <c r="H3162" s="17">
        <v>18870</v>
      </c>
      <c r="I3162" s="17">
        <v>56610</v>
      </c>
      <c r="J3162" s="17">
        <v>1242</v>
      </c>
      <c r="K3162" s="17">
        <v>55368</v>
      </c>
      <c r="L3162" s="17">
        <v>12141.739030000001</v>
      </c>
      <c r="M3162" s="17">
        <v>2025</v>
      </c>
      <c r="N3162" s="17" t="s">
        <v>114</v>
      </c>
    </row>
    <row r="3163" spans="1:14" ht="14.25" customHeight="1">
      <c r="A3163" s="17">
        <v>13162</v>
      </c>
      <c r="B3163" s="18">
        <v>45356</v>
      </c>
      <c r="C3163" s="17" t="s">
        <v>167</v>
      </c>
      <c r="D3163" s="17" t="s">
        <v>86</v>
      </c>
      <c r="E3163" s="17" t="s">
        <v>165</v>
      </c>
      <c r="F3163" s="17" t="s">
        <v>163</v>
      </c>
      <c r="G3163" s="17">
        <v>3</v>
      </c>
      <c r="H3163" s="17">
        <v>19219</v>
      </c>
      <c r="I3163" s="17">
        <v>57657</v>
      </c>
      <c r="J3163" s="17">
        <v>3447</v>
      </c>
      <c r="K3163" s="17">
        <v>54210</v>
      </c>
      <c r="L3163" s="17">
        <v>11025.723760000001</v>
      </c>
      <c r="M3163" s="17">
        <v>2024</v>
      </c>
      <c r="N3163" s="17" t="s">
        <v>112</v>
      </c>
    </row>
    <row r="3164" spans="1:14" ht="14.25" customHeight="1">
      <c r="A3164" s="17">
        <v>13163</v>
      </c>
      <c r="B3164" s="18">
        <v>45299</v>
      </c>
      <c r="C3164" s="17" t="s">
        <v>39</v>
      </c>
      <c r="D3164" s="17" t="s">
        <v>89</v>
      </c>
      <c r="E3164" s="17" t="s">
        <v>168</v>
      </c>
      <c r="F3164" s="17" t="s">
        <v>172</v>
      </c>
      <c r="G3164" s="17">
        <v>6</v>
      </c>
      <c r="H3164" s="17">
        <v>24880</v>
      </c>
      <c r="I3164" s="17">
        <v>149280</v>
      </c>
      <c r="J3164" s="17">
        <v>2044</v>
      </c>
      <c r="K3164" s="17">
        <v>147236</v>
      </c>
      <c r="L3164" s="17">
        <v>36114.760909999997</v>
      </c>
      <c r="M3164" s="17">
        <v>2024</v>
      </c>
      <c r="N3164" s="17" t="s">
        <v>171</v>
      </c>
    </row>
    <row r="3165" spans="1:14" ht="14.25" customHeight="1">
      <c r="A3165" s="17">
        <v>13164</v>
      </c>
      <c r="B3165" s="18">
        <v>45592</v>
      </c>
      <c r="C3165" s="17" t="s">
        <v>58</v>
      </c>
      <c r="D3165" s="17" t="s">
        <v>89</v>
      </c>
      <c r="E3165" s="17" t="s">
        <v>168</v>
      </c>
      <c r="F3165" s="17" t="s">
        <v>163</v>
      </c>
      <c r="G3165" s="17">
        <v>3</v>
      </c>
      <c r="H3165" s="17">
        <v>15379</v>
      </c>
      <c r="I3165" s="17">
        <v>46137</v>
      </c>
      <c r="J3165" s="17">
        <v>440</v>
      </c>
      <c r="K3165" s="17">
        <v>45697</v>
      </c>
      <c r="L3165" s="17">
        <v>5206.0709399999996</v>
      </c>
      <c r="M3165" s="17">
        <v>2024</v>
      </c>
      <c r="N3165" s="17" t="s">
        <v>174</v>
      </c>
    </row>
    <row r="3166" spans="1:14" ht="14.25" customHeight="1">
      <c r="A3166" s="17">
        <v>13165</v>
      </c>
      <c r="B3166" s="18">
        <v>45634</v>
      </c>
      <c r="C3166" s="17" t="s">
        <v>45</v>
      </c>
      <c r="D3166" s="17" t="s">
        <v>111</v>
      </c>
      <c r="E3166" s="17" t="s">
        <v>168</v>
      </c>
      <c r="F3166" s="17" t="s">
        <v>172</v>
      </c>
      <c r="G3166" s="17">
        <v>7</v>
      </c>
      <c r="H3166" s="17">
        <v>59294</v>
      </c>
      <c r="I3166" s="17">
        <v>415058</v>
      </c>
      <c r="J3166" s="17">
        <v>1224</v>
      </c>
      <c r="K3166" s="17">
        <v>413834</v>
      </c>
      <c r="L3166" s="17">
        <v>85265.503249999994</v>
      </c>
      <c r="M3166" s="17">
        <v>2024</v>
      </c>
      <c r="N3166" s="17" t="s">
        <v>169</v>
      </c>
    </row>
    <row r="3167" spans="1:14" ht="14.25" customHeight="1">
      <c r="A3167" s="17">
        <v>13166</v>
      </c>
      <c r="B3167" s="18">
        <v>45722</v>
      </c>
      <c r="C3167" s="17" t="s">
        <v>50</v>
      </c>
      <c r="D3167" s="17" t="s">
        <v>111</v>
      </c>
      <c r="E3167" s="17" t="s">
        <v>168</v>
      </c>
      <c r="F3167" s="17" t="s">
        <v>166</v>
      </c>
      <c r="G3167" s="17">
        <v>8</v>
      </c>
      <c r="H3167" s="17">
        <v>7948</v>
      </c>
      <c r="I3167" s="17">
        <v>63584</v>
      </c>
      <c r="J3167" s="17">
        <v>2462</v>
      </c>
      <c r="K3167" s="17">
        <v>61122</v>
      </c>
      <c r="L3167" s="17">
        <v>6866.0987910000003</v>
      </c>
      <c r="M3167" s="17">
        <v>2025</v>
      </c>
      <c r="N3167" s="17" t="s">
        <v>112</v>
      </c>
    </row>
    <row r="3168" spans="1:14" ht="14.25" customHeight="1">
      <c r="A3168" s="17">
        <v>13167</v>
      </c>
      <c r="B3168" s="18">
        <v>45715</v>
      </c>
      <c r="C3168" s="17" t="s">
        <v>58</v>
      </c>
      <c r="D3168" s="17" t="s">
        <v>86</v>
      </c>
      <c r="E3168" s="17" t="s">
        <v>162</v>
      </c>
      <c r="F3168" s="17" t="s">
        <v>166</v>
      </c>
      <c r="G3168" s="17">
        <v>3</v>
      </c>
      <c r="H3168" s="17">
        <v>40902</v>
      </c>
      <c r="I3168" s="17">
        <v>122706</v>
      </c>
      <c r="J3168" s="17">
        <v>4178</v>
      </c>
      <c r="K3168" s="17">
        <v>118528</v>
      </c>
      <c r="L3168" s="17">
        <v>11855.742399999999</v>
      </c>
      <c r="M3168" s="17">
        <v>2025</v>
      </c>
      <c r="N3168" s="17" t="s">
        <v>175</v>
      </c>
    </row>
    <row r="3169" spans="1:14" ht="14.25" customHeight="1">
      <c r="A3169" s="17">
        <v>13168</v>
      </c>
      <c r="B3169" s="18">
        <v>45623</v>
      </c>
      <c r="C3169" s="17" t="s">
        <v>39</v>
      </c>
      <c r="D3169" s="17" t="s">
        <v>170</v>
      </c>
      <c r="E3169" s="17" t="s">
        <v>165</v>
      </c>
      <c r="F3169" s="17" t="s">
        <v>163</v>
      </c>
      <c r="G3169" s="17">
        <v>9</v>
      </c>
      <c r="H3169" s="17">
        <v>13969</v>
      </c>
      <c r="I3169" s="17">
        <v>125721</v>
      </c>
      <c r="J3169" s="17">
        <v>2752</v>
      </c>
      <c r="K3169" s="17">
        <v>122969</v>
      </c>
      <c r="L3169" s="17">
        <v>14514.588599999999</v>
      </c>
      <c r="M3169" s="17">
        <v>2024</v>
      </c>
      <c r="N3169" s="17" t="s">
        <v>173</v>
      </c>
    </row>
    <row r="3170" spans="1:14" ht="14.25" customHeight="1">
      <c r="A3170" s="17">
        <v>13169</v>
      </c>
      <c r="B3170" s="18">
        <v>45729</v>
      </c>
      <c r="C3170" s="17" t="s">
        <v>167</v>
      </c>
      <c r="D3170" s="17" t="s">
        <v>89</v>
      </c>
      <c r="E3170" s="17" t="s">
        <v>165</v>
      </c>
      <c r="F3170" s="17" t="s">
        <v>166</v>
      </c>
      <c r="G3170" s="17">
        <v>1</v>
      </c>
      <c r="H3170" s="17">
        <v>67805</v>
      </c>
      <c r="I3170" s="17">
        <v>67805</v>
      </c>
      <c r="J3170" s="17">
        <v>1752</v>
      </c>
      <c r="K3170" s="17">
        <v>66053</v>
      </c>
      <c r="L3170" s="17">
        <v>12715.78887</v>
      </c>
      <c r="M3170" s="17">
        <v>2025</v>
      </c>
      <c r="N3170" s="17" t="s">
        <v>112</v>
      </c>
    </row>
    <row r="3171" spans="1:14" ht="14.25" customHeight="1">
      <c r="A3171" s="17">
        <v>13170</v>
      </c>
      <c r="B3171" s="18">
        <v>45879</v>
      </c>
      <c r="C3171" s="17" t="s">
        <v>45</v>
      </c>
      <c r="D3171" s="17" t="s">
        <v>170</v>
      </c>
      <c r="E3171" s="17" t="s">
        <v>168</v>
      </c>
      <c r="F3171" s="17" t="s">
        <v>166</v>
      </c>
      <c r="G3171" s="17">
        <v>3</v>
      </c>
      <c r="H3171" s="17">
        <v>25646</v>
      </c>
      <c r="I3171" s="17">
        <v>76938</v>
      </c>
      <c r="J3171" s="17">
        <v>4442</v>
      </c>
      <c r="K3171" s="17">
        <v>72496</v>
      </c>
      <c r="L3171" s="17">
        <v>14602.790440000001</v>
      </c>
      <c r="M3171" s="17">
        <v>2025</v>
      </c>
      <c r="N3171" s="17" t="s">
        <v>126</v>
      </c>
    </row>
    <row r="3172" spans="1:14" ht="14.25" customHeight="1">
      <c r="A3172" s="17">
        <v>13171</v>
      </c>
      <c r="B3172" s="18">
        <v>45465</v>
      </c>
      <c r="C3172" s="17" t="s">
        <v>58</v>
      </c>
      <c r="D3172" s="17" t="s">
        <v>86</v>
      </c>
      <c r="E3172" s="17" t="s">
        <v>165</v>
      </c>
      <c r="F3172" s="17" t="s">
        <v>172</v>
      </c>
      <c r="G3172" s="17">
        <v>3</v>
      </c>
      <c r="H3172" s="17">
        <v>65566</v>
      </c>
      <c r="I3172" s="17">
        <v>196698</v>
      </c>
      <c r="J3172" s="17">
        <v>4629</v>
      </c>
      <c r="K3172" s="17">
        <v>192069</v>
      </c>
      <c r="L3172" s="17">
        <v>31835.62514</v>
      </c>
      <c r="M3172" s="17">
        <v>2024</v>
      </c>
      <c r="N3172" s="17" t="s">
        <v>120</v>
      </c>
    </row>
    <row r="3173" spans="1:14" ht="14.25" customHeight="1">
      <c r="A3173" s="17">
        <v>13172</v>
      </c>
      <c r="B3173" s="18">
        <v>45850</v>
      </c>
      <c r="C3173" s="17" t="s">
        <v>50</v>
      </c>
      <c r="D3173" s="17" t="s">
        <v>89</v>
      </c>
      <c r="E3173" s="17" t="s">
        <v>162</v>
      </c>
      <c r="F3173" s="17" t="s">
        <v>163</v>
      </c>
      <c r="G3173" s="17">
        <v>7</v>
      </c>
      <c r="H3173" s="17">
        <v>60818</v>
      </c>
      <c r="I3173" s="17">
        <v>425726</v>
      </c>
      <c r="J3173" s="17">
        <v>3002</v>
      </c>
      <c r="K3173" s="17">
        <v>422724</v>
      </c>
      <c r="L3173" s="17">
        <v>45193.679210000002</v>
      </c>
      <c r="M3173" s="17">
        <v>2025</v>
      </c>
      <c r="N3173" s="17" t="s">
        <v>123</v>
      </c>
    </row>
    <row r="3174" spans="1:14" ht="14.25" customHeight="1">
      <c r="A3174" s="17">
        <v>13173</v>
      </c>
      <c r="B3174" s="18">
        <v>45818</v>
      </c>
      <c r="C3174" s="17" t="s">
        <v>39</v>
      </c>
      <c r="D3174" s="17" t="s">
        <v>89</v>
      </c>
      <c r="E3174" s="17" t="s">
        <v>168</v>
      </c>
      <c r="F3174" s="17" t="s">
        <v>172</v>
      </c>
      <c r="G3174" s="17">
        <v>5</v>
      </c>
      <c r="H3174" s="17">
        <v>68451</v>
      </c>
      <c r="I3174" s="17">
        <v>342255</v>
      </c>
      <c r="J3174" s="17">
        <v>4546</v>
      </c>
      <c r="K3174" s="17">
        <v>337709</v>
      </c>
      <c r="L3174" s="17">
        <v>65890.03443</v>
      </c>
      <c r="M3174" s="17">
        <v>2025</v>
      </c>
      <c r="N3174" s="17" t="s">
        <v>120</v>
      </c>
    </row>
    <row r="3175" spans="1:14" ht="14.25" customHeight="1">
      <c r="A3175" s="17">
        <v>13174</v>
      </c>
      <c r="B3175" s="18">
        <v>45950</v>
      </c>
      <c r="C3175" s="17" t="s">
        <v>39</v>
      </c>
      <c r="D3175" s="17" t="s">
        <v>83</v>
      </c>
      <c r="E3175" s="17" t="s">
        <v>162</v>
      </c>
      <c r="F3175" s="17" t="s">
        <v>172</v>
      </c>
      <c r="G3175" s="17">
        <v>4</v>
      </c>
      <c r="H3175" s="17">
        <v>8678</v>
      </c>
      <c r="I3175" s="17">
        <v>34712</v>
      </c>
      <c r="J3175" s="17">
        <v>3216</v>
      </c>
      <c r="K3175" s="17">
        <v>31496</v>
      </c>
      <c r="L3175" s="17">
        <v>3555.0360909999999</v>
      </c>
      <c r="M3175" s="17">
        <v>2025</v>
      </c>
      <c r="N3175" s="17" t="s">
        <v>174</v>
      </c>
    </row>
    <row r="3176" spans="1:14" ht="14.25" customHeight="1">
      <c r="A3176" s="17">
        <v>13175</v>
      </c>
      <c r="B3176" s="18">
        <v>45317</v>
      </c>
      <c r="C3176" s="17" t="s">
        <v>58</v>
      </c>
      <c r="D3176" s="17" t="s">
        <v>86</v>
      </c>
      <c r="E3176" s="17" t="s">
        <v>162</v>
      </c>
      <c r="F3176" s="17" t="s">
        <v>164</v>
      </c>
      <c r="G3176" s="17">
        <v>2</v>
      </c>
      <c r="H3176" s="17">
        <v>73879</v>
      </c>
      <c r="I3176" s="17">
        <v>147758</v>
      </c>
      <c r="J3176" s="17">
        <v>3359</v>
      </c>
      <c r="K3176" s="17">
        <v>144399</v>
      </c>
      <c r="L3176" s="17">
        <v>17509.67109</v>
      </c>
      <c r="M3176" s="17">
        <v>2024</v>
      </c>
      <c r="N3176" s="17" t="s">
        <v>171</v>
      </c>
    </row>
    <row r="3177" spans="1:14" ht="14.25" customHeight="1">
      <c r="A3177" s="17">
        <v>13176</v>
      </c>
      <c r="B3177" s="18">
        <v>45896</v>
      </c>
      <c r="C3177" s="17" t="s">
        <v>50</v>
      </c>
      <c r="D3177" s="17" t="s">
        <v>86</v>
      </c>
      <c r="E3177" s="17" t="s">
        <v>162</v>
      </c>
      <c r="F3177" s="17" t="s">
        <v>166</v>
      </c>
      <c r="G3177" s="17">
        <v>7</v>
      </c>
      <c r="H3177" s="17">
        <v>9014</v>
      </c>
      <c r="I3177" s="17">
        <v>63098</v>
      </c>
      <c r="J3177" s="17">
        <v>3942</v>
      </c>
      <c r="K3177" s="17">
        <v>59156</v>
      </c>
      <c r="L3177" s="17">
        <v>10463.889080000001</v>
      </c>
      <c r="M3177" s="17">
        <v>2025</v>
      </c>
      <c r="N3177" s="17" t="s">
        <v>126</v>
      </c>
    </row>
    <row r="3178" spans="1:14" ht="14.25" customHeight="1">
      <c r="A3178" s="17">
        <v>13177</v>
      </c>
      <c r="B3178" s="18">
        <v>45697</v>
      </c>
      <c r="C3178" s="17" t="s">
        <v>39</v>
      </c>
      <c r="D3178" s="17" t="s">
        <v>83</v>
      </c>
      <c r="E3178" s="17" t="s">
        <v>162</v>
      </c>
      <c r="F3178" s="17" t="s">
        <v>172</v>
      </c>
      <c r="G3178" s="17">
        <v>3</v>
      </c>
      <c r="H3178" s="17">
        <v>10107</v>
      </c>
      <c r="I3178" s="17">
        <v>30321</v>
      </c>
      <c r="J3178" s="17">
        <v>3296</v>
      </c>
      <c r="K3178" s="17">
        <v>27025</v>
      </c>
      <c r="L3178" s="17">
        <v>4082.288149</v>
      </c>
      <c r="M3178" s="17">
        <v>2025</v>
      </c>
      <c r="N3178" s="17" t="s">
        <v>175</v>
      </c>
    </row>
    <row r="3179" spans="1:14" ht="14.25" customHeight="1">
      <c r="A3179" s="17">
        <v>13178</v>
      </c>
      <c r="B3179" s="18">
        <v>45523</v>
      </c>
      <c r="C3179" s="17" t="s">
        <v>45</v>
      </c>
      <c r="D3179" s="17" t="s">
        <v>170</v>
      </c>
      <c r="E3179" s="17" t="s">
        <v>162</v>
      </c>
      <c r="F3179" s="17" t="s">
        <v>172</v>
      </c>
      <c r="G3179" s="17">
        <v>7</v>
      </c>
      <c r="H3179" s="17">
        <v>42423</v>
      </c>
      <c r="I3179" s="17">
        <v>296961</v>
      </c>
      <c r="J3179" s="17">
        <v>4309</v>
      </c>
      <c r="K3179" s="17">
        <v>292652</v>
      </c>
      <c r="L3179" s="17">
        <v>49666.874949999998</v>
      </c>
      <c r="M3179" s="17">
        <v>2024</v>
      </c>
      <c r="N3179" s="17" t="s">
        <v>126</v>
      </c>
    </row>
    <row r="3180" spans="1:14" ht="14.25" customHeight="1">
      <c r="A3180" s="17">
        <v>13179</v>
      </c>
      <c r="B3180" s="18">
        <v>45824</v>
      </c>
      <c r="C3180" s="17" t="s">
        <v>39</v>
      </c>
      <c r="D3180" s="17" t="s">
        <v>83</v>
      </c>
      <c r="E3180" s="17" t="s">
        <v>168</v>
      </c>
      <c r="F3180" s="17" t="s">
        <v>172</v>
      </c>
      <c r="G3180" s="17">
        <v>7</v>
      </c>
      <c r="H3180" s="17">
        <v>37332</v>
      </c>
      <c r="I3180" s="17">
        <v>261324</v>
      </c>
      <c r="J3180" s="17">
        <v>4014</v>
      </c>
      <c r="K3180" s="17">
        <v>257310</v>
      </c>
      <c r="L3180" s="17">
        <v>50242.745710000003</v>
      </c>
      <c r="M3180" s="17">
        <v>2025</v>
      </c>
      <c r="N3180" s="17" t="s">
        <v>120</v>
      </c>
    </row>
    <row r="3181" spans="1:14" ht="14.25" customHeight="1">
      <c r="A3181" s="17">
        <v>13180</v>
      </c>
      <c r="B3181" s="18">
        <v>45841</v>
      </c>
      <c r="C3181" s="17" t="s">
        <v>50</v>
      </c>
      <c r="D3181" s="17" t="s">
        <v>86</v>
      </c>
      <c r="E3181" s="17" t="s">
        <v>162</v>
      </c>
      <c r="F3181" s="17" t="s">
        <v>166</v>
      </c>
      <c r="G3181" s="17">
        <v>2</v>
      </c>
      <c r="H3181" s="17">
        <v>39010</v>
      </c>
      <c r="I3181" s="17">
        <v>78020</v>
      </c>
      <c r="J3181" s="17">
        <v>899</v>
      </c>
      <c r="K3181" s="17">
        <v>77121</v>
      </c>
      <c r="L3181" s="17">
        <v>9563.0853950000001</v>
      </c>
      <c r="M3181" s="17">
        <v>2025</v>
      </c>
      <c r="N3181" s="17" t="s">
        <v>123</v>
      </c>
    </row>
    <row r="3182" spans="1:14" ht="14.25" customHeight="1">
      <c r="A3182" s="17">
        <v>13181</v>
      </c>
      <c r="B3182" s="18">
        <v>45796</v>
      </c>
      <c r="C3182" s="17" t="s">
        <v>167</v>
      </c>
      <c r="D3182" s="17" t="s">
        <v>170</v>
      </c>
      <c r="E3182" s="17" t="s">
        <v>168</v>
      </c>
      <c r="F3182" s="17" t="s">
        <v>166</v>
      </c>
      <c r="G3182" s="17">
        <v>7</v>
      </c>
      <c r="H3182" s="17">
        <v>7661</v>
      </c>
      <c r="I3182" s="17">
        <v>53627</v>
      </c>
      <c r="J3182" s="17">
        <v>1189</v>
      </c>
      <c r="K3182" s="17">
        <v>52438</v>
      </c>
      <c r="L3182" s="17">
        <v>12268.552369999999</v>
      </c>
      <c r="M3182" s="17">
        <v>2025</v>
      </c>
      <c r="N3182" s="17" t="s">
        <v>117</v>
      </c>
    </row>
    <row r="3183" spans="1:14" ht="14.25" customHeight="1">
      <c r="A3183" s="17">
        <v>13182</v>
      </c>
      <c r="B3183" s="18">
        <v>45960</v>
      </c>
      <c r="C3183" s="17" t="s">
        <v>167</v>
      </c>
      <c r="D3183" s="17" t="s">
        <v>89</v>
      </c>
      <c r="E3183" s="17" t="s">
        <v>165</v>
      </c>
      <c r="F3183" s="17" t="s">
        <v>166</v>
      </c>
      <c r="G3183" s="17">
        <v>6</v>
      </c>
      <c r="H3183" s="17">
        <v>9798</v>
      </c>
      <c r="I3183" s="17">
        <v>58788</v>
      </c>
      <c r="J3183" s="17">
        <v>652</v>
      </c>
      <c r="K3183" s="17">
        <v>58136</v>
      </c>
      <c r="L3183" s="17">
        <v>10692.489960000001</v>
      </c>
      <c r="M3183" s="17">
        <v>2025</v>
      </c>
      <c r="N3183" s="17" t="s">
        <v>174</v>
      </c>
    </row>
    <row r="3184" spans="1:14" ht="14.25" customHeight="1">
      <c r="A3184" s="17">
        <v>13183</v>
      </c>
      <c r="B3184" s="18">
        <v>45470</v>
      </c>
      <c r="C3184" s="17" t="s">
        <v>58</v>
      </c>
      <c r="D3184" s="17" t="s">
        <v>83</v>
      </c>
      <c r="E3184" s="17" t="s">
        <v>162</v>
      </c>
      <c r="F3184" s="17" t="s">
        <v>163</v>
      </c>
      <c r="G3184" s="17">
        <v>4</v>
      </c>
      <c r="H3184" s="17">
        <v>71076</v>
      </c>
      <c r="I3184" s="17">
        <v>284304</v>
      </c>
      <c r="J3184" s="17">
        <v>982</v>
      </c>
      <c r="K3184" s="17">
        <v>283322</v>
      </c>
      <c r="L3184" s="17">
        <v>29271.126649999998</v>
      </c>
      <c r="M3184" s="17">
        <v>2024</v>
      </c>
      <c r="N3184" s="17" t="s">
        <v>120</v>
      </c>
    </row>
    <row r="3185" spans="1:14" ht="14.25" customHeight="1">
      <c r="A3185" s="17">
        <v>13184</v>
      </c>
      <c r="B3185" s="18">
        <v>45423</v>
      </c>
      <c r="C3185" s="17" t="s">
        <v>50</v>
      </c>
      <c r="D3185" s="17" t="s">
        <v>170</v>
      </c>
      <c r="E3185" s="17" t="s">
        <v>162</v>
      </c>
      <c r="F3185" s="17" t="s">
        <v>172</v>
      </c>
      <c r="G3185" s="17">
        <v>5</v>
      </c>
      <c r="H3185" s="17">
        <v>27329</v>
      </c>
      <c r="I3185" s="17">
        <v>136645</v>
      </c>
      <c r="J3185" s="17">
        <v>575</v>
      </c>
      <c r="K3185" s="17">
        <v>136070</v>
      </c>
      <c r="L3185" s="17">
        <v>26434.03673</v>
      </c>
      <c r="M3185" s="17">
        <v>2024</v>
      </c>
      <c r="N3185" s="17" t="s">
        <v>117</v>
      </c>
    </row>
    <row r="3186" spans="1:14" ht="14.25" customHeight="1">
      <c r="A3186" s="17">
        <v>13185</v>
      </c>
      <c r="B3186" s="18">
        <v>45746</v>
      </c>
      <c r="C3186" s="17" t="s">
        <v>39</v>
      </c>
      <c r="D3186" s="17" t="s">
        <v>170</v>
      </c>
      <c r="E3186" s="17" t="s">
        <v>165</v>
      </c>
      <c r="F3186" s="17" t="s">
        <v>166</v>
      </c>
      <c r="G3186" s="17">
        <v>8</v>
      </c>
      <c r="H3186" s="17">
        <v>61060</v>
      </c>
      <c r="I3186" s="17">
        <v>488480</v>
      </c>
      <c r="J3186" s="17">
        <v>332</v>
      </c>
      <c r="K3186" s="17">
        <v>488148</v>
      </c>
      <c r="L3186" s="17">
        <v>82729.780379999997</v>
      </c>
      <c r="M3186" s="17">
        <v>2025</v>
      </c>
      <c r="N3186" s="17" t="s">
        <v>112</v>
      </c>
    </row>
    <row r="3187" spans="1:14" ht="14.25" customHeight="1">
      <c r="A3187" s="17">
        <v>13186</v>
      </c>
      <c r="B3187" s="18">
        <v>45639</v>
      </c>
      <c r="C3187" s="17" t="s">
        <v>39</v>
      </c>
      <c r="D3187" s="17" t="s">
        <v>170</v>
      </c>
      <c r="E3187" s="17" t="s">
        <v>168</v>
      </c>
      <c r="F3187" s="17" t="s">
        <v>172</v>
      </c>
      <c r="G3187" s="17">
        <v>5</v>
      </c>
      <c r="H3187" s="17">
        <v>30850</v>
      </c>
      <c r="I3187" s="17">
        <v>154250</v>
      </c>
      <c r="J3187" s="17">
        <v>4307</v>
      </c>
      <c r="K3187" s="17">
        <v>149943</v>
      </c>
      <c r="L3187" s="17">
        <v>30775.180990000001</v>
      </c>
      <c r="M3187" s="17">
        <v>2024</v>
      </c>
      <c r="N3187" s="17" t="s">
        <v>169</v>
      </c>
    </row>
    <row r="3188" spans="1:14" ht="14.25" customHeight="1">
      <c r="A3188" s="17">
        <v>13187</v>
      </c>
      <c r="B3188" s="18">
        <v>45831</v>
      </c>
      <c r="C3188" s="17" t="s">
        <v>167</v>
      </c>
      <c r="D3188" s="17" t="s">
        <v>83</v>
      </c>
      <c r="E3188" s="17" t="s">
        <v>162</v>
      </c>
      <c r="F3188" s="17" t="s">
        <v>163</v>
      </c>
      <c r="G3188" s="17">
        <v>3</v>
      </c>
      <c r="H3188" s="17">
        <v>8157</v>
      </c>
      <c r="I3188" s="17">
        <v>24471</v>
      </c>
      <c r="J3188" s="17">
        <v>288</v>
      </c>
      <c r="K3188" s="17">
        <v>24183</v>
      </c>
      <c r="L3188" s="17">
        <v>5262.3427659999998</v>
      </c>
      <c r="M3188" s="17">
        <v>2025</v>
      </c>
      <c r="N3188" s="17" t="s">
        <v>120</v>
      </c>
    </row>
    <row r="3189" spans="1:14" ht="14.25" customHeight="1">
      <c r="A3189" s="17">
        <v>13188</v>
      </c>
      <c r="B3189" s="18">
        <v>45697</v>
      </c>
      <c r="C3189" s="17" t="s">
        <v>167</v>
      </c>
      <c r="D3189" s="17" t="s">
        <v>89</v>
      </c>
      <c r="E3189" s="17" t="s">
        <v>165</v>
      </c>
      <c r="F3189" s="17" t="s">
        <v>164</v>
      </c>
      <c r="G3189" s="17">
        <v>2</v>
      </c>
      <c r="H3189" s="17">
        <v>42485</v>
      </c>
      <c r="I3189" s="17">
        <v>84970</v>
      </c>
      <c r="J3189" s="17">
        <v>2213</v>
      </c>
      <c r="K3189" s="17">
        <v>82757</v>
      </c>
      <c r="L3189" s="17">
        <v>19930.097529999999</v>
      </c>
      <c r="M3189" s="17">
        <v>2025</v>
      </c>
      <c r="N3189" s="17" t="s">
        <v>175</v>
      </c>
    </row>
    <row r="3190" spans="1:14" ht="14.25" customHeight="1">
      <c r="A3190" s="17">
        <v>13189</v>
      </c>
      <c r="B3190" s="18">
        <v>45367</v>
      </c>
      <c r="C3190" s="17" t="s">
        <v>45</v>
      </c>
      <c r="D3190" s="17" t="s">
        <v>170</v>
      </c>
      <c r="E3190" s="17" t="s">
        <v>165</v>
      </c>
      <c r="F3190" s="17" t="s">
        <v>163</v>
      </c>
      <c r="G3190" s="17">
        <v>6</v>
      </c>
      <c r="H3190" s="17">
        <v>10336</v>
      </c>
      <c r="I3190" s="17">
        <v>62016</v>
      </c>
      <c r="J3190" s="17">
        <v>2173</v>
      </c>
      <c r="K3190" s="17">
        <v>59843</v>
      </c>
      <c r="L3190" s="17">
        <v>14945.901110000001</v>
      </c>
      <c r="M3190" s="17">
        <v>2024</v>
      </c>
      <c r="N3190" s="17" t="s">
        <v>112</v>
      </c>
    </row>
    <row r="3191" spans="1:14" ht="14.25" customHeight="1">
      <c r="A3191" s="17">
        <v>13190</v>
      </c>
      <c r="B3191" s="18">
        <v>45870</v>
      </c>
      <c r="C3191" s="17" t="s">
        <v>167</v>
      </c>
      <c r="D3191" s="17" t="s">
        <v>83</v>
      </c>
      <c r="E3191" s="17" t="s">
        <v>162</v>
      </c>
      <c r="F3191" s="17" t="s">
        <v>166</v>
      </c>
      <c r="G3191" s="17">
        <v>6</v>
      </c>
      <c r="H3191" s="17">
        <v>77701</v>
      </c>
      <c r="I3191" s="17">
        <v>466206</v>
      </c>
      <c r="J3191" s="17">
        <v>3833</v>
      </c>
      <c r="K3191" s="17">
        <v>462373</v>
      </c>
      <c r="L3191" s="17">
        <v>84356.508719999998</v>
      </c>
      <c r="M3191" s="17">
        <v>2025</v>
      </c>
      <c r="N3191" s="17" t="s">
        <v>126</v>
      </c>
    </row>
    <row r="3192" spans="1:14" ht="14.25" customHeight="1">
      <c r="A3192" s="17">
        <v>13191</v>
      </c>
      <c r="B3192" s="18">
        <v>45783</v>
      </c>
      <c r="C3192" s="17" t="s">
        <v>45</v>
      </c>
      <c r="D3192" s="17" t="s">
        <v>86</v>
      </c>
      <c r="E3192" s="17" t="s">
        <v>168</v>
      </c>
      <c r="F3192" s="17" t="s">
        <v>166</v>
      </c>
      <c r="G3192" s="17">
        <v>7</v>
      </c>
      <c r="H3192" s="17">
        <v>47280</v>
      </c>
      <c r="I3192" s="17">
        <v>330960</v>
      </c>
      <c r="J3192" s="17">
        <v>1055</v>
      </c>
      <c r="K3192" s="17">
        <v>329905</v>
      </c>
      <c r="L3192" s="17">
        <v>60777.161990000001</v>
      </c>
      <c r="M3192" s="17">
        <v>2025</v>
      </c>
      <c r="N3192" s="17" t="s">
        <v>117</v>
      </c>
    </row>
    <row r="3193" spans="1:14" ht="14.25" customHeight="1">
      <c r="A3193" s="17">
        <v>13192</v>
      </c>
      <c r="B3193" s="18">
        <v>45485</v>
      </c>
      <c r="C3193" s="17" t="s">
        <v>39</v>
      </c>
      <c r="D3193" s="17" t="s">
        <v>83</v>
      </c>
      <c r="E3193" s="17" t="s">
        <v>168</v>
      </c>
      <c r="F3193" s="17" t="s">
        <v>163</v>
      </c>
      <c r="G3193" s="17">
        <v>8</v>
      </c>
      <c r="H3193" s="17">
        <v>57145</v>
      </c>
      <c r="I3193" s="17">
        <v>457160</v>
      </c>
      <c r="J3193" s="17">
        <v>4369</v>
      </c>
      <c r="K3193" s="17">
        <v>452791</v>
      </c>
      <c r="L3193" s="17">
        <v>46803.551149999999</v>
      </c>
      <c r="M3193" s="17">
        <v>2024</v>
      </c>
      <c r="N3193" s="17" t="s">
        <v>123</v>
      </c>
    </row>
    <row r="3194" spans="1:14" ht="14.25" customHeight="1">
      <c r="A3194" s="17">
        <v>13193</v>
      </c>
      <c r="B3194" s="18">
        <v>45453</v>
      </c>
      <c r="C3194" s="17" t="s">
        <v>45</v>
      </c>
      <c r="D3194" s="17" t="s">
        <v>83</v>
      </c>
      <c r="E3194" s="17" t="s">
        <v>162</v>
      </c>
      <c r="F3194" s="17" t="s">
        <v>172</v>
      </c>
      <c r="G3194" s="17">
        <v>4</v>
      </c>
      <c r="H3194" s="17">
        <v>10209</v>
      </c>
      <c r="I3194" s="17">
        <v>40836</v>
      </c>
      <c r="J3194" s="17">
        <v>1324</v>
      </c>
      <c r="K3194" s="17">
        <v>39512</v>
      </c>
      <c r="L3194" s="17">
        <v>9078.8923620000005</v>
      </c>
      <c r="M3194" s="17">
        <v>2024</v>
      </c>
      <c r="N3194" s="17" t="s">
        <v>120</v>
      </c>
    </row>
    <row r="3195" spans="1:14" ht="14.25" customHeight="1">
      <c r="A3195" s="17">
        <v>13194</v>
      </c>
      <c r="B3195" s="18">
        <v>45638</v>
      </c>
      <c r="C3195" s="17" t="s">
        <v>45</v>
      </c>
      <c r="D3195" s="17" t="s">
        <v>83</v>
      </c>
      <c r="E3195" s="17" t="s">
        <v>165</v>
      </c>
      <c r="F3195" s="17" t="s">
        <v>166</v>
      </c>
      <c r="G3195" s="17">
        <v>8</v>
      </c>
      <c r="H3195" s="17">
        <v>66402</v>
      </c>
      <c r="I3195" s="17">
        <v>531216</v>
      </c>
      <c r="J3195" s="17">
        <v>3595</v>
      </c>
      <c r="K3195" s="17">
        <v>527621</v>
      </c>
      <c r="L3195" s="17">
        <v>55034.93247</v>
      </c>
      <c r="M3195" s="17">
        <v>2024</v>
      </c>
      <c r="N3195" s="17" t="s">
        <v>169</v>
      </c>
    </row>
    <row r="3196" spans="1:14" ht="14.25" customHeight="1">
      <c r="A3196" s="17">
        <v>13195</v>
      </c>
      <c r="B3196" s="18">
        <v>45652</v>
      </c>
      <c r="C3196" s="17" t="s">
        <v>58</v>
      </c>
      <c r="D3196" s="17" t="s">
        <v>170</v>
      </c>
      <c r="E3196" s="17" t="s">
        <v>162</v>
      </c>
      <c r="F3196" s="17" t="s">
        <v>166</v>
      </c>
      <c r="G3196" s="17">
        <v>1</v>
      </c>
      <c r="H3196" s="17">
        <v>12645</v>
      </c>
      <c r="I3196" s="17">
        <v>12645</v>
      </c>
      <c r="J3196" s="17">
        <v>3827</v>
      </c>
      <c r="K3196" s="17">
        <v>8818</v>
      </c>
      <c r="L3196" s="17">
        <v>1718.62574</v>
      </c>
      <c r="M3196" s="17">
        <v>2024</v>
      </c>
      <c r="N3196" s="17" t="s">
        <v>169</v>
      </c>
    </row>
    <row r="3197" spans="1:14" ht="14.25" customHeight="1">
      <c r="A3197" s="17">
        <v>13196</v>
      </c>
      <c r="B3197" s="18">
        <v>45875</v>
      </c>
      <c r="C3197" s="17" t="s">
        <v>167</v>
      </c>
      <c r="D3197" s="17" t="s">
        <v>83</v>
      </c>
      <c r="E3197" s="17" t="s">
        <v>168</v>
      </c>
      <c r="F3197" s="17" t="s">
        <v>163</v>
      </c>
      <c r="G3197" s="17">
        <v>6</v>
      </c>
      <c r="H3197" s="17">
        <v>43508</v>
      </c>
      <c r="I3197" s="17">
        <v>261048</v>
      </c>
      <c r="J3197" s="17">
        <v>2662</v>
      </c>
      <c r="K3197" s="17">
        <v>258386</v>
      </c>
      <c r="L3197" s="17">
        <v>29659.236680000002</v>
      </c>
      <c r="M3197" s="17">
        <v>2025</v>
      </c>
      <c r="N3197" s="17" t="s">
        <v>126</v>
      </c>
    </row>
    <row r="3198" spans="1:14" ht="14.25" customHeight="1">
      <c r="A3198" s="17">
        <v>13197</v>
      </c>
      <c r="B3198" s="18">
        <v>45378</v>
      </c>
      <c r="C3198" s="17" t="s">
        <v>45</v>
      </c>
      <c r="D3198" s="17" t="s">
        <v>86</v>
      </c>
      <c r="E3198" s="17" t="s">
        <v>165</v>
      </c>
      <c r="F3198" s="17" t="s">
        <v>172</v>
      </c>
      <c r="G3198" s="17">
        <v>6</v>
      </c>
      <c r="H3198" s="17">
        <v>62822</v>
      </c>
      <c r="I3198" s="17">
        <v>376932</v>
      </c>
      <c r="J3198" s="17">
        <v>2323</v>
      </c>
      <c r="K3198" s="17">
        <v>374609</v>
      </c>
      <c r="L3198" s="17">
        <v>53522.557050000003</v>
      </c>
      <c r="M3198" s="17">
        <v>2024</v>
      </c>
      <c r="N3198" s="17" t="s">
        <v>112</v>
      </c>
    </row>
    <row r="3199" spans="1:14" ht="14.25" customHeight="1">
      <c r="A3199" s="17">
        <v>13198</v>
      </c>
      <c r="B3199" s="18">
        <v>45553</v>
      </c>
      <c r="C3199" s="17" t="s">
        <v>39</v>
      </c>
      <c r="D3199" s="17" t="s">
        <v>170</v>
      </c>
      <c r="E3199" s="17" t="s">
        <v>162</v>
      </c>
      <c r="F3199" s="17" t="s">
        <v>163</v>
      </c>
      <c r="G3199" s="17">
        <v>3</v>
      </c>
      <c r="H3199" s="17">
        <v>11018</v>
      </c>
      <c r="I3199" s="17">
        <v>33054</v>
      </c>
      <c r="J3199" s="17">
        <v>1882</v>
      </c>
      <c r="K3199" s="17">
        <v>31172</v>
      </c>
      <c r="L3199" s="17">
        <v>3773.3529239999998</v>
      </c>
      <c r="M3199" s="17">
        <v>2024</v>
      </c>
      <c r="N3199" s="17" t="s">
        <v>129</v>
      </c>
    </row>
    <row r="3200" spans="1:14" ht="14.25" customHeight="1">
      <c r="A3200" s="17">
        <v>13199</v>
      </c>
      <c r="B3200" s="18">
        <v>45505</v>
      </c>
      <c r="C3200" s="17" t="s">
        <v>50</v>
      </c>
      <c r="D3200" s="17" t="s">
        <v>86</v>
      </c>
      <c r="E3200" s="17" t="s">
        <v>165</v>
      </c>
      <c r="F3200" s="17" t="s">
        <v>163</v>
      </c>
      <c r="G3200" s="17">
        <v>9</v>
      </c>
      <c r="H3200" s="17">
        <v>55908</v>
      </c>
      <c r="I3200" s="17">
        <v>503172</v>
      </c>
      <c r="J3200" s="17">
        <v>3063</v>
      </c>
      <c r="K3200" s="17">
        <v>500109</v>
      </c>
      <c r="L3200" s="17">
        <v>60317.718009999997</v>
      </c>
      <c r="M3200" s="17">
        <v>2024</v>
      </c>
      <c r="N3200" s="17" t="s">
        <v>126</v>
      </c>
    </row>
    <row r="3201" spans="1:14" ht="14.25" customHeight="1">
      <c r="A3201" s="17">
        <v>13200</v>
      </c>
      <c r="B3201" s="18">
        <v>45956</v>
      </c>
      <c r="C3201" s="17" t="s">
        <v>45</v>
      </c>
      <c r="D3201" s="17" t="s">
        <v>111</v>
      </c>
      <c r="E3201" s="17" t="s">
        <v>168</v>
      </c>
      <c r="F3201" s="17" t="s">
        <v>172</v>
      </c>
      <c r="G3201" s="17">
        <v>5</v>
      </c>
      <c r="H3201" s="17">
        <v>31374</v>
      </c>
      <c r="I3201" s="17">
        <v>156870</v>
      </c>
      <c r="J3201" s="17">
        <v>1153</v>
      </c>
      <c r="K3201" s="17">
        <v>155717</v>
      </c>
      <c r="L3201" s="17">
        <v>17314.196169999999</v>
      </c>
      <c r="M3201" s="17">
        <v>2025</v>
      </c>
      <c r="N3201" s="17" t="s">
        <v>174</v>
      </c>
    </row>
    <row r="3202" spans="1:14" ht="14.25" customHeight="1">
      <c r="A3202" s="17">
        <v>13201</v>
      </c>
      <c r="B3202" s="18">
        <v>46013</v>
      </c>
      <c r="C3202" s="17" t="s">
        <v>167</v>
      </c>
      <c r="D3202" s="17" t="s">
        <v>83</v>
      </c>
      <c r="E3202" s="17" t="s">
        <v>168</v>
      </c>
      <c r="F3202" s="17" t="s">
        <v>172</v>
      </c>
      <c r="G3202" s="17">
        <v>1</v>
      </c>
      <c r="H3202" s="17">
        <v>10713</v>
      </c>
      <c r="I3202" s="17">
        <v>10713</v>
      </c>
      <c r="J3202" s="17">
        <v>3370</v>
      </c>
      <c r="K3202" s="17">
        <v>7343</v>
      </c>
      <c r="L3202" s="17">
        <v>1084.4311090000001</v>
      </c>
      <c r="M3202" s="17">
        <v>2025</v>
      </c>
      <c r="N3202" s="17" t="s">
        <v>169</v>
      </c>
    </row>
    <row r="3203" spans="1:14" ht="14.25" customHeight="1">
      <c r="A3203" s="17">
        <v>13202</v>
      </c>
      <c r="B3203" s="18">
        <v>45864</v>
      </c>
      <c r="C3203" s="17" t="s">
        <v>58</v>
      </c>
      <c r="D3203" s="17" t="s">
        <v>170</v>
      </c>
      <c r="E3203" s="17" t="s">
        <v>168</v>
      </c>
      <c r="F3203" s="17" t="s">
        <v>164</v>
      </c>
      <c r="G3203" s="17">
        <v>7</v>
      </c>
      <c r="H3203" s="17">
        <v>6026</v>
      </c>
      <c r="I3203" s="17">
        <v>42182</v>
      </c>
      <c r="J3203" s="17">
        <v>96</v>
      </c>
      <c r="K3203" s="17">
        <v>42086</v>
      </c>
      <c r="L3203" s="17">
        <v>6883.0685720000001</v>
      </c>
      <c r="M3203" s="17">
        <v>2025</v>
      </c>
      <c r="N3203" s="17" t="s">
        <v>123</v>
      </c>
    </row>
    <row r="3204" spans="1:14" ht="14.25" customHeight="1">
      <c r="A3204" s="17">
        <v>13203</v>
      </c>
      <c r="B3204" s="18">
        <v>45553</v>
      </c>
      <c r="C3204" s="17" t="s">
        <v>39</v>
      </c>
      <c r="D3204" s="17" t="s">
        <v>170</v>
      </c>
      <c r="E3204" s="17" t="s">
        <v>162</v>
      </c>
      <c r="F3204" s="17" t="s">
        <v>163</v>
      </c>
      <c r="G3204" s="17">
        <v>3</v>
      </c>
      <c r="H3204" s="17">
        <v>75009</v>
      </c>
      <c r="I3204" s="17">
        <v>225027</v>
      </c>
      <c r="J3204" s="17">
        <v>276</v>
      </c>
      <c r="K3204" s="17">
        <v>224751</v>
      </c>
      <c r="L3204" s="17">
        <v>38133.722179999997</v>
      </c>
      <c r="M3204" s="17">
        <v>2024</v>
      </c>
      <c r="N3204" s="17" t="s">
        <v>129</v>
      </c>
    </row>
    <row r="3205" spans="1:14" ht="14.25" customHeight="1">
      <c r="A3205" s="17">
        <v>13204</v>
      </c>
      <c r="B3205" s="18">
        <v>46021</v>
      </c>
      <c r="C3205" s="17" t="s">
        <v>58</v>
      </c>
      <c r="D3205" s="17" t="s">
        <v>83</v>
      </c>
      <c r="E3205" s="17" t="s">
        <v>165</v>
      </c>
      <c r="F3205" s="17" t="s">
        <v>172</v>
      </c>
      <c r="G3205" s="17">
        <v>4</v>
      </c>
      <c r="H3205" s="17">
        <v>75203</v>
      </c>
      <c r="I3205" s="17">
        <v>300812</v>
      </c>
      <c r="J3205" s="17">
        <v>2847</v>
      </c>
      <c r="K3205" s="17">
        <v>297965</v>
      </c>
      <c r="L3205" s="17">
        <v>49449.140899999999</v>
      </c>
      <c r="M3205" s="17">
        <v>2025</v>
      </c>
      <c r="N3205" s="17" t="s">
        <v>169</v>
      </c>
    </row>
    <row r="3206" spans="1:14" ht="14.25" customHeight="1">
      <c r="A3206" s="17">
        <v>13205</v>
      </c>
      <c r="B3206" s="18">
        <v>45574</v>
      </c>
      <c r="C3206" s="17" t="s">
        <v>50</v>
      </c>
      <c r="D3206" s="17" t="s">
        <v>89</v>
      </c>
      <c r="E3206" s="17" t="s">
        <v>162</v>
      </c>
      <c r="F3206" s="17" t="s">
        <v>166</v>
      </c>
      <c r="G3206" s="17">
        <v>6</v>
      </c>
      <c r="H3206" s="17">
        <v>56106</v>
      </c>
      <c r="I3206" s="17">
        <v>336636</v>
      </c>
      <c r="J3206" s="17">
        <v>331</v>
      </c>
      <c r="K3206" s="17">
        <v>336305</v>
      </c>
      <c r="L3206" s="17">
        <v>60048.53744</v>
      </c>
      <c r="M3206" s="17">
        <v>2024</v>
      </c>
      <c r="N3206" s="17" t="s">
        <v>174</v>
      </c>
    </row>
    <row r="3207" spans="1:14" ht="14.25" customHeight="1">
      <c r="A3207" s="17">
        <v>13206</v>
      </c>
      <c r="B3207" s="18">
        <v>45939</v>
      </c>
      <c r="C3207" s="17" t="s">
        <v>45</v>
      </c>
      <c r="D3207" s="17" t="s">
        <v>89</v>
      </c>
      <c r="E3207" s="17" t="s">
        <v>162</v>
      </c>
      <c r="F3207" s="17" t="s">
        <v>164</v>
      </c>
      <c r="G3207" s="17">
        <v>8</v>
      </c>
      <c r="H3207" s="17">
        <v>38452</v>
      </c>
      <c r="I3207" s="17">
        <v>307616</v>
      </c>
      <c r="J3207" s="17">
        <v>2252</v>
      </c>
      <c r="K3207" s="17">
        <v>305364</v>
      </c>
      <c r="L3207" s="17">
        <v>69918.596380000003</v>
      </c>
      <c r="M3207" s="17">
        <v>2025</v>
      </c>
      <c r="N3207" s="17" t="s">
        <v>174</v>
      </c>
    </row>
    <row r="3208" spans="1:14" ht="14.25" customHeight="1">
      <c r="A3208" s="17">
        <v>13207</v>
      </c>
      <c r="B3208" s="18">
        <v>45758</v>
      </c>
      <c r="C3208" s="17" t="s">
        <v>45</v>
      </c>
      <c r="D3208" s="17" t="s">
        <v>86</v>
      </c>
      <c r="E3208" s="17" t="s">
        <v>162</v>
      </c>
      <c r="F3208" s="17" t="s">
        <v>163</v>
      </c>
      <c r="G3208" s="17">
        <v>4</v>
      </c>
      <c r="H3208" s="17">
        <v>8268</v>
      </c>
      <c r="I3208" s="17">
        <v>33072</v>
      </c>
      <c r="J3208" s="17">
        <v>4198</v>
      </c>
      <c r="K3208" s="17">
        <v>28874</v>
      </c>
      <c r="L3208" s="17">
        <v>5623.7743220000002</v>
      </c>
      <c r="M3208" s="17">
        <v>2025</v>
      </c>
      <c r="N3208" s="17" t="s">
        <v>114</v>
      </c>
    </row>
    <row r="3209" spans="1:14" ht="14.25" customHeight="1">
      <c r="A3209" s="17">
        <v>13208</v>
      </c>
      <c r="B3209" s="18">
        <v>45671</v>
      </c>
      <c r="C3209" s="17" t="s">
        <v>167</v>
      </c>
      <c r="D3209" s="17" t="s">
        <v>83</v>
      </c>
      <c r="E3209" s="17" t="s">
        <v>162</v>
      </c>
      <c r="F3209" s="17" t="s">
        <v>172</v>
      </c>
      <c r="G3209" s="17">
        <v>9</v>
      </c>
      <c r="H3209" s="17">
        <v>5658</v>
      </c>
      <c r="I3209" s="17">
        <v>50922</v>
      </c>
      <c r="J3209" s="17">
        <v>3051</v>
      </c>
      <c r="K3209" s="17">
        <v>47871</v>
      </c>
      <c r="L3209" s="17">
        <v>4911.2223530000001</v>
      </c>
      <c r="M3209" s="17">
        <v>2025</v>
      </c>
      <c r="N3209" s="17" t="s">
        <v>171</v>
      </c>
    </row>
    <row r="3210" spans="1:14" ht="14.25" customHeight="1">
      <c r="A3210" s="17">
        <v>13209</v>
      </c>
      <c r="B3210" s="18">
        <v>45653</v>
      </c>
      <c r="C3210" s="17" t="s">
        <v>45</v>
      </c>
      <c r="D3210" s="17" t="s">
        <v>83</v>
      </c>
      <c r="E3210" s="17" t="s">
        <v>165</v>
      </c>
      <c r="F3210" s="17" t="s">
        <v>164</v>
      </c>
      <c r="G3210" s="17">
        <v>8</v>
      </c>
      <c r="H3210" s="17">
        <v>39064</v>
      </c>
      <c r="I3210" s="17">
        <v>312512</v>
      </c>
      <c r="J3210" s="17">
        <v>3696</v>
      </c>
      <c r="K3210" s="17">
        <v>308816</v>
      </c>
      <c r="L3210" s="17">
        <v>38893.16461</v>
      </c>
      <c r="M3210" s="17">
        <v>2024</v>
      </c>
      <c r="N3210" s="17" t="s">
        <v>169</v>
      </c>
    </row>
    <row r="3211" spans="1:14" ht="14.25" customHeight="1">
      <c r="A3211" s="17">
        <v>13210</v>
      </c>
      <c r="B3211" s="18">
        <v>45740</v>
      </c>
      <c r="C3211" s="17" t="s">
        <v>39</v>
      </c>
      <c r="D3211" s="17" t="s">
        <v>111</v>
      </c>
      <c r="E3211" s="17" t="s">
        <v>165</v>
      </c>
      <c r="F3211" s="17" t="s">
        <v>164</v>
      </c>
      <c r="G3211" s="17">
        <v>6</v>
      </c>
      <c r="H3211" s="17">
        <v>39293</v>
      </c>
      <c r="I3211" s="17">
        <v>235758</v>
      </c>
      <c r="J3211" s="17">
        <v>2407</v>
      </c>
      <c r="K3211" s="17">
        <v>233351</v>
      </c>
      <c r="L3211" s="17">
        <v>35549.268490000002</v>
      </c>
      <c r="M3211" s="17">
        <v>2025</v>
      </c>
      <c r="N3211" s="17" t="s">
        <v>112</v>
      </c>
    </row>
    <row r="3212" spans="1:14" ht="14.25" customHeight="1">
      <c r="A3212" s="17">
        <v>13211</v>
      </c>
      <c r="B3212" s="18">
        <v>45732</v>
      </c>
      <c r="C3212" s="17" t="s">
        <v>50</v>
      </c>
      <c r="D3212" s="17" t="s">
        <v>89</v>
      </c>
      <c r="E3212" s="17" t="s">
        <v>162</v>
      </c>
      <c r="F3212" s="17" t="s">
        <v>166</v>
      </c>
      <c r="G3212" s="17">
        <v>7</v>
      </c>
      <c r="H3212" s="17">
        <v>48042</v>
      </c>
      <c r="I3212" s="17">
        <v>336294</v>
      </c>
      <c r="J3212" s="17">
        <v>3202</v>
      </c>
      <c r="K3212" s="17">
        <v>333092</v>
      </c>
      <c r="L3212" s="17">
        <v>80727.030060000005</v>
      </c>
      <c r="M3212" s="17">
        <v>2025</v>
      </c>
      <c r="N3212" s="17" t="s">
        <v>112</v>
      </c>
    </row>
    <row r="3213" spans="1:14" ht="14.25" customHeight="1">
      <c r="A3213" s="17">
        <v>13212</v>
      </c>
      <c r="B3213" s="18">
        <v>45384</v>
      </c>
      <c r="C3213" s="17" t="s">
        <v>58</v>
      </c>
      <c r="D3213" s="17" t="s">
        <v>89</v>
      </c>
      <c r="E3213" s="17" t="s">
        <v>162</v>
      </c>
      <c r="F3213" s="17" t="s">
        <v>164</v>
      </c>
      <c r="G3213" s="17">
        <v>8</v>
      </c>
      <c r="H3213" s="17">
        <v>12792</v>
      </c>
      <c r="I3213" s="17">
        <v>102336</v>
      </c>
      <c r="J3213" s="17">
        <v>2086</v>
      </c>
      <c r="K3213" s="17">
        <v>100250</v>
      </c>
      <c r="L3213" s="17">
        <v>11199.11894</v>
      </c>
      <c r="M3213" s="17">
        <v>2024</v>
      </c>
      <c r="N3213" s="17" t="s">
        <v>114</v>
      </c>
    </row>
    <row r="3214" spans="1:14" ht="14.25" customHeight="1">
      <c r="A3214" s="17">
        <v>13213</v>
      </c>
      <c r="B3214" s="18">
        <v>45912</v>
      </c>
      <c r="C3214" s="17" t="s">
        <v>50</v>
      </c>
      <c r="D3214" s="17" t="s">
        <v>83</v>
      </c>
      <c r="E3214" s="17" t="s">
        <v>168</v>
      </c>
      <c r="F3214" s="17" t="s">
        <v>163</v>
      </c>
      <c r="G3214" s="17">
        <v>2</v>
      </c>
      <c r="H3214" s="17">
        <v>11604</v>
      </c>
      <c r="I3214" s="17">
        <v>23208</v>
      </c>
      <c r="J3214" s="17">
        <v>306</v>
      </c>
      <c r="K3214" s="17">
        <v>22902</v>
      </c>
      <c r="L3214" s="17">
        <v>4729.6727019999998</v>
      </c>
      <c r="M3214" s="17">
        <v>2025</v>
      </c>
      <c r="N3214" s="17" t="s">
        <v>129</v>
      </c>
    </row>
    <row r="3215" spans="1:14" ht="14.25" customHeight="1">
      <c r="A3215" s="17">
        <v>13214</v>
      </c>
      <c r="B3215" s="18">
        <v>45715</v>
      </c>
      <c r="C3215" s="17" t="s">
        <v>45</v>
      </c>
      <c r="D3215" s="17" t="s">
        <v>86</v>
      </c>
      <c r="E3215" s="17" t="s">
        <v>168</v>
      </c>
      <c r="F3215" s="17" t="s">
        <v>172</v>
      </c>
      <c r="G3215" s="17">
        <v>5</v>
      </c>
      <c r="H3215" s="17">
        <v>52821</v>
      </c>
      <c r="I3215" s="17">
        <v>264105</v>
      </c>
      <c r="J3215" s="17">
        <v>883</v>
      </c>
      <c r="K3215" s="17">
        <v>263222</v>
      </c>
      <c r="L3215" s="17">
        <v>27628.82605</v>
      </c>
      <c r="M3215" s="17">
        <v>2025</v>
      </c>
      <c r="N3215" s="17" t="s">
        <v>175</v>
      </c>
    </row>
    <row r="3216" spans="1:14" ht="14.25" customHeight="1">
      <c r="A3216" s="17">
        <v>13215</v>
      </c>
      <c r="B3216" s="18">
        <v>45433</v>
      </c>
      <c r="C3216" s="17" t="s">
        <v>58</v>
      </c>
      <c r="D3216" s="17" t="s">
        <v>83</v>
      </c>
      <c r="E3216" s="17" t="s">
        <v>165</v>
      </c>
      <c r="F3216" s="17" t="s">
        <v>164</v>
      </c>
      <c r="G3216" s="17">
        <v>7</v>
      </c>
      <c r="H3216" s="17">
        <v>43557</v>
      </c>
      <c r="I3216" s="17">
        <v>304899</v>
      </c>
      <c r="J3216" s="17">
        <v>4289</v>
      </c>
      <c r="K3216" s="17">
        <v>300610</v>
      </c>
      <c r="L3216" s="17">
        <v>46408.34476</v>
      </c>
      <c r="M3216" s="17">
        <v>2024</v>
      </c>
      <c r="N3216" s="17" t="s">
        <v>117</v>
      </c>
    </row>
    <row r="3217" spans="1:14" ht="14.25" customHeight="1">
      <c r="A3217" s="17">
        <v>13216</v>
      </c>
      <c r="B3217" s="18">
        <v>45582</v>
      </c>
      <c r="C3217" s="17" t="s">
        <v>167</v>
      </c>
      <c r="D3217" s="17" t="s">
        <v>86</v>
      </c>
      <c r="E3217" s="17" t="s">
        <v>168</v>
      </c>
      <c r="F3217" s="17" t="s">
        <v>164</v>
      </c>
      <c r="G3217" s="17">
        <v>8</v>
      </c>
      <c r="H3217" s="17">
        <v>12420</v>
      </c>
      <c r="I3217" s="17">
        <v>99360</v>
      </c>
      <c r="J3217" s="17">
        <v>3589</v>
      </c>
      <c r="K3217" s="17">
        <v>95771</v>
      </c>
      <c r="L3217" s="17">
        <v>20640.78759</v>
      </c>
      <c r="M3217" s="17">
        <v>2024</v>
      </c>
      <c r="N3217" s="17" t="s">
        <v>174</v>
      </c>
    </row>
    <row r="3218" spans="1:14" ht="14.25" customHeight="1">
      <c r="A3218" s="17">
        <v>13217</v>
      </c>
      <c r="B3218" s="18">
        <v>45723</v>
      </c>
      <c r="C3218" s="17" t="s">
        <v>50</v>
      </c>
      <c r="D3218" s="17" t="s">
        <v>89</v>
      </c>
      <c r="E3218" s="17" t="s">
        <v>165</v>
      </c>
      <c r="F3218" s="17" t="s">
        <v>163</v>
      </c>
      <c r="G3218" s="17">
        <v>5</v>
      </c>
      <c r="H3218" s="17">
        <v>43521</v>
      </c>
      <c r="I3218" s="17">
        <v>217605</v>
      </c>
      <c r="J3218" s="17">
        <v>3641</v>
      </c>
      <c r="K3218" s="17">
        <v>213964</v>
      </c>
      <c r="L3218" s="17">
        <v>32434.674480000001</v>
      </c>
      <c r="M3218" s="17">
        <v>2025</v>
      </c>
      <c r="N3218" s="17" t="s">
        <v>112</v>
      </c>
    </row>
    <row r="3219" spans="1:14" ht="14.25" customHeight="1">
      <c r="A3219" s="17">
        <v>13218</v>
      </c>
      <c r="B3219" s="18">
        <v>45980</v>
      </c>
      <c r="C3219" s="17" t="s">
        <v>58</v>
      </c>
      <c r="D3219" s="17" t="s">
        <v>111</v>
      </c>
      <c r="E3219" s="17" t="s">
        <v>165</v>
      </c>
      <c r="F3219" s="17" t="s">
        <v>166</v>
      </c>
      <c r="G3219" s="17">
        <v>3</v>
      </c>
      <c r="H3219" s="17">
        <v>66951</v>
      </c>
      <c r="I3219" s="17">
        <v>200853</v>
      </c>
      <c r="J3219" s="17">
        <v>4344</v>
      </c>
      <c r="K3219" s="17">
        <v>196509</v>
      </c>
      <c r="L3219" s="17">
        <v>32334.044600000001</v>
      </c>
      <c r="M3219" s="17">
        <v>2025</v>
      </c>
      <c r="N3219" s="17" t="s">
        <v>173</v>
      </c>
    </row>
    <row r="3220" spans="1:14" ht="14.25" customHeight="1">
      <c r="A3220" s="17">
        <v>13219</v>
      </c>
      <c r="B3220" s="18">
        <v>45944</v>
      </c>
      <c r="C3220" s="17" t="s">
        <v>58</v>
      </c>
      <c r="D3220" s="17" t="s">
        <v>170</v>
      </c>
      <c r="E3220" s="17" t="s">
        <v>165</v>
      </c>
      <c r="F3220" s="17" t="s">
        <v>166</v>
      </c>
      <c r="G3220" s="17">
        <v>6</v>
      </c>
      <c r="H3220" s="17">
        <v>28018</v>
      </c>
      <c r="I3220" s="17">
        <v>168108</v>
      </c>
      <c r="J3220" s="17">
        <v>2162</v>
      </c>
      <c r="K3220" s="17">
        <v>165946</v>
      </c>
      <c r="L3220" s="17">
        <v>39129.34979</v>
      </c>
      <c r="M3220" s="17">
        <v>2025</v>
      </c>
      <c r="N3220" s="17" t="s">
        <v>174</v>
      </c>
    </row>
    <row r="3221" spans="1:14" ht="14.25" customHeight="1">
      <c r="A3221" s="17">
        <v>13220</v>
      </c>
      <c r="B3221" s="18">
        <v>45992</v>
      </c>
      <c r="C3221" s="17" t="s">
        <v>58</v>
      </c>
      <c r="D3221" s="17" t="s">
        <v>89</v>
      </c>
      <c r="E3221" s="17" t="s">
        <v>168</v>
      </c>
      <c r="F3221" s="17" t="s">
        <v>172</v>
      </c>
      <c r="G3221" s="17">
        <v>5</v>
      </c>
      <c r="H3221" s="17">
        <v>68076</v>
      </c>
      <c r="I3221" s="17">
        <v>340380</v>
      </c>
      <c r="J3221" s="17">
        <v>3147</v>
      </c>
      <c r="K3221" s="17">
        <v>337233</v>
      </c>
      <c r="L3221" s="17">
        <v>37070.460180000002</v>
      </c>
      <c r="M3221" s="17">
        <v>2025</v>
      </c>
      <c r="N3221" s="17" t="s">
        <v>169</v>
      </c>
    </row>
    <row r="3222" spans="1:14" ht="14.25" customHeight="1">
      <c r="A3222" s="17">
        <v>13221</v>
      </c>
      <c r="B3222" s="18">
        <v>45340</v>
      </c>
      <c r="C3222" s="17" t="s">
        <v>39</v>
      </c>
      <c r="D3222" s="17" t="s">
        <v>86</v>
      </c>
      <c r="E3222" s="17" t="s">
        <v>168</v>
      </c>
      <c r="F3222" s="17" t="s">
        <v>163</v>
      </c>
      <c r="G3222" s="17">
        <v>8</v>
      </c>
      <c r="H3222" s="17">
        <v>10108</v>
      </c>
      <c r="I3222" s="17">
        <v>80864</v>
      </c>
      <c r="J3222" s="17">
        <v>2783</v>
      </c>
      <c r="K3222" s="17">
        <v>78081</v>
      </c>
      <c r="L3222" s="17">
        <v>13988.1603</v>
      </c>
      <c r="M3222" s="17">
        <v>2024</v>
      </c>
      <c r="N3222" s="17" t="s">
        <v>175</v>
      </c>
    </row>
    <row r="3223" spans="1:14" ht="14.25" customHeight="1">
      <c r="A3223" s="17">
        <v>13222</v>
      </c>
      <c r="B3223" s="18">
        <v>45593</v>
      </c>
      <c r="C3223" s="17" t="s">
        <v>50</v>
      </c>
      <c r="D3223" s="17" t="s">
        <v>83</v>
      </c>
      <c r="E3223" s="17" t="s">
        <v>165</v>
      </c>
      <c r="F3223" s="17" t="s">
        <v>166</v>
      </c>
      <c r="G3223" s="17">
        <v>9</v>
      </c>
      <c r="H3223" s="17">
        <v>75783</v>
      </c>
      <c r="I3223" s="17">
        <v>682047</v>
      </c>
      <c r="J3223" s="17">
        <v>3141</v>
      </c>
      <c r="K3223" s="17">
        <v>678906</v>
      </c>
      <c r="L3223" s="17">
        <v>105186.7314</v>
      </c>
      <c r="M3223" s="17">
        <v>2024</v>
      </c>
      <c r="N3223" s="17" t="s">
        <v>174</v>
      </c>
    </row>
    <row r="3224" spans="1:14" ht="14.25" customHeight="1">
      <c r="A3224" s="17">
        <v>13223</v>
      </c>
      <c r="B3224" s="18">
        <v>45481</v>
      </c>
      <c r="C3224" s="17" t="s">
        <v>58</v>
      </c>
      <c r="D3224" s="17" t="s">
        <v>89</v>
      </c>
      <c r="E3224" s="17" t="s">
        <v>165</v>
      </c>
      <c r="F3224" s="17" t="s">
        <v>172</v>
      </c>
      <c r="G3224" s="17">
        <v>9</v>
      </c>
      <c r="H3224" s="17">
        <v>78937</v>
      </c>
      <c r="I3224" s="17">
        <v>710433</v>
      </c>
      <c r="J3224" s="17">
        <v>4603</v>
      </c>
      <c r="K3224" s="17">
        <v>705830</v>
      </c>
      <c r="L3224" s="17">
        <v>172626.07879999999</v>
      </c>
      <c r="M3224" s="17">
        <v>2024</v>
      </c>
      <c r="N3224" s="17" t="s">
        <v>123</v>
      </c>
    </row>
    <row r="3225" spans="1:14" ht="14.25" customHeight="1">
      <c r="A3225" s="17">
        <v>13224</v>
      </c>
      <c r="B3225" s="18">
        <v>45427</v>
      </c>
      <c r="C3225" s="17" t="s">
        <v>50</v>
      </c>
      <c r="D3225" s="17" t="s">
        <v>111</v>
      </c>
      <c r="E3225" s="17" t="s">
        <v>162</v>
      </c>
      <c r="F3225" s="17" t="s">
        <v>172</v>
      </c>
      <c r="G3225" s="17">
        <v>6</v>
      </c>
      <c r="H3225" s="17">
        <v>22007</v>
      </c>
      <c r="I3225" s="17">
        <v>132042</v>
      </c>
      <c r="J3225" s="17">
        <v>154</v>
      </c>
      <c r="K3225" s="17">
        <v>131888</v>
      </c>
      <c r="L3225" s="17">
        <v>28890.52463</v>
      </c>
      <c r="M3225" s="17">
        <v>2024</v>
      </c>
      <c r="N3225" s="17" t="s">
        <v>117</v>
      </c>
    </row>
    <row r="3226" spans="1:14" ht="14.25" customHeight="1">
      <c r="A3226" s="17">
        <v>13225</v>
      </c>
      <c r="B3226" s="18">
        <v>45846</v>
      </c>
      <c r="C3226" s="17" t="s">
        <v>58</v>
      </c>
      <c r="D3226" s="17" t="s">
        <v>86</v>
      </c>
      <c r="E3226" s="17" t="s">
        <v>165</v>
      </c>
      <c r="F3226" s="17" t="s">
        <v>166</v>
      </c>
      <c r="G3226" s="17">
        <v>4</v>
      </c>
      <c r="H3226" s="17">
        <v>14997</v>
      </c>
      <c r="I3226" s="17">
        <v>59988</v>
      </c>
      <c r="J3226" s="17">
        <v>3630</v>
      </c>
      <c r="K3226" s="17">
        <v>56358</v>
      </c>
      <c r="L3226" s="17">
        <v>6667.8004529999998</v>
      </c>
      <c r="M3226" s="17">
        <v>2025</v>
      </c>
      <c r="N3226" s="17" t="s">
        <v>123</v>
      </c>
    </row>
    <row r="3227" spans="1:14" ht="14.25" customHeight="1">
      <c r="A3227" s="17">
        <v>13226</v>
      </c>
      <c r="B3227" s="18">
        <v>45695</v>
      </c>
      <c r="C3227" s="17" t="s">
        <v>167</v>
      </c>
      <c r="D3227" s="17" t="s">
        <v>83</v>
      </c>
      <c r="E3227" s="17" t="s">
        <v>165</v>
      </c>
      <c r="F3227" s="17" t="s">
        <v>163</v>
      </c>
      <c r="G3227" s="17">
        <v>4</v>
      </c>
      <c r="H3227" s="17">
        <v>10261</v>
      </c>
      <c r="I3227" s="17">
        <v>41044</v>
      </c>
      <c r="J3227" s="17">
        <v>460</v>
      </c>
      <c r="K3227" s="17">
        <v>40584</v>
      </c>
      <c r="L3227" s="17">
        <v>9704.0996350000005</v>
      </c>
      <c r="M3227" s="17">
        <v>2025</v>
      </c>
      <c r="N3227" s="17" t="s">
        <v>175</v>
      </c>
    </row>
    <row r="3228" spans="1:14" ht="14.25" customHeight="1">
      <c r="A3228" s="17">
        <v>13227</v>
      </c>
      <c r="B3228" s="18">
        <v>45893</v>
      </c>
      <c r="C3228" s="17" t="s">
        <v>167</v>
      </c>
      <c r="D3228" s="17" t="s">
        <v>170</v>
      </c>
      <c r="E3228" s="17" t="s">
        <v>162</v>
      </c>
      <c r="F3228" s="17" t="s">
        <v>164</v>
      </c>
      <c r="G3228" s="17">
        <v>9</v>
      </c>
      <c r="H3228" s="17">
        <v>74804</v>
      </c>
      <c r="I3228" s="17">
        <v>673236</v>
      </c>
      <c r="J3228" s="17">
        <v>1396</v>
      </c>
      <c r="K3228" s="17">
        <v>671840</v>
      </c>
      <c r="L3228" s="17">
        <v>88469.23126</v>
      </c>
      <c r="M3228" s="17">
        <v>2025</v>
      </c>
      <c r="N3228" s="17" t="s">
        <v>126</v>
      </c>
    </row>
    <row r="3229" spans="1:14" ht="14.25" customHeight="1">
      <c r="A3229" s="17">
        <v>13228</v>
      </c>
      <c r="B3229" s="18">
        <v>45632</v>
      </c>
      <c r="C3229" s="17" t="s">
        <v>167</v>
      </c>
      <c r="D3229" s="17" t="s">
        <v>86</v>
      </c>
      <c r="E3229" s="17" t="s">
        <v>165</v>
      </c>
      <c r="F3229" s="17" t="s">
        <v>166</v>
      </c>
      <c r="G3229" s="17">
        <v>4</v>
      </c>
      <c r="H3229" s="17">
        <v>76520</v>
      </c>
      <c r="I3229" s="17">
        <v>306080</v>
      </c>
      <c r="J3229" s="17">
        <v>790</v>
      </c>
      <c r="K3229" s="17">
        <v>305290</v>
      </c>
      <c r="L3229" s="17">
        <v>34413.09676</v>
      </c>
      <c r="M3229" s="17">
        <v>2024</v>
      </c>
      <c r="N3229" s="17" t="s">
        <v>169</v>
      </c>
    </row>
    <row r="3230" spans="1:14" ht="14.25" customHeight="1">
      <c r="A3230" s="17">
        <v>13229</v>
      </c>
      <c r="B3230" s="18">
        <v>45995</v>
      </c>
      <c r="C3230" s="17" t="s">
        <v>45</v>
      </c>
      <c r="D3230" s="17" t="s">
        <v>83</v>
      </c>
      <c r="E3230" s="17" t="s">
        <v>165</v>
      </c>
      <c r="F3230" s="17" t="s">
        <v>164</v>
      </c>
      <c r="G3230" s="17">
        <v>8</v>
      </c>
      <c r="H3230" s="17">
        <v>25926</v>
      </c>
      <c r="I3230" s="17">
        <v>207408</v>
      </c>
      <c r="J3230" s="17">
        <v>3709</v>
      </c>
      <c r="K3230" s="17">
        <v>203699</v>
      </c>
      <c r="L3230" s="17">
        <v>36918.201430000001</v>
      </c>
      <c r="M3230" s="17">
        <v>2025</v>
      </c>
      <c r="N3230" s="17" t="s">
        <v>169</v>
      </c>
    </row>
    <row r="3231" spans="1:14" ht="14.25" customHeight="1">
      <c r="A3231" s="17">
        <v>13230</v>
      </c>
      <c r="B3231" s="18">
        <v>45609</v>
      </c>
      <c r="C3231" s="17" t="s">
        <v>58</v>
      </c>
      <c r="D3231" s="17" t="s">
        <v>170</v>
      </c>
      <c r="E3231" s="17" t="s">
        <v>165</v>
      </c>
      <c r="F3231" s="17" t="s">
        <v>164</v>
      </c>
      <c r="G3231" s="17">
        <v>9</v>
      </c>
      <c r="H3231" s="17">
        <v>70546</v>
      </c>
      <c r="I3231" s="17">
        <v>634914</v>
      </c>
      <c r="J3231" s="17">
        <v>1867</v>
      </c>
      <c r="K3231" s="17">
        <v>633047</v>
      </c>
      <c r="L3231" s="17">
        <v>133253.06080000001</v>
      </c>
      <c r="M3231" s="17">
        <v>2024</v>
      </c>
      <c r="N3231" s="17" t="s">
        <v>173</v>
      </c>
    </row>
    <row r="3232" spans="1:14" ht="14.25" customHeight="1">
      <c r="A3232" s="17">
        <v>13231</v>
      </c>
      <c r="B3232" s="18">
        <v>45909</v>
      </c>
      <c r="C3232" s="17" t="s">
        <v>45</v>
      </c>
      <c r="D3232" s="17" t="s">
        <v>83</v>
      </c>
      <c r="E3232" s="17" t="s">
        <v>162</v>
      </c>
      <c r="F3232" s="17" t="s">
        <v>163</v>
      </c>
      <c r="G3232" s="17">
        <v>5</v>
      </c>
      <c r="H3232" s="17">
        <v>22144</v>
      </c>
      <c r="I3232" s="17">
        <v>110720</v>
      </c>
      <c r="J3232" s="17">
        <v>1688</v>
      </c>
      <c r="K3232" s="17">
        <v>109032</v>
      </c>
      <c r="L3232" s="17">
        <v>22614.069090000001</v>
      </c>
      <c r="M3232" s="17">
        <v>2025</v>
      </c>
      <c r="N3232" s="17" t="s">
        <v>129</v>
      </c>
    </row>
    <row r="3233" spans="1:14" ht="14.25" customHeight="1">
      <c r="A3233" s="17">
        <v>13232</v>
      </c>
      <c r="B3233" s="18">
        <v>45654</v>
      </c>
      <c r="C3233" s="17" t="s">
        <v>50</v>
      </c>
      <c r="D3233" s="17" t="s">
        <v>170</v>
      </c>
      <c r="E3233" s="17" t="s">
        <v>168</v>
      </c>
      <c r="F3233" s="17" t="s">
        <v>163</v>
      </c>
      <c r="G3233" s="17">
        <v>6</v>
      </c>
      <c r="H3233" s="17">
        <v>30903</v>
      </c>
      <c r="I3233" s="17">
        <v>185418</v>
      </c>
      <c r="J3233" s="17">
        <v>576</v>
      </c>
      <c r="K3233" s="17">
        <v>184842</v>
      </c>
      <c r="L3233" s="17">
        <v>33291.59878</v>
      </c>
      <c r="M3233" s="17">
        <v>2024</v>
      </c>
      <c r="N3233" s="17" t="s">
        <v>169</v>
      </c>
    </row>
    <row r="3234" spans="1:14" ht="14.25" customHeight="1">
      <c r="A3234" s="17">
        <v>13233</v>
      </c>
      <c r="B3234" s="18">
        <v>45673</v>
      </c>
      <c r="C3234" s="17" t="s">
        <v>45</v>
      </c>
      <c r="D3234" s="17" t="s">
        <v>170</v>
      </c>
      <c r="E3234" s="17" t="s">
        <v>165</v>
      </c>
      <c r="F3234" s="17" t="s">
        <v>172</v>
      </c>
      <c r="G3234" s="17">
        <v>3</v>
      </c>
      <c r="H3234" s="17">
        <v>6177</v>
      </c>
      <c r="I3234" s="17">
        <v>18531</v>
      </c>
      <c r="J3234" s="17">
        <v>3764</v>
      </c>
      <c r="K3234" s="17">
        <v>14767</v>
      </c>
      <c r="L3234" s="17">
        <v>2568.1381430000001</v>
      </c>
      <c r="M3234" s="17">
        <v>2025</v>
      </c>
      <c r="N3234" s="17" t="s">
        <v>171</v>
      </c>
    </row>
    <row r="3235" spans="1:14" ht="14.25" customHeight="1">
      <c r="A3235" s="17">
        <v>13234</v>
      </c>
      <c r="B3235" s="18">
        <v>45524</v>
      </c>
      <c r="C3235" s="17" t="s">
        <v>50</v>
      </c>
      <c r="D3235" s="17" t="s">
        <v>170</v>
      </c>
      <c r="E3235" s="17" t="s">
        <v>162</v>
      </c>
      <c r="F3235" s="17" t="s">
        <v>163</v>
      </c>
      <c r="G3235" s="17">
        <v>5</v>
      </c>
      <c r="H3235" s="17">
        <v>65952</v>
      </c>
      <c r="I3235" s="17">
        <v>329760</v>
      </c>
      <c r="J3235" s="17">
        <v>2543</v>
      </c>
      <c r="K3235" s="17">
        <v>327217</v>
      </c>
      <c r="L3235" s="17">
        <v>80309.38682</v>
      </c>
      <c r="M3235" s="17">
        <v>2024</v>
      </c>
      <c r="N3235" s="17" t="s">
        <v>126</v>
      </c>
    </row>
    <row r="3236" spans="1:14" ht="14.25" customHeight="1">
      <c r="A3236" s="17">
        <v>13235</v>
      </c>
      <c r="B3236" s="18">
        <v>45635</v>
      </c>
      <c r="C3236" s="17" t="s">
        <v>50</v>
      </c>
      <c r="D3236" s="17" t="s">
        <v>83</v>
      </c>
      <c r="E3236" s="17" t="s">
        <v>165</v>
      </c>
      <c r="F3236" s="17" t="s">
        <v>172</v>
      </c>
      <c r="G3236" s="17">
        <v>5</v>
      </c>
      <c r="H3236" s="17">
        <v>14168</v>
      </c>
      <c r="I3236" s="17">
        <v>70840</v>
      </c>
      <c r="J3236" s="17">
        <v>361</v>
      </c>
      <c r="K3236" s="17">
        <v>70479</v>
      </c>
      <c r="L3236" s="17">
        <v>15722.724990000001</v>
      </c>
      <c r="M3236" s="17">
        <v>2024</v>
      </c>
      <c r="N3236" s="17" t="s">
        <v>169</v>
      </c>
    </row>
    <row r="3237" spans="1:14" ht="14.25" customHeight="1">
      <c r="A3237" s="17">
        <v>13236</v>
      </c>
      <c r="B3237" s="18">
        <v>45840</v>
      </c>
      <c r="C3237" s="17" t="s">
        <v>50</v>
      </c>
      <c r="D3237" s="17" t="s">
        <v>170</v>
      </c>
      <c r="E3237" s="17" t="s">
        <v>162</v>
      </c>
      <c r="F3237" s="17" t="s">
        <v>166</v>
      </c>
      <c r="G3237" s="17">
        <v>2</v>
      </c>
      <c r="H3237" s="17">
        <v>7389</v>
      </c>
      <c r="I3237" s="17">
        <v>14778</v>
      </c>
      <c r="J3237" s="17">
        <v>456</v>
      </c>
      <c r="K3237" s="17">
        <v>14322</v>
      </c>
      <c r="L3237" s="17">
        <v>2933.0883939999999</v>
      </c>
      <c r="M3237" s="17">
        <v>2025</v>
      </c>
      <c r="N3237" s="17" t="s">
        <v>123</v>
      </c>
    </row>
    <row r="3238" spans="1:14" ht="14.25" customHeight="1">
      <c r="A3238" s="17">
        <v>13237</v>
      </c>
      <c r="B3238" s="18">
        <v>45844</v>
      </c>
      <c r="C3238" s="17" t="s">
        <v>45</v>
      </c>
      <c r="D3238" s="17" t="s">
        <v>86</v>
      </c>
      <c r="E3238" s="17" t="s">
        <v>165</v>
      </c>
      <c r="F3238" s="17" t="s">
        <v>164</v>
      </c>
      <c r="G3238" s="17">
        <v>6</v>
      </c>
      <c r="H3238" s="17">
        <v>11364</v>
      </c>
      <c r="I3238" s="17">
        <v>68184</v>
      </c>
      <c r="J3238" s="17">
        <v>3249</v>
      </c>
      <c r="K3238" s="17">
        <v>64935</v>
      </c>
      <c r="L3238" s="17">
        <v>8394.9084579999999</v>
      </c>
      <c r="M3238" s="17">
        <v>2025</v>
      </c>
      <c r="N3238" s="17" t="s">
        <v>123</v>
      </c>
    </row>
    <row r="3239" spans="1:14" ht="14.25" customHeight="1">
      <c r="A3239" s="17">
        <v>13238</v>
      </c>
      <c r="B3239" s="18">
        <v>45820</v>
      </c>
      <c r="C3239" s="17" t="s">
        <v>58</v>
      </c>
      <c r="D3239" s="17" t="s">
        <v>111</v>
      </c>
      <c r="E3239" s="17" t="s">
        <v>162</v>
      </c>
      <c r="F3239" s="17" t="s">
        <v>163</v>
      </c>
      <c r="G3239" s="17">
        <v>9</v>
      </c>
      <c r="H3239" s="17">
        <v>32033</v>
      </c>
      <c r="I3239" s="17">
        <v>288297</v>
      </c>
      <c r="J3239" s="17">
        <v>4224</v>
      </c>
      <c r="K3239" s="17">
        <v>284073</v>
      </c>
      <c r="L3239" s="17">
        <v>63338.50793</v>
      </c>
      <c r="M3239" s="17">
        <v>2025</v>
      </c>
      <c r="N3239" s="17" t="s">
        <v>120</v>
      </c>
    </row>
    <row r="3240" spans="1:14" ht="14.25" customHeight="1">
      <c r="A3240" s="17">
        <v>13239</v>
      </c>
      <c r="B3240" s="18">
        <v>45862</v>
      </c>
      <c r="C3240" s="17" t="s">
        <v>45</v>
      </c>
      <c r="D3240" s="17" t="s">
        <v>111</v>
      </c>
      <c r="E3240" s="17" t="s">
        <v>168</v>
      </c>
      <c r="F3240" s="17" t="s">
        <v>166</v>
      </c>
      <c r="G3240" s="17">
        <v>7</v>
      </c>
      <c r="H3240" s="17">
        <v>53545</v>
      </c>
      <c r="I3240" s="17">
        <v>374815</v>
      </c>
      <c r="J3240" s="17">
        <v>3561</v>
      </c>
      <c r="K3240" s="17">
        <v>371254</v>
      </c>
      <c r="L3240" s="17">
        <v>78879.265020000006</v>
      </c>
      <c r="M3240" s="17">
        <v>2025</v>
      </c>
      <c r="N3240" s="17" t="s">
        <v>123</v>
      </c>
    </row>
    <row r="3241" spans="1:14" ht="14.25" customHeight="1">
      <c r="A3241" s="17">
        <v>13240</v>
      </c>
      <c r="B3241" s="18">
        <v>45474</v>
      </c>
      <c r="C3241" s="17" t="s">
        <v>58</v>
      </c>
      <c r="D3241" s="17" t="s">
        <v>170</v>
      </c>
      <c r="E3241" s="17" t="s">
        <v>168</v>
      </c>
      <c r="F3241" s="17" t="s">
        <v>172</v>
      </c>
      <c r="G3241" s="17">
        <v>8</v>
      </c>
      <c r="H3241" s="17">
        <v>16865</v>
      </c>
      <c r="I3241" s="17">
        <v>134920</v>
      </c>
      <c r="J3241" s="17">
        <v>3110</v>
      </c>
      <c r="K3241" s="17">
        <v>131810</v>
      </c>
      <c r="L3241" s="17">
        <v>32794.853920000001</v>
      </c>
      <c r="M3241" s="17">
        <v>2024</v>
      </c>
      <c r="N3241" s="17" t="s">
        <v>123</v>
      </c>
    </row>
    <row r="3242" spans="1:14" ht="14.25" customHeight="1">
      <c r="A3242" s="17">
        <v>13241</v>
      </c>
      <c r="B3242" s="18">
        <v>45332</v>
      </c>
      <c r="C3242" s="17" t="s">
        <v>58</v>
      </c>
      <c r="D3242" s="17" t="s">
        <v>111</v>
      </c>
      <c r="E3242" s="17" t="s">
        <v>168</v>
      </c>
      <c r="F3242" s="17" t="s">
        <v>163</v>
      </c>
      <c r="G3242" s="17">
        <v>2</v>
      </c>
      <c r="H3242" s="17">
        <v>23936</v>
      </c>
      <c r="I3242" s="17">
        <v>47872</v>
      </c>
      <c r="J3242" s="17">
        <v>3529</v>
      </c>
      <c r="K3242" s="17">
        <v>44343</v>
      </c>
      <c r="L3242" s="17">
        <v>5318.9103109999996</v>
      </c>
      <c r="M3242" s="17">
        <v>2024</v>
      </c>
      <c r="N3242" s="17" t="s">
        <v>175</v>
      </c>
    </row>
    <row r="3243" spans="1:14" ht="14.25" customHeight="1">
      <c r="A3243" s="17">
        <v>13242</v>
      </c>
      <c r="B3243" s="18">
        <v>45842</v>
      </c>
      <c r="C3243" s="17" t="s">
        <v>50</v>
      </c>
      <c r="D3243" s="17" t="s">
        <v>111</v>
      </c>
      <c r="E3243" s="17" t="s">
        <v>165</v>
      </c>
      <c r="F3243" s="17" t="s">
        <v>164</v>
      </c>
      <c r="G3243" s="17">
        <v>9</v>
      </c>
      <c r="H3243" s="17">
        <v>8741</v>
      </c>
      <c r="I3243" s="17">
        <v>78669</v>
      </c>
      <c r="J3243" s="17">
        <v>4907</v>
      </c>
      <c r="K3243" s="17">
        <v>73762</v>
      </c>
      <c r="L3243" s="17">
        <v>15290.442849999999</v>
      </c>
      <c r="M3243" s="17">
        <v>2025</v>
      </c>
      <c r="N3243" s="17" t="s">
        <v>123</v>
      </c>
    </row>
    <row r="3244" spans="1:14" ht="14.25" customHeight="1">
      <c r="A3244" s="17">
        <v>13243</v>
      </c>
      <c r="B3244" s="18">
        <v>45688</v>
      </c>
      <c r="C3244" s="17" t="s">
        <v>45</v>
      </c>
      <c r="D3244" s="17" t="s">
        <v>170</v>
      </c>
      <c r="E3244" s="17" t="s">
        <v>162</v>
      </c>
      <c r="F3244" s="17" t="s">
        <v>166</v>
      </c>
      <c r="G3244" s="17">
        <v>3</v>
      </c>
      <c r="H3244" s="17">
        <v>8839</v>
      </c>
      <c r="I3244" s="17">
        <v>26517</v>
      </c>
      <c r="J3244" s="17">
        <v>4968</v>
      </c>
      <c r="K3244" s="17">
        <v>21549</v>
      </c>
      <c r="L3244" s="17">
        <v>5319.6395590000002</v>
      </c>
      <c r="M3244" s="17">
        <v>2025</v>
      </c>
      <c r="N3244" s="17" t="s">
        <v>171</v>
      </c>
    </row>
    <row r="3245" spans="1:14" ht="14.25" customHeight="1">
      <c r="A3245" s="17">
        <v>13244</v>
      </c>
      <c r="B3245" s="18">
        <v>45995</v>
      </c>
      <c r="C3245" s="17" t="s">
        <v>58</v>
      </c>
      <c r="D3245" s="17" t="s">
        <v>170</v>
      </c>
      <c r="E3245" s="17" t="s">
        <v>165</v>
      </c>
      <c r="F3245" s="17" t="s">
        <v>163</v>
      </c>
      <c r="G3245" s="17">
        <v>5</v>
      </c>
      <c r="H3245" s="17">
        <v>24139</v>
      </c>
      <c r="I3245" s="17">
        <v>120695</v>
      </c>
      <c r="J3245" s="17">
        <v>349</v>
      </c>
      <c r="K3245" s="17">
        <v>120346</v>
      </c>
      <c r="L3245" s="17">
        <v>20385.283070000001</v>
      </c>
      <c r="M3245" s="17">
        <v>2025</v>
      </c>
      <c r="N3245" s="17" t="s">
        <v>169</v>
      </c>
    </row>
    <row r="3246" spans="1:14" ht="14.25" customHeight="1">
      <c r="A3246" s="17">
        <v>13245</v>
      </c>
      <c r="B3246" s="18">
        <v>45785</v>
      </c>
      <c r="C3246" s="17" t="s">
        <v>167</v>
      </c>
      <c r="D3246" s="17" t="s">
        <v>86</v>
      </c>
      <c r="E3246" s="17" t="s">
        <v>165</v>
      </c>
      <c r="F3246" s="17" t="s">
        <v>163</v>
      </c>
      <c r="G3246" s="17">
        <v>7</v>
      </c>
      <c r="H3246" s="17">
        <v>51905</v>
      </c>
      <c r="I3246" s="17">
        <v>363335</v>
      </c>
      <c r="J3246" s="17">
        <v>2692</v>
      </c>
      <c r="K3246" s="17">
        <v>360643</v>
      </c>
      <c r="L3246" s="17">
        <v>75739.201379999999</v>
      </c>
      <c r="M3246" s="17">
        <v>2025</v>
      </c>
      <c r="N3246" s="17" t="s">
        <v>117</v>
      </c>
    </row>
    <row r="3247" spans="1:14" ht="14.25" customHeight="1">
      <c r="A3247" s="17">
        <v>13246</v>
      </c>
      <c r="B3247" s="18">
        <v>45950</v>
      </c>
      <c r="C3247" s="17" t="s">
        <v>58</v>
      </c>
      <c r="D3247" s="17" t="s">
        <v>89</v>
      </c>
      <c r="E3247" s="17" t="s">
        <v>162</v>
      </c>
      <c r="F3247" s="17" t="s">
        <v>166</v>
      </c>
      <c r="G3247" s="17">
        <v>4</v>
      </c>
      <c r="H3247" s="17">
        <v>57749</v>
      </c>
      <c r="I3247" s="17">
        <v>230996</v>
      </c>
      <c r="J3247" s="17">
        <v>4547</v>
      </c>
      <c r="K3247" s="17">
        <v>226449</v>
      </c>
      <c r="L3247" s="17">
        <v>55775.656269999999</v>
      </c>
      <c r="M3247" s="17">
        <v>2025</v>
      </c>
      <c r="N3247" s="17" t="s">
        <v>174</v>
      </c>
    </row>
    <row r="3248" spans="1:14" ht="14.25" customHeight="1">
      <c r="A3248" s="17">
        <v>13247</v>
      </c>
      <c r="B3248" s="18">
        <v>45624</v>
      </c>
      <c r="C3248" s="17" t="s">
        <v>167</v>
      </c>
      <c r="D3248" s="17" t="s">
        <v>83</v>
      </c>
      <c r="E3248" s="17" t="s">
        <v>165</v>
      </c>
      <c r="F3248" s="17" t="s">
        <v>172</v>
      </c>
      <c r="G3248" s="17">
        <v>7</v>
      </c>
      <c r="H3248" s="17">
        <v>30036</v>
      </c>
      <c r="I3248" s="17">
        <v>210252</v>
      </c>
      <c r="J3248" s="17">
        <v>4083</v>
      </c>
      <c r="K3248" s="17">
        <v>206169</v>
      </c>
      <c r="L3248" s="17">
        <v>37548.061959999999</v>
      </c>
      <c r="M3248" s="17">
        <v>2024</v>
      </c>
      <c r="N3248" s="17" t="s">
        <v>173</v>
      </c>
    </row>
    <row r="3249" spans="1:14" ht="14.25" customHeight="1">
      <c r="A3249" s="17">
        <v>13248</v>
      </c>
      <c r="B3249" s="18">
        <v>45418</v>
      </c>
      <c r="C3249" s="17" t="s">
        <v>45</v>
      </c>
      <c r="D3249" s="17" t="s">
        <v>170</v>
      </c>
      <c r="E3249" s="17" t="s">
        <v>162</v>
      </c>
      <c r="F3249" s="17" t="s">
        <v>172</v>
      </c>
      <c r="G3249" s="17">
        <v>8</v>
      </c>
      <c r="H3249" s="17">
        <v>50272</v>
      </c>
      <c r="I3249" s="17">
        <v>402176</v>
      </c>
      <c r="J3249" s="17">
        <v>108</v>
      </c>
      <c r="K3249" s="17">
        <v>402068</v>
      </c>
      <c r="L3249" s="17">
        <v>82366.138380000004</v>
      </c>
      <c r="M3249" s="17">
        <v>2024</v>
      </c>
      <c r="N3249" s="17" t="s">
        <v>117</v>
      </c>
    </row>
    <row r="3250" spans="1:14" ht="14.25" customHeight="1">
      <c r="A3250" s="17">
        <v>13249</v>
      </c>
      <c r="B3250" s="18">
        <v>45849</v>
      </c>
      <c r="C3250" s="17" t="s">
        <v>45</v>
      </c>
      <c r="D3250" s="17" t="s">
        <v>170</v>
      </c>
      <c r="E3250" s="17" t="s">
        <v>162</v>
      </c>
      <c r="F3250" s="17" t="s">
        <v>163</v>
      </c>
      <c r="G3250" s="17">
        <v>4</v>
      </c>
      <c r="H3250" s="17">
        <v>6740</v>
      </c>
      <c r="I3250" s="17">
        <v>26960</v>
      </c>
      <c r="J3250" s="17">
        <v>1231</v>
      </c>
      <c r="K3250" s="17">
        <v>25729</v>
      </c>
      <c r="L3250" s="17">
        <v>2650.4143119999999</v>
      </c>
      <c r="M3250" s="17">
        <v>2025</v>
      </c>
      <c r="N3250" s="17" t="s">
        <v>123</v>
      </c>
    </row>
    <row r="3251" spans="1:14" ht="14.25" customHeight="1">
      <c r="A3251" s="17">
        <v>13250</v>
      </c>
      <c r="B3251" s="18">
        <v>45848</v>
      </c>
      <c r="C3251" s="17" t="s">
        <v>45</v>
      </c>
      <c r="D3251" s="17" t="s">
        <v>111</v>
      </c>
      <c r="E3251" s="17" t="s">
        <v>168</v>
      </c>
      <c r="F3251" s="17" t="s">
        <v>172</v>
      </c>
      <c r="G3251" s="17">
        <v>5</v>
      </c>
      <c r="H3251" s="17">
        <v>63788</v>
      </c>
      <c r="I3251" s="17">
        <v>318940</v>
      </c>
      <c r="J3251" s="17">
        <v>576</v>
      </c>
      <c r="K3251" s="17">
        <v>318364</v>
      </c>
      <c r="L3251" s="17">
        <v>56652.799249999996</v>
      </c>
      <c r="M3251" s="17">
        <v>2025</v>
      </c>
      <c r="N3251" s="17" t="s">
        <v>123</v>
      </c>
    </row>
    <row r="3252" spans="1:14" ht="14.25" customHeight="1">
      <c r="A3252" s="17">
        <v>13251</v>
      </c>
      <c r="B3252" s="18">
        <v>45292</v>
      </c>
      <c r="C3252" s="17" t="s">
        <v>58</v>
      </c>
      <c r="D3252" s="17" t="s">
        <v>86</v>
      </c>
      <c r="E3252" s="17" t="s">
        <v>168</v>
      </c>
      <c r="F3252" s="17" t="s">
        <v>172</v>
      </c>
      <c r="G3252" s="17">
        <v>3</v>
      </c>
      <c r="H3252" s="17">
        <v>36611</v>
      </c>
      <c r="I3252" s="17">
        <v>109833</v>
      </c>
      <c r="J3252" s="17">
        <v>240</v>
      </c>
      <c r="K3252" s="17">
        <v>109593</v>
      </c>
      <c r="L3252" s="17">
        <v>15164.390079999999</v>
      </c>
      <c r="M3252" s="17">
        <v>2024</v>
      </c>
      <c r="N3252" s="17" t="s">
        <v>171</v>
      </c>
    </row>
    <row r="3253" spans="1:14" ht="14.25" customHeight="1">
      <c r="A3253" s="17">
        <v>13252</v>
      </c>
      <c r="B3253" s="18">
        <v>45459</v>
      </c>
      <c r="C3253" s="17" t="s">
        <v>39</v>
      </c>
      <c r="D3253" s="17" t="s">
        <v>111</v>
      </c>
      <c r="E3253" s="17" t="s">
        <v>168</v>
      </c>
      <c r="F3253" s="17" t="s">
        <v>166</v>
      </c>
      <c r="G3253" s="17">
        <v>5</v>
      </c>
      <c r="H3253" s="17">
        <v>75827</v>
      </c>
      <c r="I3253" s="17">
        <v>379135</v>
      </c>
      <c r="J3253" s="17">
        <v>2638</v>
      </c>
      <c r="K3253" s="17">
        <v>376497</v>
      </c>
      <c r="L3253" s="17">
        <v>45061.682119999998</v>
      </c>
      <c r="M3253" s="17">
        <v>2024</v>
      </c>
      <c r="N3253" s="17" t="s">
        <v>120</v>
      </c>
    </row>
    <row r="3254" spans="1:14" ht="14.25" customHeight="1">
      <c r="A3254" s="17">
        <v>13253</v>
      </c>
      <c r="B3254" s="18">
        <v>45911</v>
      </c>
      <c r="C3254" s="17" t="s">
        <v>58</v>
      </c>
      <c r="D3254" s="17" t="s">
        <v>170</v>
      </c>
      <c r="E3254" s="17" t="s">
        <v>162</v>
      </c>
      <c r="F3254" s="17" t="s">
        <v>172</v>
      </c>
      <c r="G3254" s="17">
        <v>8</v>
      </c>
      <c r="H3254" s="17">
        <v>36109</v>
      </c>
      <c r="I3254" s="17">
        <v>288872</v>
      </c>
      <c r="J3254" s="17">
        <v>2041</v>
      </c>
      <c r="K3254" s="17">
        <v>286831</v>
      </c>
      <c r="L3254" s="17">
        <v>59170.28458</v>
      </c>
      <c r="M3254" s="17">
        <v>2025</v>
      </c>
      <c r="N3254" s="17" t="s">
        <v>129</v>
      </c>
    </row>
    <row r="3255" spans="1:14" ht="14.25" customHeight="1">
      <c r="A3255" s="17">
        <v>13254</v>
      </c>
      <c r="B3255" s="18">
        <v>45310</v>
      </c>
      <c r="C3255" s="17" t="s">
        <v>58</v>
      </c>
      <c r="D3255" s="17" t="s">
        <v>170</v>
      </c>
      <c r="E3255" s="17" t="s">
        <v>168</v>
      </c>
      <c r="F3255" s="17" t="s">
        <v>172</v>
      </c>
      <c r="G3255" s="17">
        <v>3</v>
      </c>
      <c r="H3255" s="17">
        <v>24481</v>
      </c>
      <c r="I3255" s="17">
        <v>73443</v>
      </c>
      <c r="J3255" s="17">
        <v>370</v>
      </c>
      <c r="K3255" s="17">
        <v>73073</v>
      </c>
      <c r="L3255" s="17">
        <v>7735.7579329999999</v>
      </c>
      <c r="M3255" s="17">
        <v>2024</v>
      </c>
      <c r="N3255" s="17" t="s">
        <v>171</v>
      </c>
    </row>
    <row r="3256" spans="1:14" ht="14.25" customHeight="1">
      <c r="A3256" s="17">
        <v>13255</v>
      </c>
      <c r="B3256" s="18">
        <v>45623</v>
      </c>
      <c r="C3256" s="17" t="s">
        <v>50</v>
      </c>
      <c r="D3256" s="17" t="s">
        <v>111</v>
      </c>
      <c r="E3256" s="17" t="s">
        <v>162</v>
      </c>
      <c r="F3256" s="17" t="s">
        <v>166</v>
      </c>
      <c r="G3256" s="17">
        <v>5</v>
      </c>
      <c r="H3256" s="17">
        <v>10247</v>
      </c>
      <c r="I3256" s="17">
        <v>51235</v>
      </c>
      <c r="J3256" s="17">
        <v>2152</v>
      </c>
      <c r="K3256" s="17">
        <v>49083</v>
      </c>
      <c r="L3256" s="17">
        <v>11570.32444</v>
      </c>
      <c r="M3256" s="17">
        <v>2024</v>
      </c>
      <c r="N3256" s="17" t="s">
        <v>173</v>
      </c>
    </row>
    <row r="3257" spans="1:14" ht="14.25" customHeight="1">
      <c r="A3257" s="17">
        <v>13256</v>
      </c>
      <c r="B3257" s="18">
        <v>45875</v>
      </c>
      <c r="C3257" s="17" t="s">
        <v>50</v>
      </c>
      <c r="D3257" s="17" t="s">
        <v>170</v>
      </c>
      <c r="E3257" s="17" t="s">
        <v>165</v>
      </c>
      <c r="F3257" s="17" t="s">
        <v>163</v>
      </c>
      <c r="G3257" s="17">
        <v>1</v>
      </c>
      <c r="H3257" s="17">
        <v>58621</v>
      </c>
      <c r="I3257" s="17">
        <v>58621</v>
      </c>
      <c r="J3257" s="17">
        <v>97</v>
      </c>
      <c r="K3257" s="17">
        <v>58524</v>
      </c>
      <c r="L3257" s="17">
        <v>10397.727849999999</v>
      </c>
      <c r="M3257" s="17">
        <v>2025</v>
      </c>
      <c r="N3257" s="17" t="s">
        <v>126</v>
      </c>
    </row>
    <row r="3258" spans="1:14" ht="14.25" customHeight="1">
      <c r="A3258" s="17">
        <v>13257</v>
      </c>
      <c r="B3258" s="18">
        <v>45747</v>
      </c>
      <c r="C3258" s="17" t="s">
        <v>58</v>
      </c>
      <c r="D3258" s="17" t="s">
        <v>89</v>
      </c>
      <c r="E3258" s="17" t="s">
        <v>168</v>
      </c>
      <c r="F3258" s="17" t="s">
        <v>163</v>
      </c>
      <c r="G3258" s="17">
        <v>2</v>
      </c>
      <c r="H3258" s="17">
        <v>26383</v>
      </c>
      <c r="I3258" s="17">
        <v>52766</v>
      </c>
      <c r="J3258" s="17">
        <v>4191</v>
      </c>
      <c r="K3258" s="17">
        <v>48575</v>
      </c>
      <c r="L3258" s="17">
        <v>9580.6666769999993</v>
      </c>
      <c r="M3258" s="17">
        <v>2025</v>
      </c>
      <c r="N3258" s="17" t="s">
        <v>112</v>
      </c>
    </row>
    <row r="3259" spans="1:14" ht="14.25" customHeight="1">
      <c r="A3259" s="17">
        <v>13258</v>
      </c>
      <c r="B3259" s="18">
        <v>45400</v>
      </c>
      <c r="C3259" s="17" t="s">
        <v>167</v>
      </c>
      <c r="D3259" s="17" t="s">
        <v>83</v>
      </c>
      <c r="E3259" s="17" t="s">
        <v>162</v>
      </c>
      <c r="F3259" s="17" t="s">
        <v>166</v>
      </c>
      <c r="G3259" s="17">
        <v>3</v>
      </c>
      <c r="H3259" s="17">
        <v>69535</v>
      </c>
      <c r="I3259" s="17">
        <v>208605</v>
      </c>
      <c r="J3259" s="17">
        <v>1948</v>
      </c>
      <c r="K3259" s="17">
        <v>206657</v>
      </c>
      <c r="L3259" s="17">
        <v>28521.811290000001</v>
      </c>
      <c r="M3259" s="17">
        <v>2024</v>
      </c>
      <c r="N3259" s="17" t="s">
        <v>114</v>
      </c>
    </row>
    <row r="3260" spans="1:14" ht="14.25" customHeight="1">
      <c r="A3260" s="17">
        <v>13259</v>
      </c>
      <c r="B3260" s="18">
        <v>45559</v>
      </c>
      <c r="C3260" s="17" t="s">
        <v>50</v>
      </c>
      <c r="D3260" s="17" t="s">
        <v>83</v>
      </c>
      <c r="E3260" s="17" t="s">
        <v>162</v>
      </c>
      <c r="F3260" s="17" t="s">
        <v>164</v>
      </c>
      <c r="G3260" s="17">
        <v>1</v>
      </c>
      <c r="H3260" s="17">
        <v>30319</v>
      </c>
      <c r="I3260" s="17">
        <v>30319</v>
      </c>
      <c r="J3260" s="17">
        <v>1495</v>
      </c>
      <c r="K3260" s="17">
        <v>28824</v>
      </c>
      <c r="L3260" s="17">
        <v>3670.1297359999999</v>
      </c>
      <c r="M3260" s="17">
        <v>2024</v>
      </c>
      <c r="N3260" s="17" t="s">
        <v>129</v>
      </c>
    </row>
    <row r="3261" spans="1:14" ht="14.25" customHeight="1">
      <c r="A3261" s="17">
        <v>13260</v>
      </c>
      <c r="B3261" s="18">
        <v>45736</v>
      </c>
      <c r="C3261" s="17" t="s">
        <v>58</v>
      </c>
      <c r="D3261" s="17" t="s">
        <v>83</v>
      </c>
      <c r="E3261" s="17" t="s">
        <v>162</v>
      </c>
      <c r="F3261" s="17" t="s">
        <v>166</v>
      </c>
      <c r="G3261" s="17">
        <v>9</v>
      </c>
      <c r="H3261" s="17">
        <v>44334</v>
      </c>
      <c r="I3261" s="17">
        <v>399006</v>
      </c>
      <c r="J3261" s="17">
        <v>2093</v>
      </c>
      <c r="K3261" s="17">
        <v>396913</v>
      </c>
      <c r="L3261" s="17">
        <v>54203.647149999997</v>
      </c>
      <c r="M3261" s="17">
        <v>2025</v>
      </c>
      <c r="N3261" s="17" t="s">
        <v>112</v>
      </c>
    </row>
    <row r="3262" spans="1:14" ht="14.25" customHeight="1">
      <c r="A3262" s="17">
        <v>13261</v>
      </c>
      <c r="B3262" s="18">
        <v>45531</v>
      </c>
      <c r="C3262" s="17" t="s">
        <v>39</v>
      </c>
      <c r="D3262" s="17" t="s">
        <v>89</v>
      </c>
      <c r="E3262" s="17" t="s">
        <v>162</v>
      </c>
      <c r="F3262" s="17" t="s">
        <v>164</v>
      </c>
      <c r="G3262" s="17">
        <v>9</v>
      </c>
      <c r="H3262" s="17">
        <v>28728</v>
      </c>
      <c r="I3262" s="17">
        <v>258552</v>
      </c>
      <c r="J3262" s="17">
        <v>2937</v>
      </c>
      <c r="K3262" s="17">
        <v>255615</v>
      </c>
      <c r="L3262" s="17">
        <v>34468.135929999997</v>
      </c>
      <c r="M3262" s="17">
        <v>2024</v>
      </c>
      <c r="N3262" s="17" t="s">
        <v>126</v>
      </c>
    </row>
    <row r="3263" spans="1:14" ht="14.25" customHeight="1">
      <c r="A3263" s="17">
        <v>13262</v>
      </c>
      <c r="B3263" s="18">
        <v>45592</v>
      </c>
      <c r="C3263" s="17" t="s">
        <v>167</v>
      </c>
      <c r="D3263" s="17" t="s">
        <v>170</v>
      </c>
      <c r="E3263" s="17" t="s">
        <v>168</v>
      </c>
      <c r="F3263" s="17" t="s">
        <v>172</v>
      </c>
      <c r="G3263" s="17">
        <v>5</v>
      </c>
      <c r="H3263" s="17">
        <v>35442</v>
      </c>
      <c r="I3263" s="17">
        <v>177210</v>
      </c>
      <c r="J3263" s="17">
        <v>2078</v>
      </c>
      <c r="K3263" s="17">
        <v>175132</v>
      </c>
      <c r="L3263" s="17">
        <v>40223.48487</v>
      </c>
      <c r="M3263" s="17">
        <v>2024</v>
      </c>
      <c r="N3263" s="17" t="s">
        <v>174</v>
      </c>
    </row>
    <row r="3264" spans="1:14" ht="14.25" customHeight="1">
      <c r="A3264" s="17">
        <v>13263</v>
      </c>
      <c r="B3264" s="18">
        <v>45893</v>
      </c>
      <c r="C3264" s="17" t="s">
        <v>45</v>
      </c>
      <c r="D3264" s="17" t="s">
        <v>111</v>
      </c>
      <c r="E3264" s="17" t="s">
        <v>168</v>
      </c>
      <c r="F3264" s="17" t="s">
        <v>163</v>
      </c>
      <c r="G3264" s="17">
        <v>4</v>
      </c>
      <c r="H3264" s="17">
        <v>47521</v>
      </c>
      <c r="I3264" s="17">
        <v>190084</v>
      </c>
      <c r="J3264" s="17">
        <v>2455</v>
      </c>
      <c r="K3264" s="17">
        <v>187629</v>
      </c>
      <c r="L3264" s="17">
        <v>40922.055679999998</v>
      </c>
      <c r="M3264" s="17">
        <v>2025</v>
      </c>
      <c r="N3264" s="17" t="s">
        <v>126</v>
      </c>
    </row>
    <row r="3265" spans="1:14" ht="14.25" customHeight="1">
      <c r="A3265" s="17">
        <v>13264</v>
      </c>
      <c r="B3265" s="18">
        <v>45394</v>
      </c>
      <c r="C3265" s="17" t="s">
        <v>58</v>
      </c>
      <c r="D3265" s="17" t="s">
        <v>86</v>
      </c>
      <c r="E3265" s="17" t="s">
        <v>168</v>
      </c>
      <c r="F3265" s="17" t="s">
        <v>164</v>
      </c>
      <c r="G3265" s="17">
        <v>5</v>
      </c>
      <c r="H3265" s="17">
        <v>69777</v>
      </c>
      <c r="I3265" s="17">
        <v>348885</v>
      </c>
      <c r="J3265" s="17">
        <v>3446</v>
      </c>
      <c r="K3265" s="17">
        <v>345439</v>
      </c>
      <c r="L3265" s="17">
        <v>78729.168340000004</v>
      </c>
      <c r="M3265" s="17">
        <v>2024</v>
      </c>
      <c r="N3265" s="17" t="s">
        <v>114</v>
      </c>
    </row>
    <row r="3266" spans="1:14" ht="14.25" customHeight="1">
      <c r="A3266" s="17">
        <v>13265</v>
      </c>
      <c r="B3266" s="18">
        <v>45541</v>
      </c>
      <c r="C3266" s="17" t="s">
        <v>58</v>
      </c>
      <c r="D3266" s="17" t="s">
        <v>170</v>
      </c>
      <c r="E3266" s="17" t="s">
        <v>162</v>
      </c>
      <c r="F3266" s="17" t="s">
        <v>164</v>
      </c>
      <c r="G3266" s="17">
        <v>4</v>
      </c>
      <c r="H3266" s="17">
        <v>17137</v>
      </c>
      <c r="I3266" s="17">
        <v>68548</v>
      </c>
      <c r="J3266" s="17">
        <v>1405</v>
      </c>
      <c r="K3266" s="17">
        <v>67143</v>
      </c>
      <c r="L3266" s="17">
        <v>14115.527040000001</v>
      </c>
      <c r="M3266" s="17">
        <v>2024</v>
      </c>
      <c r="N3266" s="17" t="s">
        <v>129</v>
      </c>
    </row>
    <row r="3267" spans="1:14" ht="14.25" customHeight="1">
      <c r="A3267" s="17">
        <v>13266</v>
      </c>
      <c r="B3267" s="18">
        <v>45744</v>
      </c>
      <c r="C3267" s="17" t="s">
        <v>167</v>
      </c>
      <c r="D3267" s="17" t="s">
        <v>89</v>
      </c>
      <c r="E3267" s="17" t="s">
        <v>165</v>
      </c>
      <c r="F3267" s="17" t="s">
        <v>172</v>
      </c>
      <c r="G3267" s="17">
        <v>5</v>
      </c>
      <c r="H3267" s="17">
        <v>48636</v>
      </c>
      <c r="I3267" s="17">
        <v>243180</v>
      </c>
      <c r="J3267" s="17">
        <v>4811</v>
      </c>
      <c r="K3267" s="17">
        <v>238369</v>
      </c>
      <c r="L3267" s="17">
        <v>46847.26842</v>
      </c>
      <c r="M3267" s="17">
        <v>2025</v>
      </c>
      <c r="N3267" s="17" t="s">
        <v>112</v>
      </c>
    </row>
    <row r="3268" spans="1:14" ht="14.25" customHeight="1">
      <c r="A3268" s="17">
        <v>13267</v>
      </c>
      <c r="B3268" s="18">
        <v>45811</v>
      </c>
      <c r="C3268" s="17" t="s">
        <v>50</v>
      </c>
      <c r="D3268" s="17" t="s">
        <v>89</v>
      </c>
      <c r="E3268" s="17" t="s">
        <v>162</v>
      </c>
      <c r="F3268" s="17" t="s">
        <v>163</v>
      </c>
      <c r="G3268" s="17">
        <v>7</v>
      </c>
      <c r="H3268" s="17">
        <v>19905</v>
      </c>
      <c r="I3268" s="17">
        <v>139335</v>
      </c>
      <c r="J3268" s="17">
        <v>2691</v>
      </c>
      <c r="K3268" s="17">
        <v>136644</v>
      </c>
      <c r="L3268" s="17">
        <v>24484.036370000002</v>
      </c>
      <c r="M3268" s="17">
        <v>2025</v>
      </c>
      <c r="N3268" s="17" t="s">
        <v>120</v>
      </c>
    </row>
    <row r="3269" spans="1:14" ht="14.25" customHeight="1">
      <c r="A3269" s="17">
        <v>13268</v>
      </c>
      <c r="B3269" s="18">
        <v>45444</v>
      </c>
      <c r="C3269" s="17" t="s">
        <v>50</v>
      </c>
      <c r="D3269" s="17" t="s">
        <v>83</v>
      </c>
      <c r="E3269" s="17" t="s">
        <v>165</v>
      </c>
      <c r="F3269" s="17" t="s">
        <v>172</v>
      </c>
      <c r="G3269" s="17">
        <v>8</v>
      </c>
      <c r="H3269" s="17">
        <v>35024</v>
      </c>
      <c r="I3269" s="17">
        <v>280192</v>
      </c>
      <c r="J3269" s="17">
        <v>2745</v>
      </c>
      <c r="K3269" s="17">
        <v>277447</v>
      </c>
      <c r="L3269" s="17">
        <v>38793.27044</v>
      </c>
      <c r="M3269" s="17">
        <v>2024</v>
      </c>
      <c r="N3269" s="17" t="s">
        <v>120</v>
      </c>
    </row>
    <row r="3270" spans="1:14" ht="14.25" customHeight="1">
      <c r="A3270" s="17">
        <v>13269</v>
      </c>
      <c r="B3270" s="18">
        <v>45465</v>
      </c>
      <c r="C3270" s="17" t="s">
        <v>50</v>
      </c>
      <c r="D3270" s="17" t="s">
        <v>170</v>
      </c>
      <c r="E3270" s="17" t="s">
        <v>168</v>
      </c>
      <c r="F3270" s="17" t="s">
        <v>163</v>
      </c>
      <c r="G3270" s="17">
        <v>2</v>
      </c>
      <c r="H3270" s="17">
        <v>69966</v>
      </c>
      <c r="I3270" s="17">
        <v>139932</v>
      </c>
      <c r="J3270" s="17">
        <v>972</v>
      </c>
      <c r="K3270" s="17">
        <v>138960</v>
      </c>
      <c r="L3270" s="17">
        <v>28598.585490000001</v>
      </c>
      <c r="M3270" s="17">
        <v>2024</v>
      </c>
      <c r="N3270" s="17" t="s">
        <v>120</v>
      </c>
    </row>
    <row r="3271" spans="1:14" ht="14.25" customHeight="1">
      <c r="A3271" s="17">
        <v>13270</v>
      </c>
      <c r="B3271" s="18">
        <v>45634</v>
      </c>
      <c r="C3271" s="17" t="s">
        <v>45</v>
      </c>
      <c r="D3271" s="17" t="s">
        <v>83</v>
      </c>
      <c r="E3271" s="17" t="s">
        <v>162</v>
      </c>
      <c r="F3271" s="17" t="s">
        <v>163</v>
      </c>
      <c r="G3271" s="17">
        <v>4</v>
      </c>
      <c r="H3271" s="17">
        <v>22702</v>
      </c>
      <c r="I3271" s="17">
        <v>90808</v>
      </c>
      <c r="J3271" s="17">
        <v>2748</v>
      </c>
      <c r="K3271" s="17">
        <v>88060</v>
      </c>
      <c r="L3271" s="17">
        <v>10610.143410000001</v>
      </c>
      <c r="M3271" s="17">
        <v>2024</v>
      </c>
      <c r="N3271" s="17" t="s">
        <v>169</v>
      </c>
    </row>
    <row r="3272" spans="1:14" ht="14.25" customHeight="1">
      <c r="A3272" s="17">
        <v>13271</v>
      </c>
      <c r="B3272" s="18">
        <v>45961</v>
      </c>
      <c r="C3272" s="17" t="s">
        <v>167</v>
      </c>
      <c r="D3272" s="17" t="s">
        <v>86</v>
      </c>
      <c r="E3272" s="17" t="s">
        <v>162</v>
      </c>
      <c r="F3272" s="17" t="s">
        <v>172</v>
      </c>
      <c r="G3272" s="17">
        <v>8</v>
      </c>
      <c r="H3272" s="17">
        <v>21505</v>
      </c>
      <c r="I3272" s="17">
        <v>172040</v>
      </c>
      <c r="J3272" s="17">
        <v>1512</v>
      </c>
      <c r="K3272" s="17">
        <v>170528</v>
      </c>
      <c r="L3272" s="17">
        <v>30125.345440000001</v>
      </c>
      <c r="M3272" s="17">
        <v>2025</v>
      </c>
      <c r="N3272" s="17" t="s">
        <v>174</v>
      </c>
    </row>
    <row r="3273" spans="1:14" ht="14.25" customHeight="1">
      <c r="A3273" s="17">
        <v>13272</v>
      </c>
      <c r="B3273" s="18">
        <v>45722</v>
      </c>
      <c r="C3273" s="17" t="s">
        <v>167</v>
      </c>
      <c r="D3273" s="17" t="s">
        <v>83</v>
      </c>
      <c r="E3273" s="17" t="s">
        <v>168</v>
      </c>
      <c r="F3273" s="17" t="s">
        <v>164</v>
      </c>
      <c r="G3273" s="17">
        <v>7</v>
      </c>
      <c r="H3273" s="17">
        <v>74790</v>
      </c>
      <c r="I3273" s="17">
        <v>523530</v>
      </c>
      <c r="J3273" s="17">
        <v>2923</v>
      </c>
      <c r="K3273" s="17">
        <v>520607</v>
      </c>
      <c r="L3273" s="17">
        <v>67309.91171</v>
      </c>
      <c r="M3273" s="17">
        <v>2025</v>
      </c>
      <c r="N3273" s="17" t="s">
        <v>112</v>
      </c>
    </row>
    <row r="3274" spans="1:14" ht="14.25" customHeight="1">
      <c r="A3274" s="17">
        <v>13273</v>
      </c>
      <c r="B3274" s="18">
        <v>46018</v>
      </c>
      <c r="C3274" s="17" t="s">
        <v>50</v>
      </c>
      <c r="D3274" s="17" t="s">
        <v>86</v>
      </c>
      <c r="E3274" s="17" t="s">
        <v>162</v>
      </c>
      <c r="F3274" s="17" t="s">
        <v>166</v>
      </c>
      <c r="G3274" s="17">
        <v>9</v>
      </c>
      <c r="H3274" s="17">
        <v>66071</v>
      </c>
      <c r="I3274" s="17">
        <v>594639</v>
      </c>
      <c r="J3274" s="17">
        <v>808</v>
      </c>
      <c r="K3274" s="17">
        <v>593831</v>
      </c>
      <c r="L3274" s="17">
        <v>104344.3584</v>
      </c>
      <c r="M3274" s="17">
        <v>2025</v>
      </c>
      <c r="N3274" s="17" t="s">
        <v>169</v>
      </c>
    </row>
    <row r="3275" spans="1:14" ht="14.25" customHeight="1">
      <c r="A3275" s="17">
        <v>13274</v>
      </c>
      <c r="B3275" s="18">
        <v>45980</v>
      </c>
      <c r="C3275" s="17" t="s">
        <v>50</v>
      </c>
      <c r="D3275" s="17" t="s">
        <v>89</v>
      </c>
      <c r="E3275" s="17" t="s">
        <v>165</v>
      </c>
      <c r="F3275" s="17" t="s">
        <v>163</v>
      </c>
      <c r="G3275" s="17">
        <v>5</v>
      </c>
      <c r="H3275" s="17">
        <v>13498</v>
      </c>
      <c r="I3275" s="17">
        <v>67490</v>
      </c>
      <c r="J3275" s="17">
        <v>4694</v>
      </c>
      <c r="K3275" s="17">
        <v>62796</v>
      </c>
      <c r="L3275" s="17">
        <v>9048.0314849999995</v>
      </c>
      <c r="M3275" s="17">
        <v>2025</v>
      </c>
      <c r="N3275" s="17" t="s">
        <v>173</v>
      </c>
    </row>
    <row r="3276" spans="1:14" ht="14.25" customHeight="1">
      <c r="A3276" s="17">
        <v>13275</v>
      </c>
      <c r="B3276" s="18">
        <v>45978</v>
      </c>
      <c r="C3276" s="17" t="s">
        <v>39</v>
      </c>
      <c r="D3276" s="17" t="s">
        <v>83</v>
      </c>
      <c r="E3276" s="17" t="s">
        <v>165</v>
      </c>
      <c r="F3276" s="17" t="s">
        <v>163</v>
      </c>
      <c r="G3276" s="17">
        <v>6</v>
      </c>
      <c r="H3276" s="17">
        <v>63456</v>
      </c>
      <c r="I3276" s="17">
        <v>380736</v>
      </c>
      <c r="J3276" s="17">
        <v>4230</v>
      </c>
      <c r="K3276" s="17">
        <v>376506</v>
      </c>
      <c r="L3276" s="17">
        <v>40670.912470000003</v>
      </c>
      <c r="M3276" s="17">
        <v>2025</v>
      </c>
      <c r="N3276" s="17" t="s">
        <v>173</v>
      </c>
    </row>
    <row r="3277" spans="1:14" ht="14.25" customHeight="1">
      <c r="A3277" s="17">
        <v>13276</v>
      </c>
      <c r="B3277" s="18">
        <v>45949</v>
      </c>
      <c r="C3277" s="17" t="s">
        <v>39</v>
      </c>
      <c r="D3277" s="17" t="s">
        <v>83</v>
      </c>
      <c r="E3277" s="17" t="s">
        <v>165</v>
      </c>
      <c r="F3277" s="17" t="s">
        <v>166</v>
      </c>
      <c r="G3277" s="17">
        <v>8</v>
      </c>
      <c r="H3277" s="17">
        <v>34733</v>
      </c>
      <c r="I3277" s="17">
        <v>277864</v>
      </c>
      <c r="J3277" s="17">
        <v>327</v>
      </c>
      <c r="K3277" s="17">
        <v>277537</v>
      </c>
      <c r="L3277" s="17">
        <v>48723.383249999999</v>
      </c>
      <c r="M3277" s="17">
        <v>2025</v>
      </c>
      <c r="N3277" s="17" t="s">
        <v>174</v>
      </c>
    </row>
    <row r="3278" spans="1:14" ht="14.25" customHeight="1">
      <c r="A3278" s="17">
        <v>13277</v>
      </c>
      <c r="B3278" s="18">
        <v>45615</v>
      </c>
      <c r="C3278" s="17" t="s">
        <v>58</v>
      </c>
      <c r="D3278" s="17" t="s">
        <v>111</v>
      </c>
      <c r="E3278" s="17" t="s">
        <v>162</v>
      </c>
      <c r="F3278" s="17" t="s">
        <v>166</v>
      </c>
      <c r="G3278" s="17">
        <v>5</v>
      </c>
      <c r="H3278" s="17">
        <v>72432</v>
      </c>
      <c r="I3278" s="17">
        <v>362160</v>
      </c>
      <c r="J3278" s="17">
        <v>4294</v>
      </c>
      <c r="K3278" s="17">
        <v>357866</v>
      </c>
      <c r="L3278" s="17">
        <v>45547.227420000003</v>
      </c>
      <c r="M3278" s="17">
        <v>2024</v>
      </c>
      <c r="N3278" s="17" t="s">
        <v>173</v>
      </c>
    </row>
    <row r="3279" spans="1:14" ht="14.25" customHeight="1">
      <c r="A3279" s="17">
        <v>13278</v>
      </c>
      <c r="B3279" s="18">
        <v>45964</v>
      </c>
      <c r="C3279" s="17" t="s">
        <v>58</v>
      </c>
      <c r="D3279" s="17" t="s">
        <v>89</v>
      </c>
      <c r="E3279" s="17" t="s">
        <v>162</v>
      </c>
      <c r="F3279" s="17" t="s">
        <v>172</v>
      </c>
      <c r="G3279" s="17">
        <v>9</v>
      </c>
      <c r="H3279" s="17">
        <v>62158</v>
      </c>
      <c r="I3279" s="17">
        <v>559422</v>
      </c>
      <c r="J3279" s="17">
        <v>682</v>
      </c>
      <c r="K3279" s="17">
        <v>558740</v>
      </c>
      <c r="L3279" s="17">
        <v>69380.564429999999</v>
      </c>
      <c r="M3279" s="17">
        <v>2025</v>
      </c>
      <c r="N3279" s="17" t="s">
        <v>173</v>
      </c>
    </row>
    <row r="3280" spans="1:14" ht="14.25" customHeight="1">
      <c r="A3280" s="17">
        <v>13279</v>
      </c>
      <c r="B3280" s="18">
        <v>45930</v>
      </c>
      <c r="C3280" s="17" t="s">
        <v>167</v>
      </c>
      <c r="D3280" s="17" t="s">
        <v>111</v>
      </c>
      <c r="E3280" s="17" t="s">
        <v>165</v>
      </c>
      <c r="F3280" s="17" t="s">
        <v>163</v>
      </c>
      <c r="G3280" s="17">
        <v>4</v>
      </c>
      <c r="H3280" s="17">
        <v>8911</v>
      </c>
      <c r="I3280" s="17">
        <v>35644</v>
      </c>
      <c r="J3280" s="17">
        <v>3331</v>
      </c>
      <c r="K3280" s="17">
        <v>32313</v>
      </c>
      <c r="L3280" s="17">
        <v>5094.3022879999999</v>
      </c>
      <c r="M3280" s="17">
        <v>2025</v>
      </c>
      <c r="N3280" s="17" t="s">
        <v>129</v>
      </c>
    </row>
    <row r="3281" spans="1:14" ht="14.25" customHeight="1">
      <c r="A3281" s="17">
        <v>13280</v>
      </c>
      <c r="B3281" s="18">
        <v>45711</v>
      </c>
      <c r="C3281" s="17" t="s">
        <v>167</v>
      </c>
      <c r="D3281" s="17" t="s">
        <v>86</v>
      </c>
      <c r="E3281" s="17" t="s">
        <v>162</v>
      </c>
      <c r="F3281" s="17" t="s">
        <v>172</v>
      </c>
      <c r="G3281" s="17">
        <v>8</v>
      </c>
      <c r="H3281" s="17">
        <v>54105</v>
      </c>
      <c r="I3281" s="17">
        <v>432840</v>
      </c>
      <c r="J3281" s="17">
        <v>123</v>
      </c>
      <c r="K3281" s="17">
        <v>432717</v>
      </c>
      <c r="L3281" s="17">
        <v>66754.418040000004</v>
      </c>
      <c r="M3281" s="17">
        <v>2025</v>
      </c>
      <c r="N3281" s="17" t="s">
        <v>175</v>
      </c>
    </row>
    <row r="3282" spans="1:14" ht="14.25" customHeight="1">
      <c r="A3282" s="17">
        <v>13281</v>
      </c>
      <c r="B3282" s="18">
        <v>45885</v>
      </c>
      <c r="C3282" s="17" t="s">
        <v>45</v>
      </c>
      <c r="D3282" s="17" t="s">
        <v>86</v>
      </c>
      <c r="E3282" s="17" t="s">
        <v>165</v>
      </c>
      <c r="F3282" s="17" t="s">
        <v>166</v>
      </c>
      <c r="G3282" s="17">
        <v>3</v>
      </c>
      <c r="H3282" s="17">
        <v>78876</v>
      </c>
      <c r="I3282" s="17">
        <v>236628</v>
      </c>
      <c r="J3282" s="17">
        <v>753</v>
      </c>
      <c r="K3282" s="17">
        <v>235875</v>
      </c>
      <c r="L3282" s="17">
        <v>54261.55298</v>
      </c>
      <c r="M3282" s="17">
        <v>2025</v>
      </c>
      <c r="N3282" s="17" t="s">
        <v>126</v>
      </c>
    </row>
    <row r="3283" spans="1:14" ht="14.25" customHeight="1">
      <c r="A3283" s="17">
        <v>13282</v>
      </c>
      <c r="B3283" s="18">
        <v>45776</v>
      </c>
      <c r="C3283" s="17" t="s">
        <v>45</v>
      </c>
      <c r="D3283" s="17" t="s">
        <v>89</v>
      </c>
      <c r="E3283" s="17" t="s">
        <v>168</v>
      </c>
      <c r="F3283" s="17" t="s">
        <v>172</v>
      </c>
      <c r="G3283" s="17">
        <v>5</v>
      </c>
      <c r="H3283" s="17">
        <v>69322</v>
      </c>
      <c r="I3283" s="17">
        <v>346610</v>
      </c>
      <c r="J3283" s="17">
        <v>1606</v>
      </c>
      <c r="K3283" s="17">
        <v>345004</v>
      </c>
      <c r="L3283" s="17">
        <v>63720.704720000002</v>
      </c>
      <c r="M3283" s="17">
        <v>2025</v>
      </c>
      <c r="N3283" s="17" t="s">
        <v>114</v>
      </c>
    </row>
    <row r="3284" spans="1:14" ht="14.25" customHeight="1">
      <c r="A3284" s="17">
        <v>13283</v>
      </c>
      <c r="B3284" s="18">
        <v>45950</v>
      </c>
      <c r="C3284" s="17" t="s">
        <v>39</v>
      </c>
      <c r="D3284" s="17" t="s">
        <v>86</v>
      </c>
      <c r="E3284" s="17" t="s">
        <v>165</v>
      </c>
      <c r="F3284" s="17" t="s">
        <v>163</v>
      </c>
      <c r="G3284" s="17">
        <v>8</v>
      </c>
      <c r="H3284" s="17">
        <v>41672</v>
      </c>
      <c r="I3284" s="17">
        <v>333376</v>
      </c>
      <c r="J3284" s="17">
        <v>3578</v>
      </c>
      <c r="K3284" s="17">
        <v>329798</v>
      </c>
      <c r="L3284" s="17">
        <v>75254.994300000006</v>
      </c>
      <c r="M3284" s="17">
        <v>2025</v>
      </c>
      <c r="N3284" s="17" t="s">
        <v>174</v>
      </c>
    </row>
    <row r="3285" spans="1:14" ht="14.25" customHeight="1">
      <c r="A3285" s="17">
        <v>13284</v>
      </c>
      <c r="B3285" s="18">
        <v>45703</v>
      </c>
      <c r="C3285" s="17" t="s">
        <v>58</v>
      </c>
      <c r="D3285" s="17" t="s">
        <v>89</v>
      </c>
      <c r="E3285" s="17" t="s">
        <v>168</v>
      </c>
      <c r="F3285" s="17" t="s">
        <v>164</v>
      </c>
      <c r="G3285" s="17">
        <v>7</v>
      </c>
      <c r="H3285" s="17">
        <v>75412</v>
      </c>
      <c r="I3285" s="17">
        <v>527884</v>
      </c>
      <c r="J3285" s="17">
        <v>4666</v>
      </c>
      <c r="K3285" s="17">
        <v>523218</v>
      </c>
      <c r="L3285" s="17">
        <v>63845.858590000003</v>
      </c>
      <c r="M3285" s="17">
        <v>2025</v>
      </c>
      <c r="N3285" s="17" t="s">
        <v>175</v>
      </c>
    </row>
    <row r="3286" spans="1:14" ht="14.25" customHeight="1">
      <c r="A3286" s="17">
        <v>13285</v>
      </c>
      <c r="B3286" s="18">
        <v>45375</v>
      </c>
      <c r="C3286" s="17" t="s">
        <v>39</v>
      </c>
      <c r="D3286" s="17" t="s">
        <v>86</v>
      </c>
      <c r="E3286" s="17" t="s">
        <v>168</v>
      </c>
      <c r="F3286" s="17" t="s">
        <v>164</v>
      </c>
      <c r="G3286" s="17">
        <v>1</v>
      </c>
      <c r="H3286" s="17">
        <v>71239</v>
      </c>
      <c r="I3286" s="17">
        <v>71239</v>
      </c>
      <c r="J3286" s="17">
        <v>1468</v>
      </c>
      <c r="K3286" s="17">
        <v>69771</v>
      </c>
      <c r="L3286" s="17">
        <v>10716.58423</v>
      </c>
      <c r="M3286" s="17">
        <v>2024</v>
      </c>
      <c r="N3286" s="17" t="s">
        <v>112</v>
      </c>
    </row>
    <row r="3287" spans="1:14" ht="14.25" customHeight="1">
      <c r="A3287" s="17">
        <v>13286</v>
      </c>
      <c r="B3287" s="18">
        <v>45404</v>
      </c>
      <c r="C3287" s="17" t="s">
        <v>39</v>
      </c>
      <c r="D3287" s="17" t="s">
        <v>170</v>
      </c>
      <c r="E3287" s="17" t="s">
        <v>168</v>
      </c>
      <c r="F3287" s="17" t="s">
        <v>163</v>
      </c>
      <c r="G3287" s="17">
        <v>4</v>
      </c>
      <c r="H3287" s="17">
        <v>68804</v>
      </c>
      <c r="I3287" s="17">
        <v>275216</v>
      </c>
      <c r="J3287" s="17">
        <v>2845</v>
      </c>
      <c r="K3287" s="17">
        <v>272371</v>
      </c>
      <c r="L3287" s="17">
        <v>49925.452490000003</v>
      </c>
      <c r="M3287" s="17">
        <v>2024</v>
      </c>
      <c r="N3287" s="17" t="s">
        <v>114</v>
      </c>
    </row>
    <row r="3288" spans="1:14" ht="14.25" customHeight="1">
      <c r="A3288" s="17">
        <v>13287</v>
      </c>
      <c r="B3288" s="18">
        <v>45623</v>
      </c>
      <c r="C3288" s="17" t="s">
        <v>58</v>
      </c>
      <c r="D3288" s="17" t="s">
        <v>83</v>
      </c>
      <c r="E3288" s="17" t="s">
        <v>165</v>
      </c>
      <c r="F3288" s="17" t="s">
        <v>172</v>
      </c>
      <c r="G3288" s="17">
        <v>2</v>
      </c>
      <c r="H3288" s="17">
        <v>66727</v>
      </c>
      <c r="I3288" s="17">
        <v>133454</v>
      </c>
      <c r="J3288" s="17">
        <v>2938</v>
      </c>
      <c r="K3288" s="17">
        <v>130516</v>
      </c>
      <c r="L3288" s="17">
        <v>16049.44947</v>
      </c>
      <c r="M3288" s="17">
        <v>2024</v>
      </c>
      <c r="N3288" s="17" t="s">
        <v>173</v>
      </c>
    </row>
    <row r="3289" spans="1:14" ht="14.25" customHeight="1">
      <c r="A3289" s="17">
        <v>13288</v>
      </c>
      <c r="B3289" s="18">
        <v>45669</v>
      </c>
      <c r="C3289" s="17" t="s">
        <v>45</v>
      </c>
      <c r="D3289" s="17" t="s">
        <v>170</v>
      </c>
      <c r="E3289" s="17" t="s">
        <v>165</v>
      </c>
      <c r="F3289" s="17" t="s">
        <v>166</v>
      </c>
      <c r="G3289" s="17">
        <v>2</v>
      </c>
      <c r="H3289" s="17">
        <v>11440</v>
      </c>
      <c r="I3289" s="17">
        <v>22880</v>
      </c>
      <c r="J3289" s="17">
        <v>1926</v>
      </c>
      <c r="K3289" s="17">
        <v>20954</v>
      </c>
      <c r="L3289" s="17">
        <v>2497.8961650000001</v>
      </c>
      <c r="M3289" s="17">
        <v>2025</v>
      </c>
      <c r="N3289" s="17" t="s">
        <v>171</v>
      </c>
    </row>
    <row r="3290" spans="1:14" ht="14.25" customHeight="1">
      <c r="A3290" s="17">
        <v>13289</v>
      </c>
      <c r="B3290" s="18">
        <v>45946</v>
      </c>
      <c r="C3290" s="17" t="s">
        <v>58</v>
      </c>
      <c r="D3290" s="17" t="s">
        <v>89</v>
      </c>
      <c r="E3290" s="17" t="s">
        <v>162</v>
      </c>
      <c r="F3290" s="17" t="s">
        <v>166</v>
      </c>
      <c r="G3290" s="17">
        <v>7</v>
      </c>
      <c r="H3290" s="17">
        <v>72560</v>
      </c>
      <c r="I3290" s="17">
        <v>507920</v>
      </c>
      <c r="J3290" s="17">
        <v>2427</v>
      </c>
      <c r="K3290" s="17">
        <v>505493</v>
      </c>
      <c r="L3290" s="17">
        <v>100699.3817</v>
      </c>
      <c r="M3290" s="17">
        <v>2025</v>
      </c>
      <c r="N3290" s="17" t="s">
        <v>174</v>
      </c>
    </row>
    <row r="3291" spans="1:14" ht="14.25" customHeight="1">
      <c r="A3291" s="17">
        <v>13290</v>
      </c>
      <c r="B3291" s="18">
        <v>45332</v>
      </c>
      <c r="C3291" s="17" t="s">
        <v>50</v>
      </c>
      <c r="D3291" s="17" t="s">
        <v>89</v>
      </c>
      <c r="E3291" s="17" t="s">
        <v>162</v>
      </c>
      <c r="F3291" s="17" t="s">
        <v>164</v>
      </c>
      <c r="G3291" s="17">
        <v>3</v>
      </c>
      <c r="H3291" s="17">
        <v>20751</v>
      </c>
      <c r="I3291" s="17">
        <v>62253</v>
      </c>
      <c r="J3291" s="17">
        <v>164</v>
      </c>
      <c r="K3291" s="17">
        <v>62089</v>
      </c>
      <c r="L3291" s="17">
        <v>12298.284610000001</v>
      </c>
      <c r="M3291" s="17">
        <v>2024</v>
      </c>
      <c r="N3291" s="17" t="s">
        <v>175</v>
      </c>
    </row>
    <row r="3292" spans="1:14" ht="14.25" customHeight="1">
      <c r="A3292" s="17">
        <v>13291</v>
      </c>
      <c r="B3292" s="18">
        <v>45396</v>
      </c>
      <c r="C3292" s="17" t="s">
        <v>50</v>
      </c>
      <c r="D3292" s="17" t="s">
        <v>170</v>
      </c>
      <c r="E3292" s="17" t="s">
        <v>168</v>
      </c>
      <c r="F3292" s="17" t="s">
        <v>172</v>
      </c>
      <c r="G3292" s="17">
        <v>3</v>
      </c>
      <c r="H3292" s="17">
        <v>17730</v>
      </c>
      <c r="I3292" s="17">
        <v>53190</v>
      </c>
      <c r="J3292" s="17">
        <v>1509</v>
      </c>
      <c r="K3292" s="17">
        <v>51681</v>
      </c>
      <c r="L3292" s="17">
        <v>6983.3330880000003</v>
      </c>
      <c r="M3292" s="17">
        <v>2024</v>
      </c>
      <c r="N3292" s="17" t="s">
        <v>114</v>
      </c>
    </row>
    <row r="3293" spans="1:14" ht="14.25" customHeight="1">
      <c r="A3293" s="17">
        <v>13292</v>
      </c>
      <c r="B3293" s="18">
        <v>45493</v>
      </c>
      <c r="C3293" s="17" t="s">
        <v>50</v>
      </c>
      <c r="D3293" s="17" t="s">
        <v>83</v>
      </c>
      <c r="E3293" s="17" t="s">
        <v>165</v>
      </c>
      <c r="F3293" s="17" t="s">
        <v>166</v>
      </c>
      <c r="G3293" s="17">
        <v>6</v>
      </c>
      <c r="H3293" s="17">
        <v>69792</v>
      </c>
      <c r="I3293" s="17">
        <v>418752</v>
      </c>
      <c r="J3293" s="17">
        <v>4710</v>
      </c>
      <c r="K3293" s="17">
        <v>414042</v>
      </c>
      <c r="L3293" s="17">
        <v>55510.003669999998</v>
      </c>
      <c r="M3293" s="17">
        <v>2024</v>
      </c>
      <c r="N3293" s="17" t="s">
        <v>123</v>
      </c>
    </row>
    <row r="3294" spans="1:14" ht="14.25" customHeight="1">
      <c r="A3294" s="17">
        <v>13293</v>
      </c>
      <c r="B3294" s="18">
        <v>45741</v>
      </c>
      <c r="C3294" s="17" t="s">
        <v>167</v>
      </c>
      <c r="D3294" s="17" t="s">
        <v>83</v>
      </c>
      <c r="E3294" s="17" t="s">
        <v>162</v>
      </c>
      <c r="F3294" s="17" t="s">
        <v>166</v>
      </c>
      <c r="G3294" s="17">
        <v>6</v>
      </c>
      <c r="H3294" s="17">
        <v>26380</v>
      </c>
      <c r="I3294" s="17">
        <v>158280</v>
      </c>
      <c r="J3294" s="17">
        <v>4092</v>
      </c>
      <c r="K3294" s="17">
        <v>154188</v>
      </c>
      <c r="L3294" s="17">
        <v>32659.619070000001</v>
      </c>
      <c r="M3294" s="17">
        <v>2025</v>
      </c>
      <c r="N3294" s="17" t="s">
        <v>112</v>
      </c>
    </row>
    <row r="3295" spans="1:14" ht="14.25" customHeight="1">
      <c r="A3295" s="17">
        <v>13294</v>
      </c>
      <c r="B3295" s="18">
        <v>45557</v>
      </c>
      <c r="C3295" s="17" t="s">
        <v>45</v>
      </c>
      <c r="D3295" s="17" t="s">
        <v>111</v>
      </c>
      <c r="E3295" s="17" t="s">
        <v>162</v>
      </c>
      <c r="F3295" s="17" t="s">
        <v>163</v>
      </c>
      <c r="G3295" s="17">
        <v>1</v>
      </c>
      <c r="H3295" s="17">
        <v>33972</v>
      </c>
      <c r="I3295" s="17">
        <v>33972</v>
      </c>
      <c r="J3295" s="17">
        <v>2810</v>
      </c>
      <c r="K3295" s="17">
        <v>31162</v>
      </c>
      <c r="L3295" s="17">
        <v>3663.0362580000001</v>
      </c>
      <c r="M3295" s="17">
        <v>2024</v>
      </c>
      <c r="N3295" s="17" t="s">
        <v>129</v>
      </c>
    </row>
    <row r="3296" spans="1:14" ht="14.25" customHeight="1">
      <c r="A3296" s="17">
        <v>13295</v>
      </c>
      <c r="B3296" s="18">
        <v>45501</v>
      </c>
      <c r="C3296" s="17" t="s">
        <v>45</v>
      </c>
      <c r="D3296" s="17" t="s">
        <v>86</v>
      </c>
      <c r="E3296" s="17" t="s">
        <v>162</v>
      </c>
      <c r="F3296" s="17" t="s">
        <v>172</v>
      </c>
      <c r="G3296" s="17">
        <v>1</v>
      </c>
      <c r="H3296" s="17">
        <v>69385</v>
      </c>
      <c r="I3296" s="17">
        <v>69385</v>
      </c>
      <c r="J3296" s="17">
        <v>1200</v>
      </c>
      <c r="K3296" s="17">
        <v>68185</v>
      </c>
      <c r="L3296" s="17">
        <v>16261.408229999999</v>
      </c>
      <c r="M3296" s="17">
        <v>2024</v>
      </c>
      <c r="N3296" s="17" t="s">
        <v>123</v>
      </c>
    </row>
    <row r="3297" spans="1:14" ht="14.25" customHeight="1">
      <c r="A3297" s="17">
        <v>13296</v>
      </c>
      <c r="B3297" s="18">
        <v>45854</v>
      </c>
      <c r="C3297" s="17" t="s">
        <v>167</v>
      </c>
      <c r="D3297" s="17" t="s">
        <v>111</v>
      </c>
      <c r="E3297" s="17" t="s">
        <v>165</v>
      </c>
      <c r="F3297" s="17" t="s">
        <v>172</v>
      </c>
      <c r="G3297" s="17">
        <v>6</v>
      </c>
      <c r="H3297" s="17">
        <v>42113</v>
      </c>
      <c r="I3297" s="17">
        <v>252678</v>
      </c>
      <c r="J3297" s="17">
        <v>3281</v>
      </c>
      <c r="K3297" s="17">
        <v>249397</v>
      </c>
      <c r="L3297" s="17">
        <v>60244.533389999997</v>
      </c>
      <c r="M3297" s="17">
        <v>2025</v>
      </c>
      <c r="N3297" s="17" t="s">
        <v>123</v>
      </c>
    </row>
    <row r="3298" spans="1:14" ht="14.25" customHeight="1">
      <c r="A3298" s="17">
        <v>13297</v>
      </c>
      <c r="B3298" s="18">
        <v>45409</v>
      </c>
      <c r="C3298" s="17" t="s">
        <v>39</v>
      </c>
      <c r="D3298" s="17" t="s">
        <v>83</v>
      </c>
      <c r="E3298" s="17" t="s">
        <v>162</v>
      </c>
      <c r="F3298" s="17" t="s">
        <v>166</v>
      </c>
      <c r="G3298" s="17">
        <v>7</v>
      </c>
      <c r="H3298" s="17">
        <v>15149</v>
      </c>
      <c r="I3298" s="17">
        <v>106043</v>
      </c>
      <c r="J3298" s="17">
        <v>618</v>
      </c>
      <c r="K3298" s="17">
        <v>105425</v>
      </c>
      <c r="L3298" s="17">
        <v>24316.154849999999</v>
      </c>
      <c r="M3298" s="17">
        <v>2024</v>
      </c>
      <c r="N3298" s="17" t="s">
        <v>114</v>
      </c>
    </row>
    <row r="3299" spans="1:14" ht="14.25" customHeight="1">
      <c r="A3299" s="17">
        <v>13298</v>
      </c>
      <c r="B3299" s="18">
        <v>46004</v>
      </c>
      <c r="C3299" s="17" t="s">
        <v>50</v>
      </c>
      <c r="D3299" s="17" t="s">
        <v>170</v>
      </c>
      <c r="E3299" s="17" t="s">
        <v>168</v>
      </c>
      <c r="F3299" s="17" t="s">
        <v>172</v>
      </c>
      <c r="G3299" s="17">
        <v>9</v>
      </c>
      <c r="H3299" s="17">
        <v>60014</v>
      </c>
      <c r="I3299" s="17">
        <v>540126</v>
      </c>
      <c r="J3299" s="17">
        <v>2712</v>
      </c>
      <c r="K3299" s="17">
        <v>537414</v>
      </c>
      <c r="L3299" s="17">
        <v>70724.539499999999</v>
      </c>
      <c r="M3299" s="17">
        <v>2025</v>
      </c>
      <c r="N3299" s="17" t="s">
        <v>169</v>
      </c>
    </row>
    <row r="3300" spans="1:14" ht="14.25" customHeight="1">
      <c r="A3300" s="17">
        <v>13299</v>
      </c>
      <c r="B3300" s="18">
        <v>45668</v>
      </c>
      <c r="C3300" s="17" t="s">
        <v>50</v>
      </c>
      <c r="D3300" s="17" t="s">
        <v>86</v>
      </c>
      <c r="E3300" s="17" t="s">
        <v>165</v>
      </c>
      <c r="F3300" s="17" t="s">
        <v>172</v>
      </c>
      <c r="G3300" s="17">
        <v>4</v>
      </c>
      <c r="H3300" s="17">
        <v>43402</v>
      </c>
      <c r="I3300" s="17">
        <v>173608</v>
      </c>
      <c r="J3300" s="17">
        <v>4954</v>
      </c>
      <c r="K3300" s="17">
        <v>168654</v>
      </c>
      <c r="L3300" s="17">
        <v>17290.45235</v>
      </c>
      <c r="M3300" s="17">
        <v>2025</v>
      </c>
      <c r="N3300" s="17" t="s">
        <v>171</v>
      </c>
    </row>
    <row r="3301" spans="1:14" ht="14.25" customHeight="1">
      <c r="A3301" s="17">
        <v>13300</v>
      </c>
      <c r="B3301" s="18">
        <v>45842</v>
      </c>
      <c r="C3301" s="17" t="s">
        <v>39</v>
      </c>
      <c r="D3301" s="17" t="s">
        <v>170</v>
      </c>
      <c r="E3301" s="17" t="s">
        <v>162</v>
      </c>
      <c r="F3301" s="17" t="s">
        <v>172</v>
      </c>
      <c r="G3301" s="17">
        <v>6</v>
      </c>
      <c r="H3301" s="17">
        <v>54557</v>
      </c>
      <c r="I3301" s="17">
        <v>327342</v>
      </c>
      <c r="J3301" s="17">
        <v>3723</v>
      </c>
      <c r="K3301" s="17">
        <v>323619</v>
      </c>
      <c r="L3301" s="17">
        <v>77831.543030000001</v>
      </c>
      <c r="M3301" s="17">
        <v>2025</v>
      </c>
      <c r="N3301" s="17" t="s">
        <v>123</v>
      </c>
    </row>
    <row r="3302" spans="1:14" ht="14.25" customHeight="1">
      <c r="A3302" s="17">
        <v>13301</v>
      </c>
      <c r="B3302" s="18">
        <v>45831</v>
      </c>
      <c r="C3302" s="17" t="s">
        <v>58</v>
      </c>
      <c r="D3302" s="17" t="s">
        <v>111</v>
      </c>
      <c r="E3302" s="17" t="s">
        <v>162</v>
      </c>
      <c r="F3302" s="17" t="s">
        <v>163</v>
      </c>
      <c r="G3302" s="17">
        <v>3</v>
      </c>
      <c r="H3302" s="17">
        <v>5243</v>
      </c>
      <c r="I3302" s="17">
        <v>15729</v>
      </c>
      <c r="J3302" s="17">
        <v>1686</v>
      </c>
      <c r="K3302" s="17">
        <v>14043</v>
      </c>
      <c r="L3302" s="17">
        <v>2128.8594560000001</v>
      </c>
      <c r="M3302" s="17">
        <v>2025</v>
      </c>
      <c r="N3302" s="17" t="s">
        <v>120</v>
      </c>
    </row>
    <row r="3303" spans="1:14" ht="14.25" customHeight="1">
      <c r="A3303" s="17">
        <v>13302</v>
      </c>
      <c r="B3303" s="18">
        <v>45375</v>
      </c>
      <c r="C3303" s="17" t="s">
        <v>58</v>
      </c>
      <c r="D3303" s="17" t="s">
        <v>89</v>
      </c>
      <c r="E3303" s="17" t="s">
        <v>165</v>
      </c>
      <c r="F3303" s="17" t="s">
        <v>166</v>
      </c>
      <c r="G3303" s="17">
        <v>4</v>
      </c>
      <c r="H3303" s="17">
        <v>7414</v>
      </c>
      <c r="I3303" s="17">
        <v>29656</v>
      </c>
      <c r="J3303" s="17">
        <v>1606</v>
      </c>
      <c r="K3303" s="17">
        <v>28050</v>
      </c>
      <c r="L3303" s="17">
        <v>4111.0511900000001</v>
      </c>
      <c r="M3303" s="17">
        <v>2024</v>
      </c>
      <c r="N3303" s="17" t="s">
        <v>112</v>
      </c>
    </row>
    <row r="3304" spans="1:14" ht="14.25" customHeight="1">
      <c r="A3304" s="17">
        <v>13303</v>
      </c>
      <c r="B3304" s="18">
        <v>45745</v>
      </c>
      <c r="C3304" s="17" t="s">
        <v>45</v>
      </c>
      <c r="D3304" s="17" t="s">
        <v>170</v>
      </c>
      <c r="E3304" s="17" t="s">
        <v>162</v>
      </c>
      <c r="F3304" s="17" t="s">
        <v>164</v>
      </c>
      <c r="G3304" s="17">
        <v>9</v>
      </c>
      <c r="H3304" s="17">
        <v>8856</v>
      </c>
      <c r="I3304" s="17">
        <v>79704</v>
      </c>
      <c r="J3304" s="17">
        <v>4732</v>
      </c>
      <c r="K3304" s="17">
        <v>74972</v>
      </c>
      <c r="L3304" s="17">
        <v>10439.97373</v>
      </c>
      <c r="M3304" s="17">
        <v>2025</v>
      </c>
      <c r="N3304" s="17" t="s">
        <v>112</v>
      </c>
    </row>
    <row r="3305" spans="1:14" ht="14.25" customHeight="1">
      <c r="A3305" s="17">
        <v>13304</v>
      </c>
      <c r="B3305" s="18">
        <v>45958</v>
      </c>
      <c r="C3305" s="17" t="s">
        <v>167</v>
      </c>
      <c r="D3305" s="17" t="s">
        <v>111</v>
      </c>
      <c r="E3305" s="17" t="s">
        <v>162</v>
      </c>
      <c r="F3305" s="17" t="s">
        <v>172</v>
      </c>
      <c r="G3305" s="17">
        <v>1</v>
      </c>
      <c r="H3305" s="17">
        <v>76799</v>
      </c>
      <c r="I3305" s="17">
        <v>76799</v>
      </c>
      <c r="J3305" s="17">
        <v>3932</v>
      </c>
      <c r="K3305" s="17">
        <v>72867</v>
      </c>
      <c r="L3305" s="17">
        <v>9959.4925980000007</v>
      </c>
      <c r="M3305" s="17">
        <v>2025</v>
      </c>
      <c r="N3305" s="17" t="s">
        <v>174</v>
      </c>
    </row>
    <row r="3306" spans="1:14" ht="14.25" customHeight="1">
      <c r="A3306" s="17">
        <v>13305</v>
      </c>
      <c r="B3306" s="18">
        <v>45920</v>
      </c>
      <c r="C3306" s="17" t="s">
        <v>45</v>
      </c>
      <c r="D3306" s="17" t="s">
        <v>111</v>
      </c>
      <c r="E3306" s="17" t="s">
        <v>168</v>
      </c>
      <c r="F3306" s="17" t="s">
        <v>166</v>
      </c>
      <c r="G3306" s="17">
        <v>5</v>
      </c>
      <c r="H3306" s="17">
        <v>63949</v>
      </c>
      <c r="I3306" s="17">
        <v>319745</v>
      </c>
      <c r="J3306" s="17">
        <v>3892</v>
      </c>
      <c r="K3306" s="17">
        <v>315853</v>
      </c>
      <c r="L3306" s="17">
        <v>66386.929069999998</v>
      </c>
      <c r="M3306" s="17">
        <v>2025</v>
      </c>
      <c r="N3306" s="17" t="s">
        <v>129</v>
      </c>
    </row>
    <row r="3307" spans="1:14" ht="14.25" customHeight="1">
      <c r="A3307" s="17">
        <v>13306</v>
      </c>
      <c r="B3307" s="18">
        <v>45805</v>
      </c>
      <c r="C3307" s="17" t="s">
        <v>58</v>
      </c>
      <c r="D3307" s="17" t="s">
        <v>111</v>
      </c>
      <c r="E3307" s="17" t="s">
        <v>165</v>
      </c>
      <c r="F3307" s="17" t="s">
        <v>164</v>
      </c>
      <c r="G3307" s="17">
        <v>7</v>
      </c>
      <c r="H3307" s="17">
        <v>46392</v>
      </c>
      <c r="I3307" s="17">
        <v>324744</v>
      </c>
      <c r="J3307" s="17">
        <v>3803</v>
      </c>
      <c r="K3307" s="17">
        <v>320941</v>
      </c>
      <c r="L3307" s="17">
        <v>75801.143349999998</v>
      </c>
      <c r="M3307" s="17">
        <v>2025</v>
      </c>
      <c r="N3307" s="17" t="s">
        <v>117</v>
      </c>
    </row>
    <row r="3308" spans="1:14" ht="14.25" customHeight="1">
      <c r="A3308" s="17">
        <v>13307</v>
      </c>
      <c r="B3308" s="18">
        <v>45896</v>
      </c>
      <c r="C3308" s="17" t="s">
        <v>39</v>
      </c>
      <c r="D3308" s="17" t="s">
        <v>89</v>
      </c>
      <c r="E3308" s="17" t="s">
        <v>162</v>
      </c>
      <c r="F3308" s="17" t="s">
        <v>163</v>
      </c>
      <c r="G3308" s="17">
        <v>3</v>
      </c>
      <c r="H3308" s="17">
        <v>17470</v>
      </c>
      <c r="I3308" s="17">
        <v>52410</v>
      </c>
      <c r="J3308" s="17">
        <v>4310</v>
      </c>
      <c r="K3308" s="17">
        <v>48100</v>
      </c>
      <c r="L3308" s="17">
        <v>10481.39668</v>
      </c>
      <c r="M3308" s="17">
        <v>2025</v>
      </c>
      <c r="N3308" s="17" t="s">
        <v>126</v>
      </c>
    </row>
    <row r="3309" spans="1:14" ht="14.25" customHeight="1">
      <c r="A3309" s="17">
        <v>13308</v>
      </c>
      <c r="B3309" s="18">
        <v>45969</v>
      </c>
      <c r="C3309" s="17" t="s">
        <v>45</v>
      </c>
      <c r="D3309" s="17" t="s">
        <v>89</v>
      </c>
      <c r="E3309" s="17" t="s">
        <v>165</v>
      </c>
      <c r="F3309" s="17" t="s">
        <v>166</v>
      </c>
      <c r="G3309" s="17">
        <v>2</v>
      </c>
      <c r="H3309" s="17">
        <v>18772</v>
      </c>
      <c r="I3309" s="17">
        <v>37544</v>
      </c>
      <c r="J3309" s="17">
        <v>1353</v>
      </c>
      <c r="K3309" s="17">
        <v>36191</v>
      </c>
      <c r="L3309" s="17">
        <v>7278.5962090000003</v>
      </c>
      <c r="M3309" s="17">
        <v>2025</v>
      </c>
      <c r="N3309" s="17" t="s">
        <v>173</v>
      </c>
    </row>
    <row r="3310" spans="1:14" ht="14.25" customHeight="1">
      <c r="A3310" s="17">
        <v>13309</v>
      </c>
      <c r="B3310" s="18">
        <v>45678</v>
      </c>
      <c r="C3310" s="17" t="s">
        <v>50</v>
      </c>
      <c r="D3310" s="17" t="s">
        <v>89</v>
      </c>
      <c r="E3310" s="17" t="s">
        <v>165</v>
      </c>
      <c r="F3310" s="17" t="s">
        <v>163</v>
      </c>
      <c r="G3310" s="17">
        <v>2</v>
      </c>
      <c r="H3310" s="17">
        <v>32382</v>
      </c>
      <c r="I3310" s="17">
        <v>64764</v>
      </c>
      <c r="J3310" s="17">
        <v>4239</v>
      </c>
      <c r="K3310" s="17">
        <v>60525</v>
      </c>
      <c r="L3310" s="17">
        <v>8664.9789729999993</v>
      </c>
      <c r="M3310" s="17">
        <v>2025</v>
      </c>
      <c r="N3310" s="17" t="s">
        <v>171</v>
      </c>
    </row>
    <row r="3311" spans="1:14" ht="14.25" customHeight="1">
      <c r="A3311" s="17">
        <v>13310</v>
      </c>
      <c r="B3311" s="18">
        <v>45641</v>
      </c>
      <c r="C3311" s="17" t="s">
        <v>50</v>
      </c>
      <c r="D3311" s="17" t="s">
        <v>86</v>
      </c>
      <c r="E3311" s="17" t="s">
        <v>168</v>
      </c>
      <c r="F3311" s="17" t="s">
        <v>166</v>
      </c>
      <c r="G3311" s="17">
        <v>1</v>
      </c>
      <c r="H3311" s="17">
        <v>74662</v>
      </c>
      <c r="I3311" s="17">
        <v>74662</v>
      </c>
      <c r="J3311" s="17">
        <v>618</v>
      </c>
      <c r="K3311" s="17">
        <v>74044</v>
      </c>
      <c r="L3311" s="17">
        <v>13479.304529999999</v>
      </c>
      <c r="M3311" s="17">
        <v>2024</v>
      </c>
      <c r="N3311" s="17" t="s">
        <v>169</v>
      </c>
    </row>
    <row r="3312" spans="1:14" ht="14.25" customHeight="1">
      <c r="A3312" s="17">
        <v>13311</v>
      </c>
      <c r="B3312" s="18">
        <v>45587</v>
      </c>
      <c r="C3312" s="17" t="s">
        <v>39</v>
      </c>
      <c r="D3312" s="17" t="s">
        <v>89</v>
      </c>
      <c r="E3312" s="17" t="s">
        <v>168</v>
      </c>
      <c r="F3312" s="17" t="s">
        <v>163</v>
      </c>
      <c r="G3312" s="17">
        <v>5</v>
      </c>
      <c r="H3312" s="17">
        <v>18584</v>
      </c>
      <c r="I3312" s="17">
        <v>92920</v>
      </c>
      <c r="J3312" s="17">
        <v>353</v>
      </c>
      <c r="K3312" s="17">
        <v>92567</v>
      </c>
      <c r="L3312" s="17">
        <v>12547.001039999999</v>
      </c>
      <c r="M3312" s="17">
        <v>2024</v>
      </c>
      <c r="N3312" s="17" t="s">
        <v>174</v>
      </c>
    </row>
    <row r="3313" spans="1:14" ht="14.25" customHeight="1">
      <c r="A3313" s="17">
        <v>13312</v>
      </c>
      <c r="B3313" s="18">
        <v>45549</v>
      </c>
      <c r="C3313" s="17" t="s">
        <v>58</v>
      </c>
      <c r="D3313" s="17" t="s">
        <v>89</v>
      </c>
      <c r="E3313" s="17" t="s">
        <v>165</v>
      </c>
      <c r="F3313" s="17" t="s">
        <v>166</v>
      </c>
      <c r="G3313" s="17">
        <v>3</v>
      </c>
      <c r="H3313" s="17">
        <v>28391</v>
      </c>
      <c r="I3313" s="17">
        <v>85173</v>
      </c>
      <c r="J3313" s="17">
        <v>280</v>
      </c>
      <c r="K3313" s="17">
        <v>84893</v>
      </c>
      <c r="L3313" s="17">
        <v>9909.2258899999997</v>
      </c>
      <c r="M3313" s="17">
        <v>2024</v>
      </c>
      <c r="N3313" s="17" t="s">
        <v>129</v>
      </c>
    </row>
    <row r="3314" spans="1:14" ht="14.25" customHeight="1">
      <c r="A3314" s="17">
        <v>13313</v>
      </c>
      <c r="B3314" s="18">
        <v>45372</v>
      </c>
      <c r="C3314" s="17" t="s">
        <v>50</v>
      </c>
      <c r="D3314" s="17" t="s">
        <v>89</v>
      </c>
      <c r="E3314" s="17" t="s">
        <v>168</v>
      </c>
      <c r="F3314" s="17" t="s">
        <v>163</v>
      </c>
      <c r="G3314" s="17">
        <v>7</v>
      </c>
      <c r="H3314" s="17">
        <v>41965</v>
      </c>
      <c r="I3314" s="17">
        <v>293755</v>
      </c>
      <c r="J3314" s="17">
        <v>3377</v>
      </c>
      <c r="K3314" s="17">
        <v>290378</v>
      </c>
      <c r="L3314" s="17">
        <v>34277.364479999997</v>
      </c>
      <c r="M3314" s="17">
        <v>2024</v>
      </c>
      <c r="N3314" s="17" t="s">
        <v>112</v>
      </c>
    </row>
    <row r="3315" spans="1:14" ht="14.25" customHeight="1">
      <c r="A3315" s="17">
        <v>13314</v>
      </c>
      <c r="B3315" s="18">
        <v>45559</v>
      </c>
      <c r="C3315" s="17" t="s">
        <v>50</v>
      </c>
      <c r="D3315" s="17" t="s">
        <v>170</v>
      </c>
      <c r="E3315" s="17" t="s">
        <v>168</v>
      </c>
      <c r="F3315" s="17" t="s">
        <v>164</v>
      </c>
      <c r="G3315" s="17">
        <v>1</v>
      </c>
      <c r="H3315" s="17">
        <v>17097</v>
      </c>
      <c r="I3315" s="17">
        <v>17097</v>
      </c>
      <c r="J3315" s="17">
        <v>4932</v>
      </c>
      <c r="K3315" s="17">
        <v>12165</v>
      </c>
      <c r="L3315" s="17">
        <v>2318.2276750000001</v>
      </c>
      <c r="M3315" s="17">
        <v>2024</v>
      </c>
      <c r="N3315" s="17" t="s">
        <v>129</v>
      </c>
    </row>
    <row r="3316" spans="1:14" ht="14.25" customHeight="1">
      <c r="A3316" s="17">
        <v>13315</v>
      </c>
      <c r="B3316" s="18">
        <v>45710</v>
      </c>
      <c r="C3316" s="17" t="s">
        <v>167</v>
      </c>
      <c r="D3316" s="17" t="s">
        <v>89</v>
      </c>
      <c r="E3316" s="17" t="s">
        <v>162</v>
      </c>
      <c r="F3316" s="17" t="s">
        <v>166</v>
      </c>
      <c r="G3316" s="17">
        <v>9</v>
      </c>
      <c r="H3316" s="17">
        <v>23839</v>
      </c>
      <c r="I3316" s="17">
        <v>214551</v>
      </c>
      <c r="J3316" s="17">
        <v>3550</v>
      </c>
      <c r="K3316" s="17">
        <v>211001</v>
      </c>
      <c r="L3316" s="17">
        <v>22317.986970000002</v>
      </c>
      <c r="M3316" s="17">
        <v>2025</v>
      </c>
      <c r="N3316" s="17" t="s">
        <v>175</v>
      </c>
    </row>
    <row r="3317" spans="1:14" ht="14.25" customHeight="1">
      <c r="A3317" s="17">
        <v>13316</v>
      </c>
      <c r="B3317" s="18">
        <v>45526</v>
      </c>
      <c r="C3317" s="17" t="s">
        <v>45</v>
      </c>
      <c r="D3317" s="17" t="s">
        <v>86</v>
      </c>
      <c r="E3317" s="17" t="s">
        <v>168</v>
      </c>
      <c r="F3317" s="17" t="s">
        <v>164</v>
      </c>
      <c r="G3317" s="17">
        <v>2</v>
      </c>
      <c r="H3317" s="17">
        <v>42693</v>
      </c>
      <c r="I3317" s="17">
        <v>85386</v>
      </c>
      <c r="J3317" s="17">
        <v>1959</v>
      </c>
      <c r="K3317" s="17">
        <v>83427</v>
      </c>
      <c r="L3317" s="17">
        <v>20522.055420000001</v>
      </c>
      <c r="M3317" s="17">
        <v>2024</v>
      </c>
      <c r="N3317" s="17" t="s">
        <v>126</v>
      </c>
    </row>
    <row r="3318" spans="1:14" ht="14.25" customHeight="1">
      <c r="A3318" s="17">
        <v>13317</v>
      </c>
      <c r="B3318" s="18">
        <v>45602</v>
      </c>
      <c r="C3318" s="17" t="s">
        <v>58</v>
      </c>
      <c r="D3318" s="17" t="s">
        <v>111</v>
      </c>
      <c r="E3318" s="17" t="s">
        <v>168</v>
      </c>
      <c r="F3318" s="17" t="s">
        <v>172</v>
      </c>
      <c r="G3318" s="17">
        <v>8</v>
      </c>
      <c r="H3318" s="17">
        <v>56988</v>
      </c>
      <c r="I3318" s="17">
        <v>455904</v>
      </c>
      <c r="J3318" s="17">
        <v>389</v>
      </c>
      <c r="K3318" s="17">
        <v>455515</v>
      </c>
      <c r="L3318" s="17">
        <v>113568.9859</v>
      </c>
      <c r="M3318" s="17">
        <v>2024</v>
      </c>
      <c r="N3318" s="17" t="s">
        <v>173</v>
      </c>
    </row>
    <row r="3319" spans="1:14" ht="14.25" customHeight="1">
      <c r="A3319" s="17">
        <v>13318</v>
      </c>
      <c r="B3319" s="18">
        <v>45648</v>
      </c>
      <c r="C3319" s="17" t="s">
        <v>45</v>
      </c>
      <c r="D3319" s="17" t="s">
        <v>170</v>
      </c>
      <c r="E3319" s="17" t="s">
        <v>162</v>
      </c>
      <c r="F3319" s="17" t="s">
        <v>164</v>
      </c>
      <c r="G3319" s="17">
        <v>4</v>
      </c>
      <c r="H3319" s="17">
        <v>54769</v>
      </c>
      <c r="I3319" s="17">
        <v>219076</v>
      </c>
      <c r="J3319" s="17">
        <v>3867</v>
      </c>
      <c r="K3319" s="17">
        <v>215209</v>
      </c>
      <c r="L3319" s="17">
        <v>26344.530760000001</v>
      </c>
      <c r="M3319" s="17">
        <v>2024</v>
      </c>
      <c r="N3319" s="17" t="s">
        <v>169</v>
      </c>
    </row>
    <row r="3320" spans="1:14" ht="14.25" customHeight="1">
      <c r="A3320" s="17">
        <v>13319</v>
      </c>
      <c r="B3320" s="18">
        <v>45504</v>
      </c>
      <c r="C3320" s="17" t="s">
        <v>58</v>
      </c>
      <c r="D3320" s="17" t="s">
        <v>83</v>
      </c>
      <c r="E3320" s="17" t="s">
        <v>162</v>
      </c>
      <c r="F3320" s="17" t="s">
        <v>166</v>
      </c>
      <c r="G3320" s="17">
        <v>6</v>
      </c>
      <c r="H3320" s="17">
        <v>7469</v>
      </c>
      <c r="I3320" s="17">
        <v>44814</v>
      </c>
      <c r="J3320" s="17">
        <v>4360</v>
      </c>
      <c r="K3320" s="17">
        <v>40454</v>
      </c>
      <c r="L3320" s="17">
        <v>6638.313752</v>
      </c>
      <c r="M3320" s="17">
        <v>2024</v>
      </c>
      <c r="N3320" s="17" t="s">
        <v>123</v>
      </c>
    </row>
    <row r="3321" spans="1:14" ht="14.25" customHeight="1">
      <c r="A3321" s="17">
        <v>13320</v>
      </c>
      <c r="B3321" s="18">
        <v>45865</v>
      </c>
      <c r="C3321" s="17" t="s">
        <v>50</v>
      </c>
      <c r="D3321" s="17" t="s">
        <v>89</v>
      </c>
      <c r="E3321" s="17" t="s">
        <v>165</v>
      </c>
      <c r="F3321" s="17" t="s">
        <v>164</v>
      </c>
      <c r="G3321" s="17">
        <v>9</v>
      </c>
      <c r="H3321" s="17">
        <v>17468</v>
      </c>
      <c r="I3321" s="17">
        <v>157212</v>
      </c>
      <c r="J3321" s="17">
        <v>2053</v>
      </c>
      <c r="K3321" s="17">
        <v>155159</v>
      </c>
      <c r="L3321" s="17">
        <v>33391.986040000003</v>
      </c>
      <c r="M3321" s="17">
        <v>2025</v>
      </c>
      <c r="N3321" s="17" t="s">
        <v>123</v>
      </c>
    </row>
    <row r="3322" spans="1:14" ht="14.25" customHeight="1">
      <c r="A3322" s="17">
        <v>13321</v>
      </c>
      <c r="B3322" s="18">
        <v>45340</v>
      </c>
      <c r="C3322" s="17" t="s">
        <v>167</v>
      </c>
      <c r="D3322" s="17" t="s">
        <v>111</v>
      </c>
      <c r="E3322" s="17" t="s">
        <v>168</v>
      </c>
      <c r="F3322" s="17" t="s">
        <v>166</v>
      </c>
      <c r="G3322" s="17">
        <v>7</v>
      </c>
      <c r="H3322" s="17">
        <v>44025</v>
      </c>
      <c r="I3322" s="17">
        <v>308175</v>
      </c>
      <c r="J3322" s="17">
        <v>167</v>
      </c>
      <c r="K3322" s="17">
        <v>308008</v>
      </c>
      <c r="L3322" s="17">
        <v>74926.033490000002</v>
      </c>
      <c r="M3322" s="17">
        <v>2024</v>
      </c>
      <c r="N3322" s="17" t="s">
        <v>175</v>
      </c>
    </row>
    <row r="3323" spans="1:14" ht="14.25" customHeight="1">
      <c r="A3323" s="17">
        <v>13322</v>
      </c>
      <c r="B3323" s="18">
        <v>45418</v>
      </c>
      <c r="C3323" s="17" t="s">
        <v>45</v>
      </c>
      <c r="D3323" s="17" t="s">
        <v>111</v>
      </c>
      <c r="E3323" s="17" t="s">
        <v>162</v>
      </c>
      <c r="F3323" s="17" t="s">
        <v>163</v>
      </c>
      <c r="G3323" s="17">
        <v>8</v>
      </c>
      <c r="H3323" s="17">
        <v>8165</v>
      </c>
      <c r="I3323" s="17">
        <v>65320</v>
      </c>
      <c r="J3323" s="17">
        <v>4945</v>
      </c>
      <c r="K3323" s="17">
        <v>60375</v>
      </c>
      <c r="L3323" s="17">
        <v>14109.527389999999</v>
      </c>
      <c r="M3323" s="17">
        <v>2024</v>
      </c>
      <c r="N3323" s="17" t="s">
        <v>117</v>
      </c>
    </row>
    <row r="3324" spans="1:14" ht="14.25" customHeight="1">
      <c r="A3324" s="17">
        <v>13323</v>
      </c>
      <c r="B3324" s="18">
        <v>45514</v>
      </c>
      <c r="C3324" s="17" t="s">
        <v>50</v>
      </c>
      <c r="D3324" s="17" t="s">
        <v>170</v>
      </c>
      <c r="E3324" s="17" t="s">
        <v>168</v>
      </c>
      <c r="F3324" s="17" t="s">
        <v>172</v>
      </c>
      <c r="G3324" s="17">
        <v>7</v>
      </c>
      <c r="H3324" s="17">
        <v>62603</v>
      </c>
      <c r="I3324" s="17">
        <v>438221</v>
      </c>
      <c r="J3324" s="17">
        <v>2166</v>
      </c>
      <c r="K3324" s="17">
        <v>436055</v>
      </c>
      <c r="L3324" s="17">
        <v>60268.590759999999</v>
      </c>
      <c r="M3324" s="17">
        <v>2024</v>
      </c>
      <c r="N3324" s="17" t="s">
        <v>126</v>
      </c>
    </row>
    <row r="3325" spans="1:14" ht="14.25" customHeight="1">
      <c r="A3325" s="17">
        <v>13324</v>
      </c>
      <c r="B3325" s="18">
        <v>45570</v>
      </c>
      <c r="C3325" s="17" t="s">
        <v>58</v>
      </c>
      <c r="D3325" s="17" t="s">
        <v>83</v>
      </c>
      <c r="E3325" s="17" t="s">
        <v>165</v>
      </c>
      <c r="F3325" s="17" t="s">
        <v>164</v>
      </c>
      <c r="G3325" s="17">
        <v>2</v>
      </c>
      <c r="H3325" s="17">
        <v>48251</v>
      </c>
      <c r="I3325" s="17">
        <v>96502</v>
      </c>
      <c r="J3325" s="17">
        <v>4269</v>
      </c>
      <c r="K3325" s="17">
        <v>92233</v>
      </c>
      <c r="L3325" s="17">
        <v>10401.99532</v>
      </c>
      <c r="M3325" s="17">
        <v>2024</v>
      </c>
      <c r="N3325" s="17" t="s">
        <v>174</v>
      </c>
    </row>
    <row r="3326" spans="1:14" ht="14.25" customHeight="1">
      <c r="A3326" s="17">
        <v>13325</v>
      </c>
      <c r="B3326" s="18">
        <v>45699</v>
      </c>
      <c r="C3326" s="17" t="s">
        <v>45</v>
      </c>
      <c r="D3326" s="17" t="s">
        <v>86</v>
      </c>
      <c r="E3326" s="17" t="s">
        <v>168</v>
      </c>
      <c r="F3326" s="17" t="s">
        <v>172</v>
      </c>
      <c r="G3326" s="17">
        <v>9</v>
      </c>
      <c r="H3326" s="17">
        <v>52526</v>
      </c>
      <c r="I3326" s="17">
        <v>472734</v>
      </c>
      <c r="J3326" s="17">
        <v>3006</v>
      </c>
      <c r="K3326" s="17">
        <v>469728</v>
      </c>
      <c r="L3326" s="17">
        <v>67316.439780000001</v>
      </c>
      <c r="M3326" s="17">
        <v>2025</v>
      </c>
      <c r="N3326" s="17" t="s">
        <v>175</v>
      </c>
    </row>
    <row r="3327" spans="1:14" ht="14.25" customHeight="1">
      <c r="A3327" s="17">
        <v>13326</v>
      </c>
      <c r="B3327" s="18">
        <v>45796</v>
      </c>
      <c r="C3327" s="17" t="s">
        <v>45</v>
      </c>
      <c r="D3327" s="17" t="s">
        <v>111</v>
      </c>
      <c r="E3327" s="17" t="s">
        <v>168</v>
      </c>
      <c r="F3327" s="17" t="s">
        <v>164</v>
      </c>
      <c r="G3327" s="17">
        <v>1</v>
      </c>
      <c r="H3327" s="17">
        <v>33942</v>
      </c>
      <c r="I3327" s="17">
        <v>33942</v>
      </c>
      <c r="J3327" s="17">
        <v>186</v>
      </c>
      <c r="K3327" s="17">
        <v>33756</v>
      </c>
      <c r="L3327" s="17">
        <v>5589.5080690000004</v>
      </c>
      <c r="M3327" s="17">
        <v>2025</v>
      </c>
      <c r="N3327" s="17" t="s">
        <v>117</v>
      </c>
    </row>
    <row r="3328" spans="1:14" ht="14.25" customHeight="1">
      <c r="A3328" s="17">
        <v>13327</v>
      </c>
      <c r="B3328" s="18">
        <v>45585</v>
      </c>
      <c r="C3328" s="17" t="s">
        <v>50</v>
      </c>
      <c r="D3328" s="17" t="s">
        <v>111</v>
      </c>
      <c r="E3328" s="17" t="s">
        <v>168</v>
      </c>
      <c r="F3328" s="17" t="s">
        <v>166</v>
      </c>
      <c r="G3328" s="17">
        <v>2</v>
      </c>
      <c r="H3328" s="17">
        <v>50017</v>
      </c>
      <c r="I3328" s="17">
        <v>100034</v>
      </c>
      <c r="J3328" s="17">
        <v>4046</v>
      </c>
      <c r="K3328" s="17">
        <v>95988</v>
      </c>
      <c r="L3328" s="17">
        <v>14781.26388</v>
      </c>
      <c r="M3328" s="17">
        <v>2024</v>
      </c>
      <c r="N3328" s="17" t="s">
        <v>174</v>
      </c>
    </row>
    <row r="3329" spans="1:14" ht="14.25" customHeight="1">
      <c r="A3329" s="17">
        <v>13328</v>
      </c>
      <c r="B3329" s="18">
        <v>45568</v>
      </c>
      <c r="C3329" s="17" t="s">
        <v>45</v>
      </c>
      <c r="D3329" s="17" t="s">
        <v>111</v>
      </c>
      <c r="E3329" s="17" t="s">
        <v>162</v>
      </c>
      <c r="F3329" s="17" t="s">
        <v>164</v>
      </c>
      <c r="G3329" s="17">
        <v>3</v>
      </c>
      <c r="H3329" s="17">
        <v>65555</v>
      </c>
      <c r="I3329" s="17">
        <v>196665</v>
      </c>
      <c r="J3329" s="17">
        <v>2940</v>
      </c>
      <c r="K3329" s="17">
        <v>193725</v>
      </c>
      <c r="L3329" s="17">
        <v>41860.169379999999</v>
      </c>
      <c r="M3329" s="17">
        <v>2024</v>
      </c>
      <c r="N3329" s="17" t="s">
        <v>174</v>
      </c>
    </row>
    <row r="3330" spans="1:14" ht="14.25" customHeight="1">
      <c r="A3330" s="17">
        <v>13329</v>
      </c>
      <c r="B3330" s="18">
        <v>45729</v>
      </c>
      <c r="C3330" s="17" t="s">
        <v>167</v>
      </c>
      <c r="D3330" s="17" t="s">
        <v>111</v>
      </c>
      <c r="E3330" s="17" t="s">
        <v>162</v>
      </c>
      <c r="F3330" s="17" t="s">
        <v>172</v>
      </c>
      <c r="G3330" s="17">
        <v>3</v>
      </c>
      <c r="H3330" s="17">
        <v>37209</v>
      </c>
      <c r="I3330" s="17">
        <v>111627</v>
      </c>
      <c r="J3330" s="17">
        <v>1297</v>
      </c>
      <c r="K3330" s="17">
        <v>110330</v>
      </c>
      <c r="L3330" s="17">
        <v>15299.26065</v>
      </c>
      <c r="M3330" s="17">
        <v>2025</v>
      </c>
      <c r="N3330" s="17" t="s">
        <v>112</v>
      </c>
    </row>
    <row r="3331" spans="1:14" ht="14.25" customHeight="1">
      <c r="A3331" s="17">
        <v>13330</v>
      </c>
      <c r="B3331" s="18">
        <v>45398</v>
      </c>
      <c r="C3331" s="17" t="s">
        <v>167</v>
      </c>
      <c r="D3331" s="17" t="s">
        <v>170</v>
      </c>
      <c r="E3331" s="17" t="s">
        <v>165</v>
      </c>
      <c r="F3331" s="17" t="s">
        <v>164</v>
      </c>
      <c r="G3331" s="17">
        <v>4</v>
      </c>
      <c r="H3331" s="17">
        <v>44365</v>
      </c>
      <c r="I3331" s="17">
        <v>177460</v>
      </c>
      <c r="J3331" s="17">
        <v>2645</v>
      </c>
      <c r="K3331" s="17">
        <v>174815</v>
      </c>
      <c r="L3331" s="17">
        <v>39996.897109999998</v>
      </c>
      <c r="M3331" s="17">
        <v>2024</v>
      </c>
      <c r="N3331" s="17" t="s">
        <v>114</v>
      </c>
    </row>
    <row r="3332" spans="1:14" ht="14.25" customHeight="1">
      <c r="A3332" s="17">
        <v>13331</v>
      </c>
      <c r="B3332" s="18">
        <v>45949</v>
      </c>
      <c r="C3332" s="17" t="s">
        <v>50</v>
      </c>
      <c r="D3332" s="17" t="s">
        <v>83</v>
      </c>
      <c r="E3332" s="17" t="s">
        <v>168</v>
      </c>
      <c r="F3332" s="17" t="s">
        <v>172</v>
      </c>
      <c r="G3332" s="17">
        <v>5</v>
      </c>
      <c r="H3332" s="17">
        <v>6407</v>
      </c>
      <c r="I3332" s="17">
        <v>32035</v>
      </c>
      <c r="J3332" s="17">
        <v>1216</v>
      </c>
      <c r="K3332" s="17">
        <v>30819</v>
      </c>
      <c r="L3332" s="17">
        <v>4124.9741139999996</v>
      </c>
      <c r="M3332" s="17">
        <v>2025</v>
      </c>
      <c r="N3332" s="17" t="s">
        <v>174</v>
      </c>
    </row>
    <row r="3333" spans="1:14" ht="14.25" customHeight="1">
      <c r="A3333" s="17">
        <v>13332</v>
      </c>
      <c r="B3333" s="18">
        <v>45711</v>
      </c>
      <c r="C3333" s="17" t="s">
        <v>58</v>
      </c>
      <c r="D3333" s="17" t="s">
        <v>111</v>
      </c>
      <c r="E3333" s="17" t="s">
        <v>165</v>
      </c>
      <c r="F3333" s="17" t="s">
        <v>172</v>
      </c>
      <c r="G3333" s="17">
        <v>6</v>
      </c>
      <c r="H3333" s="17">
        <v>69081</v>
      </c>
      <c r="I3333" s="17">
        <v>414486</v>
      </c>
      <c r="J3333" s="17">
        <v>4627</v>
      </c>
      <c r="K3333" s="17">
        <v>409859</v>
      </c>
      <c r="L3333" s="17">
        <v>63201.408170000002</v>
      </c>
      <c r="M3333" s="17">
        <v>2025</v>
      </c>
      <c r="N3333" s="17" t="s">
        <v>175</v>
      </c>
    </row>
    <row r="3334" spans="1:14" ht="14.25" customHeight="1">
      <c r="A3334" s="17">
        <v>13333</v>
      </c>
      <c r="B3334" s="18">
        <v>45902</v>
      </c>
      <c r="C3334" s="17" t="s">
        <v>50</v>
      </c>
      <c r="D3334" s="17" t="s">
        <v>86</v>
      </c>
      <c r="E3334" s="17" t="s">
        <v>165</v>
      </c>
      <c r="F3334" s="17" t="s">
        <v>166</v>
      </c>
      <c r="G3334" s="17">
        <v>1</v>
      </c>
      <c r="H3334" s="17">
        <v>30976</v>
      </c>
      <c r="I3334" s="17">
        <v>30976</v>
      </c>
      <c r="J3334" s="17">
        <v>2999</v>
      </c>
      <c r="K3334" s="17">
        <v>27977</v>
      </c>
      <c r="L3334" s="17">
        <v>4676.9531429999997</v>
      </c>
      <c r="M3334" s="17">
        <v>2025</v>
      </c>
      <c r="N3334" s="17" t="s">
        <v>129</v>
      </c>
    </row>
    <row r="3335" spans="1:14" ht="14.25" customHeight="1">
      <c r="A3335" s="17">
        <v>13334</v>
      </c>
      <c r="B3335" s="18">
        <v>45720</v>
      </c>
      <c r="C3335" s="17" t="s">
        <v>167</v>
      </c>
      <c r="D3335" s="17" t="s">
        <v>86</v>
      </c>
      <c r="E3335" s="17" t="s">
        <v>162</v>
      </c>
      <c r="F3335" s="17" t="s">
        <v>163</v>
      </c>
      <c r="G3335" s="17">
        <v>8</v>
      </c>
      <c r="H3335" s="17">
        <v>46969</v>
      </c>
      <c r="I3335" s="17">
        <v>375752</v>
      </c>
      <c r="J3335" s="17">
        <v>1205</v>
      </c>
      <c r="K3335" s="17">
        <v>374547</v>
      </c>
      <c r="L3335" s="17">
        <v>53815.932249999998</v>
      </c>
      <c r="M3335" s="17">
        <v>2025</v>
      </c>
      <c r="N3335" s="17" t="s">
        <v>112</v>
      </c>
    </row>
    <row r="3336" spans="1:14" ht="14.25" customHeight="1">
      <c r="A3336" s="17">
        <v>13335</v>
      </c>
      <c r="B3336" s="18">
        <v>45666</v>
      </c>
      <c r="C3336" s="17" t="s">
        <v>39</v>
      </c>
      <c r="D3336" s="17" t="s">
        <v>89</v>
      </c>
      <c r="E3336" s="17" t="s">
        <v>168</v>
      </c>
      <c r="F3336" s="17" t="s">
        <v>163</v>
      </c>
      <c r="G3336" s="17">
        <v>6</v>
      </c>
      <c r="H3336" s="17">
        <v>43325</v>
      </c>
      <c r="I3336" s="17">
        <v>259950</v>
      </c>
      <c r="J3336" s="17">
        <v>227</v>
      </c>
      <c r="K3336" s="17">
        <v>259723</v>
      </c>
      <c r="L3336" s="17">
        <v>55828.974479999997</v>
      </c>
      <c r="M3336" s="17">
        <v>2025</v>
      </c>
      <c r="N3336" s="17" t="s">
        <v>171</v>
      </c>
    </row>
    <row r="3337" spans="1:14" ht="14.25" customHeight="1">
      <c r="A3337" s="17">
        <v>13336</v>
      </c>
      <c r="B3337" s="18">
        <v>45364</v>
      </c>
      <c r="C3337" s="17" t="s">
        <v>39</v>
      </c>
      <c r="D3337" s="17" t="s">
        <v>111</v>
      </c>
      <c r="E3337" s="17" t="s">
        <v>168</v>
      </c>
      <c r="F3337" s="17" t="s">
        <v>164</v>
      </c>
      <c r="G3337" s="17">
        <v>9</v>
      </c>
      <c r="H3337" s="17">
        <v>61741</v>
      </c>
      <c r="I3337" s="17">
        <v>555669</v>
      </c>
      <c r="J3337" s="17">
        <v>2613</v>
      </c>
      <c r="K3337" s="17">
        <v>553056</v>
      </c>
      <c r="L3337" s="17">
        <v>89280.981379999997</v>
      </c>
      <c r="M3337" s="17">
        <v>2024</v>
      </c>
      <c r="N3337" s="17" t="s">
        <v>112</v>
      </c>
    </row>
    <row r="3338" spans="1:14" ht="14.25" customHeight="1">
      <c r="A3338" s="17">
        <v>13337</v>
      </c>
      <c r="B3338" s="18">
        <v>45925</v>
      </c>
      <c r="C3338" s="17" t="s">
        <v>45</v>
      </c>
      <c r="D3338" s="17" t="s">
        <v>111</v>
      </c>
      <c r="E3338" s="17" t="s">
        <v>165</v>
      </c>
      <c r="F3338" s="17" t="s">
        <v>172</v>
      </c>
      <c r="G3338" s="17">
        <v>5</v>
      </c>
      <c r="H3338" s="17">
        <v>20515</v>
      </c>
      <c r="I3338" s="17">
        <v>102575</v>
      </c>
      <c r="J3338" s="17">
        <v>4709</v>
      </c>
      <c r="K3338" s="17">
        <v>97866</v>
      </c>
      <c r="L3338" s="17">
        <v>22808.049650000001</v>
      </c>
      <c r="M3338" s="17">
        <v>2025</v>
      </c>
      <c r="N3338" s="17" t="s">
        <v>129</v>
      </c>
    </row>
    <row r="3339" spans="1:14" ht="14.25" customHeight="1">
      <c r="A3339" s="17">
        <v>13338</v>
      </c>
      <c r="B3339" s="18">
        <v>45321</v>
      </c>
      <c r="C3339" s="17" t="s">
        <v>45</v>
      </c>
      <c r="D3339" s="17" t="s">
        <v>111</v>
      </c>
      <c r="E3339" s="17" t="s">
        <v>168</v>
      </c>
      <c r="F3339" s="17" t="s">
        <v>166</v>
      </c>
      <c r="G3339" s="17">
        <v>7</v>
      </c>
      <c r="H3339" s="17">
        <v>41174</v>
      </c>
      <c r="I3339" s="17">
        <v>288218</v>
      </c>
      <c r="J3339" s="17">
        <v>2136</v>
      </c>
      <c r="K3339" s="17">
        <v>286082</v>
      </c>
      <c r="L3339" s="17">
        <v>69958.005590000001</v>
      </c>
      <c r="M3339" s="17">
        <v>2024</v>
      </c>
      <c r="N3339" s="17" t="s">
        <v>171</v>
      </c>
    </row>
    <row r="3340" spans="1:14" ht="14.25" customHeight="1">
      <c r="A3340" s="17">
        <v>13339</v>
      </c>
      <c r="B3340" s="18">
        <v>45479</v>
      </c>
      <c r="C3340" s="17" t="s">
        <v>39</v>
      </c>
      <c r="D3340" s="17" t="s">
        <v>111</v>
      </c>
      <c r="E3340" s="17" t="s">
        <v>162</v>
      </c>
      <c r="F3340" s="17" t="s">
        <v>163</v>
      </c>
      <c r="G3340" s="17">
        <v>4</v>
      </c>
      <c r="H3340" s="17">
        <v>10700</v>
      </c>
      <c r="I3340" s="17">
        <v>42800</v>
      </c>
      <c r="J3340" s="17">
        <v>3731</v>
      </c>
      <c r="K3340" s="17">
        <v>39069</v>
      </c>
      <c r="L3340" s="17">
        <v>8945.6708460000009</v>
      </c>
      <c r="M3340" s="17">
        <v>2024</v>
      </c>
      <c r="N3340" s="17" t="s">
        <v>123</v>
      </c>
    </row>
    <row r="3341" spans="1:14" ht="14.25" customHeight="1">
      <c r="A3341" s="17">
        <v>13340</v>
      </c>
      <c r="B3341" s="18">
        <v>45655</v>
      </c>
      <c r="C3341" s="17" t="s">
        <v>167</v>
      </c>
      <c r="D3341" s="17" t="s">
        <v>111</v>
      </c>
      <c r="E3341" s="17" t="s">
        <v>165</v>
      </c>
      <c r="F3341" s="17" t="s">
        <v>166</v>
      </c>
      <c r="G3341" s="17">
        <v>6</v>
      </c>
      <c r="H3341" s="17">
        <v>78663</v>
      </c>
      <c r="I3341" s="17">
        <v>471978</v>
      </c>
      <c r="J3341" s="17">
        <v>249</v>
      </c>
      <c r="K3341" s="17">
        <v>471729</v>
      </c>
      <c r="L3341" s="17">
        <v>84153.517479999995</v>
      </c>
      <c r="M3341" s="17">
        <v>2024</v>
      </c>
      <c r="N3341" s="17" t="s">
        <v>169</v>
      </c>
    </row>
    <row r="3342" spans="1:14" ht="14.25" customHeight="1">
      <c r="A3342" s="17">
        <v>13341</v>
      </c>
      <c r="B3342" s="18">
        <v>45742</v>
      </c>
      <c r="C3342" s="17" t="s">
        <v>45</v>
      </c>
      <c r="D3342" s="17" t="s">
        <v>86</v>
      </c>
      <c r="E3342" s="17" t="s">
        <v>165</v>
      </c>
      <c r="F3342" s="17" t="s">
        <v>166</v>
      </c>
      <c r="G3342" s="17">
        <v>6</v>
      </c>
      <c r="H3342" s="17">
        <v>58379</v>
      </c>
      <c r="I3342" s="17">
        <v>350274</v>
      </c>
      <c r="J3342" s="17">
        <v>2272</v>
      </c>
      <c r="K3342" s="17">
        <v>348002</v>
      </c>
      <c r="L3342" s="17">
        <v>61412.351560000003</v>
      </c>
      <c r="M3342" s="17">
        <v>2025</v>
      </c>
      <c r="N3342" s="17" t="s">
        <v>112</v>
      </c>
    </row>
    <row r="3343" spans="1:14" ht="14.25" customHeight="1">
      <c r="A3343" s="17">
        <v>13342</v>
      </c>
      <c r="B3343" s="18">
        <v>45486</v>
      </c>
      <c r="C3343" s="17" t="s">
        <v>50</v>
      </c>
      <c r="D3343" s="17" t="s">
        <v>83</v>
      </c>
      <c r="E3343" s="17" t="s">
        <v>162</v>
      </c>
      <c r="F3343" s="17" t="s">
        <v>172</v>
      </c>
      <c r="G3343" s="17">
        <v>4</v>
      </c>
      <c r="H3343" s="17">
        <v>32391</v>
      </c>
      <c r="I3343" s="17">
        <v>129564</v>
      </c>
      <c r="J3343" s="17">
        <v>2950</v>
      </c>
      <c r="K3343" s="17">
        <v>126614</v>
      </c>
      <c r="L3343" s="17">
        <v>16761.2749</v>
      </c>
      <c r="M3343" s="17">
        <v>2024</v>
      </c>
      <c r="N3343" s="17" t="s">
        <v>123</v>
      </c>
    </row>
    <row r="3344" spans="1:14" ht="14.25" customHeight="1">
      <c r="A3344" s="17">
        <v>13343</v>
      </c>
      <c r="B3344" s="18">
        <v>45447</v>
      </c>
      <c r="C3344" s="17" t="s">
        <v>50</v>
      </c>
      <c r="D3344" s="17" t="s">
        <v>83</v>
      </c>
      <c r="E3344" s="17" t="s">
        <v>162</v>
      </c>
      <c r="F3344" s="17" t="s">
        <v>164</v>
      </c>
      <c r="G3344" s="17">
        <v>6</v>
      </c>
      <c r="H3344" s="17">
        <v>72081</v>
      </c>
      <c r="I3344" s="17">
        <v>432486</v>
      </c>
      <c r="J3344" s="17">
        <v>3018</v>
      </c>
      <c r="K3344" s="17">
        <v>429468</v>
      </c>
      <c r="L3344" s="17">
        <v>81101.445470000006</v>
      </c>
      <c r="M3344" s="17">
        <v>2024</v>
      </c>
      <c r="N3344" s="17" t="s">
        <v>120</v>
      </c>
    </row>
    <row r="3345" spans="1:14" ht="14.25" customHeight="1">
      <c r="A3345" s="17">
        <v>13344</v>
      </c>
      <c r="B3345" s="18">
        <v>45463</v>
      </c>
      <c r="C3345" s="17" t="s">
        <v>167</v>
      </c>
      <c r="D3345" s="17" t="s">
        <v>89</v>
      </c>
      <c r="E3345" s="17" t="s">
        <v>162</v>
      </c>
      <c r="F3345" s="17" t="s">
        <v>172</v>
      </c>
      <c r="G3345" s="17">
        <v>8</v>
      </c>
      <c r="H3345" s="17">
        <v>62284</v>
      </c>
      <c r="I3345" s="17">
        <v>498272</v>
      </c>
      <c r="J3345" s="17">
        <v>4768</v>
      </c>
      <c r="K3345" s="17">
        <v>493504</v>
      </c>
      <c r="L3345" s="17">
        <v>119876.4935</v>
      </c>
      <c r="M3345" s="17">
        <v>2024</v>
      </c>
      <c r="N3345" s="17" t="s">
        <v>120</v>
      </c>
    </row>
    <row r="3346" spans="1:14" ht="14.25" customHeight="1">
      <c r="A3346" s="17">
        <v>13345</v>
      </c>
      <c r="B3346" s="18">
        <v>45332</v>
      </c>
      <c r="C3346" s="17" t="s">
        <v>45</v>
      </c>
      <c r="D3346" s="17" t="s">
        <v>86</v>
      </c>
      <c r="E3346" s="17" t="s">
        <v>162</v>
      </c>
      <c r="F3346" s="17" t="s">
        <v>163</v>
      </c>
      <c r="G3346" s="17">
        <v>5</v>
      </c>
      <c r="H3346" s="17">
        <v>67206</v>
      </c>
      <c r="I3346" s="17">
        <v>336030</v>
      </c>
      <c r="J3346" s="17">
        <v>2215</v>
      </c>
      <c r="K3346" s="17">
        <v>333815</v>
      </c>
      <c r="L3346" s="17">
        <v>37417.650199999996</v>
      </c>
      <c r="M3346" s="17">
        <v>2024</v>
      </c>
      <c r="N3346" s="17" t="s">
        <v>175</v>
      </c>
    </row>
    <row r="3347" spans="1:14" ht="14.25" customHeight="1">
      <c r="A3347" s="17">
        <v>13346</v>
      </c>
      <c r="B3347" s="18">
        <v>45354</v>
      </c>
      <c r="C3347" s="17" t="s">
        <v>50</v>
      </c>
      <c r="D3347" s="17" t="s">
        <v>111</v>
      </c>
      <c r="E3347" s="17" t="s">
        <v>162</v>
      </c>
      <c r="F3347" s="17" t="s">
        <v>163</v>
      </c>
      <c r="G3347" s="17">
        <v>2</v>
      </c>
      <c r="H3347" s="17">
        <v>64485</v>
      </c>
      <c r="I3347" s="17">
        <v>128970</v>
      </c>
      <c r="J3347" s="17">
        <v>2157</v>
      </c>
      <c r="K3347" s="17">
        <v>126813</v>
      </c>
      <c r="L3347" s="17">
        <v>26994.507310000001</v>
      </c>
      <c r="M3347" s="17">
        <v>2024</v>
      </c>
      <c r="N3347" s="17" t="s">
        <v>112</v>
      </c>
    </row>
    <row r="3348" spans="1:14" ht="14.25" customHeight="1">
      <c r="A3348" s="17">
        <v>13347</v>
      </c>
      <c r="B3348" s="18">
        <v>45314</v>
      </c>
      <c r="C3348" s="17" t="s">
        <v>45</v>
      </c>
      <c r="D3348" s="17" t="s">
        <v>83</v>
      </c>
      <c r="E3348" s="17" t="s">
        <v>162</v>
      </c>
      <c r="F3348" s="17" t="s">
        <v>166</v>
      </c>
      <c r="G3348" s="17">
        <v>9</v>
      </c>
      <c r="H3348" s="17">
        <v>76539</v>
      </c>
      <c r="I3348" s="17">
        <v>688851</v>
      </c>
      <c r="J3348" s="17">
        <v>1796</v>
      </c>
      <c r="K3348" s="17">
        <v>687055</v>
      </c>
      <c r="L3348" s="17">
        <v>158318.7248</v>
      </c>
      <c r="M3348" s="17">
        <v>2024</v>
      </c>
      <c r="N3348" s="17" t="s">
        <v>171</v>
      </c>
    </row>
    <row r="3349" spans="1:14" ht="14.25" customHeight="1">
      <c r="A3349" s="17">
        <v>13348</v>
      </c>
      <c r="B3349" s="18">
        <v>45651</v>
      </c>
      <c r="C3349" s="17" t="s">
        <v>45</v>
      </c>
      <c r="D3349" s="17" t="s">
        <v>170</v>
      </c>
      <c r="E3349" s="17" t="s">
        <v>165</v>
      </c>
      <c r="F3349" s="17" t="s">
        <v>172</v>
      </c>
      <c r="G3349" s="17">
        <v>4</v>
      </c>
      <c r="H3349" s="17">
        <v>39032</v>
      </c>
      <c r="I3349" s="17">
        <v>156128</v>
      </c>
      <c r="J3349" s="17">
        <v>3244</v>
      </c>
      <c r="K3349" s="17">
        <v>152884</v>
      </c>
      <c r="L3349" s="17">
        <v>37916.076330000004</v>
      </c>
      <c r="M3349" s="17">
        <v>2024</v>
      </c>
      <c r="N3349" s="17" t="s">
        <v>169</v>
      </c>
    </row>
    <row r="3350" spans="1:14" ht="14.25" customHeight="1">
      <c r="A3350" s="17">
        <v>13349</v>
      </c>
      <c r="B3350" s="18">
        <v>45366</v>
      </c>
      <c r="C3350" s="17" t="s">
        <v>50</v>
      </c>
      <c r="D3350" s="17" t="s">
        <v>170</v>
      </c>
      <c r="E3350" s="17" t="s">
        <v>168</v>
      </c>
      <c r="F3350" s="17" t="s">
        <v>172</v>
      </c>
      <c r="G3350" s="17">
        <v>4</v>
      </c>
      <c r="H3350" s="17">
        <v>23156</v>
      </c>
      <c r="I3350" s="17">
        <v>92624</v>
      </c>
      <c r="J3350" s="17">
        <v>296</v>
      </c>
      <c r="K3350" s="17">
        <v>92328</v>
      </c>
      <c r="L3350" s="17">
        <v>13868.92656</v>
      </c>
      <c r="M3350" s="17">
        <v>2024</v>
      </c>
      <c r="N3350" s="17" t="s">
        <v>112</v>
      </c>
    </row>
    <row r="3351" spans="1:14" ht="14.25" customHeight="1">
      <c r="A3351" s="17">
        <v>13350</v>
      </c>
      <c r="B3351" s="18">
        <v>45851</v>
      </c>
      <c r="C3351" s="17" t="s">
        <v>39</v>
      </c>
      <c r="D3351" s="17" t="s">
        <v>170</v>
      </c>
      <c r="E3351" s="17" t="s">
        <v>168</v>
      </c>
      <c r="F3351" s="17" t="s">
        <v>166</v>
      </c>
      <c r="G3351" s="17">
        <v>7</v>
      </c>
      <c r="H3351" s="17">
        <v>54316</v>
      </c>
      <c r="I3351" s="17">
        <v>380212</v>
      </c>
      <c r="J3351" s="17">
        <v>1927</v>
      </c>
      <c r="K3351" s="17">
        <v>378285</v>
      </c>
      <c r="L3351" s="17">
        <v>58004.754889999997</v>
      </c>
      <c r="M3351" s="17">
        <v>2025</v>
      </c>
      <c r="N3351" s="17" t="s">
        <v>123</v>
      </c>
    </row>
    <row r="3352" spans="1:14" ht="14.25" customHeight="1">
      <c r="A3352" s="17">
        <v>13351</v>
      </c>
      <c r="B3352" s="18">
        <v>45963</v>
      </c>
      <c r="C3352" s="17" t="s">
        <v>50</v>
      </c>
      <c r="D3352" s="17" t="s">
        <v>111</v>
      </c>
      <c r="E3352" s="17" t="s">
        <v>165</v>
      </c>
      <c r="F3352" s="17" t="s">
        <v>164</v>
      </c>
      <c r="G3352" s="17">
        <v>6</v>
      </c>
      <c r="H3352" s="17">
        <v>53787</v>
      </c>
      <c r="I3352" s="17">
        <v>322722</v>
      </c>
      <c r="J3352" s="17">
        <v>2256</v>
      </c>
      <c r="K3352" s="17">
        <v>320466</v>
      </c>
      <c r="L3352" s="17">
        <v>43091.872889999999</v>
      </c>
      <c r="M3352" s="17">
        <v>2025</v>
      </c>
      <c r="N3352" s="17" t="s">
        <v>173</v>
      </c>
    </row>
    <row r="3353" spans="1:14" ht="14.25" customHeight="1">
      <c r="A3353" s="17">
        <v>13352</v>
      </c>
      <c r="B3353" s="18">
        <v>45409</v>
      </c>
      <c r="C3353" s="17" t="s">
        <v>167</v>
      </c>
      <c r="D3353" s="17" t="s">
        <v>111</v>
      </c>
      <c r="E3353" s="17" t="s">
        <v>168</v>
      </c>
      <c r="F3353" s="17" t="s">
        <v>166</v>
      </c>
      <c r="G3353" s="17">
        <v>4</v>
      </c>
      <c r="H3353" s="17">
        <v>46579</v>
      </c>
      <c r="I3353" s="17">
        <v>186316</v>
      </c>
      <c r="J3353" s="17">
        <v>1457</v>
      </c>
      <c r="K3353" s="17">
        <v>184859</v>
      </c>
      <c r="L3353" s="17">
        <v>40365.726929999997</v>
      </c>
      <c r="M3353" s="17">
        <v>2024</v>
      </c>
      <c r="N3353" s="17" t="s">
        <v>114</v>
      </c>
    </row>
    <row r="3354" spans="1:14" ht="14.25" customHeight="1">
      <c r="A3354" s="17">
        <v>13353</v>
      </c>
      <c r="B3354" s="18">
        <v>45903</v>
      </c>
      <c r="C3354" s="17" t="s">
        <v>58</v>
      </c>
      <c r="D3354" s="17" t="s">
        <v>89</v>
      </c>
      <c r="E3354" s="17" t="s">
        <v>168</v>
      </c>
      <c r="F3354" s="17" t="s">
        <v>166</v>
      </c>
      <c r="G3354" s="17">
        <v>6</v>
      </c>
      <c r="H3354" s="17">
        <v>62574</v>
      </c>
      <c r="I3354" s="17">
        <v>375444</v>
      </c>
      <c r="J3354" s="17">
        <v>3546</v>
      </c>
      <c r="K3354" s="17">
        <v>371898</v>
      </c>
      <c r="L3354" s="17">
        <v>45001.867100000003</v>
      </c>
      <c r="M3354" s="17">
        <v>2025</v>
      </c>
      <c r="N3354" s="17" t="s">
        <v>129</v>
      </c>
    </row>
    <row r="3355" spans="1:14" ht="14.25" customHeight="1">
      <c r="A3355" s="17">
        <v>13354</v>
      </c>
      <c r="B3355" s="18">
        <v>45671</v>
      </c>
      <c r="C3355" s="17" t="s">
        <v>50</v>
      </c>
      <c r="D3355" s="17" t="s">
        <v>89</v>
      </c>
      <c r="E3355" s="17" t="s">
        <v>165</v>
      </c>
      <c r="F3355" s="17" t="s">
        <v>163</v>
      </c>
      <c r="G3355" s="17">
        <v>3</v>
      </c>
      <c r="H3355" s="17">
        <v>77261</v>
      </c>
      <c r="I3355" s="17">
        <v>231783</v>
      </c>
      <c r="J3355" s="17">
        <v>3127</v>
      </c>
      <c r="K3355" s="17">
        <v>228656</v>
      </c>
      <c r="L3355" s="17">
        <v>32049.57835</v>
      </c>
      <c r="M3355" s="17">
        <v>2025</v>
      </c>
      <c r="N3355" s="17" t="s">
        <v>171</v>
      </c>
    </row>
    <row r="3356" spans="1:14" ht="14.25" customHeight="1">
      <c r="A3356" s="17">
        <v>13355</v>
      </c>
      <c r="B3356" s="18">
        <v>45970</v>
      </c>
      <c r="C3356" s="17" t="s">
        <v>45</v>
      </c>
      <c r="D3356" s="17" t="s">
        <v>89</v>
      </c>
      <c r="E3356" s="17" t="s">
        <v>168</v>
      </c>
      <c r="F3356" s="17" t="s">
        <v>172</v>
      </c>
      <c r="G3356" s="17">
        <v>7</v>
      </c>
      <c r="H3356" s="17">
        <v>64235</v>
      </c>
      <c r="I3356" s="17">
        <v>449645</v>
      </c>
      <c r="J3356" s="17">
        <v>2308</v>
      </c>
      <c r="K3356" s="17">
        <v>447337</v>
      </c>
      <c r="L3356" s="17">
        <v>64545.9666</v>
      </c>
      <c r="M3356" s="17">
        <v>2025</v>
      </c>
      <c r="N3356" s="17" t="s">
        <v>173</v>
      </c>
    </row>
    <row r="3357" spans="1:14" ht="14.25" customHeight="1">
      <c r="A3357" s="17">
        <v>13356</v>
      </c>
      <c r="B3357" s="18">
        <v>45581</v>
      </c>
      <c r="C3357" s="17" t="s">
        <v>45</v>
      </c>
      <c r="D3357" s="17" t="s">
        <v>170</v>
      </c>
      <c r="E3357" s="17" t="s">
        <v>168</v>
      </c>
      <c r="F3357" s="17" t="s">
        <v>163</v>
      </c>
      <c r="G3357" s="17">
        <v>6</v>
      </c>
      <c r="H3357" s="17">
        <v>57904</v>
      </c>
      <c r="I3357" s="17">
        <v>347424</v>
      </c>
      <c r="J3357" s="17">
        <v>3664</v>
      </c>
      <c r="K3357" s="17">
        <v>343760</v>
      </c>
      <c r="L3357" s="17">
        <v>53708.922420000003</v>
      </c>
      <c r="M3357" s="17">
        <v>2024</v>
      </c>
      <c r="N3357" s="17" t="s">
        <v>174</v>
      </c>
    </row>
    <row r="3358" spans="1:14" ht="14.25" customHeight="1">
      <c r="A3358" s="17">
        <v>13357</v>
      </c>
      <c r="B3358" s="18">
        <v>45731</v>
      </c>
      <c r="C3358" s="17" t="s">
        <v>50</v>
      </c>
      <c r="D3358" s="17" t="s">
        <v>111</v>
      </c>
      <c r="E3358" s="17" t="s">
        <v>165</v>
      </c>
      <c r="F3358" s="17" t="s">
        <v>166</v>
      </c>
      <c r="G3358" s="17">
        <v>3</v>
      </c>
      <c r="H3358" s="17">
        <v>41740</v>
      </c>
      <c r="I3358" s="17">
        <v>125220</v>
      </c>
      <c r="J3358" s="17">
        <v>1589</v>
      </c>
      <c r="K3358" s="17">
        <v>123631</v>
      </c>
      <c r="L3358" s="17">
        <v>20182.728050000002</v>
      </c>
      <c r="M3358" s="17">
        <v>2025</v>
      </c>
      <c r="N3358" s="17" t="s">
        <v>112</v>
      </c>
    </row>
    <row r="3359" spans="1:14" ht="14.25" customHeight="1">
      <c r="A3359" s="17">
        <v>13358</v>
      </c>
      <c r="B3359" s="18">
        <v>45959</v>
      </c>
      <c r="C3359" s="17" t="s">
        <v>58</v>
      </c>
      <c r="D3359" s="17" t="s">
        <v>170</v>
      </c>
      <c r="E3359" s="17" t="s">
        <v>168</v>
      </c>
      <c r="F3359" s="17" t="s">
        <v>172</v>
      </c>
      <c r="G3359" s="17">
        <v>1</v>
      </c>
      <c r="H3359" s="17">
        <v>78130</v>
      </c>
      <c r="I3359" s="17">
        <v>78130</v>
      </c>
      <c r="J3359" s="17">
        <v>95</v>
      </c>
      <c r="K3359" s="17">
        <v>78035</v>
      </c>
      <c r="L3359" s="17">
        <v>14347.026970000001</v>
      </c>
      <c r="M3359" s="17">
        <v>2025</v>
      </c>
      <c r="N3359" s="17" t="s">
        <v>174</v>
      </c>
    </row>
    <row r="3360" spans="1:14" ht="14.25" customHeight="1">
      <c r="A3360" s="17">
        <v>13359</v>
      </c>
      <c r="B3360" s="18">
        <v>45298</v>
      </c>
      <c r="C3360" s="17" t="s">
        <v>50</v>
      </c>
      <c r="D3360" s="17" t="s">
        <v>89</v>
      </c>
      <c r="E3360" s="17" t="s">
        <v>162</v>
      </c>
      <c r="F3360" s="17" t="s">
        <v>166</v>
      </c>
      <c r="G3360" s="17">
        <v>5</v>
      </c>
      <c r="H3360" s="17">
        <v>54554</v>
      </c>
      <c r="I3360" s="17">
        <v>272770</v>
      </c>
      <c r="J3360" s="17">
        <v>3932</v>
      </c>
      <c r="K3360" s="17">
        <v>268838</v>
      </c>
      <c r="L3360" s="17">
        <v>65127.618049999997</v>
      </c>
      <c r="M3360" s="17">
        <v>2024</v>
      </c>
      <c r="N3360" s="17" t="s">
        <v>171</v>
      </c>
    </row>
    <row r="3361" spans="1:14" ht="14.25" customHeight="1">
      <c r="A3361" s="17">
        <v>13360</v>
      </c>
      <c r="B3361" s="18">
        <v>45487</v>
      </c>
      <c r="C3361" s="17" t="s">
        <v>58</v>
      </c>
      <c r="D3361" s="17" t="s">
        <v>111</v>
      </c>
      <c r="E3361" s="17" t="s">
        <v>165</v>
      </c>
      <c r="F3361" s="17" t="s">
        <v>166</v>
      </c>
      <c r="G3361" s="17">
        <v>2</v>
      </c>
      <c r="H3361" s="17">
        <v>12199</v>
      </c>
      <c r="I3361" s="17">
        <v>24398</v>
      </c>
      <c r="J3361" s="17">
        <v>1359</v>
      </c>
      <c r="K3361" s="17">
        <v>23039</v>
      </c>
      <c r="L3361" s="17">
        <v>3158.4617159999998</v>
      </c>
      <c r="M3361" s="17">
        <v>2024</v>
      </c>
      <c r="N3361" s="17" t="s">
        <v>123</v>
      </c>
    </row>
    <row r="3362" spans="1:14" ht="14.25" customHeight="1">
      <c r="A3362" s="17">
        <v>13361</v>
      </c>
      <c r="B3362" s="18">
        <v>45712</v>
      </c>
      <c r="C3362" s="17" t="s">
        <v>58</v>
      </c>
      <c r="D3362" s="17" t="s">
        <v>86</v>
      </c>
      <c r="E3362" s="17" t="s">
        <v>168</v>
      </c>
      <c r="F3362" s="17" t="s">
        <v>164</v>
      </c>
      <c r="G3362" s="17">
        <v>7</v>
      </c>
      <c r="H3362" s="17">
        <v>44032</v>
      </c>
      <c r="I3362" s="17">
        <v>308224</v>
      </c>
      <c r="J3362" s="17">
        <v>1739</v>
      </c>
      <c r="K3362" s="17">
        <v>306485</v>
      </c>
      <c r="L3362" s="17">
        <v>66471.413329999996</v>
      </c>
      <c r="M3362" s="17">
        <v>2025</v>
      </c>
      <c r="N3362" s="17" t="s">
        <v>175</v>
      </c>
    </row>
    <row r="3363" spans="1:14" ht="14.25" customHeight="1">
      <c r="A3363" s="17">
        <v>13362</v>
      </c>
      <c r="B3363" s="18">
        <v>45859</v>
      </c>
      <c r="C3363" s="17" t="s">
        <v>167</v>
      </c>
      <c r="D3363" s="17" t="s">
        <v>83</v>
      </c>
      <c r="E3363" s="17" t="s">
        <v>168</v>
      </c>
      <c r="F3363" s="17" t="s">
        <v>163</v>
      </c>
      <c r="G3363" s="17">
        <v>7</v>
      </c>
      <c r="H3363" s="17">
        <v>9480</v>
      </c>
      <c r="I3363" s="17">
        <v>66360</v>
      </c>
      <c r="J3363" s="17">
        <v>3794</v>
      </c>
      <c r="K3363" s="17">
        <v>62566</v>
      </c>
      <c r="L3363" s="17">
        <v>12604.45522</v>
      </c>
      <c r="M3363" s="17">
        <v>2025</v>
      </c>
      <c r="N3363" s="17" t="s">
        <v>123</v>
      </c>
    </row>
    <row r="3364" spans="1:14" ht="14.25" customHeight="1">
      <c r="A3364" s="17">
        <v>13363</v>
      </c>
      <c r="B3364" s="18">
        <v>45484</v>
      </c>
      <c r="C3364" s="17" t="s">
        <v>45</v>
      </c>
      <c r="D3364" s="17" t="s">
        <v>83</v>
      </c>
      <c r="E3364" s="17" t="s">
        <v>162</v>
      </c>
      <c r="F3364" s="17" t="s">
        <v>163</v>
      </c>
      <c r="G3364" s="17">
        <v>4</v>
      </c>
      <c r="H3364" s="17">
        <v>35435</v>
      </c>
      <c r="I3364" s="17">
        <v>141740</v>
      </c>
      <c r="J3364" s="17">
        <v>1352</v>
      </c>
      <c r="K3364" s="17">
        <v>140388</v>
      </c>
      <c r="L3364" s="17">
        <v>16482.608950000002</v>
      </c>
      <c r="M3364" s="17">
        <v>2024</v>
      </c>
      <c r="N3364" s="17" t="s">
        <v>123</v>
      </c>
    </row>
    <row r="3365" spans="1:14" ht="14.25" customHeight="1">
      <c r="A3365" s="17">
        <v>13364</v>
      </c>
      <c r="B3365" s="18">
        <v>45850</v>
      </c>
      <c r="C3365" s="17" t="s">
        <v>45</v>
      </c>
      <c r="D3365" s="17" t="s">
        <v>89</v>
      </c>
      <c r="E3365" s="17" t="s">
        <v>165</v>
      </c>
      <c r="F3365" s="17" t="s">
        <v>166</v>
      </c>
      <c r="G3365" s="17">
        <v>6</v>
      </c>
      <c r="H3365" s="17">
        <v>35120</v>
      </c>
      <c r="I3365" s="17">
        <v>210720</v>
      </c>
      <c r="J3365" s="17">
        <v>4924</v>
      </c>
      <c r="K3365" s="17">
        <v>205796</v>
      </c>
      <c r="L3365" s="17">
        <v>45595.444089999997</v>
      </c>
      <c r="M3365" s="17">
        <v>2025</v>
      </c>
      <c r="N3365" s="17" t="s">
        <v>123</v>
      </c>
    </row>
    <row r="3366" spans="1:14" ht="14.25" customHeight="1">
      <c r="A3366" s="17">
        <v>13365</v>
      </c>
      <c r="B3366" s="18">
        <v>45439</v>
      </c>
      <c r="C3366" s="17" t="s">
        <v>58</v>
      </c>
      <c r="D3366" s="17" t="s">
        <v>170</v>
      </c>
      <c r="E3366" s="17" t="s">
        <v>165</v>
      </c>
      <c r="F3366" s="17" t="s">
        <v>164</v>
      </c>
      <c r="G3366" s="17">
        <v>1</v>
      </c>
      <c r="H3366" s="17">
        <v>77155</v>
      </c>
      <c r="I3366" s="17">
        <v>77155</v>
      </c>
      <c r="J3366" s="17">
        <v>1542</v>
      </c>
      <c r="K3366" s="17">
        <v>75613</v>
      </c>
      <c r="L3366" s="17">
        <v>8589.0142739999992</v>
      </c>
      <c r="M3366" s="17">
        <v>2024</v>
      </c>
      <c r="N3366" s="17" t="s">
        <v>117</v>
      </c>
    </row>
    <row r="3367" spans="1:14" ht="14.25" customHeight="1">
      <c r="A3367" s="17">
        <v>13366</v>
      </c>
      <c r="B3367" s="18">
        <v>45960</v>
      </c>
      <c r="C3367" s="17" t="s">
        <v>45</v>
      </c>
      <c r="D3367" s="17" t="s">
        <v>86</v>
      </c>
      <c r="E3367" s="17" t="s">
        <v>168</v>
      </c>
      <c r="F3367" s="17" t="s">
        <v>166</v>
      </c>
      <c r="G3367" s="17">
        <v>2</v>
      </c>
      <c r="H3367" s="17">
        <v>7607</v>
      </c>
      <c r="I3367" s="17">
        <v>15214</v>
      </c>
      <c r="J3367" s="17">
        <v>2667</v>
      </c>
      <c r="K3367" s="17">
        <v>12547</v>
      </c>
      <c r="L3367" s="17">
        <v>2645.396111</v>
      </c>
      <c r="M3367" s="17">
        <v>2025</v>
      </c>
      <c r="N3367" s="17" t="s">
        <v>174</v>
      </c>
    </row>
    <row r="3368" spans="1:14" ht="14.25" customHeight="1">
      <c r="A3368" s="17">
        <v>13367</v>
      </c>
      <c r="B3368" s="18">
        <v>45493</v>
      </c>
      <c r="C3368" s="17" t="s">
        <v>39</v>
      </c>
      <c r="D3368" s="17" t="s">
        <v>111</v>
      </c>
      <c r="E3368" s="17" t="s">
        <v>162</v>
      </c>
      <c r="F3368" s="17" t="s">
        <v>166</v>
      </c>
      <c r="G3368" s="17">
        <v>6</v>
      </c>
      <c r="H3368" s="17">
        <v>79918</v>
      </c>
      <c r="I3368" s="17">
        <v>479508</v>
      </c>
      <c r="J3368" s="17">
        <v>830</v>
      </c>
      <c r="K3368" s="17">
        <v>478678</v>
      </c>
      <c r="L3368" s="17">
        <v>99262.505149999997</v>
      </c>
      <c r="M3368" s="17">
        <v>2024</v>
      </c>
      <c r="N3368" s="17" t="s">
        <v>123</v>
      </c>
    </row>
    <row r="3369" spans="1:14" ht="14.25" customHeight="1">
      <c r="A3369" s="17">
        <v>13368</v>
      </c>
      <c r="B3369" s="18">
        <v>45735</v>
      </c>
      <c r="C3369" s="17" t="s">
        <v>58</v>
      </c>
      <c r="D3369" s="17" t="s">
        <v>170</v>
      </c>
      <c r="E3369" s="17" t="s">
        <v>162</v>
      </c>
      <c r="F3369" s="17" t="s">
        <v>166</v>
      </c>
      <c r="G3369" s="17">
        <v>2</v>
      </c>
      <c r="H3369" s="17">
        <v>79116</v>
      </c>
      <c r="I3369" s="17">
        <v>158232</v>
      </c>
      <c r="J3369" s="17">
        <v>1605</v>
      </c>
      <c r="K3369" s="17">
        <v>156627</v>
      </c>
      <c r="L3369" s="17">
        <v>31859.541809999999</v>
      </c>
      <c r="M3369" s="17">
        <v>2025</v>
      </c>
      <c r="N3369" s="17" t="s">
        <v>112</v>
      </c>
    </row>
    <row r="3370" spans="1:14" ht="14.25" customHeight="1">
      <c r="A3370" s="17">
        <v>13369</v>
      </c>
      <c r="B3370" s="18">
        <v>45710</v>
      </c>
      <c r="C3370" s="17" t="s">
        <v>45</v>
      </c>
      <c r="D3370" s="17" t="s">
        <v>89</v>
      </c>
      <c r="E3370" s="17" t="s">
        <v>162</v>
      </c>
      <c r="F3370" s="17" t="s">
        <v>164</v>
      </c>
      <c r="G3370" s="17">
        <v>4</v>
      </c>
      <c r="H3370" s="17">
        <v>27026</v>
      </c>
      <c r="I3370" s="17">
        <v>108104</v>
      </c>
      <c r="J3370" s="17">
        <v>4645</v>
      </c>
      <c r="K3370" s="17">
        <v>103459</v>
      </c>
      <c r="L3370" s="17">
        <v>14639.846970000001</v>
      </c>
      <c r="M3370" s="17">
        <v>2025</v>
      </c>
      <c r="N3370" s="17" t="s">
        <v>175</v>
      </c>
    </row>
    <row r="3371" spans="1:14" ht="14.25" customHeight="1">
      <c r="A3371" s="17">
        <v>13370</v>
      </c>
      <c r="B3371" s="18">
        <v>45718</v>
      </c>
      <c r="C3371" s="17" t="s">
        <v>39</v>
      </c>
      <c r="D3371" s="17" t="s">
        <v>170</v>
      </c>
      <c r="E3371" s="17" t="s">
        <v>162</v>
      </c>
      <c r="F3371" s="17" t="s">
        <v>172</v>
      </c>
      <c r="G3371" s="17">
        <v>4</v>
      </c>
      <c r="H3371" s="17">
        <v>22173</v>
      </c>
      <c r="I3371" s="17">
        <v>88692</v>
      </c>
      <c r="J3371" s="17">
        <v>2747</v>
      </c>
      <c r="K3371" s="17">
        <v>85945</v>
      </c>
      <c r="L3371" s="17">
        <v>15986.203890000001</v>
      </c>
      <c r="M3371" s="17">
        <v>2025</v>
      </c>
      <c r="N3371" s="17" t="s">
        <v>112</v>
      </c>
    </row>
    <row r="3372" spans="1:14" ht="14.25" customHeight="1">
      <c r="A3372" s="17">
        <v>13371</v>
      </c>
      <c r="B3372" s="18">
        <v>45770</v>
      </c>
      <c r="C3372" s="17" t="s">
        <v>167</v>
      </c>
      <c r="D3372" s="17" t="s">
        <v>89</v>
      </c>
      <c r="E3372" s="17" t="s">
        <v>162</v>
      </c>
      <c r="F3372" s="17" t="s">
        <v>164</v>
      </c>
      <c r="G3372" s="17">
        <v>9</v>
      </c>
      <c r="H3372" s="17">
        <v>39262</v>
      </c>
      <c r="I3372" s="17">
        <v>353358</v>
      </c>
      <c r="J3372" s="17">
        <v>3810</v>
      </c>
      <c r="K3372" s="17">
        <v>349548</v>
      </c>
      <c r="L3372" s="17">
        <v>74885.999039999995</v>
      </c>
      <c r="M3372" s="17">
        <v>2025</v>
      </c>
      <c r="N3372" s="17" t="s">
        <v>114</v>
      </c>
    </row>
    <row r="3373" spans="1:14" ht="14.25" customHeight="1">
      <c r="A3373" s="17">
        <v>13372</v>
      </c>
      <c r="B3373" s="18">
        <v>45766</v>
      </c>
      <c r="C3373" s="17" t="s">
        <v>45</v>
      </c>
      <c r="D3373" s="17" t="s">
        <v>83</v>
      </c>
      <c r="E3373" s="17" t="s">
        <v>162</v>
      </c>
      <c r="F3373" s="17" t="s">
        <v>166</v>
      </c>
      <c r="G3373" s="17">
        <v>7</v>
      </c>
      <c r="H3373" s="17">
        <v>56903</v>
      </c>
      <c r="I3373" s="17">
        <v>398321</v>
      </c>
      <c r="J3373" s="17">
        <v>4658</v>
      </c>
      <c r="K3373" s="17">
        <v>393663</v>
      </c>
      <c r="L3373" s="17">
        <v>77015.753670000006</v>
      </c>
      <c r="M3373" s="17">
        <v>2025</v>
      </c>
      <c r="N3373" s="17" t="s">
        <v>114</v>
      </c>
    </row>
    <row r="3374" spans="1:14" ht="14.25" customHeight="1">
      <c r="A3374" s="17">
        <v>13373</v>
      </c>
      <c r="B3374" s="18">
        <v>45417</v>
      </c>
      <c r="C3374" s="17" t="s">
        <v>39</v>
      </c>
      <c r="D3374" s="17" t="s">
        <v>83</v>
      </c>
      <c r="E3374" s="17" t="s">
        <v>165</v>
      </c>
      <c r="F3374" s="17" t="s">
        <v>172</v>
      </c>
      <c r="G3374" s="17">
        <v>7</v>
      </c>
      <c r="H3374" s="17">
        <v>52156</v>
      </c>
      <c r="I3374" s="17">
        <v>365092</v>
      </c>
      <c r="J3374" s="17">
        <v>221</v>
      </c>
      <c r="K3374" s="17">
        <v>364871</v>
      </c>
      <c r="L3374" s="17">
        <v>80507.274879999997</v>
      </c>
      <c r="M3374" s="17">
        <v>2024</v>
      </c>
      <c r="N3374" s="17" t="s">
        <v>117</v>
      </c>
    </row>
    <row r="3375" spans="1:14" ht="14.25" customHeight="1">
      <c r="A3375" s="17">
        <v>13374</v>
      </c>
      <c r="B3375" s="18">
        <v>45686</v>
      </c>
      <c r="C3375" s="17" t="s">
        <v>50</v>
      </c>
      <c r="D3375" s="17" t="s">
        <v>170</v>
      </c>
      <c r="E3375" s="17" t="s">
        <v>168</v>
      </c>
      <c r="F3375" s="17" t="s">
        <v>166</v>
      </c>
      <c r="G3375" s="17">
        <v>1</v>
      </c>
      <c r="H3375" s="17">
        <v>77246</v>
      </c>
      <c r="I3375" s="17">
        <v>77246</v>
      </c>
      <c r="J3375" s="17">
        <v>3951</v>
      </c>
      <c r="K3375" s="17">
        <v>73295</v>
      </c>
      <c r="L3375" s="17">
        <v>14892.250690000001</v>
      </c>
      <c r="M3375" s="17">
        <v>2025</v>
      </c>
      <c r="N3375" s="17" t="s">
        <v>171</v>
      </c>
    </row>
    <row r="3376" spans="1:14" ht="14.25" customHeight="1">
      <c r="A3376" s="17">
        <v>13375</v>
      </c>
      <c r="B3376" s="18">
        <v>45867</v>
      </c>
      <c r="C3376" s="17" t="s">
        <v>50</v>
      </c>
      <c r="D3376" s="17" t="s">
        <v>86</v>
      </c>
      <c r="E3376" s="17" t="s">
        <v>168</v>
      </c>
      <c r="F3376" s="17" t="s">
        <v>164</v>
      </c>
      <c r="G3376" s="17">
        <v>5</v>
      </c>
      <c r="H3376" s="17">
        <v>67301</v>
      </c>
      <c r="I3376" s="17">
        <v>336505</v>
      </c>
      <c r="J3376" s="17">
        <v>530</v>
      </c>
      <c r="K3376" s="17">
        <v>335975</v>
      </c>
      <c r="L3376" s="17">
        <v>47428.745170000002</v>
      </c>
      <c r="M3376" s="17">
        <v>2025</v>
      </c>
      <c r="N3376" s="17" t="s">
        <v>123</v>
      </c>
    </row>
    <row r="3377" spans="1:14" ht="14.25" customHeight="1">
      <c r="A3377" s="17">
        <v>13376</v>
      </c>
      <c r="B3377" s="18">
        <v>45616</v>
      </c>
      <c r="C3377" s="17" t="s">
        <v>39</v>
      </c>
      <c r="D3377" s="17" t="s">
        <v>111</v>
      </c>
      <c r="E3377" s="17" t="s">
        <v>162</v>
      </c>
      <c r="F3377" s="17" t="s">
        <v>164</v>
      </c>
      <c r="G3377" s="17">
        <v>3</v>
      </c>
      <c r="H3377" s="17">
        <v>69314</v>
      </c>
      <c r="I3377" s="17">
        <v>207942</v>
      </c>
      <c r="J3377" s="17">
        <v>4126</v>
      </c>
      <c r="K3377" s="17">
        <v>203816</v>
      </c>
      <c r="L3377" s="17">
        <v>25060.905910000001</v>
      </c>
      <c r="M3377" s="17">
        <v>2024</v>
      </c>
      <c r="N3377" s="17" t="s">
        <v>173</v>
      </c>
    </row>
    <row r="3378" spans="1:14" ht="14.25" customHeight="1">
      <c r="A3378" s="17">
        <v>13377</v>
      </c>
      <c r="B3378" s="18">
        <v>45683</v>
      </c>
      <c r="C3378" s="17" t="s">
        <v>58</v>
      </c>
      <c r="D3378" s="17" t="s">
        <v>89</v>
      </c>
      <c r="E3378" s="17" t="s">
        <v>165</v>
      </c>
      <c r="F3378" s="17" t="s">
        <v>172</v>
      </c>
      <c r="G3378" s="17">
        <v>3</v>
      </c>
      <c r="H3378" s="17">
        <v>25449</v>
      </c>
      <c r="I3378" s="17">
        <v>76347</v>
      </c>
      <c r="J3378" s="17">
        <v>1381</v>
      </c>
      <c r="K3378" s="17">
        <v>74966</v>
      </c>
      <c r="L3378" s="17">
        <v>14603.1405</v>
      </c>
      <c r="M3378" s="17">
        <v>2025</v>
      </c>
      <c r="N3378" s="17" t="s">
        <v>171</v>
      </c>
    </row>
    <row r="3379" spans="1:14" ht="14.25" customHeight="1">
      <c r="A3379" s="17">
        <v>13378</v>
      </c>
      <c r="B3379" s="18">
        <v>45979</v>
      </c>
      <c r="C3379" s="17" t="s">
        <v>58</v>
      </c>
      <c r="D3379" s="17" t="s">
        <v>111</v>
      </c>
      <c r="E3379" s="17" t="s">
        <v>165</v>
      </c>
      <c r="F3379" s="17" t="s">
        <v>164</v>
      </c>
      <c r="G3379" s="17">
        <v>6</v>
      </c>
      <c r="H3379" s="17">
        <v>35466</v>
      </c>
      <c r="I3379" s="17">
        <v>212796</v>
      </c>
      <c r="J3379" s="17">
        <v>4117</v>
      </c>
      <c r="K3379" s="17">
        <v>208679</v>
      </c>
      <c r="L3379" s="17">
        <v>44649.742870000002</v>
      </c>
      <c r="M3379" s="17">
        <v>2025</v>
      </c>
      <c r="N3379" s="17" t="s">
        <v>173</v>
      </c>
    </row>
    <row r="3380" spans="1:14" ht="14.25" customHeight="1">
      <c r="A3380" s="17">
        <v>13379</v>
      </c>
      <c r="B3380" s="18">
        <v>45919</v>
      </c>
      <c r="C3380" s="17" t="s">
        <v>45</v>
      </c>
      <c r="D3380" s="17" t="s">
        <v>83</v>
      </c>
      <c r="E3380" s="17" t="s">
        <v>162</v>
      </c>
      <c r="F3380" s="17" t="s">
        <v>166</v>
      </c>
      <c r="G3380" s="17">
        <v>4</v>
      </c>
      <c r="H3380" s="17">
        <v>29279</v>
      </c>
      <c r="I3380" s="17">
        <v>117116</v>
      </c>
      <c r="J3380" s="17">
        <v>753</v>
      </c>
      <c r="K3380" s="17">
        <v>116363</v>
      </c>
      <c r="L3380" s="17">
        <v>14120.468860000001</v>
      </c>
      <c r="M3380" s="17">
        <v>2025</v>
      </c>
      <c r="N3380" s="17" t="s">
        <v>129</v>
      </c>
    </row>
    <row r="3381" spans="1:14" ht="14.25" customHeight="1">
      <c r="A3381" s="17">
        <v>13380</v>
      </c>
      <c r="B3381" s="18">
        <v>45731</v>
      </c>
      <c r="C3381" s="17" t="s">
        <v>50</v>
      </c>
      <c r="D3381" s="17" t="s">
        <v>86</v>
      </c>
      <c r="E3381" s="17" t="s">
        <v>168</v>
      </c>
      <c r="F3381" s="17" t="s">
        <v>172</v>
      </c>
      <c r="G3381" s="17">
        <v>8</v>
      </c>
      <c r="H3381" s="17">
        <v>16837</v>
      </c>
      <c r="I3381" s="17">
        <v>134696</v>
      </c>
      <c r="J3381" s="17">
        <v>4309</v>
      </c>
      <c r="K3381" s="17">
        <v>130387</v>
      </c>
      <c r="L3381" s="17">
        <v>16457.847259999999</v>
      </c>
      <c r="M3381" s="17">
        <v>2025</v>
      </c>
      <c r="N3381" s="17" t="s">
        <v>112</v>
      </c>
    </row>
    <row r="3382" spans="1:14" ht="14.25" customHeight="1">
      <c r="A3382" s="17">
        <v>13381</v>
      </c>
      <c r="B3382" s="18">
        <v>45495</v>
      </c>
      <c r="C3382" s="17" t="s">
        <v>58</v>
      </c>
      <c r="D3382" s="17" t="s">
        <v>86</v>
      </c>
      <c r="E3382" s="17" t="s">
        <v>162</v>
      </c>
      <c r="F3382" s="17" t="s">
        <v>163</v>
      </c>
      <c r="G3382" s="17">
        <v>4</v>
      </c>
      <c r="H3382" s="17">
        <v>29209</v>
      </c>
      <c r="I3382" s="17">
        <v>116836</v>
      </c>
      <c r="J3382" s="17">
        <v>4807</v>
      </c>
      <c r="K3382" s="17">
        <v>112029</v>
      </c>
      <c r="L3382" s="17">
        <v>11405.71754</v>
      </c>
      <c r="M3382" s="17">
        <v>2024</v>
      </c>
      <c r="N3382" s="17" t="s">
        <v>123</v>
      </c>
    </row>
    <row r="3383" spans="1:14" ht="14.25" customHeight="1">
      <c r="A3383" s="17">
        <v>13382</v>
      </c>
      <c r="B3383" s="18">
        <v>45777</v>
      </c>
      <c r="C3383" s="17" t="s">
        <v>58</v>
      </c>
      <c r="D3383" s="17" t="s">
        <v>111</v>
      </c>
      <c r="E3383" s="17" t="s">
        <v>165</v>
      </c>
      <c r="F3383" s="17" t="s">
        <v>166</v>
      </c>
      <c r="G3383" s="17">
        <v>8</v>
      </c>
      <c r="H3383" s="17">
        <v>17220</v>
      </c>
      <c r="I3383" s="17">
        <v>137760</v>
      </c>
      <c r="J3383" s="17">
        <v>1188</v>
      </c>
      <c r="K3383" s="17">
        <v>136572</v>
      </c>
      <c r="L3383" s="17">
        <v>24550.507369999999</v>
      </c>
      <c r="M3383" s="17">
        <v>2025</v>
      </c>
      <c r="N3383" s="17" t="s">
        <v>114</v>
      </c>
    </row>
    <row r="3384" spans="1:14" ht="14.25" customHeight="1">
      <c r="A3384" s="17">
        <v>13383</v>
      </c>
      <c r="B3384" s="18">
        <v>45322</v>
      </c>
      <c r="C3384" s="17" t="s">
        <v>50</v>
      </c>
      <c r="D3384" s="17" t="s">
        <v>83</v>
      </c>
      <c r="E3384" s="17" t="s">
        <v>162</v>
      </c>
      <c r="F3384" s="17" t="s">
        <v>163</v>
      </c>
      <c r="G3384" s="17">
        <v>4</v>
      </c>
      <c r="H3384" s="17">
        <v>8965</v>
      </c>
      <c r="I3384" s="17">
        <v>35860</v>
      </c>
      <c r="J3384" s="17">
        <v>408</v>
      </c>
      <c r="K3384" s="17">
        <v>35452</v>
      </c>
      <c r="L3384" s="17">
        <v>6428.9953340000002</v>
      </c>
      <c r="M3384" s="17">
        <v>2024</v>
      </c>
      <c r="N3384" s="17" t="s">
        <v>171</v>
      </c>
    </row>
    <row r="3385" spans="1:14" ht="14.25" customHeight="1">
      <c r="A3385" s="17">
        <v>13384</v>
      </c>
      <c r="B3385" s="18">
        <v>45679</v>
      </c>
      <c r="C3385" s="17" t="s">
        <v>167</v>
      </c>
      <c r="D3385" s="17" t="s">
        <v>111</v>
      </c>
      <c r="E3385" s="17" t="s">
        <v>168</v>
      </c>
      <c r="F3385" s="17" t="s">
        <v>172</v>
      </c>
      <c r="G3385" s="17">
        <v>3</v>
      </c>
      <c r="H3385" s="17">
        <v>47276</v>
      </c>
      <c r="I3385" s="17">
        <v>141828</v>
      </c>
      <c r="J3385" s="17">
        <v>2485</v>
      </c>
      <c r="K3385" s="17">
        <v>139343</v>
      </c>
      <c r="L3385" s="17">
        <v>24386.60916</v>
      </c>
      <c r="M3385" s="17">
        <v>2025</v>
      </c>
      <c r="N3385" s="17" t="s">
        <v>171</v>
      </c>
    </row>
    <row r="3386" spans="1:14" ht="14.25" customHeight="1">
      <c r="A3386" s="17">
        <v>13385</v>
      </c>
      <c r="B3386" s="18">
        <v>45916</v>
      </c>
      <c r="C3386" s="17" t="s">
        <v>58</v>
      </c>
      <c r="D3386" s="17" t="s">
        <v>170</v>
      </c>
      <c r="E3386" s="17" t="s">
        <v>168</v>
      </c>
      <c r="F3386" s="17" t="s">
        <v>172</v>
      </c>
      <c r="G3386" s="17">
        <v>5</v>
      </c>
      <c r="H3386" s="17">
        <v>32230</v>
      </c>
      <c r="I3386" s="17">
        <v>161150</v>
      </c>
      <c r="J3386" s="17">
        <v>796</v>
      </c>
      <c r="K3386" s="17">
        <v>160354</v>
      </c>
      <c r="L3386" s="17">
        <v>23636.420580000002</v>
      </c>
      <c r="M3386" s="17">
        <v>2025</v>
      </c>
      <c r="N3386" s="17" t="s">
        <v>129</v>
      </c>
    </row>
    <row r="3387" spans="1:14" ht="14.25" customHeight="1">
      <c r="A3387" s="17">
        <v>13386</v>
      </c>
      <c r="B3387" s="18">
        <v>45725</v>
      </c>
      <c r="C3387" s="17" t="s">
        <v>39</v>
      </c>
      <c r="D3387" s="17" t="s">
        <v>86</v>
      </c>
      <c r="E3387" s="17" t="s">
        <v>165</v>
      </c>
      <c r="F3387" s="17" t="s">
        <v>166</v>
      </c>
      <c r="G3387" s="17">
        <v>5</v>
      </c>
      <c r="H3387" s="17">
        <v>46920</v>
      </c>
      <c r="I3387" s="17">
        <v>234600</v>
      </c>
      <c r="J3387" s="17">
        <v>860</v>
      </c>
      <c r="K3387" s="17">
        <v>233740</v>
      </c>
      <c r="L3387" s="17">
        <v>38373.489690000002</v>
      </c>
      <c r="M3387" s="17">
        <v>2025</v>
      </c>
      <c r="N3387" s="17" t="s">
        <v>112</v>
      </c>
    </row>
    <row r="3388" spans="1:14" ht="14.25" customHeight="1">
      <c r="A3388" s="17">
        <v>13387</v>
      </c>
      <c r="B3388" s="18">
        <v>45667</v>
      </c>
      <c r="C3388" s="17" t="s">
        <v>45</v>
      </c>
      <c r="D3388" s="17" t="s">
        <v>86</v>
      </c>
      <c r="E3388" s="17" t="s">
        <v>162</v>
      </c>
      <c r="F3388" s="17" t="s">
        <v>164</v>
      </c>
      <c r="G3388" s="17">
        <v>1</v>
      </c>
      <c r="H3388" s="17">
        <v>70165</v>
      </c>
      <c r="I3388" s="17">
        <v>70165</v>
      </c>
      <c r="J3388" s="17">
        <v>4171</v>
      </c>
      <c r="K3388" s="17">
        <v>65994</v>
      </c>
      <c r="L3388" s="17">
        <v>14184.45441</v>
      </c>
      <c r="M3388" s="17">
        <v>2025</v>
      </c>
      <c r="N3388" s="17" t="s">
        <v>171</v>
      </c>
    </row>
    <row r="3389" spans="1:14" ht="14.25" customHeight="1">
      <c r="A3389" s="17">
        <v>13388</v>
      </c>
      <c r="B3389" s="18">
        <v>45635</v>
      </c>
      <c r="C3389" s="17" t="s">
        <v>58</v>
      </c>
      <c r="D3389" s="17" t="s">
        <v>170</v>
      </c>
      <c r="E3389" s="17" t="s">
        <v>162</v>
      </c>
      <c r="F3389" s="17" t="s">
        <v>166</v>
      </c>
      <c r="G3389" s="17">
        <v>8</v>
      </c>
      <c r="H3389" s="17">
        <v>66544</v>
      </c>
      <c r="I3389" s="17">
        <v>532352</v>
      </c>
      <c r="J3389" s="17">
        <v>365</v>
      </c>
      <c r="K3389" s="17">
        <v>531987</v>
      </c>
      <c r="L3389" s="17">
        <v>67705.736619999996</v>
      </c>
      <c r="M3389" s="17">
        <v>2024</v>
      </c>
      <c r="N3389" s="17" t="s">
        <v>169</v>
      </c>
    </row>
    <row r="3390" spans="1:14" ht="14.25" customHeight="1">
      <c r="A3390" s="17">
        <v>13389</v>
      </c>
      <c r="B3390" s="18">
        <v>45734</v>
      </c>
      <c r="C3390" s="17" t="s">
        <v>58</v>
      </c>
      <c r="D3390" s="17" t="s">
        <v>83</v>
      </c>
      <c r="E3390" s="17" t="s">
        <v>165</v>
      </c>
      <c r="F3390" s="17" t="s">
        <v>164</v>
      </c>
      <c r="G3390" s="17">
        <v>8</v>
      </c>
      <c r="H3390" s="17">
        <v>28036</v>
      </c>
      <c r="I3390" s="17">
        <v>224288</v>
      </c>
      <c r="J3390" s="17">
        <v>1514</v>
      </c>
      <c r="K3390" s="17">
        <v>222774</v>
      </c>
      <c r="L3390" s="17">
        <v>29012.34434</v>
      </c>
      <c r="M3390" s="17">
        <v>2025</v>
      </c>
      <c r="N3390" s="17" t="s">
        <v>112</v>
      </c>
    </row>
    <row r="3391" spans="1:14" ht="14.25" customHeight="1">
      <c r="A3391" s="17">
        <v>13390</v>
      </c>
      <c r="B3391" s="18">
        <v>45870</v>
      </c>
      <c r="C3391" s="17" t="s">
        <v>167</v>
      </c>
      <c r="D3391" s="17" t="s">
        <v>86</v>
      </c>
      <c r="E3391" s="17" t="s">
        <v>162</v>
      </c>
      <c r="F3391" s="17" t="s">
        <v>164</v>
      </c>
      <c r="G3391" s="17">
        <v>8</v>
      </c>
      <c r="H3391" s="17">
        <v>70322</v>
      </c>
      <c r="I3391" s="17">
        <v>562576</v>
      </c>
      <c r="J3391" s="17">
        <v>4936</v>
      </c>
      <c r="K3391" s="17">
        <v>557640</v>
      </c>
      <c r="L3391" s="17">
        <v>111554.06389999999</v>
      </c>
      <c r="M3391" s="17">
        <v>2025</v>
      </c>
      <c r="N3391" s="17" t="s">
        <v>126</v>
      </c>
    </row>
    <row r="3392" spans="1:14" ht="14.25" customHeight="1">
      <c r="A3392" s="17">
        <v>13391</v>
      </c>
      <c r="B3392" s="18">
        <v>45366</v>
      </c>
      <c r="C3392" s="17" t="s">
        <v>39</v>
      </c>
      <c r="D3392" s="17" t="s">
        <v>89</v>
      </c>
      <c r="E3392" s="17" t="s">
        <v>165</v>
      </c>
      <c r="F3392" s="17" t="s">
        <v>166</v>
      </c>
      <c r="G3392" s="17">
        <v>4</v>
      </c>
      <c r="H3392" s="17">
        <v>9847</v>
      </c>
      <c r="I3392" s="17">
        <v>39388</v>
      </c>
      <c r="J3392" s="17">
        <v>2934</v>
      </c>
      <c r="K3392" s="17">
        <v>36454</v>
      </c>
      <c r="L3392" s="17">
        <v>8385.7006669999992</v>
      </c>
      <c r="M3392" s="17">
        <v>2024</v>
      </c>
      <c r="N3392" s="17" t="s">
        <v>112</v>
      </c>
    </row>
    <row r="3393" spans="1:14" ht="14.25" customHeight="1">
      <c r="A3393" s="17">
        <v>13392</v>
      </c>
      <c r="B3393" s="18">
        <v>45848</v>
      </c>
      <c r="C3393" s="17" t="s">
        <v>45</v>
      </c>
      <c r="D3393" s="17" t="s">
        <v>89</v>
      </c>
      <c r="E3393" s="17" t="s">
        <v>162</v>
      </c>
      <c r="F3393" s="17" t="s">
        <v>172</v>
      </c>
      <c r="G3393" s="17">
        <v>9</v>
      </c>
      <c r="H3393" s="17">
        <v>55772</v>
      </c>
      <c r="I3393" s="17">
        <v>501948</v>
      </c>
      <c r="J3393" s="17">
        <v>1583</v>
      </c>
      <c r="K3393" s="17">
        <v>500365</v>
      </c>
      <c r="L3393" s="17">
        <v>75584.646659999999</v>
      </c>
      <c r="M3393" s="17">
        <v>2025</v>
      </c>
      <c r="N3393" s="17" t="s">
        <v>123</v>
      </c>
    </row>
    <row r="3394" spans="1:14" ht="14.25" customHeight="1">
      <c r="A3394" s="17">
        <v>13393</v>
      </c>
      <c r="B3394" s="18">
        <v>45957</v>
      </c>
      <c r="C3394" s="17" t="s">
        <v>58</v>
      </c>
      <c r="D3394" s="17" t="s">
        <v>83</v>
      </c>
      <c r="E3394" s="17" t="s">
        <v>168</v>
      </c>
      <c r="F3394" s="17" t="s">
        <v>166</v>
      </c>
      <c r="G3394" s="17">
        <v>3</v>
      </c>
      <c r="H3394" s="17">
        <v>17893</v>
      </c>
      <c r="I3394" s="17">
        <v>53679</v>
      </c>
      <c r="J3394" s="17">
        <v>498</v>
      </c>
      <c r="K3394" s="17">
        <v>53181</v>
      </c>
      <c r="L3394" s="17">
        <v>12758.741389999999</v>
      </c>
      <c r="M3394" s="17">
        <v>2025</v>
      </c>
      <c r="N3394" s="17" t="s">
        <v>174</v>
      </c>
    </row>
    <row r="3395" spans="1:14" ht="14.25" customHeight="1">
      <c r="A3395" s="17">
        <v>13394</v>
      </c>
      <c r="B3395" s="18">
        <v>45446</v>
      </c>
      <c r="C3395" s="17" t="s">
        <v>45</v>
      </c>
      <c r="D3395" s="17" t="s">
        <v>170</v>
      </c>
      <c r="E3395" s="17" t="s">
        <v>165</v>
      </c>
      <c r="F3395" s="17" t="s">
        <v>163</v>
      </c>
      <c r="G3395" s="17">
        <v>7</v>
      </c>
      <c r="H3395" s="17">
        <v>9649</v>
      </c>
      <c r="I3395" s="17">
        <v>67543</v>
      </c>
      <c r="J3395" s="17">
        <v>3241</v>
      </c>
      <c r="K3395" s="17">
        <v>64302</v>
      </c>
      <c r="L3395" s="17">
        <v>6986.503033</v>
      </c>
      <c r="M3395" s="17">
        <v>2024</v>
      </c>
      <c r="N3395" s="17" t="s">
        <v>120</v>
      </c>
    </row>
    <row r="3396" spans="1:14" ht="14.25" customHeight="1">
      <c r="A3396" s="17">
        <v>13395</v>
      </c>
      <c r="B3396" s="18">
        <v>45721</v>
      </c>
      <c r="C3396" s="17" t="s">
        <v>50</v>
      </c>
      <c r="D3396" s="17" t="s">
        <v>111</v>
      </c>
      <c r="E3396" s="17" t="s">
        <v>162</v>
      </c>
      <c r="F3396" s="17" t="s">
        <v>172</v>
      </c>
      <c r="G3396" s="17">
        <v>6</v>
      </c>
      <c r="H3396" s="17">
        <v>35571</v>
      </c>
      <c r="I3396" s="17">
        <v>213426</v>
      </c>
      <c r="J3396" s="17">
        <v>1369</v>
      </c>
      <c r="K3396" s="17">
        <v>212057</v>
      </c>
      <c r="L3396" s="17">
        <v>24975.62773</v>
      </c>
      <c r="M3396" s="17">
        <v>2025</v>
      </c>
      <c r="N3396" s="17" t="s">
        <v>112</v>
      </c>
    </row>
    <row r="3397" spans="1:14" ht="14.25" customHeight="1">
      <c r="A3397" s="17">
        <v>13396</v>
      </c>
      <c r="B3397" s="18">
        <v>45654</v>
      </c>
      <c r="C3397" s="17" t="s">
        <v>58</v>
      </c>
      <c r="D3397" s="17" t="s">
        <v>83</v>
      </c>
      <c r="E3397" s="17" t="s">
        <v>162</v>
      </c>
      <c r="F3397" s="17" t="s">
        <v>164</v>
      </c>
      <c r="G3397" s="17">
        <v>9</v>
      </c>
      <c r="H3397" s="17">
        <v>16613</v>
      </c>
      <c r="I3397" s="17">
        <v>149517</v>
      </c>
      <c r="J3397" s="17">
        <v>1251</v>
      </c>
      <c r="K3397" s="17">
        <v>148266</v>
      </c>
      <c r="L3397" s="17">
        <v>25056.055939999998</v>
      </c>
      <c r="M3397" s="17">
        <v>2024</v>
      </c>
      <c r="N3397" s="17" t="s">
        <v>169</v>
      </c>
    </row>
    <row r="3398" spans="1:14" ht="14.25" customHeight="1">
      <c r="A3398" s="17">
        <v>13397</v>
      </c>
      <c r="B3398" s="18">
        <v>45739</v>
      </c>
      <c r="C3398" s="17" t="s">
        <v>58</v>
      </c>
      <c r="D3398" s="17" t="s">
        <v>111</v>
      </c>
      <c r="E3398" s="17" t="s">
        <v>162</v>
      </c>
      <c r="F3398" s="17" t="s">
        <v>172</v>
      </c>
      <c r="G3398" s="17">
        <v>4</v>
      </c>
      <c r="H3398" s="17">
        <v>58833</v>
      </c>
      <c r="I3398" s="17">
        <v>235332</v>
      </c>
      <c r="J3398" s="17">
        <v>698</v>
      </c>
      <c r="K3398" s="17">
        <v>234634</v>
      </c>
      <c r="L3398" s="17">
        <v>48926.534930000002</v>
      </c>
      <c r="M3398" s="17">
        <v>2025</v>
      </c>
      <c r="N3398" s="17" t="s">
        <v>112</v>
      </c>
    </row>
    <row r="3399" spans="1:14" ht="14.25" customHeight="1">
      <c r="A3399" s="17">
        <v>13398</v>
      </c>
      <c r="B3399" s="18">
        <v>45525</v>
      </c>
      <c r="C3399" s="17" t="s">
        <v>50</v>
      </c>
      <c r="D3399" s="17" t="s">
        <v>83</v>
      </c>
      <c r="E3399" s="17" t="s">
        <v>165</v>
      </c>
      <c r="F3399" s="17" t="s">
        <v>166</v>
      </c>
      <c r="G3399" s="17">
        <v>4</v>
      </c>
      <c r="H3399" s="17">
        <v>67423</v>
      </c>
      <c r="I3399" s="17">
        <v>269692</v>
      </c>
      <c r="J3399" s="17">
        <v>2727</v>
      </c>
      <c r="K3399" s="17">
        <v>266965</v>
      </c>
      <c r="L3399" s="17">
        <v>41546.573539999998</v>
      </c>
      <c r="M3399" s="17">
        <v>2024</v>
      </c>
      <c r="N3399" s="17" t="s">
        <v>126</v>
      </c>
    </row>
    <row r="3400" spans="1:14" ht="14.25" customHeight="1">
      <c r="A3400" s="17">
        <v>13399</v>
      </c>
      <c r="B3400" s="18">
        <v>45854</v>
      </c>
      <c r="C3400" s="17" t="s">
        <v>167</v>
      </c>
      <c r="D3400" s="17" t="s">
        <v>89</v>
      </c>
      <c r="E3400" s="17" t="s">
        <v>168</v>
      </c>
      <c r="F3400" s="17" t="s">
        <v>172</v>
      </c>
      <c r="G3400" s="17">
        <v>6</v>
      </c>
      <c r="H3400" s="17">
        <v>46382</v>
      </c>
      <c r="I3400" s="17">
        <v>278292</v>
      </c>
      <c r="J3400" s="17">
        <v>2250</v>
      </c>
      <c r="K3400" s="17">
        <v>276042</v>
      </c>
      <c r="L3400" s="17">
        <v>50574.23272</v>
      </c>
      <c r="M3400" s="17">
        <v>2025</v>
      </c>
      <c r="N3400" s="17" t="s">
        <v>123</v>
      </c>
    </row>
    <row r="3401" spans="1:14" ht="14.25" customHeight="1">
      <c r="A3401" s="17">
        <v>13400</v>
      </c>
      <c r="B3401" s="18">
        <v>45553</v>
      </c>
      <c r="C3401" s="17" t="s">
        <v>58</v>
      </c>
      <c r="D3401" s="17" t="s">
        <v>170</v>
      </c>
      <c r="E3401" s="17" t="s">
        <v>162</v>
      </c>
      <c r="F3401" s="17" t="s">
        <v>164</v>
      </c>
      <c r="G3401" s="17">
        <v>8</v>
      </c>
      <c r="H3401" s="17">
        <v>57348</v>
      </c>
      <c r="I3401" s="17">
        <v>458784</v>
      </c>
      <c r="J3401" s="17">
        <v>2493</v>
      </c>
      <c r="K3401" s="17">
        <v>456291</v>
      </c>
      <c r="L3401" s="17">
        <v>47584.582009999998</v>
      </c>
      <c r="M3401" s="17">
        <v>2024</v>
      </c>
      <c r="N3401" s="17" t="s">
        <v>129</v>
      </c>
    </row>
    <row r="3402" spans="1:14" ht="14.25" customHeight="1">
      <c r="A3402" s="17">
        <v>13401</v>
      </c>
      <c r="B3402" s="18">
        <v>45416</v>
      </c>
      <c r="C3402" s="17" t="s">
        <v>45</v>
      </c>
      <c r="D3402" s="17" t="s">
        <v>89</v>
      </c>
      <c r="E3402" s="17" t="s">
        <v>165</v>
      </c>
      <c r="F3402" s="17" t="s">
        <v>164</v>
      </c>
      <c r="G3402" s="17">
        <v>3</v>
      </c>
      <c r="H3402" s="17">
        <v>58705</v>
      </c>
      <c r="I3402" s="17">
        <v>176115</v>
      </c>
      <c r="J3402" s="17">
        <v>131</v>
      </c>
      <c r="K3402" s="17">
        <v>175984</v>
      </c>
      <c r="L3402" s="17">
        <v>29789.717430000001</v>
      </c>
      <c r="M3402" s="17">
        <v>2024</v>
      </c>
      <c r="N3402" s="17" t="s">
        <v>117</v>
      </c>
    </row>
    <row r="3403" spans="1:14" ht="14.25" customHeight="1">
      <c r="A3403" s="17">
        <v>13402</v>
      </c>
      <c r="B3403" s="18">
        <v>45536</v>
      </c>
      <c r="C3403" s="17" t="s">
        <v>39</v>
      </c>
      <c r="D3403" s="17" t="s">
        <v>170</v>
      </c>
      <c r="E3403" s="17" t="s">
        <v>162</v>
      </c>
      <c r="F3403" s="17" t="s">
        <v>172</v>
      </c>
      <c r="G3403" s="17">
        <v>8</v>
      </c>
      <c r="H3403" s="17">
        <v>60817</v>
      </c>
      <c r="I3403" s="17">
        <v>486536</v>
      </c>
      <c r="J3403" s="17">
        <v>90</v>
      </c>
      <c r="K3403" s="17">
        <v>486446</v>
      </c>
      <c r="L3403" s="17">
        <v>66344.584770000001</v>
      </c>
      <c r="M3403" s="17">
        <v>2024</v>
      </c>
      <c r="N3403" s="17" t="s">
        <v>129</v>
      </c>
    </row>
    <row r="3404" spans="1:14" ht="14.25" customHeight="1">
      <c r="A3404" s="17">
        <v>13403</v>
      </c>
      <c r="B3404" s="18">
        <v>45833</v>
      </c>
      <c r="C3404" s="17" t="s">
        <v>45</v>
      </c>
      <c r="D3404" s="17" t="s">
        <v>111</v>
      </c>
      <c r="E3404" s="17" t="s">
        <v>168</v>
      </c>
      <c r="F3404" s="17" t="s">
        <v>163</v>
      </c>
      <c r="G3404" s="17">
        <v>8</v>
      </c>
      <c r="H3404" s="17">
        <v>49142</v>
      </c>
      <c r="I3404" s="17">
        <v>393136</v>
      </c>
      <c r="J3404" s="17">
        <v>3894</v>
      </c>
      <c r="K3404" s="17">
        <v>389242</v>
      </c>
      <c r="L3404" s="17">
        <v>69073.066030000002</v>
      </c>
      <c r="M3404" s="17">
        <v>2025</v>
      </c>
      <c r="N3404" s="17" t="s">
        <v>120</v>
      </c>
    </row>
    <row r="3405" spans="1:14" ht="14.25" customHeight="1">
      <c r="A3405" s="17">
        <v>13404</v>
      </c>
      <c r="B3405" s="18">
        <v>45776</v>
      </c>
      <c r="C3405" s="17" t="s">
        <v>167</v>
      </c>
      <c r="D3405" s="17" t="s">
        <v>83</v>
      </c>
      <c r="E3405" s="17" t="s">
        <v>168</v>
      </c>
      <c r="F3405" s="17" t="s">
        <v>164</v>
      </c>
      <c r="G3405" s="17">
        <v>7</v>
      </c>
      <c r="H3405" s="17">
        <v>75182</v>
      </c>
      <c r="I3405" s="17">
        <v>526274</v>
      </c>
      <c r="J3405" s="17">
        <v>3197</v>
      </c>
      <c r="K3405" s="17">
        <v>523077</v>
      </c>
      <c r="L3405" s="17">
        <v>93565.388330000002</v>
      </c>
      <c r="M3405" s="17">
        <v>2025</v>
      </c>
      <c r="N3405" s="17" t="s">
        <v>114</v>
      </c>
    </row>
    <row r="3406" spans="1:14" ht="14.25" customHeight="1">
      <c r="A3406" s="17">
        <v>13405</v>
      </c>
      <c r="B3406" s="18">
        <v>45413</v>
      </c>
      <c r="C3406" s="17" t="s">
        <v>39</v>
      </c>
      <c r="D3406" s="17" t="s">
        <v>86</v>
      </c>
      <c r="E3406" s="17" t="s">
        <v>168</v>
      </c>
      <c r="F3406" s="17" t="s">
        <v>163</v>
      </c>
      <c r="G3406" s="17">
        <v>7</v>
      </c>
      <c r="H3406" s="17">
        <v>18708</v>
      </c>
      <c r="I3406" s="17">
        <v>130956</v>
      </c>
      <c r="J3406" s="17">
        <v>471</v>
      </c>
      <c r="K3406" s="17">
        <v>130485</v>
      </c>
      <c r="L3406" s="17">
        <v>27789.89141</v>
      </c>
      <c r="M3406" s="17">
        <v>2024</v>
      </c>
      <c r="N3406" s="17" t="s">
        <v>117</v>
      </c>
    </row>
    <row r="3407" spans="1:14" ht="14.25" customHeight="1">
      <c r="A3407" s="17">
        <v>13406</v>
      </c>
      <c r="B3407" s="18">
        <v>45416</v>
      </c>
      <c r="C3407" s="17" t="s">
        <v>45</v>
      </c>
      <c r="D3407" s="17" t="s">
        <v>86</v>
      </c>
      <c r="E3407" s="17" t="s">
        <v>165</v>
      </c>
      <c r="F3407" s="17" t="s">
        <v>164</v>
      </c>
      <c r="G3407" s="17">
        <v>5</v>
      </c>
      <c r="H3407" s="17">
        <v>11090</v>
      </c>
      <c r="I3407" s="17">
        <v>55450</v>
      </c>
      <c r="J3407" s="17">
        <v>1265</v>
      </c>
      <c r="K3407" s="17">
        <v>54185</v>
      </c>
      <c r="L3407" s="17">
        <v>9806.1977910000005</v>
      </c>
      <c r="M3407" s="17">
        <v>2024</v>
      </c>
      <c r="N3407" s="17" t="s">
        <v>117</v>
      </c>
    </row>
    <row r="3408" spans="1:14" ht="14.25" customHeight="1">
      <c r="A3408" s="17">
        <v>13407</v>
      </c>
      <c r="B3408" s="18">
        <v>45840</v>
      </c>
      <c r="C3408" s="17" t="s">
        <v>45</v>
      </c>
      <c r="D3408" s="17" t="s">
        <v>170</v>
      </c>
      <c r="E3408" s="17" t="s">
        <v>162</v>
      </c>
      <c r="F3408" s="17" t="s">
        <v>172</v>
      </c>
      <c r="G3408" s="17">
        <v>2</v>
      </c>
      <c r="H3408" s="17">
        <v>57902</v>
      </c>
      <c r="I3408" s="17">
        <v>115804</v>
      </c>
      <c r="J3408" s="17">
        <v>4597</v>
      </c>
      <c r="K3408" s="17">
        <v>111207</v>
      </c>
      <c r="L3408" s="17">
        <v>21367.354780000001</v>
      </c>
      <c r="M3408" s="17">
        <v>2025</v>
      </c>
      <c r="N3408" s="17" t="s">
        <v>123</v>
      </c>
    </row>
    <row r="3409" spans="1:14" ht="14.25" customHeight="1">
      <c r="A3409" s="17">
        <v>13408</v>
      </c>
      <c r="B3409" s="18">
        <v>45461</v>
      </c>
      <c r="C3409" s="17" t="s">
        <v>50</v>
      </c>
      <c r="D3409" s="17" t="s">
        <v>170</v>
      </c>
      <c r="E3409" s="17" t="s">
        <v>165</v>
      </c>
      <c r="F3409" s="17" t="s">
        <v>164</v>
      </c>
      <c r="G3409" s="17">
        <v>2</v>
      </c>
      <c r="H3409" s="17">
        <v>48752</v>
      </c>
      <c r="I3409" s="17">
        <v>97504</v>
      </c>
      <c r="J3409" s="17">
        <v>2808</v>
      </c>
      <c r="K3409" s="17">
        <v>94696</v>
      </c>
      <c r="L3409" s="17">
        <v>16992.911909999999</v>
      </c>
      <c r="M3409" s="17">
        <v>2024</v>
      </c>
      <c r="N3409" s="17" t="s">
        <v>120</v>
      </c>
    </row>
    <row r="3410" spans="1:14" ht="14.25" customHeight="1">
      <c r="A3410" s="17">
        <v>13409</v>
      </c>
      <c r="B3410" s="18">
        <v>45415</v>
      </c>
      <c r="C3410" s="17" t="s">
        <v>167</v>
      </c>
      <c r="D3410" s="17" t="s">
        <v>89</v>
      </c>
      <c r="E3410" s="17" t="s">
        <v>162</v>
      </c>
      <c r="F3410" s="17" t="s">
        <v>163</v>
      </c>
      <c r="G3410" s="17">
        <v>8</v>
      </c>
      <c r="H3410" s="17">
        <v>24643</v>
      </c>
      <c r="I3410" s="17">
        <v>197144</v>
      </c>
      <c r="J3410" s="17">
        <v>4482</v>
      </c>
      <c r="K3410" s="17">
        <v>192662</v>
      </c>
      <c r="L3410" s="17">
        <v>47887.41459</v>
      </c>
      <c r="M3410" s="17">
        <v>2024</v>
      </c>
      <c r="N3410" s="17" t="s">
        <v>117</v>
      </c>
    </row>
    <row r="3411" spans="1:14" ht="14.25" customHeight="1">
      <c r="A3411" s="17">
        <v>13410</v>
      </c>
      <c r="B3411" s="18">
        <v>45326</v>
      </c>
      <c r="C3411" s="17" t="s">
        <v>50</v>
      </c>
      <c r="D3411" s="17" t="s">
        <v>86</v>
      </c>
      <c r="E3411" s="17" t="s">
        <v>165</v>
      </c>
      <c r="F3411" s="17" t="s">
        <v>163</v>
      </c>
      <c r="G3411" s="17">
        <v>6</v>
      </c>
      <c r="H3411" s="17">
        <v>44647</v>
      </c>
      <c r="I3411" s="17">
        <v>267882</v>
      </c>
      <c r="J3411" s="17">
        <v>1111</v>
      </c>
      <c r="K3411" s="17">
        <v>266771</v>
      </c>
      <c r="L3411" s="17">
        <v>58354.263319999998</v>
      </c>
      <c r="M3411" s="17">
        <v>2024</v>
      </c>
      <c r="N3411" s="17" t="s">
        <v>175</v>
      </c>
    </row>
    <row r="3412" spans="1:14" ht="14.25" customHeight="1">
      <c r="A3412" s="17">
        <v>13411</v>
      </c>
      <c r="B3412" s="18">
        <v>45378</v>
      </c>
      <c r="C3412" s="17" t="s">
        <v>39</v>
      </c>
      <c r="D3412" s="17" t="s">
        <v>89</v>
      </c>
      <c r="E3412" s="17" t="s">
        <v>162</v>
      </c>
      <c r="F3412" s="17" t="s">
        <v>172</v>
      </c>
      <c r="G3412" s="17">
        <v>8</v>
      </c>
      <c r="H3412" s="17">
        <v>70082</v>
      </c>
      <c r="I3412" s="17">
        <v>560656</v>
      </c>
      <c r="J3412" s="17">
        <v>597</v>
      </c>
      <c r="K3412" s="17">
        <v>560059</v>
      </c>
      <c r="L3412" s="17">
        <v>119486.76979999999</v>
      </c>
      <c r="M3412" s="17">
        <v>2024</v>
      </c>
      <c r="N3412" s="17" t="s">
        <v>112</v>
      </c>
    </row>
    <row r="3413" spans="1:14" ht="14.25" customHeight="1">
      <c r="A3413" s="17">
        <v>13412</v>
      </c>
      <c r="B3413" s="18">
        <v>45937</v>
      </c>
      <c r="C3413" s="17" t="s">
        <v>50</v>
      </c>
      <c r="D3413" s="17" t="s">
        <v>111</v>
      </c>
      <c r="E3413" s="17" t="s">
        <v>165</v>
      </c>
      <c r="F3413" s="17" t="s">
        <v>163</v>
      </c>
      <c r="G3413" s="17">
        <v>3</v>
      </c>
      <c r="H3413" s="17">
        <v>77974</v>
      </c>
      <c r="I3413" s="17">
        <v>233922</v>
      </c>
      <c r="J3413" s="17">
        <v>907</v>
      </c>
      <c r="K3413" s="17">
        <v>233015</v>
      </c>
      <c r="L3413" s="17">
        <v>45225.629500000003</v>
      </c>
      <c r="M3413" s="17">
        <v>2025</v>
      </c>
      <c r="N3413" s="17" t="s">
        <v>174</v>
      </c>
    </row>
    <row r="3414" spans="1:14" ht="14.25" customHeight="1">
      <c r="A3414" s="17">
        <v>13413</v>
      </c>
      <c r="B3414" s="18">
        <v>45999</v>
      </c>
      <c r="C3414" s="17" t="s">
        <v>167</v>
      </c>
      <c r="D3414" s="17" t="s">
        <v>86</v>
      </c>
      <c r="E3414" s="17" t="s">
        <v>162</v>
      </c>
      <c r="F3414" s="17" t="s">
        <v>163</v>
      </c>
      <c r="G3414" s="17">
        <v>1</v>
      </c>
      <c r="H3414" s="17">
        <v>23474</v>
      </c>
      <c r="I3414" s="17">
        <v>23474</v>
      </c>
      <c r="J3414" s="17">
        <v>2914</v>
      </c>
      <c r="K3414" s="17">
        <v>20560</v>
      </c>
      <c r="L3414" s="17">
        <v>3685.4952370000001</v>
      </c>
      <c r="M3414" s="17">
        <v>2025</v>
      </c>
      <c r="N3414" s="17" t="s">
        <v>169</v>
      </c>
    </row>
    <row r="3415" spans="1:14" ht="14.25" customHeight="1">
      <c r="A3415" s="17">
        <v>13414</v>
      </c>
      <c r="B3415" s="18">
        <v>45492</v>
      </c>
      <c r="C3415" s="17" t="s">
        <v>58</v>
      </c>
      <c r="D3415" s="17" t="s">
        <v>111</v>
      </c>
      <c r="E3415" s="17" t="s">
        <v>165</v>
      </c>
      <c r="F3415" s="17" t="s">
        <v>172</v>
      </c>
      <c r="G3415" s="17">
        <v>6</v>
      </c>
      <c r="H3415" s="17">
        <v>42402</v>
      </c>
      <c r="I3415" s="17">
        <v>254412</v>
      </c>
      <c r="J3415" s="17">
        <v>3216</v>
      </c>
      <c r="K3415" s="17">
        <v>251196</v>
      </c>
      <c r="L3415" s="17">
        <v>38109.842170000004</v>
      </c>
      <c r="M3415" s="17">
        <v>2024</v>
      </c>
      <c r="N3415" s="17" t="s">
        <v>123</v>
      </c>
    </row>
    <row r="3416" spans="1:14" ht="14.25" customHeight="1">
      <c r="A3416" s="17">
        <v>13415</v>
      </c>
      <c r="B3416" s="18">
        <v>45660</v>
      </c>
      <c r="C3416" s="17" t="s">
        <v>58</v>
      </c>
      <c r="D3416" s="17" t="s">
        <v>83</v>
      </c>
      <c r="E3416" s="17" t="s">
        <v>168</v>
      </c>
      <c r="F3416" s="17" t="s">
        <v>164</v>
      </c>
      <c r="G3416" s="17">
        <v>2</v>
      </c>
      <c r="H3416" s="17">
        <v>21504</v>
      </c>
      <c r="I3416" s="17">
        <v>43008</v>
      </c>
      <c r="J3416" s="17">
        <v>1354</v>
      </c>
      <c r="K3416" s="17">
        <v>41654</v>
      </c>
      <c r="L3416" s="17">
        <v>9063.7099990000006</v>
      </c>
      <c r="M3416" s="17">
        <v>2025</v>
      </c>
      <c r="N3416" s="17" t="s">
        <v>171</v>
      </c>
    </row>
    <row r="3417" spans="1:14" ht="14.25" customHeight="1">
      <c r="A3417" s="17">
        <v>13416</v>
      </c>
      <c r="B3417" s="18">
        <v>45368</v>
      </c>
      <c r="C3417" s="17" t="s">
        <v>39</v>
      </c>
      <c r="D3417" s="17" t="s">
        <v>89</v>
      </c>
      <c r="E3417" s="17" t="s">
        <v>165</v>
      </c>
      <c r="F3417" s="17" t="s">
        <v>172</v>
      </c>
      <c r="G3417" s="17">
        <v>9</v>
      </c>
      <c r="H3417" s="17">
        <v>11768</v>
      </c>
      <c r="I3417" s="17">
        <v>105912</v>
      </c>
      <c r="J3417" s="17">
        <v>3946</v>
      </c>
      <c r="K3417" s="17">
        <v>101966</v>
      </c>
      <c r="L3417" s="17">
        <v>13096.65324</v>
      </c>
      <c r="M3417" s="17">
        <v>2024</v>
      </c>
      <c r="N3417" s="17" t="s">
        <v>112</v>
      </c>
    </row>
    <row r="3418" spans="1:14" ht="14.25" customHeight="1">
      <c r="A3418" s="17">
        <v>13417</v>
      </c>
      <c r="B3418" s="18">
        <v>45350</v>
      </c>
      <c r="C3418" s="17" t="s">
        <v>58</v>
      </c>
      <c r="D3418" s="17" t="s">
        <v>170</v>
      </c>
      <c r="E3418" s="17" t="s">
        <v>168</v>
      </c>
      <c r="F3418" s="17" t="s">
        <v>164</v>
      </c>
      <c r="G3418" s="17">
        <v>5</v>
      </c>
      <c r="H3418" s="17">
        <v>79043</v>
      </c>
      <c r="I3418" s="17">
        <v>395215</v>
      </c>
      <c r="J3418" s="17">
        <v>3235</v>
      </c>
      <c r="K3418" s="17">
        <v>391980</v>
      </c>
      <c r="L3418" s="17">
        <v>41346.965669999998</v>
      </c>
      <c r="M3418" s="17">
        <v>2024</v>
      </c>
      <c r="N3418" s="17" t="s">
        <v>175</v>
      </c>
    </row>
    <row r="3419" spans="1:14" ht="14.25" customHeight="1">
      <c r="A3419" s="17">
        <v>13418</v>
      </c>
      <c r="B3419" s="18">
        <v>45722</v>
      </c>
      <c r="C3419" s="17" t="s">
        <v>50</v>
      </c>
      <c r="D3419" s="17" t="s">
        <v>86</v>
      </c>
      <c r="E3419" s="17" t="s">
        <v>168</v>
      </c>
      <c r="F3419" s="17" t="s">
        <v>164</v>
      </c>
      <c r="G3419" s="17">
        <v>5</v>
      </c>
      <c r="H3419" s="17">
        <v>5620</v>
      </c>
      <c r="I3419" s="17">
        <v>28100</v>
      </c>
      <c r="J3419" s="17">
        <v>2704</v>
      </c>
      <c r="K3419" s="17">
        <v>25396</v>
      </c>
      <c r="L3419" s="17">
        <v>5199.2165859999996</v>
      </c>
      <c r="M3419" s="17">
        <v>2025</v>
      </c>
      <c r="N3419" s="17" t="s">
        <v>112</v>
      </c>
    </row>
    <row r="3420" spans="1:14" ht="14.25" customHeight="1">
      <c r="A3420" s="17">
        <v>13419</v>
      </c>
      <c r="B3420" s="18">
        <v>45929</v>
      </c>
      <c r="C3420" s="17" t="s">
        <v>39</v>
      </c>
      <c r="D3420" s="17" t="s">
        <v>89</v>
      </c>
      <c r="E3420" s="17" t="s">
        <v>162</v>
      </c>
      <c r="F3420" s="17" t="s">
        <v>164</v>
      </c>
      <c r="G3420" s="17">
        <v>8</v>
      </c>
      <c r="H3420" s="17">
        <v>25447</v>
      </c>
      <c r="I3420" s="17">
        <v>203576</v>
      </c>
      <c r="J3420" s="17">
        <v>2389</v>
      </c>
      <c r="K3420" s="17">
        <v>201187</v>
      </c>
      <c r="L3420" s="17">
        <v>24490.04175</v>
      </c>
      <c r="M3420" s="17">
        <v>2025</v>
      </c>
      <c r="N3420" s="17" t="s">
        <v>129</v>
      </c>
    </row>
    <row r="3421" spans="1:14" ht="14.25" customHeight="1">
      <c r="A3421" s="17">
        <v>13420</v>
      </c>
      <c r="B3421" s="18">
        <v>45791</v>
      </c>
      <c r="C3421" s="17" t="s">
        <v>167</v>
      </c>
      <c r="D3421" s="17" t="s">
        <v>170</v>
      </c>
      <c r="E3421" s="17" t="s">
        <v>168</v>
      </c>
      <c r="F3421" s="17" t="s">
        <v>166</v>
      </c>
      <c r="G3421" s="17">
        <v>6</v>
      </c>
      <c r="H3421" s="17">
        <v>24118</v>
      </c>
      <c r="I3421" s="17">
        <v>144708</v>
      </c>
      <c r="J3421" s="17">
        <v>4075</v>
      </c>
      <c r="K3421" s="17">
        <v>140633</v>
      </c>
      <c r="L3421" s="17">
        <v>33129.46602</v>
      </c>
      <c r="M3421" s="17">
        <v>2025</v>
      </c>
      <c r="N3421" s="17" t="s">
        <v>117</v>
      </c>
    </row>
    <row r="3422" spans="1:14" ht="14.25" customHeight="1">
      <c r="A3422" s="17">
        <v>13421</v>
      </c>
      <c r="B3422" s="18">
        <v>45400</v>
      </c>
      <c r="C3422" s="17" t="s">
        <v>39</v>
      </c>
      <c r="D3422" s="17" t="s">
        <v>83</v>
      </c>
      <c r="E3422" s="17" t="s">
        <v>168</v>
      </c>
      <c r="F3422" s="17" t="s">
        <v>164</v>
      </c>
      <c r="G3422" s="17">
        <v>3</v>
      </c>
      <c r="H3422" s="17">
        <v>67051</v>
      </c>
      <c r="I3422" s="17">
        <v>201153</v>
      </c>
      <c r="J3422" s="17">
        <v>3650</v>
      </c>
      <c r="K3422" s="17">
        <v>197503</v>
      </c>
      <c r="L3422" s="17">
        <v>42582.082900000001</v>
      </c>
      <c r="M3422" s="17">
        <v>2024</v>
      </c>
      <c r="N3422" s="17" t="s">
        <v>114</v>
      </c>
    </row>
    <row r="3423" spans="1:14" ht="14.25" customHeight="1">
      <c r="A3423" s="17">
        <v>13422</v>
      </c>
      <c r="B3423" s="18">
        <v>45569</v>
      </c>
      <c r="C3423" s="17" t="s">
        <v>39</v>
      </c>
      <c r="D3423" s="17" t="s">
        <v>86</v>
      </c>
      <c r="E3423" s="17" t="s">
        <v>162</v>
      </c>
      <c r="F3423" s="17" t="s">
        <v>172</v>
      </c>
      <c r="G3423" s="17">
        <v>9</v>
      </c>
      <c r="H3423" s="17">
        <v>51599</v>
      </c>
      <c r="I3423" s="17">
        <v>464391</v>
      </c>
      <c r="J3423" s="17">
        <v>463</v>
      </c>
      <c r="K3423" s="17">
        <v>463928</v>
      </c>
      <c r="L3423" s="17">
        <v>88302.504459999996</v>
      </c>
      <c r="M3423" s="17">
        <v>2024</v>
      </c>
      <c r="N3423" s="17" t="s">
        <v>174</v>
      </c>
    </row>
    <row r="3424" spans="1:14" ht="14.25" customHeight="1">
      <c r="A3424" s="17">
        <v>13423</v>
      </c>
      <c r="B3424" s="18">
        <v>45359</v>
      </c>
      <c r="C3424" s="17" t="s">
        <v>45</v>
      </c>
      <c r="D3424" s="17" t="s">
        <v>111</v>
      </c>
      <c r="E3424" s="17" t="s">
        <v>165</v>
      </c>
      <c r="F3424" s="17" t="s">
        <v>172</v>
      </c>
      <c r="G3424" s="17">
        <v>4</v>
      </c>
      <c r="H3424" s="17">
        <v>71494</v>
      </c>
      <c r="I3424" s="17">
        <v>285976</v>
      </c>
      <c r="J3424" s="17">
        <v>3938</v>
      </c>
      <c r="K3424" s="17">
        <v>282038</v>
      </c>
      <c r="L3424" s="17">
        <v>41484.602220000001</v>
      </c>
      <c r="M3424" s="17">
        <v>2024</v>
      </c>
      <c r="N3424" s="17" t="s">
        <v>112</v>
      </c>
    </row>
    <row r="3425" spans="1:14" ht="14.25" customHeight="1">
      <c r="A3425" s="17">
        <v>13424</v>
      </c>
      <c r="B3425" s="18">
        <v>45360</v>
      </c>
      <c r="C3425" s="17" t="s">
        <v>45</v>
      </c>
      <c r="D3425" s="17" t="s">
        <v>83</v>
      </c>
      <c r="E3425" s="17" t="s">
        <v>165</v>
      </c>
      <c r="F3425" s="17" t="s">
        <v>172</v>
      </c>
      <c r="G3425" s="17">
        <v>4</v>
      </c>
      <c r="H3425" s="17">
        <v>15200</v>
      </c>
      <c r="I3425" s="17">
        <v>60800</v>
      </c>
      <c r="J3425" s="17">
        <v>1072</v>
      </c>
      <c r="K3425" s="17">
        <v>59728</v>
      </c>
      <c r="L3425" s="17">
        <v>11688.25318</v>
      </c>
      <c r="M3425" s="17">
        <v>2024</v>
      </c>
      <c r="N3425" s="17" t="s">
        <v>112</v>
      </c>
    </row>
    <row r="3426" spans="1:14" ht="14.25" customHeight="1">
      <c r="A3426" s="17">
        <v>13425</v>
      </c>
      <c r="B3426" s="18">
        <v>45456</v>
      </c>
      <c r="C3426" s="17" t="s">
        <v>39</v>
      </c>
      <c r="D3426" s="17" t="s">
        <v>170</v>
      </c>
      <c r="E3426" s="17" t="s">
        <v>168</v>
      </c>
      <c r="F3426" s="17" t="s">
        <v>166</v>
      </c>
      <c r="G3426" s="17">
        <v>2</v>
      </c>
      <c r="H3426" s="17">
        <v>63704</v>
      </c>
      <c r="I3426" s="17">
        <v>127408</v>
      </c>
      <c r="J3426" s="17">
        <v>473</v>
      </c>
      <c r="K3426" s="17">
        <v>126935</v>
      </c>
      <c r="L3426" s="17">
        <v>21772.970590000001</v>
      </c>
      <c r="M3426" s="17">
        <v>2024</v>
      </c>
      <c r="N3426" s="17" t="s">
        <v>120</v>
      </c>
    </row>
    <row r="3427" spans="1:14" ht="14.25" customHeight="1">
      <c r="A3427" s="17">
        <v>13426</v>
      </c>
      <c r="B3427" s="18">
        <v>45780</v>
      </c>
      <c r="C3427" s="17" t="s">
        <v>58</v>
      </c>
      <c r="D3427" s="17" t="s">
        <v>86</v>
      </c>
      <c r="E3427" s="17" t="s">
        <v>165</v>
      </c>
      <c r="F3427" s="17" t="s">
        <v>163</v>
      </c>
      <c r="G3427" s="17">
        <v>3</v>
      </c>
      <c r="H3427" s="17">
        <v>58487</v>
      </c>
      <c r="I3427" s="17">
        <v>175461</v>
      </c>
      <c r="J3427" s="17">
        <v>4983</v>
      </c>
      <c r="K3427" s="17">
        <v>170478</v>
      </c>
      <c r="L3427" s="17">
        <v>24492.96127</v>
      </c>
      <c r="M3427" s="17">
        <v>2025</v>
      </c>
      <c r="N3427" s="17" t="s">
        <v>117</v>
      </c>
    </row>
    <row r="3428" spans="1:14" ht="14.25" customHeight="1">
      <c r="A3428" s="17">
        <v>13427</v>
      </c>
      <c r="B3428" s="18">
        <v>45596</v>
      </c>
      <c r="C3428" s="17" t="s">
        <v>45</v>
      </c>
      <c r="D3428" s="17" t="s">
        <v>86</v>
      </c>
      <c r="E3428" s="17" t="s">
        <v>168</v>
      </c>
      <c r="F3428" s="17" t="s">
        <v>166</v>
      </c>
      <c r="G3428" s="17">
        <v>4</v>
      </c>
      <c r="H3428" s="17">
        <v>51465</v>
      </c>
      <c r="I3428" s="17">
        <v>205860</v>
      </c>
      <c r="J3428" s="17">
        <v>938</v>
      </c>
      <c r="K3428" s="17">
        <v>204922</v>
      </c>
      <c r="L3428" s="17">
        <v>49542.321120000001</v>
      </c>
      <c r="M3428" s="17">
        <v>2024</v>
      </c>
      <c r="N3428" s="17" t="s">
        <v>174</v>
      </c>
    </row>
    <row r="3429" spans="1:14" ht="14.25" customHeight="1">
      <c r="A3429" s="17">
        <v>13428</v>
      </c>
      <c r="B3429" s="18">
        <v>45965</v>
      </c>
      <c r="C3429" s="17" t="s">
        <v>167</v>
      </c>
      <c r="D3429" s="17" t="s">
        <v>83</v>
      </c>
      <c r="E3429" s="17" t="s">
        <v>165</v>
      </c>
      <c r="F3429" s="17" t="s">
        <v>172</v>
      </c>
      <c r="G3429" s="17">
        <v>7</v>
      </c>
      <c r="H3429" s="17">
        <v>34840</v>
      </c>
      <c r="I3429" s="17">
        <v>243880</v>
      </c>
      <c r="J3429" s="17">
        <v>1310</v>
      </c>
      <c r="K3429" s="17">
        <v>242570</v>
      </c>
      <c r="L3429" s="17">
        <v>30147.427319999999</v>
      </c>
      <c r="M3429" s="17">
        <v>2025</v>
      </c>
      <c r="N3429" s="17" t="s">
        <v>173</v>
      </c>
    </row>
    <row r="3430" spans="1:14" ht="14.25" customHeight="1">
      <c r="A3430" s="17">
        <v>13429</v>
      </c>
      <c r="B3430" s="18">
        <v>45656</v>
      </c>
      <c r="C3430" s="17" t="s">
        <v>50</v>
      </c>
      <c r="D3430" s="17" t="s">
        <v>86</v>
      </c>
      <c r="E3430" s="17" t="s">
        <v>165</v>
      </c>
      <c r="F3430" s="17" t="s">
        <v>172</v>
      </c>
      <c r="G3430" s="17">
        <v>3</v>
      </c>
      <c r="H3430" s="17">
        <v>23435</v>
      </c>
      <c r="I3430" s="17">
        <v>70305</v>
      </c>
      <c r="J3430" s="17">
        <v>2340</v>
      </c>
      <c r="K3430" s="17">
        <v>67965</v>
      </c>
      <c r="L3430" s="17">
        <v>14477.05898</v>
      </c>
      <c r="M3430" s="17">
        <v>2024</v>
      </c>
      <c r="N3430" s="17" t="s">
        <v>169</v>
      </c>
    </row>
    <row r="3431" spans="1:14" ht="14.25" customHeight="1">
      <c r="A3431" s="17">
        <v>13430</v>
      </c>
      <c r="B3431" s="18">
        <v>45670</v>
      </c>
      <c r="C3431" s="17" t="s">
        <v>45</v>
      </c>
      <c r="D3431" s="17" t="s">
        <v>170</v>
      </c>
      <c r="E3431" s="17" t="s">
        <v>165</v>
      </c>
      <c r="F3431" s="17" t="s">
        <v>163</v>
      </c>
      <c r="G3431" s="17">
        <v>8</v>
      </c>
      <c r="H3431" s="17">
        <v>52897</v>
      </c>
      <c r="I3431" s="17">
        <v>423176</v>
      </c>
      <c r="J3431" s="17">
        <v>3520</v>
      </c>
      <c r="K3431" s="17">
        <v>419656</v>
      </c>
      <c r="L3431" s="17">
        <v>92326.747789999994</v>
      </c>
      <c r="M3431" s="17">
        <v>2025</v>
      </c>
      <c r="N3431" s="17" t="s">
        <v>171</v>
      </c>
    </row>
    <row r="3432" spans="1:14" ht="14.25" customHeight="1">
      <c r="A3432" s="17">
        <v>13431</v>
      </c>
      <c r="B3432" s="18">
        <v>45634</v>
      </c>
      <c r="C3432" s="17" t="s">
        <v>39</v>
      </c>
      <c r="D3432" s="17" t="s">
        <v>83</v>
      </c>
      <c r="E3432" s="17" t="s">
        <v>168</v>
      </c>
      <c r="F3432" s="17" t="s">
        <v>166</v>
      </c>
      <c r="G3432" s="17">
        <v>8</v>
      </c>
      <c r="H3432" s="17">
        <v>68876</v>
      </c>
      <c r="I3432" s="17">
        <v>551008</v>
      </c>
      <c r="J3432" s="17">
        <v>4056</v>
      </c>
      <c r="K3432" s="17">
        <v>546952</v>
      </c>
      <c r="L3432" s="17">
        <v>132783.09469999999</v>
      </c>
      <c r="M3432" s="17">
        <v>2024</v>
      </c>
      <c r="N3432" s="17" t="s">
        <v>169</v>
      </c>
    </row>
    <row r="3433" spans="1:14" ht="14.25" customHeight="1">
      <c r="A3433" s="17">
        <v>13432</v>
      </c>
      <c r="B3433" s="18">
        <v>45845</v>
      </c>
      <c r="C3433" s="17" t="s">
        <v>58</v>
      </c>
      <c r="D3433" s="17" t="s">
        <v>111</v>
      </c>
      <c r="E3433" s="17" t="s">
        <v>162</v>
      </c>
      <c r="F3433" s="17" t="s">
        <v>172</v>
      </c>
      <c r="G3433" s="17">
        <v>2</v>
      </c>
      <c r="H3433" s="17">
        <v>54412</v>
      </c>
      <c r="I3433" s="17">
        <v>108824</v>
      </c>
      <c r="J3433" s="17">
        <v>1086</v>
      </c>
      <c r="K3433" s="17">
        <v>107738</v>
      </c>
      <c r="L3433" s="17">
        <v>19652.754099999998</v>
      </c>
      <c r="M3433" s="17">
        <v>2025</v>
      </c>
      <c r="N3433" s="17" t="s">
        <v>123</v>
      </c>
    </row>
    <row r="3434" spans="1:14" ht="14.25" customHeight="1">
      <c r="A3434" s="17">
        <v>13433</v>
      </c>
      <c r="B3434" s="18">
        <v>45645</v>
      </c>
      <c r="C3434" s="17" t="s">
        <v>50</v>
      </c>
      <c r="D3434" s="17" t="s">
        <v>83</v>
      </c>
      <c r="E3434" s="17" t="s">
        <v>165</v>
      </c>
      <c r="F3434" s="17" t="s">
        <v>164</v>
      </c>
      <c r="G3434" s="17">
        <v>4</v>
      </c>
      <c r="H3434" s="17">
        <v>77282</v>
      </c>
      <c r="I3434" s="17">
        <v>309128</v>
      </c>
      <c r="J3434" s="17">
        <v>4663</v>
      </c>
      <c r="K3434" s="17">
        <v>304465</v>
      </c>
      <c r="L3434" s="17">
        <v>54874.114880000001</v>
      </c>
      <c r="M3434" s="17">
        <v>2024</v>
      </c>
      <c r="N3434" s="17" t="s">
        <v>169</v>
      </c>
    </row>
    <row r="3435" spans="1:14" ht="14.25" customHeight="1">
      <c r="A3435" s="17">
        <v>13434</v>
      </c>
      <c r="B3435" s="18">
        <v>45707</v>
      </c>
      <c r="C3435" s="17" t="s">
        <v>45</v>
      </c>
      <c r="D3435" s="17" t="s">
        <v>83</v>
      </c>
      <c r="E3435" s="17" t="s">
        <v>165</v>
      </c>
      <c r="F3435" s="17" t="s">
        <v>164</v>
      </c>
      <c r="G3435" s="17">
        <v>8</v>
      </c>
      <c r="H3435" s="17">
        <v>33484</v>
      </c>
      <c r="I3435" s="17">
        <v>267872</v>
      </c>
      <c r="J3435" s="17">
        <v>3529</v>
      </c>
      <c r="K3435" s="17">
        <v>264343</v>
      </c>
      <c r="L3435" s="17">
        <v>62925.101560000003</v>
      </c>
      <c r="M3435" s="17">
        <v>2025</v>
      </c>
      <c r="N3435" s="17" t="s">
        <v>175</v>
      </c>
    </row>
    <row r="3436" spans="1:14" ht="14.25" customHeight="1">
      <c r="A3436" s="17">
        <v>13435</v>
      </c>
      <c r="B3436" s="18">
        <v>45400</v>
      </c>
      <c r="C3436" s="17" t="s">
        <v>58</v>
      </c>
      <c r="D3436" s="17" t="s">
        <v>111</v>
      </c>
      <c r="E3436" s="17" t="s">
        <v>165</v>
      </c>
      <c r="F3436" s="17" t="s">
        <v>172</v>
      </c>
      <c r="G3436" s="17">
        <v>1</v>
      </c>
      <c r="H3436" s="17">
        <v>43658</v>
      </c>
      <c r="I3436" s="17">
        <v>43658</v>
      </c>
      <c r="J3436" s="17">
        <v>4969</v>
      </c>
      <c r="K3436" s="17">
        <v>38689</v>
      </c>
      <c r="L3436" s="17">
        <v>8517.924567</v>
      </c>
      <c r="M3436" s="17">
        <v>2024</v>
      </c>
      <c r="N3436" s="17" t="s">
        <v>114</v>
      </c>
    </row>
    <row r="3437" spans="1:14" ht="14.25" customHeight="1">
      <c r="A3437" s="17">
        <v>13436</v>
      </c>
      <c r="B3437" s="18">
        <v>45854</v>
      </c>
      <c r="C3437" s="17" t="s">
        <v>58</v>
      </c>
      <c r="D3437" s="17" t="s">
        <v>170</v>
      </c>
      <c r="E3437" s="17" t="s">
        <v>168</v>
      </c>
      <c r="F3437" s="17" t="s">
        <v>164</v>
      </c>
      <c r="G3437" s="17">
        <v>1</v>
      </c>
      <c r="H3437" s="17">
        <v>11053</v>
      </c>
      <c r="I3437" s="17">
        <v>11053</v>
      </c>
      <c r="J3437" s="17">
        <v>259</v>
      </c>
      <c r="K3437" s="17">
        <v>10794</v>
      </c>
      <c r="L3437" s="17">
        <v>2315.8038240000001</v>
      </c>
      <c r="M3437" s="17">
        <v>2025</v>
      </c>
      <c r="N3437" s="17" t="s">
        <v>123</v>
      </c>
    </row>
    <row r="3438" spans="1:14" ht="14.25" customHeight="1">
      <c r="A3438" s="17">
        <v>13437</v>
      </c>
      <c r="B3438" s="18">
        <v>45788</v>
      </c>
      <c r="C3438" s="17" t="s">
        <v>58</v>
      </c>
      <c r="D3438" s="17" t="s">
        <v>89</v>
      </c>
      <c r="E3438" s="17" t="s">
        <v>162</v>
      </c>
      <c r="F3438" s="17" t="s">
        <v>163</v>
      </c>
      <c r="G3438" s="17">
        <v>4</v>
      </c>
      <c r="H3438" s="17">
        <v>60251</v>
      </c>
      <c r="I3438" s="17">
        <v>241004</v>
      </c>
      <c r="J3438" s="17">
        <v>1656</v>
      </c>
      <c r="K3438" s="17">
        <v>239348</v>
      </c>
      <c r="L3438" s="17">
        <v>52266.556349999999</v>
      </c>
      <c r="M3438" s="17">
        <v>2025</v>
      </c>
      <c r="N3438" s="17" t="s">
        <v>117</v>
      </c>
    </row>
    <row r="3439" spans="1:14" ht="14.25" customHeight="1">
      <c r="A3439" s="17">
        <v>13438</v>
      </c>
      <c r="B3439" s="18">
        <v>45632</v>
      </c>
      <c r="C3439" s="17" t="s">
        <v>39</v>
      </c>
      <c r="D3439" s="17" t="s">
        <v>89</v>
      </c>
      <c r="E3439" s="17" t="s">
        <v>168</v>
      </c>
      <c r="F3439" s="17" t="s">
        <v>172</v>
      </c>
      <c r="G3439" s="17">
        <v>2</v>
      </c>
      <c r="H3439" s="17">
        <v>45645</v>
      </c>
      <c r="I3439" s="17">
        <v>91290</v>
      </c>
      <c r="J3439" s="17">
        <v>2955</v>
      </c>
      <c r="K3439" s="17">
        <v>88335</v>
      </c>
      <c r="L3439" s="17">
        <v>15368.27276</v>
      </c>
      <c r="M3439" s="17">
        <v>2024</v>
      </c>
      <c r="N3439" s="17" t="s">
        <v>169</v>
      </c>
    </row>
    <row r="3440" spans="1:14" ht="14.25" customHeight="1">
      <c r="A3440" s="17">
        <v>13439</v>
      </c>
      <c r="B3440" s="18">
        <v>45674</v>
      </c>
      <c r="C3440" s="17" t="s">
        <v>167</v>
      </c>
      <c r="D3440" s="17" t="s">
        <v>111</v>
      </c>
      <c r="E3440" s="17" t="s">
        <v>165</v>
      </c>
      <c r="F3440" s="17" t="s">
        <v>166</v>
      </c>
      <c r="G3440" s="17">
        <v>1</v>
      </c>
      <c r="H3440" s="17">
        <v>7545</v>
      </c>
      <c r="I3440" s="17">
        <v>7545</v>
      </c>
      <c r="J3440" s="17">
        <v>4279</v>
      </c>
      <c r="K3440" s="17">
        <v>3266</v>
      </c>
      <c r="L3440" s="17">
        <v>346.89098089999999</v>
      </c>
      <c r="M3440" s="17">
        <v>2025</v>
      </c>
      <c r="N3440" s="17" t="s">
        <v>171</v>
      </c>
    </row>
    <row r="3441" spans="1:14" ht="14.25" customHeight="1">
      <c r="A3441" s="17">
        <v>13440</v>
      </c>
      <c r="B3441" s="18">
        <v>45824</v>
      </c>
      <c r="C3441" s="17" t="s">
        <v>58</v>
      </c>
      <c r="D3441" s="17" t="s">
        <v>170</v>
      </c>
      <c r="E3441" s="17" t="s">
        <v>168</v>
      </c>
      <c r="F3441" s="17" t="s">
        <v>172</v>
      </c>
      <c r="G3441" s="17">
        <v>8</v>
      </c>
      <c r="H3441" s="17">
        <v>13560</v>
      </c>
      <c r="I3441" s="17">
        <v>108480</v>
      </c>
      <c r="J3441" s="17">
        <v>3119</v>
      </c>
      <c r="K3441" s="17">
        <v>105361</v>
      </c>
      <c r="L3441" s="17">
        <v>13669.507960000001</v>
      </c>
      <c r="M3441" s="17">
        <v>2025</v>
      </c>
      <c r="N3441" s="17" t="s">
        <v>120</v>
      </c>
    </row>
    <row r="3442" spans="1:14" ht="14.25" customHeight="1">
      <c r="A3442" s="17">
        <v>13441</v>
      </c>
      <c r="B3442" s="18">
        <v>45591</v>
      </c>
      <c r="C3442" s="17" t="s">
        <v>50</v>
      </c>
      <c r="D3442" s="17" t="s">
        <v>86</v>
      </c>
      <c r="E3442" s="17" t="s">
        <v>165</v>
      </c>
      <c r="F3442" s="17" t="s">
        <v>163</v>
      </c>
      <c r="G3442" s="17">
        <v>2</v>
      </c>
      <c r="H3442" s="17">
        <v>67375</v>
      </c>
      <c r="I3442" s="17">
        <v>134750</v>
      </c>
      <c r="J3442" s="17">
        <v>591</v>
      </c>
      <c r="K3442" s="17">
        <v>134159</v>
      </c>
      <c r="L3442" s="17">
        <v>26355.376319999999</v>
      </c>
      <c r="M3442" s="17">
        <v>2024</v>
      </c>
      <c r="N3442" s="17" t="s">
        <v>174</v>
      </c>
    </row>
    <row r="3443" spans="1:14" ht="14.25" customHeight="1">
      <c r="A3443" s="17">
        <v>13442</v>
      </c>
      <c r="B3443" s="18">
        <v>45430</v>
      </c>
      <c r="C3443" s="17" t="s">
        <v>45</v>
      </c>
      <c r="D3443" s="17" t="s">
        <v>111</v>
      </c>
      <c r="E3443" s="17" t="s">
        <v>165</v>
      </c>
      <c r="F3443" s="17" t="s">
        <v>166</v>
      </c>
      <c r="G3443" s="17">
        <v>4</v>
      </c>
      <c r="H3443" s="17">
        <v>8662</v>
      </c>
      <c r="I3443" s="17">
        <v>34648</v>
      </c>
      <c r="J3443" s="17">
        <v>1432</v>
      </c>
      <c r="K3443" s="17">
        <v>33216</v>
      </c>
      <c r="L3443" s="17">
        <v>5295.4570720000002</v>
      </c>
      <c r="M3443" s="17">
        <v>2024</v>
      </c>
      <c r="N3443" s="17" t="s">
        <v>117</v>
      </c>
    </row>
    <row r="3444" spans="1:14" ht="14.25" customHeight="1">
      <c r="A3444" s="17">
        <v>13443</v>
      </c>
      <c r="B3444" s="18">
        <v>45650</v>
      </c>
      <c r="C3444" s="17" t="s">
        <v>50</v>
      </c>
      <c r="D3444" s="17" t="s">
        <v>89</v>
      </c>
      <c r="E3444" s="17" t="s">
        <v>168</v>
      </c>
      <c r="F3444" s="17" t="s">
        <v>163</v>
      </c>
      <c r="G3444" s="17">
        <v>3</v>
      </c>
      <c r="H3444" s="17">
        <v>44497</v>
      </c>
      <c r="I3444" s="17">
        <v>133491</v>
      </c>
      <c r="J3444" s="17">
        <v>2487</v>
      </c>
      <c r="K3444" s="17">
        <v>131004</v>
      </c>
      <c r="L3444" s="17">
        <v>25023.799439999999</v>
      </c>
      <c r="M3444" s="17">
        <v>2024</v>
      </c>
      <c r="N3444" s="17" t="s">
        <v>169</v>
      </c>
    </row>
    <row r="3445" spans="1:14" ht="14.25" customHeight="1">
      <c r="A3445" s="17">
        <v>13444</v>
      </c>
      <c r="B3445" s="18">
        <v>45790</v>
      </c>
      <c r="C3445" s="17" t="s">
        <v>39</v>
      </c>
      <c r="D3445" s="17" t="s">
        <v>170</v>
      </c>
      <c r="E3445" s="17" t="s">
        <v>165</v>
      </c>
      <c r="F3445" s="17" t="s">
        <v>164</v>
      </c>
      <c r="G3445" s="17">
        <v>2</v>
      </c>
      <c r="H3445" s="17">
        <v>57606</v>
      </c>
      <c r="I3445" s="17">
        <v>115212</v>
      </c>
      <c r="J3445" s="17">
        <v>228</v>
      </c>
      <c r="K3445" s="17">
        <v>114984</v>
      </c>
      <c r="L3445" s="17">
        <v>21013.519799999998</v>
      </c>
      <c r="M3445" s="17">
        <v>2025</v>
      </c>
      <c r="N3445" s="17" t="s">
        <v>117</v>
      </c>
    </row>
    <row r="3446" spans="1:14" ht="14.25" customHeight="1">
      <c r="A3446" s="17">
        <v>13445</v>
      </c>
      <c r="B3446" s="18">
        <v>45676</v>
      </c>
      <c r="C3446" s="17" t="s">
        <v>39</v>
      </c>
      <c r="D3446" s="17" t="s">
        <v>83</v>
      </c>
      <c r="E3446" s="17" t="s">
        <v>165</v>
      </c>
      <c r="F3446" s="17" t="s">
        <v>164</v>
      </c>
      <c r="G3446" s="17">
        <v>8</v>
      </c>
      <c r="H3446" s="17">
        <v>67112</v>
      </c>
      <c r="I3446" s="17">
        <v>536896</v>
      </c>
      <c r="J3446" s="17">
        <v>2779</v>
      </c>
      <c r="K3446" s="17">
        <v>534117</v>
      </c>
      <c r="L3446" s="17">
        <v>88556.088959999994</v>
      </c>
      <c r="M3446" s="17">
        <v>2025</v>
      </c>
      <c r="N3446" s="17" t="s">
        <v>171</v>
      </c>
    </row>
    <row r="3447" spans="1:14" ht="14.25" customHeight="1">
      <c r="A3447" s="17">
        <v>13446</v>
      </c>
      <c r="B3447" s="18">
        <v>45895</v>
      </c>
      <c r="C3447" s="17" t="s">
        <v>50</v>
      </c>
      <c r="D3447" s="17" t="s">
        <v>170</v>
      </c>
      <c r="E3447" s="17" t="s">
        <v>162</v>
      </c>
      <c r="F3447" s="17" t="s">
        <v>164</v>
      </c>
      <c r="G3447" s="17">
        <v>3</v>
      </c>
      <c r="H3447" s="17">
        <v>75344</v>
      </c>
      <c r="I3447" s="17">
        <v>226032</v>
      </c>
      <c r="J3447" s="17">
        <v>1368</v>
      </c>
      <c r="K3447" s="17">
        <v>224664</v>
      </c>
      <c r="L3447" s="17">
        <v>30376.640429999999</v>
      </c>
      <c r="M3447" s="17">
        <v>2025</v>
      </c>
      <c r="N3447" s="17" t="s">
        <v>126</v>
      </c>
    </row>
    <row r="3448" spans="1:14" ht="14.25" customHeight="1">
      <c r="A3448" s="17">
        <v>13447</v>
      </c>
      <c r="B3448" s="18">
        <v>45571</v>
      </c>
      <c r="C3448" s="17" t="s">
        <v>167</v>
      </c>
      <c r="D3448" s="17" t="s">
        <v>170</v>
      </c>
      <c r="E3448" s="17" t="s">
        <v>168</v>
      </c>
      <c r="F3448" s="17" t="s">
        <v>163</v>
      </c>
      <c r="G3448" s="17">
        <v>9</v>
      </c>
      <c r="H3448" s="17">
        <v>13048</v>
      </c>
      <c r="I3448" s="17">
        <v>117432</v>
      </c>
      <c r="J3448" s="17">
        <v>1624</v>
      </c>
      <c r="K3448" s="17">
        <v>115808</v>
      </c>
      <c r="L3448" s="17">
        <v>24069.996050000002</v>
      </c>
      <c r="M3448" s="17">
        <v>2024</v>
      </c>
      <c r="N3448" s="17" t="s">
        <v>174</v>
      </c>
    </row>
    <row r="3449" spans="1:14" ht="14.25" customHeight="1">
      <c r="A3449" s="17">
        <v>13448</v>
      </c>
      <c r="B3449" s="18">
        <v>45928</v>
      </c>
      <c r="C3449" s="17" t="s">
        <v>39</v>
      </c>
      <c r="D3449" s="17" t="s">
        <v>89</v>
      </c>
      <c r="E3449" s="17" t="s">
        <v>168</v>
      </c>
      <c r="F3449" s="17" t="s">
        <v>163</v>
      </c>
      <c r="G3449" s="17">
        <v>5</v>
      </c>
      <c r="H3449" s="17">
        <v>11520</v>
      </c>
      <c r="I3449" s="17">
        <v>57600</v>
      </c>
      <c r="J3449" s="17">
        <v>3979</v>
      </c>
      <c r="K3449" s="17">
        <v>53621</v>
      </c>
      <c r="L3449" s="17">
        <v>12673.68634</v>
      </c>
      <c r="M3449" s="17">
        <v>2025</v>
      </c>
      <c r="N3449" s="17" t="s">
        <v>129</v>
      </c>
    </row>
    <row r="3450" spans="1:14" ht="14.25" customHeight="1">
      <c r="A3450" s="17">
        <v>13449</v>
      </c>
      <c r="B3450" s="18">
        <v>45774</v>
      </c>
      <c r="C3450" s="17" t="s">
        <v>39</v>
      </c>
      <c r="D3450" s="17" t="s">
        <v>89</v>
      </c>
      <c r="E3450" s="17" t="s">
        <v>165</v>
      </c>
      <c r="F3450" s="17" t="s">
        <v>172</v>
      </c>
      <c r="G3450" s="17">
        <v>9</v>
      </c>
      <c r="H3450" s="17">
        <v>21928</v>
      </c>
      <c r="I3450" s="17">
        <v>197352</v>
      </c>
      <c r="J3450" s="17">
        <v>739</v>
      </c>
      <c r="K3450" s="17">
        <v>196613</v>
      </c>
      <c r="L3450" s="17">
        <v>42369.031499999997</v>
      </c>
      <c r="M3450" s="17">
        <v>2025</v>
      </c>
      <c r="N3450" s="17" t="s">
        <v>114</v>
      </c>
    </row>
    <row r="3451" spans="1:14" ht="14.25" customHeight="1">
      <c r="A3451" s="17">
        <v>13450</v>
      </c>
      <c r="B3451" s="18">
        <v>45402</v>
      </c>
      <c r="C3451" s="17" t="s">
        <v>50</v>
      </c>
      <c r="D3451" s="17" t="s">
        <v>86</v>
      </c>
      <c r="E3451" s="17" t="s">
        <v>165</v>
      </c>
      <c r="F3451" s="17" t="s">
        <v>166</v>
      </c>
      <c r="G3451" s="17">
        <v>3</v>
      </c>
      <c r="H3451" s="17">
        <v>60368</v>
      </c>
      <c r="I3451" s="17">
        <v>181104</v>
      </c>
      <c r="J3451" s="17">
        <v>3174</v>
      </c>
      <c r="K3451" s="17">
        <v>177930</v>
      </c>
      <c r="L3451" s="17">
        <v>20996.7605</v>
      </c>
      <c r="M3451" s="17">
        <v>2024</v>
      </c>
      <c r="N3451" s="17" t="s">
        <v>114</v>
      </c>
    </row>
    <row r="3452" spans="1:14" ht="14.25" customHeight="1">
      <c r="A3452" s="17">
        <v>13451</v>
      </c>
      <c r="B3452" s="18">
        <v>45430</v>
      </c>
      <c r="C3452" s="17" t="s">
        <v>39</v>
      </c>
      <c r="D3452" s="17" t="s">
        <v>86</v>
      </c>
      <c r="E3452" s="17" t="s">
        <v>168</v>
      </c>
      <c r="F3452" s="17" t="s">
        <v>166</v>
      </c>
      <c r="G3452" s="17">
        <v>5</v>
      </c>
      <c r="H3452" s="17">
        <v>28501</v>
      </c>
      <c r="I3452" s="17">
        <v>142505</v>
      </c>
      <c r="J3452" s="17">
        <v>2647</v>
      </c>
      <c r="K3452" s="17">
        <v>139858</v>
      </c>
      <c r="L3452" s="17">
        <v>25271.286179999999</v>
      </c>
      <c r="M3452" s="17">
        <v>2024</v>
      </c>
      <c r="N3452" s="17" t="s">
        <v>117</v>
      </c>
    </row>
    <row r="3453" spans="1:14" ht="14.25" customHeight="1">
      <c r="A3453" s="17">
        <v>13452</v>
      </c>
      <c r="B3453" s="18">
        <v>45726</v>
      </c>
      <c r="C3453" s="17" t="s">
        <v>167</v>
      </c>
      <c r="D3453" s="17" t="s">
        <v>111</v>
      </c>
      <c r="E3453" s="17" t="s">
        <v>168</v>
      </c>
      <c r="F3453" s="17" t="s">
        <v>163</v>
      </c>
      <c r="G3453" s="17">
        <v>6</v>
      </c>
      <c r="H3453" s="17">
        <v>58751</v>
      </c>
      <c r="I3453" s="17">
        <v>352506</v>
      </c>
      <c r="J3453" s="17">
        <v>2070</v>
      </c>
      <c r="K3453" s="17">
        <v>350436</v>
      </c>
      <c r="L3453" s="17">
        <v>78954.957519999996</v>
      </c>
      <c r="M3453" s="17">
        <v>2025</v>
      </c>
      <c r="N3453" s="17" t="s">
        <v>112</v>
      </c>
    </row>
    <row r="3454" spans="1:14" ht="14.25" customHeight="1">
      <c r="A3454" s="17">
        <v>13453</v>
      </c>
      <c r="B3454" s="18">
        <v>45800</v>
      </c>
      <c r="C3454" s="17" t="s">
        <v>167</v>
      </c>
      <c r="D3454" s="17" t="s">
        <v>83</v>
      </c>
      <c r="E3454" s="17" t="s">
        <v>168</v>
      </c>
      <c r="F3454" s="17" t="s">
        <v>163</v>
      </c>
      <c r="G3454" s="17">
        <v>9</v>
      </c>
      <c r="H3454" s="17">
        <v>41191</v>
      </c>
      <c r="I3454" s="17">
        <v>370719</v>
      </c>
      <c r="J3454" s="17">
        <v>4571</v>
      </c>
      <c r="K3454" s="17">
        <v>366148</v>
      </c>
      <c r="L3454" s="17">
        <v>69072.819629999998</v>
      </c>
      <c r="M3454" s="17">
        <v>2025</v>
      </c>
      <c r="N3454" s="17" t="s">
        <v>117</v>
      </c>
    </row>
    <row r="3455" spans="1:14" ht="14.25" customHeight="1">
      <c r="A3455" s="17">
        <v>13454</v>
      </c>
      <c r="B3455" s="18">
        <v>45564</v>
      </c>
      <c r="C3455" s="17" t="s">
        <v>167</v>
      </c>
      <c r="D3455" s="17" t="s">
        <v>86</v>
      </c>
      <c r="E3455" s="17" t="s">
        <v>165</v>
      </c>
      <c r="F3455" s="17" t="s">
        <v>164</v>
      </c>
      <c r="G3455" s="17">
        <v>8</v>
      </c>
      <c r="H3455" s="17">
        <v>34476</v>
      </c>
      <c r="I3455" s="17">
        <v>275808</v>
      </c>
      <c r="J3455" s="17">
        <v>4993</v>
      </c>
      <c r="K3455" s="17">
        <v>270815</v>
      </c>
      <c r="L3455" s="17">
        <v>44937.788350000003</v>
      </c>
      <c r="M3455" s="17">
        <v>2024</v>
      </c>
      <c r="N3455" s="17" t="s">
        <v>129</v>
      </c>
    </row>
    <row r="3456" spans="1:14" ht="14.25" customHeight="1">
      <c r="A3456" s="17">
        <v>13455</v>
      </c>
      <c r="B3456" s="18">
        <v>45390</v>
      </c>
      <c r="C3456" s="17" t="s">
        <v>45</v>
      </c>
      <c r="D3456" s="17" t="s">
        <v>89</v>
      </c>
      <c r="E3456" s="17" t="s">
        <v>162</v>
      </c>
      <c r="F3456" s="17" t="s">
        <v>163</v>
      </c>
      <c r="G3456" s="17">
        <v>2</v>
      </c>
      <c r="H3456" s="17">
        <v>31948</v>
      </c>
      <c r="I3456" s="17">
        <v>63896</v>
      </c>
      <c r="J3456" s="17">
        <v>2034</v>
      </c>
      <c r="K3456" s="17">
        <v>61862</v>
      </c>
      <c r="L3456" s="17">
        <v>8826.5909439999996</v>
      </c>
      <c r="M3456" s="17">
        <v>2024</v>
      </c>
      <c r="N3456" s="17" t="s">
        <v>114</v>
      </c>
    </row>
    <row r="3457" spans="1:14" ht="14.25" customHeight="1">
      <c r="A3457" s="17">
        <v>13456</v>
      </c>
      <c r="B3457" s="18">
        <v>45395</v>
      </c>
      <c r="C3457" s="17" t="s">
        <v>167</v>
      </c>
      <c r="D3457" s="17" t="s">
        <v>170</v>
      </c>
      <c r="E3457" s="17" t="s">
        <v>162</v>
      </c>
      <c r="F3457" s="17" t="s">
        <v>164</v>
      </c>
      <c r="G3457" s="17">
        <v>2</v>
      </c>
      <c r="H3457" s="17">
        <v>9483</v>
      </c>
      <c r="I3457" s="17">
        <v>18966</v>
      </c>
      <c r="J3457" s="17">
        <v>4380</v>
      </c>
      <c r="K3457" s="17">
        <v>14586</v>
      </c>
      <c r="L3457" s="17">
        <v>2181.4619229999998</v>
      </c>
      <c r="M3457" s="17">
        <v>2024</v>
      </c>
      <c r="N3457" s="17" t="s">
        <v>114</v>
      </c>
    </row>
    <row r="3458" spans="1:14" ht="14.25" customHeight="1">
      <c r="A3458" s="17">
        <v>13457</v>
      </c>
      <c r="B3458" s="18">
        <v>45505</v>
      </c>
      <c r="C3458" s="17" t="s">
        <v>167</v>
      </c>
      <c r="D3458" s="17" t="s">
        <v>111</v>
      </c>
      <c r="E3458" s="17" t="s">
        <v>165</v>
      </c>
      <c r="F3458" s="17" t="s">
        <v>163</v>
      </c>
      <c r="G3458" s="17">
        <v>5</v>
      </c>
      <c r="H3458" s="17">
        <v>61123</v>
      </c>
      <c r="I3458" s="17">
        <v>305615</v>
      </c>
      <c r="J3458" s="17">
        <v>1185</v>
      </c>
      <c r="K3458" s="17">
        <v>304430</v>
      </c>
      <c r="L3458" s="17">
        <v>41500.970569999998</v>
      </c>
      <c r="M3458" s="17">
        <v>2024</v>
      </c>
      <c r="N3458" s="17" t="s">
        <v>126</v>
      </c>
    </row>
    <row r="3459" spans="1:14" ht="14.25" customHeight="1">
      <c r="A3459" s="17">
        <v>13458</v>
      </c>
      <c r="B3459" s="18">
        <v>45955</v>
      </c>
      <c r="C3459" s="17" t="s">
        <v>45</v>
      </c>
      <c r="D3459" s="17" t="s">
        <v>86</v>
      </c>
      <c r="E3459" s="17" t="s">
        <v>165</v>
      </c>
      <c r="F3459" s="17" t="s">
        <v>166</v>
      </c>
      <c r="G3459" s="17">
        <v>5</v>
      </c>
      <c r="H3459" s="17">
        <v>44887</v>
      </c>
      <c r="I3459" s="17">
        <v>224435</v>
      </c>
      <c r="J3459" s="17">
        <v>589</v>
      </c>
      <c r="K3459" s="17">
        <v>223846</v>
      </c>
      <c r="L3459" s="17">
        <v>28956.48748</v>
      </c>
      <c r="M3459" s="17">
        <v>2025</v>
      </c>
      <c r="N3459" s="17" t="s">
        <v>174</v>
      </c>
    </row>
    <row r="3460" spans="1:14" ht="14.25" customHeight="1">
      <c r="A3460" s="17">
        <v>13459</v>
      </c>
      <c r="B3460" s="18">
        <v>45456</v>
      </c>
      <c r="C3460" s="17" t="s">
        <v>58</v>
      </c>
      <c r="D3460" s="17" t="s">
        <v>170</v>
      </c>
      <c r="E3460" s="17" t="s">
        <v>165</v>
      </c>
      <c r="F3460" s="17" t="s">
        <v>172</v>
      </c>
      <c r="G3460" s="17">
        <v>5</v>
      </c>
      <c r="H3460" s="17">
        <v>66055</v>
      </c>
      <c r="I3460" s="17">
        <v>330275</v>
      </c>
      <c r="J3460" s="17">
        <v>4217</v>
      </c>
      <c r="K3460" s="17">
        <v>326058</v>
      </c>
      <c r="L3460" s="17">
        <v>61406.428890000003</v>
      </c>
      <c r="M3460" s="17">
        <v>2024</v>
      </c>
      <c r="N3460" s="17" t="s">
        <v>120</v>
      </c>
    </row>
    <row r="3461" spans="1:14" ht="14.25" customHeight="1">
      <c r="A3461" s="17">
        <v>13460</v>
      </c>
      <c r="B3461" s="18">
        <v>45811</v>
      </c>
      <c r="C3461" s="17" t="s">
        <v>39</v>
      </c>
      <c r="D3461" s="17" t="s">
        <v>170</v>
      </c>
      <c r="E3461" s="17" t="s">
        <v>168</v>
      </c>
      <c r="F3461" s="17" t="s">
        <v>163</v>
      </c>
      <c r="G3461" s="17">
        <v>4</v>
      </c>
      <c r="H3461" s="17">
        <v>36257</v>
      </c>
      <c r="I3461" s="17">
        <v>145028</v>
      </c>
      <c r="J3461" s="17">
        <v>1135</v>
      </c>
      <c r="K3461" s="17">
        <v>143893</v>
      </c>
      <c r="L3461" s="17">
        <v>25383.83613</v>
      </c>
      <c r="M3461" s="17">
        <v>2025</v>
      </c>
      <c r="N3461" s="17" t="s">
        <v>120</v>
      </c>
    </row>
    <row r="3462" spans="1:14" ht="14.25" customHeight="1">
      <c r="A3462" s="17">
        <v>13461</v>
      </c>
      <c r="B3462" s="18">
        <v>45575</v>
      </c>
      <c r="C3462" s="17" t="s">
        <v>167</v>
      </c>
      <c r="D3462" s="17" t="s">
        <v>86</v>
      </c>
      <c r="E3462" s="17" t="s">
        <v>165</v>
      </c>
      <c r="F3462" s="17" t="s">
        <v>164</v>
      </c>
      <c r="G3462" s="17">
        <v>8</v>
      </c>
      <c r="H3462" s="17">
        <v>23327</v>
      </c>
      <c r="I3462" s="17">
        <v>186616</v>
      </c>
      <c r="J3462" s="17">
        <v>3420</v>
      </c>
      <c r="K3462" s="17">
        <v>183196</v>
      </c>
      <c r="L3462" s="17">
        <v>38512.37225</v>
      </c>
      <c r="M3462" s="17">
        <v>2024</v>
      </c>
      <c r="N3462" s="17" t="s">
        <v>174</v>
      </c>
    </row>
    <row r="3463" spans="1:14" ht="14.25" customHeight="1">
      <c r="A3463" s="17">
        <v>13462</v>
      </c>
      <c r="B3463" s="18">
        <v>45808</v>
      </c>
      <c r="C3463" s="17" t="s">
        <v>39</v>
      </c>
      <c r="D3463" s="17" t="s">
        <v>83</v>
      </c>
      <c r="E3463" s="17" t="s">
        <v>168</v>
      </c>
      <c r="F3463" s="17" t="s">
        <v>172</v>
      </c>
      <c r="G3463" s="17">
        <v>5</v>
      </c>
      <c r="H3463" s="17">
        <v>76304</v>
      </c>
      <c r="I3463" s="17">
        <v>381520</v>
      </c>
      <c r="J3463" s="17">
        <v>2558</v>
      </c>
      <c r="K3463" s="17">
        <v>378962</v>
      </c>
      <c r="L3463" s="17">
        <v>55400.239000000001</v>
      </c>
      <c r="M3463" s="17">
        <v>2025</v>
      </c>
      <c r="N3463" s="17" t="s">
        <v>117</v>
      </c>
    </row>
    <row r="3464" spans="1:14" ht="14.25" customHeight="1">
      <c r="A3464" s="17">
        <v>13463</v>
      </c>
      <c r="B3464" s="18">
        <v>45948</v>
      </c>
      <c r="C3464" s="17" t="s">
        <v>50</v>
      </c>
      <c r="D3464" s="17" t="s">
        <v>83</v>
      </c>
      <c r="E3464" s="17" t="s">
        <v>162</v>
      </c>
      <c r="F3464" s="17" t="s">
        <v>164</v>
      </c>
      <c r="G3464" s="17">
        <v>1</v>
      </c>
      <c r="H3464" s="17">
        <v>29866</v>
      </c>
      <c r="I3464" s="17">
        <v>29866</v>
      </c>
      <c r="J3464" s="17">
        <v>1</v>
      </c>
      <c r="K3464" s="17">
        <v>29865</v>
      </c>
      <c r="L3464" s="17">
        <v>5050.8766750000004</v>
      </c>
      <c r="M3464" s="17">
        <v>2025</v>
      </c>
      <c r="N3464" s="17" t="s">
        <v>174</v>
      </c>
    </row>
    <row r="3465" spans="1:14" ht="14.25" customHeight="1">
      <c r="A3465" s="17">
        <v>13464</v>
      </c>
      <c r="B3465" s="18">
        <v>45904</v>
      </c>
      <c r="C3465" s="17" t="s">
        <v>39</v>
      </c>
      <c r="D3465" s="17" t="s">
        <v>111</v>
      </c>
      <c r="E3465" s="17" t="s">
        <v>165</v>
      </c>
      <c r="F3465" s="17" t="s">
        <v>164</v>
      </c>
      <c r="G3465" s="17">
        <v>5</v>
      </c>
      <c r="H3465" s="17">
        <v>49649</v>
      </c>
      <c r="I3465" s="17">
        <v>248245</v>
      </c>
      <c r="J3465" s="17">
        <v>891</v>
      </c>
      <c r="K3465" s="17">
        <v>247354</v>
      </c>
      <c r="L3465" s="17">
        <v>49979.244270000003</v>
      </c>
      <c r="M3465" s="17">
        <v>2025</v>
      </c>
      <c r="N3465" s="17" t="s">
        <v>129</v>
      </c>
    </row>
    <row r="3466" spans="1:14" ht="14.25" customHeight="1">
      <c r="A3466" s="17">
        <v>13465</v>
      </c>
      <c r="B3466" s="18">
        <v>45455</v>
      </c>
      <c r="C3466" s="17" t="s">
        <v>45</v>
      </c>
      <c r="D3466" s="17" t="s">
        <v>83</v>
      </c>
      <c r="E3466" s="17" t="s">
        <v>165</v>
      </c>
      <c r="F3466" s="17" t="s">
        <v>172</v>
      </c>
      <c r="G3466" s="17">
        <v>1</v>
      </c>
      <c r="H3466" s="17">
        <v>14166</v>
      </c>
      <c r="I3466" s="17">
        <v>14166</v>
      </c>
      <c r="J3466" s="17">
        <v>4894</v>
      </c>
      <c r="K3466" s="17">
        <v>9272</v>
      </c>
      <c r="L3466" s="17">
        <v>2266.8655480000002</v>
      </c>
      <c r="M3466" s="17">
        <v>2024</v>
      </c>
      <c r="N3466" s="17" t="s">
        <v>120</v>
      </c>
    </row>
    <row r="3467" spans="1:14" ht="14.25" customHeight="1">
      <c r="A3467" s="17">
        <v>13466</v>
      </c>
      <c r="B3467" s="18">
        <v>45950</v>
      </c>
      <c r="C3467" s="17" t="s">
        <v>39</v>
      </c>
      <c r="D3467" s="17" t="s">
        <v>111</v>
      </c>
      <c r="E3467" s="17" t="s">
        <v>168</v>
      </c>
      <c r="F3467" s="17" t="s">
        <v>172</v>
      </c>
      <c r="G3467" s="17">
        <v>4</v>
      </c>
      <c r="H3467" s="17">
        <v>14042</v>
      </c>
      <c r="I3467" s="17">
        <v>56168</v>
      </c>
      <c r="J3467" s="17">
        <v>4724</v>
      </c>
      <c r="K3467" s="17">
        <v>51444</v>
      </c>
      <c r="L3467" s="17">
        <v>7836.4933410000003</v>
      </c>
      <c r="M3467" s="17">
        <v>2025</v>
      </c>
      <c r="N3467" s="17" t="s">
        <v>174</v>
      </c>
    </row>
    <row r="3468" spans="1:14" ht="14.25" customHeight="1">
      <c r="A3468" s="17">
        <v>13467</v>
      </c>
      <c r="B3468" s="18">
        <v>45355</v>
      </c>
      <c r="C3468" s="17" t="s">
        <v>39</v>
      </c>
      <c r="D3468" s="17" t="s">
        <v>89</v>
      </c>
      <c r="E3468" s="17" t="s">
        <v>168</v>
      </c>
      <c r="F3468" s="17" t="s">
        <v>172</v>
      </c>
      <c r="G3468" s="17">
        <v>1</v>
      </c>
      <c r="H3468" s="17">
        <v>16969</v>
      </c>
      <c r="I3468" s="17">
        <v>16969</v>
      </c>
      <c r="J3468" s="17">
        <v>4556</v>
      </c>
      <c r="K3468" s="17">
        <v>12413</v>
      </c>
      <c r="L3468" s="17">
        <v>1796.5500050000001</v>
      </c>
      <c r="M3468" s="17">
        <v>2024</v>
      </c>
      <c r="N3468" s="17" t="s">
        <v>112</v>
      </c>
    </row>
    <row r="3469" spans="1:14" ht="14.25" customHeight="1">
      <c r="A3469" s="17">
        <v>13468</v>
      </c>
      <c r="B3469" s="18">
        <v>45382</v>
      </c>
      <c r="C3469" s="17" t="s">
        <v>39</v>
      </c>
      <c r="D3469" s="17" t="s">
        <v>86</v>
      </c>
      <c r="E3469" s="17" t="s">
        <v>168</v>
      </c>
      <c r="F3469" s="17" t="s">
        <v>163</v>
      </c>
      <c r="G3469" s="17">
        <v>6</v>
      </c>
      <c r="H3469" s="17">
        <v>56880</v>
      </c>
      <c r="I3469" s="17">
        <v>341280</v>
      </c>
      <c r="J3469" s="17">
        <v>2999</v>
      </c>
      <c r="K3469" s="17">
        <v>338281</v>
      </c>
      <c r="L3469" s="17">
        <v>56625.957909999997</v>
      </c>
      <c r="M3469" s="17">
        <v>2024</v>
      </c>
      <c r="N3469" s="17" t="s">
        <v>112</v>
      </c>
    </row>
    <row r="3470" spans="1:14" ht="14.25" customHeight="1">
      <c r="A3470" s="17">
        <v>13469</v>
      </c>
      <c r="B3470" s="18">
        <v>45408</v>
      </c>
      <c r="C3470" s="17" t="s">
        <v>58</v>
      </c>
      <c r="D3470" s="17" t="s">
        <v>170</v>
      </c>
      <c r="E3470" s="17" t="s">
        <v>162</v>
      </c>
      <c r="F3470" s="17" t="s">
        <v>172</v>
      </c>
      <c r="G3470" s="17">
        <v>6</v>
      </c>
      <c r="H3470" s="17">
        <v>77739</v>
      </c>
      <c r="I3470" s="17">
        <v>466434</v>
      </c>
      <c r="J3470" s="17">
        <v>3553</v>
      </c>
      <c r="K3470" s="17">
        <v>462881</v>
      </c>
      <c r="L3470" s="17">
        <v>96548.225609999994</v>
      </c>
      <c r="M3470" s="17">
        <v>2024</v>
      </c>
      <c r="N3470" s="17" t="s">
        <v>114</v>
      </c>
    </row>
    <row r="3471" spans="1:14" ht="14.25" customHeight="1">
      <c r="A3471" s="17">
        <v>13470</v>
      </c>
      <c r="B3471" s="18">
        <v>45558</v>
      </c>
      <c r="C3471" s="17" t="s">
        <v>58</v>
      </c>
      <c r="D3471" s="17" t="s">
        <v>111</v>
      </c>
      <c r="E3471" s="17" t="s">
        <v>162</v>
      </c>
      <c r="F3471" s="17" t="s">
        <v>163</v>
      </c>
      <c r="G3471" s="17">
        <v>1</v>
      </c>
      <c r="H3471" s="17">
        <v>68588</v>
      </c>
      <c r="I3471" s="17">
        <v>68588</v>
      </c>
      <c r="J3471" s="17">
        <v>3657</v>
      </c>
      <c r="K3471" s="17">
        <v>64931</v>
      </c>
      <c r="L3471" s="17">
        <v>15858.263360000001</v>
      </c>
      <c r="M3471" s="17">
        <v>2024</v>
      </c>
      <c r="N3471" s="17" t="s">
        <v>129</v>
      </c>
    </row>
    <row r="3472" spans="1:14" ht="14.25" customHeight="1">
      <c r="A3472" s="17">
        <v>13471</v>
      </c>
      <c r="B3472" s="18">
        <v>45976</v>
      </c>
      <c r="C3472" s="17" t="s">
        <v>50</v>
      </c>
      <c r="D3472" s="17" t="s">
        <v>83</v>
      </c>
      <c r="E3472" s="17" t="s">
        <v>165</v>
      </c>
      <c r="F3472" s="17" t="s">
        <v>166</v>
      </c>
      <c r="G3472" s="17">
        <v>8</v>
      </c>
      <c r="H3472" s="17">
        <v>9641</v>
      </c>
      <c r="I3472" s="17">
        <v>77128</v>
      </c>
      <c r="J3472" s="17">
        <v>971</v>
      </c>
      <c r="K3472" s="17">
        <v>76157</v>
      </c>
      <c r="L3472" s="17">
        <v>13744.84952</v>
      </c>
      <c r="M3472" s="17">
        <v>2025</v>
      </c>
      <c r="N3472" s="17" t="s">
        <v>173</v>
      </c>
    </row>
    <row r="3473" spans="1:14" ht="14.25" customHeight="1">
      <c r="A3473" s="17">
        <v>13472</v>
      </c>
      <c r="B3473" s="18">
        <v>45850</v>
      </c>
      <c r="C3473" s="17" t="s">
        <v>45</v>
      </c>
      <c r="D3473" s="17" t="s">
        <v>111</v>
      </c>
      <c r="E3473" s="17" t="s">
        <v>165</v>
      </c>
      <c r="F3473" s="17" t="s">
        <v>166</v>
      </c>
      <c r="G3473" s="17">
        <v>4</v>
      </c>
      <c r="H3473" s="17">
        <v>33536</v>
      </c>
      <c r="I3473" s="17">
        <v>134144</v>
      </c>
      <c r="J3473" s="17">
        <v>4149</v>
      </c>
      <c r="K3473" s="17">
        <v>129995</v>
      </c>
      <c r="L3473" s="17">
        <v>28841.47536</v>
      </c>
      <c r="M3473" s="17">
        <v>2025</v>
      </c>
      <c r="N3473" s="17" t="s">
        <v>123</v>
      </c>
    </row>
    <row r="3474" spans="1:14" ht="14.25" customHeight="1">
      <c r="A3474" s="17">
        <v>13473</v>
      </c>
      <c r="B3474" s="18">
        <v>45431</v>
      </c>
      <c r="C3474" s="17" t="s">
        <v>39</v>
      </c>
      <c r="D3474" s="17" t="s">
        <v>111</v>
      </c>
      <c r="E3474" s="17" t="s">
        <v>168</v>
      </c>
      <c r="F3474" s="17" t="s">
        <v>164</v>
      </c>
      <c r="G3474" s="17">
        <v>2</v>
      </c>
      <c r="H3474" s="17">
        <v>19546</v>
      </c>
      <c r="I3474" s="17">
        <v>39092</v>
      </c>
      <c r="J3474" s="17">
        <v>3742</v>
      </c>
      <c r="K3474" s="17">
        <v>35350</v>
      </c>
      <c r="L3474" s="17">
        <v>5997.4799700000003</v>
      </c>
      <c r="M3474" s="17">
        <v>2024</v>
      </c>
      <c r="N3474" s="17" t="s">
        <v>117</v>
      </c>
    </row>
    <row r="3475" spans="1:14" ht="14.25" customHeight="1">
      <c r="A3475" s="17">
        <v>13474</v>
      </c>
      <c r="B3475" s="18">
        <v>45537</v>
      </c>
      <c r="C3475" s="17" t="s">
        <v>39</v>
      </c>
      <c r="D3475" s="17" t="s">
        <v>83</v>
      </c>
      <c r="E3475" s="17" t="s">
        <v>162</v>
      </c>
      <c r="F3475" s="17" t="s">
        <v>164</v>
      </c>
      <c r="G3475" s="17">
        <v>1</v>
      </c>
      <c r="H3475" s="17">
        <v>19102</v>
      </c>
      <c r="I3475" s="17">
        <v>19102</v>
      </c>
      <c r="J3475" s="17">
        <v>4204</v>
      </c>
      <c r="K3475" s="17">
        <v>14898</v>
      </c>
      <c r="L3475" s="17">
        <v>1578.868725</v>
      </c>
      <c r="M3475" s="17">
        <v>2024</v>
      </c>
      <c r="N3475" s="17" t="s">
        <v>129</v>
      </c>
    </row>
    <row r="3476" spans="1:14" ht="14.25" customHeight="1">
      <c r="A3476" s="17">
        <v>13475</v>
      </c>
      <c r="B3476" s="18">
        <v>45952</v>
      </c>
      <c r="C3476" s="17" t="s">
        <v>39</v>
      </c>
      <c r="D3476" s="17" t="s">
        <v>83</v>
      </c>
      <c r="E3476" s="17" t="s">
        <v>165</v>
      </c>
      <c r="F3476" s="17" t="s">
        <v>163</v>
      </c>
      <c r="G3476" s="17">
        <v>3</v>
      </c>
      <c r="H3476" s="17">
        <v>14029</v>
      </c>
      <c r="I3476" s="17">
        <v>42087</v>
      </c>
      <c r="J3476" s="17">
        <v>279</v>
      </c>
      <c r="K3476" s="17">
        <v>41808</v>
      </c>
      <c r="L3476" s="17">
        <v>9788.5779629999997</v>
      </c>
      <c r="M3476" s="17">
        <v>2025</v>
      </c>
      <c r="N3476" s="17" t="s">
        <v>174</v>
      </c>
    </row>
    <row r="3477" spans="1:14" ht="14.25" customHeight="1">
      <c r="A3477" s="17">
        <v>13476</v>
      </c>
      <c r="B3477" s="18">
        <v>45686</v>
      </c>
      <c r="C3477" s="17" t="s">
        <v>39</v>
      </c>
      <c r="D3477" s="17" t="s">
        <v>86</v>
      </c>
      <c r="E3477" s="17" t="s">
        <v>168</v>
      </c>
      <c r="F3477" s="17" t="s">
        <v>164</v>
      </c>
      <c r="G3477" s="17">
        <v>7</v>
      </c>
      <c r="H3477" s="17">
        <v>52545</v>
      </c>
      <c r="I3477" s="17">
        <v>367815</v>
      </c>
      <c r="J3477" s="17">
        <v>1698</v>
      </c>
      <c r="K3477" s="17">
        <v>366117</v>
      </c>
      <c r="L3477" s="17">
        <v>52531.094649999999</v>
      </c>
      <c r="M3477" s="17">
        <v>2025</v>
      </c>
      <c r="N3477" s="17" t="s">
        <v>171</v>
      </c>
    </row>
    <row r="3478" spans="1:14" ht="14.25" customHeight="1">
      <c r="A3478" s="17">
        <v>13477</v>
      </c>
      <c r="B3478" s="18">
        <v>45778</v>
      </c>
      <c r="C3478" s="17" t="s">
        <v>58</v>
      </c>
      <c r="D3478" s="17" t="s">
        <v>170</v>
      </c>
      <c r="E3478" s="17" t="s">
        <v>168</v>
      </c>
      <c r="F3478" s="17" t="s">
        <v>166</v>
      </c>
      <c r="G3478" s="17">
        <v>8</v>
      </c>
      <c r="H3478" s="17">
        <v>16322</v>
      </c>
      <c r="I3478" s="17">
        <v>130576</v>
      </c>
      <c r="J3478" s="17">
        <v>2887</v>
      </c>
      <c r="K3478" s="17">
        <v>127689</v>
      </c>
      <c r="L3478" s="17">
        <v>15424.81156</v>
      </c>
      <c r="M3478" s="17">
        <v>2025</v>
      </c>
      <c r="N3478" s="17" t="s">
        <v>117</v>
      </c>
    </row>
    <row r="3479" spans="1:14" ht="14.25" customHeight="1">
      <c r="A3479" s="17">
        <v>13478</v>
      </c>
      <c r="B3479" s="18">
        <v>45767</v>
      </c>
      <c r="C3479" s="17" t="s">
        <v>50</v>
      </c>
      <c r="D3479" s="17" t="s">
        <v>86</v>
      </c>
      <c r="E3479" s="17" t="s">
        <v>162</v>
      </c>
      <c r="F3479" s="17" t="s">
        <v>163</v>
      </c>
      <c r="G3479" s="17">
        <v>5</v>
      </c>
      <c r="H3479" s="17">
        <v>17654</v>
      </c>
      <c r="I3479" s="17">
        <v>88270</v>
      </c>
      <c r="J3479" s="17">
        <v>2884</v>
      </c>
      <c r="K3479" s="17">
        <v>85386</v>
      </c>
      <c r="L3479" s="17">
        <v>21297.336800000001</v>
      </c>
      <c r="M3479" s="17">
        <v>2025</v>
      </c>
      <c r="N3479" s="17" t="s">
        <v>114</v>
      </c>
    </row>
    <row r="3480" spans="1:14" ht="14.25" customHeight="1">
      <c r="A3480" s="17">
        <v>13479</v>
      </c>
      <c r="B3480" s="18">
        <v>45808</v>
      </c>
      <c r="C3480" s="17" t="s">
        <v>167</v>
      </c>
      <c r="D3480" s="17" t="s">
        <v>86</v>
      </c>
      <c r="E3480" s="17" t="s">
        <v>162</v>
      </c>
      <c r="F3480" s="17" t="s">
        <v>163</v>
      </c>
      <c r="G3480" s="17">
        <v>7</v>
      </c>
      <c r="H3480" s="17">
        <v>61663</v>
      </c>
      <c r="I3480" s="17">
        <v>431641</v>
      </c>
      <c r="J3480" s="17">
        <v>3285</v>
      </c>
      <c r="K3480" s="17">
        <v>428356</v>
      </c>
      <c r="L3480" s="17">
        <v>65157.166669999999</v>
      </c>
      <c r="M3480" s="17">
        <v>2025</v>
      </c>
      <c r="N3480" s="17" t="s">
        <v>117</v>
      </c>
    </row>
    <row r="3481" spans="1:14" ht="14.25" customHeight="1">
      <c r="A3481" s="17">
        <v>13480</v>
      </c>
      <c r="B3481" s="18">
        <v>45475</v>
      </c>
      <c r="C3481" s="17" t="s">
        <v>45</v>
      </c>
      <c r="D3481" s="17" t="s">
        <v>83</v>
      </c>
      <c r="E3481" s="17" t="s">
        <v>165</v>
      </c>
      <c r="F3481" s="17" t="s">
        <v>172</v>
      </c>
      <c r="G3481" s="17">
        <v>2</v>
      </c>
      <c r="H3481" s="17">
        <v>64687</v>
      </c>
      <c r="I3481" s="17">
        <v>129374</v>
      </c>
      <c r="J3481" s="17">
        <v>3579</v>
      </c>
      <c r="K3481" s="17">
        <v>125795</v>
      </c>
      <c r="L3481" s="17">
        <v>15155.874889999999</v>
      </c>
      <c r="M3481" s="17">
        <v>2024</v>
      </c>
      <c r="N3481" s="17" t="s">
        <v>123</v>
      </c>
    </row>
    <row r="3482" spans="1:14" ht="14.25" customHeight="1">
      <c r="A3482" s="17">
        <v>13481</v>
      </c>
      <c r="B3482" s="18">
        <v>45311</v>
      </c>
      <c r="C3482" s="17" t="s">
        <v>39</v>
      </c>
      <c r="D3482" s="17" t="s">
        <v>83</v>
      </c>
      <c r="E3482" s="17" t="s">
        <v>165</v>
      </c>
      <c r="F3482" s="17" t="s">
        <v>163</v>
      </c>
      <c r="G3482" s="17">
        <v>4</v>
      </c>
      <c r="H3482" s="17">
        <v>12508</v>
      </c>
      <c r="I3482" s="17">
        <v>50032</v>
      </c>
      <c r="J3482" s="17">
        <v>2251</v>
      </c>
      <c r="K3482" s="17">
        <v>47781</v>
      </c>
      <c r="L3482" s="17">
        <v>7010.9695240000001</v>
      </c>
      <c r="M3482" s="17">
        <v>2024</v>
      </c>
      <c r="N3482" s="17" t="s">
        <v>171</v>
      </c>
    </row>
    <row r="3483" spans="1:14" ht="14.25" customHeight="1">
      <c r="A3483" s="17">
        <v>13482</v>
      </c>
      <c r="B3483" s="18">
        <v>45849</v>
      </c>
      <c r="C3483" s="17" t="s">
        <v>50</v>
      </c>
      <c r="D3483" s="17" t="s">
        <v>170</v>
      </c>
      <c r="E3483" s="17" t="s">
        <v>168</v>
      </c>
      <c r="F3483" s="17" t="s">
        <v>164</v>
      </c>
      <c r="G3483" s="17">
        <v>6</v>
      </c>
      <c r="H3483" s="17">
        <v>52859</v>
      </c>
      <c r="I3483" s="17">
        <v>317154</v>
      </c>
      <c r="J3483" s="17">
        <v>4640</v>
      </c>
      <c r="K3483" s="17">
        <v>312514</v>
      </c>
      <c r="L3483" s="17">
        <v>55338.617810000003</v>
      </c>
      <c r="M3483" s="17">
        <v>2025</v>
      </c>
      <c r="N3483" s="17" t="s">
        <v>123</v>
      </c>
    </row>
    <row r="3484" spans="1:14" ht="14.25" customHeight="1">
      <c r="A3484" s="17">
        <v>13483</v>
      </c>
      <c r="B3484" s="18">
        <v>45815</v>
      </c>
      <c r="C3484" s="17" t="s">
        <v>167</v>
      </c>
      <c r="D3484" s="17" t="s">
        <v>111</v>
      </c>
      <c r="E3484" s="17" t="s">
        <v>168</v>
      </c>
      <c r="F3484" s="17" t="s">
        <v>166</v>
      </c>
      <c r="G3484" s="17">
        <v>5</v>
      </c>
      <c r="H3484" s="17">
        <v>27132</v>
      </c>
      <c r="I3484" s="17">
        <v>135660</v>
      </c>
      <c r="J3484" s="17">
        <v>2356</v>
      </c>
      <c r="K3484" s="17">
        <v>133304</v>
      </c>
      <c r="L3484" s="17">
        <v>15089.15472</v>
      </c>
      <c r="M3484" s="17">
        <v>2025</v>
      </c>
      <c r="N3484" s="17" t="s">
        <v>120</v>
      </c>
    </row>
    <row r="3485" spans="1:14" ht="14.25" customHeight="1">
      <c r="A3485" s="17">
        <v>13484</v>
      </c>
      <c r="B3485" s="18">
        <v>45873</v>
      </c>
      <c r="C3485" s="17" t="s">
        <v>50</v>
      </c>
      <c r="D3485" s="17" t="s">
        <v>86</v>
      </c>
      <c r="E3485" s="17" t="s">
        <v>168</v>
      </c>
      <c r="F3485" s="17" t="s">
        <v>164</v>
      </c>
      <c r="G3485" s="17">
        <v>6</v>
      </c>
      <c r="H3485" s="17">
        <v>70800</v>
      </c>
      <c r="I3485" s="17">
        <v>424800</v>
      </c>
      <c r="J3485" s="17">
        <v>4623</v>
      </c>
      <c r="K3485" s="17">
        <v>420177</v>
      </c>
      <c r="L3485" s="17">
        <v>64242.174650000001</v>
      </c>
      <c r="M3485" s="17">
        <v>2025</v>
      </c>
      <c r="N3485" s="17" t="s">
        <v>126</v>
      </c>
    </row>
    <row r="3486" spans="1:14" ht="14.25" customHeight="1">
      <c r="A3486" s="17">
        <v>13485</v>
      </c>
      <c r="B3486" s="18">
        <v>45820</v>
      </c>
      <c r="C3486" s="17" t="s">
        <v>58</v>
      </c>
      <c r="D3486" s="17" t="s">
        <v>170</v>
      </c>
      <c r="E3486" s="17" t="s">
        <v>165</v>
      </c>
      <c r="F3486" s="17" t="s">
        <v>166</v>
      </c>
      <c r="G3486" s="17">
        <v>2</v>
      </c>
      <c r="H3486" s="17">
        <v>21025</v>
      </c>
      <c r="I3486" s="17">
        <v>42050</v>
      </c>
      <c r="J3486" s="17">
        <v>1931</v>
      </c>
      <c r="K3486" s="17">
        <v>40119</v>
      </c>
      <c r="L3486" s="17">
        <v>8036.9776240000001</v>
      </c>
      <c r="M3486" s="17">
        <v>2025</v>
      </c>
      <c r="N3486" s="17" t="s">
        <v>120</v>
      </c>
    </row>
    <row r="3487" spans="1:14" ht="14.25" customHeight="1">
      <c r="A3487" s="17">
        <v>13486</v>
      </c>
      <c r="B3487" s="18">
        <v>45438</v>
      </c>
      <c r="C3487" s="17" t="s">
        <v>167</v>
      </c>
      <c r="D3487" s="17" t="s">
        <v>86</v>
      </c>
      <c r="E3487" s="17" t="s">
        <v>162</v>
      </c>
      <c r="F3487" s="17" t="s">
        <v>172</v>
      </c>
      <c r="G3487" s="17">
        <v>7</v>
      </c>
      <c r="H3487" s="17">
        <v>70924</v>
      </c>
      <c r="I3487" s="17">
        <v>496468</v>
      </c>
      <c r="J3487" s="17">
        <v>3414</v>
      </c>
      <c r="K3487" s="17">
        <v>493054</v>
      </c>
      <c r="L3487" s="17">
        <v>117045.9908</v>
      </c>
      <c r="M3487" s="17">
        <v>2024</v>
      </c>
      <c r="N3487" s="17" t="s">
        <v>117</v>
      </c>
    </row>
    <row r="3488" spans="1:14" ht="14.25" customHeight="1">
      <c r="A3488" s="17">
        <v>13487</v>
      </c>
      <c r="B3488" s="18">
        <v>45957</v>
      </c>
      <c r="C3488" s="17" t="s">
        <v>50</v>
      </c>
      <c r="D3488" s="17" t="s">
        <v>111</v>
      </c>
      <c r="E3488" s="17" t="s">
        <v>165</v>
      </c>
      <c r="F3488" s="17" t="s">
        <v>166</v>
      </c>
      <c r="G3488" s="17">
        <v>8</v>
      </c>
      <c r="H3488" s="17">
        <v>72607</v>
      </c>
      <c r="I3488" s="17">
        <v>580856</v>
      </c>
      <c r="J3488" s="17">
        <v>1008</v>
      </c>
      <c r="K3488" s="17">
        <v>579848</v>
      </c>
      <c r="L3488" s="17">
        <v>92552.816980000003</v>
      </c>
      <c r="M3488" s="17">
        <v>2025</v>
      </c>
      <c r="N3488" s="17" t="s">
        <v>174</v>
      </c>
    </row>
    <row r="3489" spans="1:14" ht="14.25" customHeight="1">
      <c r="A3489" s="17">
        <v>13488</v>
      </c>
      <c r="B3489" s="18">
        <v>45595</v>
      </c>
      <c r="C3489" s="17" t="s">
        <v>58</v>
      </c>
      <c r="D3489" s="17" t="s">
        <v>86</v>
      </c>
      <c r="E3489" s="17" t="s">
        <v>162</v>
      </c>
      <c r="F3489" s="17" t="s">
        <v>172</v>
      </c>
      <c r="G3489" s="17">
        <v>9</v>
      </c>
      <c r="H3489" s="17">
        <v>29970</v>
      </c>
      <c r="I3489" s="17">
        <v>269730</v>
      </c>
      <c r="J3489" s="17">
        <v>4712</v>
      </c>
      <c r="K3489" s="17">
        <v>265018</v>
      </c>
      <c r="L3489" s="17">
        <v>48944.753089999998</v>
      </c>
      <c r="M3489" s="17">
        <v>2024</v>
      </c>
      <c r="N3489" s="17" t="s">
        <v>174</v>
      </c>
    </row>
    <row r="3490" spans="1:14" ht="14.25" customHeight="1">
      <c r="A3490" s="17">
        <v>13489</v>
      </c>
      <c r="B3490" s="18">
        <v>45911</v>
      </c>
      <c r="C3490" s="17" t="s">
        <v>50</v>
      </c>
      <c r="D3490" s="17" t="s">
        <v>89</v>
      </c>
      <c r="E3490" s="17" t="s">
        <v>165</v>
      </c>
      <c r="F3490" s="17" t="s">
        <v>164</v>
      </c>
      <c r="G3490" s="17">
        <v>6</v>
      </c>
      <c r="H3490" s="17">
        <v>52736</v>
      </c>
      <c r="I3490" s="17">
        <v>316416</v>
      </c>
      <c r="J3490" s="17">
        <v>2078</v>
      </c>
      <c r="K3490" s="17">
        <v>314338</v>
      </c>
      <c r="L3490" s="17">
        <v>61424.577969999998</v>
      </c>
      <c r="M3490" s="17">
        <v>2025</v>
      </c>
      <c r="N3490" s="17" t="s">
        <v>129</v>
      </c>
    </row>
    <row r="3491" spans="1:14" ht="14.25" customHeight="1">
      <c r="A3491" s="17">
        <v>13490</v>
      </c>
      <c r="B3491" s="18">
        <v>45873</v>
      </c>
      <c r="C3491" s="17" t="s">
        <v>50</v>
      </c>
      <c r="D3491" s="17" t="s">
        <v>170</v>
      </c>
      <c r="E3491" s="17" t="s">
        <v>165</v>
      </c>
      <c r="F3491" s="17" t="s">
        <v>172</v>
      </c>
      <c r="G3491" s="17">
        <v>7</v>
      </c>
      <c r="H3491" s="17">
        <v>12840</v>
      </c>
      <c r="I3491" s="17">
        <v>89880</v>
      </c>
      <c r="J3491" s="17">
        <v>4195</v>
      </c>
      <c r="K3491" s="17">
        <v>85685</v>
      </c>
      <c r="L3491" s="17">
        <v>9477.8767819999994</v>
      </c>
      <c r="M3491" s="17">
        <v>2025</v>
      </c>
      <c r="N3491" s="17" t="s">
        <v>126</v>
      </c>
    </row>
    <row r="3492" spans="1:14" ht="14.25" customHeight="1">
      <c r="A3492" s="17">
        <v>13491</v>
      </c>
      <c r="B3492" s="18">
        <v>45986</v>
      </c>
      <c r="C3492" s="17" t="s">
        <v>167</v>
      </c>
      <c r="D3492" s="17" t="s">
        <v>83</v>
      </c>
      <c r="E3492" s="17" t="s">
        <v>162</v>
      </c>
      <c r="F3492" s="17" t="s">
        <v>163</v>
      </c>
      <c r="G3492" s="17">
        <v>1</v>
      </c>
      <c r="H3492" s="17">
        <v>34654</v>
      </c>
      <c r="I3492" s="17">
        <v>34654</v>
      </c>
      <c r="J3492" s="17">
        <v>2714</v>
      </c>
      <c r="K3492" s="17">
        <v>31940</v>
      </c>
      <c r="L3492" s="17">
        <v>4833.6001779999997</v>
      </c>
      <c r="M3492" s="17">
        <v>2025</v>
      </c>
      <c r="N3492" s="17" t="s">
        <v>173</v>
      </c>
    </row>
    <row r="3493" spans="1:14" ht="14.25" customHeight="1">
      <c r="A3493" s="17">
        <v>13492</v>
      </c>
      <c r="B3493" s="18">
        <v>45519</v>
      </c>
      <c r="C3493" s="17" t="s">
        <v>58</v>
      </c>
      <c r="D3493" s="17" t="s">
        <v>86</v>
      </c>
      <c r="E3493" s="17" t="s">
        <v>165</v>
      </c>
      <c r="F3493" s="17" t="s">
        <v>163</v>
      </c>
      <c r="G3493" s="17">
        <v>9</v>
      </c>
      <c r="H3493" s="17">
        <v>57408</v>
      </c>
      <c r="I3493" s="17">
        <v>516672</v>
      </c>
      <c r="J3493" s="17">
        <v>1338</v>
      </c>
      <c r="K3493" s="17">
        <v>515334</v>
      </c>
      <c r="L3493" s="17">
        <v>104426.30379999999</v>
      </c>
      <c r="M3493" s="17">
        <v>2024</v>
      </c>
      <c r="N3493" s="17" t="s">
        <v>126</v>
      </c>
    </row>
    <row r="3494" spans="1:14" ht="14.25" customHeight="1">
      <c r="A3494" s="17">
        <v>13493</v>
      </c>
      <c r="B3494" s="18">
        <v>45393</v>
      </c>
      <c r="C3494" s="17" t="s">
        <v>39</v>
      </c>
      <c r="D3494" s="17" t="s">
        <v>170</v>
      </c>
      <c r="E3494" s="17" t="s">
        <v>165</v>
      </c>
      <c r="F3494" s="17" t="s">
        <v>166</v>
      </c>
      <c r="G3494" s="17">
        <v>6</v>
      </c>
      <c r="H3494" s="17">
        <v>27442</v>
      </c>
      <c r="I3494" s="17">
        <v>164652</v>
      </c>
      <c r="J3494" s="17">
        <v>4590</v>
      </c>
      <c r="K3494" s="17">
        <v>160062</v>
      </c>
      <c r="L3494" s="17">
        <v>33668.907720000003</v>
      </c>
      <c r="M3494" s="17">
        <v>2024</v>
      </c>
      <c r="N3494" s="17" t="s">
        <v>114</v>
      </c>
    </row>
    <row r="3495" spans="1:14" ht="14.25" customHeight="1">
      <c r="A3495" s="17">
        <v>13494</v>
      </c>
      <c r="B3495" s="18">
        <v>45878</v>
      </c>
      <c r="C3495" s="17" t="s">
        <v>45</v>
      </c>
      <c r="D3495" s="17" t="s">
        <v>170</v>
      </c>
      <c r="E3495" s="17" t="s">
        <v>168</v>
      </c>
      <c r="F3495" s="17" t="s">
        <v>164</v>
      </c>
      <c r="G3495" s="17">
        <v>4</v>
      </c>
      <c r="H3495" s="17">
        <v>70243</v>
      </c>
      <c r="I3495" s="17">
        <v>280972</v>
      </c>
      <c r="J3495" s="17">
        <v>3689</v>
      </c>
      <c r="K3495" s="17">
        <v>277283</v>
      </c>
      <c r="L3495" s="17">
        <v>42533.22034</v>
      </c>
      <c r="M3495" s="17">
        <v>2025</v>
      </c>
      <c r="N3495" s="17" t="s">
        <v>126</v>
      </c>
    </row>
    <row r="3496" spans="1:14" ht="14.25" customHeight="1">
      <c r="A3496" s="17">
        <v>13495</v>
      </c>
      <c r="B3496" s="18">
        <v>45708</v>
      </c>
      <c r="C3496" s="17" t="s">
        <v>167</v>
      </c>
      <c r="D3496" s="17" t="s">
        <v>86</v>
      </c>
      <c r="E3496" s="17" t="s">
        <v>162</v>
      </c>
      <c r="F3496" s="17" t="s">
        <v>164</v>
      </c>
      <c r="G3496" s="17">
        <v>9</v>
      </c>
      <c r="H3496" s="17">
        <v>11630</v>
      </c>
      <c r="I3496" s="17">
        <v>104670</v>
      </c>
      <c r="J3496" s="17">
        <v>741</v>
      </c>
      <c r="K3496" s="17">
        <v>103929</v>
      </c>
      <c r="L3496" s="17">
        <v>10497.913759999999</v>
      </c>
      <c r="M3496" s="17">
        <v>2025</v>
      </c>
      <c r="N3496" s="17" t="s">
        <v>175</v>
      </c>
    </row>
    <row r="3497" spans="1:14" ht="14.25" customHeight="1">
      <c r="A3497" s="17">
        <v>13496</v>
      </c>
      <c r="B3497" s="18">
        <v>45507</v>
      </c>
      <c r="C3497" s="17" t="s">
        <v>58</v>
      </c>
      <c r="D3497" s="17" t="s">
        <v>83</v>
      </c>
      <c r="E3497" s="17" t="s">
        <v>162</v>
      </c>
      <c r="F3497" s="17" t="s">
        <v>166</v>
      </c>
      <c r="G3497" s="17">
        <v>1</v>
      </c>
      <c r="H3497" s="17">
        <v>52736</v>
      </c>
      <c r="I3497" s="17">
        <v>52736</v>
      </c>
      <c r="J3497" s="17">
        <v>733</v>
      </c>
      <c r="K3497" s="17">
        <v>52003</v>
      </c>
      <c r="L3497" s="17">
        <v>5253.8547710000003</v>
      </c>
      <c r="M3497" s="17">
        <v>2024</v>
      </c>
      <c r="N3497" s="17" t="s">
        <v>126</v>
      </c>
    </row>
    <row r="3498" spans="1:14" ht="14.25" customHeight="1">
      <c r="A3498" s="17">
        <v>13497</v>
      </c>
      <c r="B3498" s="18">
        <v>45698</v>
      </c>
      <c r="C3498" s="17" t="s">
        <v>50</v>
      </c>
      <c r="D3498" s="17" t="s">
        <v>83</v>
      </c>
      <c r="E3498" s="17" t="s">
        <v>168</v>
      </c>
      <c r="F3498" s="17" t="s">
        <v>163</v>
      </c>
      <c r="G3498" s="17">
        <v>2</v>
      </c>
      <c r="H3498" s="17">
        <v>18008</v>
      </c>
      <c r="I3498" s="17">
        <v>36016</v>
      </c>
      <c r="J3498" s="17">
        <v>1806</v>
      </c>
      <c r="K3498" s="17">
        <v>34210</v>
      </c>
      <c r="L3498" s="17">
        <v>6182.3628710000003</v>
      </c>
      <c r="M3498" s="17">
        <v>2025</v>
      </c>
      <c r="N3498" s="17" t="s">
        <v>175</v>
      </c>
    </row>
    <row r="3499" spans="1:14" ht="14.25" customHeight="1">
      <c r="A3499" s="17">
        <v>13498</v>
      </c>
      <c r="B3499" s="18">
        <v>45690</v>
      </c>
      <c r="C3499" s="17" t="s">
        <v>58</v>
      </c>
      <c r="D3499" s="17" t="s">
        <v>86</v>
      </c>
      <c r="E3499" s="17" t="s">
        <v>162</v>
      </c>
      <c r="F3499" s="17" t="s">
        <v>172</v>
      </c>
      <c r="G3499" s="17">
        <v>3</v>
      </c>
      <c r="H3499" s="17">
        <v>52487</v>
      </c>
      <c r="I3499" s="17">
        <v>157461</v>
      </c>
      <c r="J3499" s="17">
        <v>2378</v>
      </c>
      <c r="K3499" s="17">
        <v>155083</v>
      </c>
      <c r="L3499" s="17">
        <v>28337.213090000001</v>
      </c>
      <c r="M3499" s="17">
        <v>2025</v>
      </c>
      <c r="N3499" s="17" t="s">
        <v>175</v>
      </c>
    </row>
    <row r="3500" spans="1:14" ht="14.25" customHeight="1">
      <c r="A3500" s="17">
        <v>13499</v>
      </c>
      <c r="B3500" s="18">
        <v>46006</v>
      </c>
      <c r="C3500" s="17" t="s">
        <v>45</v>
      </c>
      <c r="D3500" s="17" t="s">
        <v>170</v>
      </c>
      <c r="E3500" s="17" t="s">
        <v>168</v>
      </c>
      <c r="F3500" s="17" t="s">
        <v>166</v>
      </c>
      <c r="G3500" s="17">
        <v>1</v>
      </c>
      <c r="H3500" s="17">
        <v>73395</v>
      </c>
      <c r="I3500" s="17">
        <v>73395</v>
      </c>
      <c r="J3500" s="17">
        <v>3265</v>
      </c>
      <c r="K3500" s="17">
        <v>70130</v>
      </c>
      <c r="L3500" s="17">
        <v>12858.89057</v>
      </c>
      <c r="M3500" s="17">
        <v>2025</v>
      </c>
      <c r="N3500" s="17" t="s">
        <v>169</v>
      </c>
    </row>
    <row r="3501" spans="1:14" ht="14.25" customHeight="1">
      <c r="A3501" s="17">
        <v>13500</v>
      </c>
      <c r="B3501" s="18">
        <v>45995</v>
      </c>
      <c r="C3501" s="17" t="s">
        <v>45</v>
      </c>
      <c r="D3501" s="17" t="s">
        <v>83</v>
      </c>
      <c r="E3501" s="17" t="s">
        <v>162</v>
      </c>
      <c r="F3501" s="17" t="s">
        <v>172</v>
      </c>
      <c r="G3501" s="17">
        <v>2</v>
      </c>
      <c r="H3501" s="17">
        <v>7393</v>
      </c>
      <c r="I3501" s="17">
        <v>14786</v>
      </c>
      <c r="J3501" s="17">
        <v>1753</v>
      </c>
      <c r="K3501" s="17">
        <v>13033</v>
      </c>
      <c r="L3501" s="17">
        <v>2714.2911559999998</v>
      </c>
      <c r="M3501" s="17">
        <v>2025</v>
      </c>
      <c r="N3501" s="17" t="s">
        <v>169</v>
      </c>
    </row>
    <row r="3502" spans="1:14" ht="14.25" customHeight="1">
      <c r="A3502" s="17">
        <v>13501</v>
      </c>
      <c r="B3502" s="18">
        <v>45790</v>
      </c>
      <c r="C3502" s="17" t="s">
        <v>39</v>
      </c>
      <c r="D3502" s="17" t="s">
        <v>86</v>
      </c>
      <c r="E3502" s="17" t="s">
        <v>162</v>
      </c>
      <c r="F3502" s="17" t="s">
        <v>172</v>
      </c>
      <c r="G3502" s="17">
        <v>2</v>
      </c>
      <c r="H3502" s="17">
        <v>60971</v>
      </c>
      <c r="I3502" s="17">
        <v>121942</v>
      </c>
      <c r="J3502" s="17">
        <v>1024</v>
      </c>
      <c r="K3502" s="17">
        <v>120918</v>
      </c>
      <c r="L3502" s="17">
        <v>28801.50792</v>
      </c>
      <c r="M3502" s="17">
        <v>2025</v>
      </c>
      <c r="N3502" s="17" t="s">
        <v>117</v>
      </c>
    </row>
    <row r="3503" spans="1:14" ht="14.25" customHeight="1">
      <c r="A3503" s="17">
        <v>13502</v>
      </c>
      <c r="B3503" s="18">
        <v>45756</v>
      </c>
      <c r="C3503" s="17" t="s">
        <v>39</v>
      </c>
      <c r="D3503" s="17" t="s">
        <v>86</v>
      </c>
      <c r="E3503" s="17" t="s">
        <v>162</v>
      </c>
      <c r="F3503" s="17" t="s">
        <v>164</v>
      </c>
      <c r="G3503" s="17">
        <v>7</v>
      </c>
      <c r="H3503" s="17">
        <v>73657</v>
      </c>
      <c r="I3503" s="17">
        <v>515599</v>
      </c>
      <c r="J3503" s="17">
        <v>1482</v>
      </c>
      <c r="K3503" s="17">
        <v>514117</v>
      </c>
      <c r="L3503" s="17">
        <v>127771.20050000001</v>
      </c>
      <c r="M3503" s="17">
        <v>2025</v>
      </c>
      <c r="N3503" s="17" t="s">
        <v>114</v>
      </c>
    </row>
    <row r="3504" spans="1:14" ht="14.25" customHeight="1">
      <c r="A3504" s="17">
        <v>13503</v>
      </c>
      <c r="B3504" s="18">
        <v>45982</v>
      </c>
      <c r="C3504" s="17" t="s">
        <v>45</v>
      </c>
      <c r="D3504" s="17" t="s">
        <v>86</v>
      </c>
      <c r="E3504" s="17" t="s">
        <v>162</v>
      </c>
      <c r="F3504" s="17" t="s">
        <v>163</v>
      </c>
      <c r="G3504" s="17">
        <v>6</v>
      </c>
      <c r="H3504" s="17">
        <v>79652</v>
      </c>
      <c r="I3504" s="17">
        <v>477912</v>
      </c>
      <c r="J3504" s="17">
        <v>2565</v>
      </c>
      <c r="K3504" s="17">
        <v>475347</v>
      </c>
      <c r="L3504" s="17">
        <v>97522.196790000002</v>
      </c>
      <c r="M3504" s="17">
        <v>2025</v>
      </c>
      <c r="N3504" s="17" t="s">
        <v>173</v>
      </c>
    </row>
    <row r="3505" spans="1:14" ht="14.25" customHeight="1">
      <c r="A3505" s="17">
        <v>13504</v>
      </c>
      <c r="B3505" s="18">
        <v>46022</v>
      </c>
      <c r="C3505" s="17" t="s">
        <v>167</v>
      </c>
      <c r="D3505" s="17" t="s">
        <v>170</v>
      </c>
      <c r="E3505" s="17" t="s">
        <v>168</v>
      </c>
      <c r="F3505" s="17" t="s">
        <v>172</v>
      </c>
      <c r="G3505" s="17">
        <v>9</v>
      </c>
      <c r="H3505" s="17">
        <v>75507</v>
      </c>
      <c r="I3505" s="17">
        <v>679563</v>
      </c>
      <c r="J3505" s="17">
        <v>3554</v>
      </c>
      <c r="K3505" s="17">
        <v>676009</v>
      </c>
      <c r="L3505" s="17">
        <v>119721.06389999999</v>
      </c>
      <c r="M3505" s="17">
        <v>2025</v>
      </c>
      <c r="N3505" s="17" t="s">
        <v>169</v>
      </c>
    </row>
    <row r="3506" spans="1:14" ht="14.25" customHeight="1">
      <c r="A3506" s="17">
        <v>13505</v>
      </c>
      <c r="B3506" s="18">
        <v>45373</v>
      </c>
      <c r="C3506" s="17" t="s">
        <v>167</v>
      </c>
      <c r="D3506" s="17" t="s">
        <v>83</v>
      </c>
      <c r="E3506" s="17" t="s">
        <v>168</v>
      </c>
      <c r="F3506" s="17" t="s">
        <v>163</v>
      </c>
      <c r="G3506" s="17">
        <v>5</v>
      </c>
      <c r="H3506" s="17">
        <v>34644</v>
      </c>
      <c r="I3506" s="17">
        <v>173220</v>
      </c>
      <c r="J3506" s="17">
        <v>1779</v>
      </c>
      <c r="K3506" s="17">
        <v>171441</v>
      </c>
      <c r="L3506" s="17">
        <v>20769.943380000001</v>
      </c>
      <c r="M3506" s="17">
        <v>2024</v>
      </c>
      <c r="N3506" s="17" t="s">
        <v>112</v>
      </c>
    </row>
    <row r="3507" spans="1:14" ht="14.25" customHeight="1">
      <c r="A3507" s="17">
        <v>13506</v>
      </c>
      <c r="B3507" s="18">
        <v>45895</v>
      </c>
      <c r="C3507" s="17" t="s">
        <v>50</v>
      </c>
      <c r="D3507" s="17" t="s">
        <v>170</v>
      </c>
      <c r="E3507" s="17" t="s">
        <v>162</v>
      </c>
      <c r="F3507" s="17" t="s">
        <v>164</v>
      </c>
      <c r="G3507" s="17">
        <v>9</v>
      </c>
      <c r="H3507" s="17">
        <v>41122</v>
      </c>
      <c r="I3507" s="17">
        <v>370098</v>
      </c>
      <c r="J3507" s="17">
        <v>3716</v>
      </c>
      <c r="K3507" s="17">
        <v>366382</v>
      </c>
      <c r="L3507" s="17">
        <v>57751.430590000004</v>
      </c>
      <c r="M3507" s="17">
        <v>2025</v>
      </c>
      <c r="N3507" s="17" t="s">
        <v>126</v>
      </c>
    </row>
    <row r="3508" spans="1:14" ht="14.25" customHeight="1">
      <c r="A3508" s="17">
        <v>13507</v>
      </c>
      <c r="B3508" s="18">
        <v>45978</v>
      </c>
      <c r="C3508" s="17" t="s">
        <v>39</v>
      </c>
      <c r="D3508" s="17" t="s">
        <v>89</v>
      </c>
      <c r="E3508" s="17" t="s">
        <v>165</v>
      </c>
      <c r="F3508" s="17" t="s">
        <v>166</v>
      </c>
      <c r="G3508" s="17">
        <v>9</v>
      </c>
      <c r="H3508" s="17">
        <v>8397</v>
      </c>
      <c r="I3508" s="17">
        <v>75573</v>
      </c>
      <c r="J3508" s="17">
        <v>4818</v>
      </c>
      <c r="K3508" s="17">
        <v>70755</v>
      </c>
      <c r="L3508" s="17">
        <v>13151.12571</v>
      </c>
      <c r="M3508" s="17">
        <v>2025</v>
      </c>
      <c r="N3508" s="17" t="s">
        <v>173</v>
      </c>
    </row>
    <row r="3509" spans="1:14" ht="14.25" customHeight="1">
      <c r="A3509" s="17">
        <v>13508</v>
      </c>
      <c r="B3509" s="18">
        <v>45656</v>
      </c>
      <c r="C3509" s="17" t="s">
        <v>50</v>
      </c>
      <c r="D3509" s="17" t="s">
        <v>83</v>
      </c>
      <c r="E3509" s="17" t="s">
        <v>168</v>
      </c>
      <c r="F3509" s="17" t="s">
        <v>166</v>
      </c>
      <c r="G3509" s="17">
        <v>2</v>
      </c>
      <c r="H3509" s="17">
        <v>59569</v>
      </c>
      <c r="I3509" s="17">
        <v>119138</v>
      </c>
      <c r="J3509" s="17">
        <v>2116</v>
      </c>
      <c r="K3509" s="17">
        <v>117022</v>
      </c>
      <c r="L3509" s="17">
        <v>29252.138210000001</v>
      </c>
      <c r="M3509" s="17">
        <v>2024</v>
      </c>
      <c r="N3509" s="17" t="s">
        <v>169</v>
      </c>
    </row>
    <row r="3510" spans="1:14" ht="14.25" customHeight="1">
      <c r="A3510" s="17">
        <v>13509</v>
      </c>
      <c r="B3510" s="18">
        <v>45454</v>
      </c>
      <c r="C3510" s="17" t="s">
        <v>39</v>
      </c>
      <c r="D3510" s="17" t="s">
        <v>170</v>
      </c>
      <c r="E3510" s="17" t="s">
        <v>162</v>
      </c>
      <c r="F3510" s="17" t="s">
        <v>164</v>
      </c>
      <c r="G3510" s="17">
        <v>9</v>
      </c>
      <c r="H3510" s="17">
        <v>57133</v>
      </c>
      <c r="I3510" s="17">
        <v>514197</v>
      </c>
      <c r="J3510" s="17">
        <v>4566</v>
      </c>
      <c r="K3510" s="17">
        <v>509631</v>
      </c>
      <c r="L3510" s="17">
        <v>60670.16575</v>
      </c>
      <c r="M3510" s="17">
        <v>2024</v>
      </c>
      <c r="N3510" s="17" t="s">
        <v>120</v>
      </c>
    </row>
    <row r="3511" spans="1:14" ht="14.25" customHeight="1">
      <c r="A3511" s="17">
        <v>13510</v>
      </c>
      <c r="B3511" s="18">
        <v>45339</v>
      </c>
      <c r="C3511" s="17" t="s">
        <v>45</v>
      </c>
      <c r="D3511" s="17" t="s">
        <v>83</v>
      </c>
      <c r="E3511" s="17" t="s">
        <v>168</v>
      </c>
      <c r="F3511" s="17" t="s">
        <v>164</v>
      </c>
      <c r="G3511" s="17">
        <v>3</v>
      </c>
      <c r="H3511" s="17">
        <v>53519</v>
      </c>
      <c r="I3511" s="17">
        <v>160557</v>
      </c>
      <c r="J3511" s="17">
        <v>2539</v>
      </c>
      <c r="K3511" s="17">
        <v>158018</v>
      </c>
      <c r="L3511" s="17">
        <v>34599.853669999997</v>
      </c>
      <c r="M3511" s="17">
        <v>2024</v>
      </c>
      <c r="N3511" s="17" t="s">
        <v>175</v>
      </c>
    </row>
    <row r="3512" spans="1:14" ht="14.25" customHeight="1">
      <c r="A3512" s="17">
        <v>13511</v>
      </c>
      <c r="B3512" s="18">
        <v>45802</v>
      </c>
      <c r="C3512" s="17" t="s">
        <v>167</v>
      </c>
      <c r="D3512" s="17" t="s">
        <v>89</v>
      </c>
      <c r="E3512" s="17" t="s">
        <v>165</v>
      </c>
      <c r="F3512" s="17" t="s">
        <v>172</v>
      </c>
      <c r="G3512" s="17">
        <v>3</v>
      </c>
      <c r="H3512" s="17">
        <v>76057</v>
      </c>
      <c r="I3512" s="17">
        <v>228171</v>
      </c>
      <c r="J3512" s="17">
        <v>2965</v>
      </c>
      <c r="K3512" s="17">
        <v>225206</v>
      </c>
      <c r="L3512" s="17">
        <v>56265.698940000002</v>
      </c>
      <c r="M3512" s="17">
        <v>2025</v>
      </c>
      <c r="N3512" s="17" t="s">
        <v>117</v>
      </c>
    </row>
    <row r="3513" spans="1:14" ht="14.25" customHeight="1">
      <c r="A3513" s="17">
        <v>13512</v>
      </c>
      <c r="B3513" s="18">
        <v>45620</v>
      </c>
      <c r="C3513" s="17" t="s">
        <v>167</v>
      </c>
      <c r="D3513" s="17" t="s">
        <v>111</v>
      </c>
      <c r="E3513" s="17" t="s">
        <v>165</v>
      </c>
      <c r="F3513" s="17" t="s">
        <v>164</v>
      </c>
      <c r="G3513" s="17">
        <v>9</v>
      </c>
      <c r="H3513" s="17">
        <v>34151</v>
      </c>
      <c r="I3513" s="17">
        <v>307359</v>
      </c>
      <c r="J3513" s="17">
        <v>2760</v>
      </c>
      <c r="K3513" s="17">
        <v>304599</v>
      </c>
      <c r="L3513" s="17">
        <v>67253.537930000006</v>
      </c>
      <c r="M3513" s="17">
        <v>2024</v>
      </c>
      <c r="N3513" s="17" t="s">
        <v>173</v>
      </c>
    </row>
    <row r="3514" spans="1:14" ht="14.25" customHeight="1">
      <c r="A3514" s="17">
        <v>13513</v>
      </c>
      <c r="B3514" s="18">
        <v>45407</v>
      </c>
      <c r="C3514" s="17" t="s">
        <v>45</v>
      </c>
      <c r="D3514" s="17" t="s">
        <v>86</v>
      </c>
      <c r="E3514" s="17" t="s">
        <v>165</v>
      </c>
      <c r="F3514" s="17" t="s">
        <v>166</v>
      </c>
      <c r="G3514" s="17">
        <v>7</v>
      </c>
      <c r="H3514" s="17">
        <v>8472</v>
      </c>
      <c r="I3514" s="17">
        <v>59304</v>
      </c>
      <c r="J3514" s="17">
        <v>2454</v>
      </c>
      <c r="K3514" s="17">
        <v>56850</v>
      </c>
      <c r="L3514" s="17">
        <v>12226.821819999999</v>
      </c>
      <c r="M3514" s="17">
        <v>2024</v>
      </c>
      <c r="N3514" s="17" t="s">
        <v>114</v>
      </c>
    </row>
    <row r="3515" spans="1:14" ht="14.25" customHeight="1">
      <c r="A3515" s="17">
        <v>13514</v>
      </c>
      <c r="B3515" s="18">
        <v>45628</v>
      </c>
      <c r="C3515" s="17" t="s">
        <v>50</v>
      </c>
      <c r="D3515" s="17" t="s">
        <v>170</v>
      </c>
      <c r="E3515" s="17" t="s">
        <v>162</v>
      </c>
      <c r="F3515" s="17" t="s">
        <v>163</v>
      </c>
      <c r="G3515" s="17">
        <v>8</v>
      </c>
      <c r="H3515" s="17">
        <v>56769</v>
      </c>
      <c r="I3515" s="17">
        <v>454152</v>
      </c>
      <c r="J3515" s="17">
        <v>3754</v>
      </c>
      <c r="K3515" s="17">
        <v>450398</v>
      </c>
      <c r="L3515" s="17">
        <v>62516.220020000001</v>
      </c>
      <c r="M3515" s="17">
        <v>2024</v>
      </c>
      <c r="N3515" s="17" t="s">
        <v>169</v>
      </c>
    </row>
    <row r="3516" spans="1:14" ht="14.25" customHeight="1">
      <c r="A3516" s="17">
        <v>13515</v>
      </c>
      <c r="B3516" s="18">
        <v>45438</v>
      </c>
      <c r="C3516" s="17" t="s">
        <v>50</v>
      </c>
      <c r="D3516" s="17" t="s">
        <v>89</v>
      </c>
      <c r="E3516" s="17" t="s">
        <v>162</v>
      </c>
      <c r="F3516" s="17" t="s">
        <v>163</v>
      </c>
      <c r="G3516" s="17">
        <v>7</v>
      </c>
      <c r="H3516" s="17">
        <v>10481</v>
      </c>
      <c r="I3516" s="17">
        <v>73367</v>
      </c>
      <c r="J3516" s="17">
        <v>1945</v>
      </c>
      <c r="K3516" s="17">
        <v>71422</v>
      </c>
      <c r="L3516" s="17">
        <v>7178.2235479999999</v>
      </c>
      <c r="M3516" s="17">
        <v>2024</v>
      </c>
      <c r="N3516" s="17" t="s">
        <v>117</v>
      </c>
    </row>
    <row r="3517" spans="1:14" ht="14.25" customHeight="1">
      <c r="A3517" s="17">
        <v>13516</v>
      </c>
      <c r="B3517" s="18">
        <v>45866</v>
      </c>
      <c r="C3517" s="17" t="s">
        <v>58</v>
      </c>
      <c r="D3517" s="17" t="s">
        <v>89</v>
      </c>
      <c r="E3517" s="17" t="s">
        <v>165</v>
      </c>
      <c r="F3517" s="17" t="s">
        <v>163</v>
      </c>
      <c r="G3517" s="17">
        <v>9</v>
      </c>
      <c r="H3517" s="17">
        <v>43977</v>
      </c>
      <c r="I3517" s="17">
        <v>395793</v>
      </c>
      <c r="J3517" s="17">
        <v>3368</v>
      </c>
      <c r="K3517" s="17">
        <v>392425</v>
      </c>
      <c r="L3517" s="17">
        <v>52544.947460000003</v>
      </c>
      <c r="M3517" s="17">
        <v>2025</v>
      </c>
      <c r="N3517" s="17" t="s">
        <v>123</v>
      </c>
    </row>
    <row r="3518" spans="1:14" ht="14.25" customHeight="1">
      <c r="A3518" s="17">
        <v>13517</v>
      </c>
      <c r="B3518" s="18">
        <v>45614</v>
      </c>
      <c r="C3518" s="17" t="s">
        <v>39</v>
      </c>
      <c r="D3518" s="17" t="s">
        <v>83</v>
      </c>
      <c r="E3518" s="17" t="s">
        <v>168</v>
      </c>
      <c r="F3518" s="17" t="s">
        <v>163</v>
      </c>
      <c r="G3518" s="17">
        <v>8</v>
      </c>
      <c r="H3518" s="17">
        <v>24883</v>
      </c>
      <c r="I3518" s="17">
        <v>199064</v>
      </c>
      <c r="J3518" s="17">
        <v>2629</v>
      </c>
      <c r="K3518" s="17">
        <v>196435</v>
      </c>
      <c r="L3518" s="17">
        <v>42915.15784</v>
      </c>
      <c r="M3518" s="17">
        <v>2024</v>
      </c>
      <c r="N3518" s="17" t="s">
        <v>173</v>
      </c>
    </row>
    <row r="3519" spans="1:14" ht="14.25" customHeight="1">
      <c r="A3519" s="17">
        <v>13518</v>
      </c>
      <c r="B3519" s="18">
        <v>45734</v>
      </c>
      <c r="C3519" s="17" t="s">
        <v>50</v>
      </c>
      <c r="D3519" s="17" t="s">
        <v>83</v>
      </c>
      <c r="E3519" s="17" t="s">
        <v>168</v>
      </c>
      <c r="F3519" s="17" t="s">
        <v>164</v>
      </c>
      <c r="G3519" s="17">
        <v>4</v>
      </c>
      <c r="H3519" s="17">
        <v>29265</v>
      </c>
      <c r="I3519" s="17">
        <v>117060</v>
      </c>
      <c r="J3519" s="17">
        <v>528</v>
      </c>
      <c r="K3519" s="17">
        <v>116532</v>
      </c>
      <c r="L3519" s="17">
        <v>13528.453890000001</v>
      </c>
      <c r="M3519" s="17">
        <v>2025</v>
      </c>
      <c r="N3519" s="17" t="s">
        <v>112</v>
      </c>
    </row>
    <row r="3520" spans="1:14" ht="14.25" customHeight="1">
      <c r="A3520" s="17">
        <v>13519</v>
      </c>
      <c r="B3520" s="18">
        <v>45304</v>
      </c>
      <c r="C3520" s="17" t="s">
        <v>45</v>
      </c>
      <c r="D3520" s="17" t="s">
        <v>86</v>
      </c>
      <c r="E3520" s="17" t="s">
        <v>165</v>
      </c>
      <c r="F3520" s="17" t="s">
        <v>164</v>
      </c>
      <c r="G3520" s="17">
        <v>2</v>
      </c>
      <c r="H3520" s="17">
        <v>57744</v>
      </c>
      <c r="I3520" s="17">
        <v>115488</v>
      </c>
      <c r="J3520" s="17">
        <v>4232</v>
      </c>
      <c r="K3520" s="17">
        <v>111256</v>
      </c>
      <c r="L3520" s="17">
        <v>16067.34189</v>
      </c>
      <c r="M3520" s="17">
        <v>2024</v>
      </c>
      <c r="N3520" s="17" t="s">
        <v>171</v>
      </c>
    </row>
    <row r="3521" spans="1:14" ht="14.25" customHeight="1">
      <c r="A3521" s="17">
        <v>13520</v>
      </c>
      <c r="B3521" s="18">
        <v>45785</v>
      </c>
      <c r="C3521" s="17" t="s">
        <v>50</v>
      </c>
      <c r="D3521" s="17" t="s">
        <v>83</v>
      </c>
      <c r="E3521" s="17" t="s">
        <v>162</v>
      </c>
      <c r="F3521" s="17" t="s">
        <v>163</v>
      </c>
      <c r="G3521" s="17">
        <v>5</v>
      </c>
      <c r="H3521" s="17">
        <v>28656</v>
      </c>
      <c r="I3521" s="17">
        <v>143280</v>
      </c>
      <c r="J3521" s="17">
        <v>1471</v>
      </c>
      <c r="K3521" s="17">
        <v>141809</v>
      </c>
      <c r="L3521" s="17">
        <v>26146.146499999999</v>
      </c>
      <c r="M3521" s="17">
        <v>2025</v>
      </c>
      <c r="N3521" s="17" t="s">
        <v>117</v>
      </c>
    </row>
    <row r="3522" spans="1:14" ht="14.25" customHeight="1">
      <c r="A3522" s="17">
        <v>13521</v>
      </c>
      <c r="B3522" s="18">
        <v>45992</v>
      </c>
      <c r="C3522" s="17" t="s">
        <v>167</v>
      </c>
      <c r="D3522" s="17" t="s">
        <v>170</v>
      </c>
      <c r="E3522" s="17" t="s">
        <v>168</v>
      </c>
      <c r="F3522" s="17" t="s">
        <v>164</v>
      </c>
      <c r="G3522" s="17">
        <v>2</v>
      </c>
      <c r="H3522" s="17">
        <v>14304</v>
      </c>
      <c r="I3522" s="17">
        <v>28608</v>
      </c>
      <c r="J3522" s="17">
        <v>2035</v>
      </c>
      <c r="K3522" s="17">
        <v>26573</v>
      </c>
      <c r="L3522" s="17">
        <v>4968.394867</v>
      </c>
      <c r="M3522" s="17">
        <v>2025</v>
      </c>
      <c r="N3522" s="17" t="s">
        <v>169</v>
      </c>
    </row>
    <row r="3523" spans="1:14" ht="14.25" customHeight="1">
      <c r="A3523" s="17">
        <v>13522</v>
      </c>
      <c r="B3523" s="18">
        <v>45578</v>
      </c>
      <c r="C3523" s="17" t="s">
        <v>39</v>
      </c>
      <c r="D3523" s="17" t="s">
        <v>170</v>
      </c>
      <c r="E3523" s="17" t="s">
        <v>168</v>
      </c>
      <c r="F3523" s="17" t="s">
        <v>172</v>
      </c>
      <c r="G3523" s="17">
        <v>4</v>
      </c>
      <c r="H3523" s="17">
        <v>50911</v>
      </c>
      <c r="I3523" s="17">
        <v>203644</v>
      </c>
      <c r="J3523" s="17">
        <v>4034</v>
      </c>
      <c r="K3523" s="17">
        <v>199610</v>
      </c>
      <c r="L3523" s="17">
        <v>36218.89587</v>
      </c>
      <c r="M3523" s="17">
        <v>2024</v>
      </c>
      <c r="N3523" s="17" t="s">
        <v>174</v>
      </c>
    </row>
    <row r="3524" spans="1:14" ht="14.25" customHeight="1">
      <c r="A3524" s="17">
        <v>13523</v>
      </c>
      <c r="B3524" s="18">
        <v>46011</v>
      </c>
      <c r="C3524" s="17" t="s">
        <v>58</v>
      </c>
      <c r="D3524" s="17" t="s">
        <v>170</v>
      </c>
      <c r="E3524" s="17" t="s">
        <v>168</v>
      </c>
      <c r="F3524" s="17" t="s">
        <v>164</v>
      </c>
      <c r="G3524" s="17">
        <v>2</v>
      </c>
      <c r="H3524" s="17">
        <v>48013</v>
      </c>
      <c r="I3524" s="17">
        <v>96026</v>
      </c>
      <c r="J3524" s="17">
        <v>1367</v>
      </c>
      <c r="K3524" s="17">
        <v>94659</v>
      </c>
      <c r="L3524" s="17">
        <v>23393.317620000002</v>
      </c>
      <c r="M3524" s="17">
        <v>2025</v>
      </c>
      <c r="N3524" s="17" t="s">
        <v>169</v>
      </c>
    </row>
    <row r="3525" spans="1:14" ht="14.25" customHeight="1">
      <c r="A3525" s="17">
        <v>13524</v>
      </c>
      <c r="B3525" s="18">
        <v>45405</v>
      </c>
      <c r="C3525" s="17" t="s">
        <v>39</v>
      </c>
      <c r="D3525" s="17" t="s">
        <v>111</v>
      </c>
      <c r="E3525" s="17" t="s">
        <v>162</v>
      </c>
      <c r="F3525" s="17" t="s">
        <v>172</v>
      </c>
      <c r="G3525" s="17">
        <v>5</v>
      </c>
      <c r="H3525" s="17">
        <v>45314</v>
      </c>
      <c r="I3525" s="17">
        <v>226570</v>
      </c>
      <c r="J3525" s="17">
        <v>1719</v>
      </c>
      <c r="K3525" s="17">
        <v>224851</v>
      </c>
      <c r="L3525" s="17">
        <v>22899.46427</v>
      </c>
      <c r="M3525" s="17">
        <v>2024</v>
      </c>
      <c r="N3525" s="17" t="s">
        <v>114</v>
      </c>
    </row>
    <row r="3526" spans="1:14" ht="14.25" customHeight="1">
      <c r="A3526" s="17">
        <v>13525</v>
      </c>
      <c r="B3526" s="18">
        <v>45771</v>
      </c>
      <c r="C3526" s="17" t="s">
        <v>167</v>
      </c>
      <c r="D3526" s="17" t="s">
        <v>170</v>
      </c>
      <c r="E3526" s="17" t="s">
        <v>165</v>
      </c>
      <c r="F3526" s="17" t="s">
        <v>172</v>
      </c>
      <c r="G3526" s="17">
        <v>6</v>
      </c>
      <c r="H3526" s="17">
        <v>27857</v>
      </c>
      <c r="I3526" s="17">
        <v>167142</v>
      </c>
      <c r="J3526" s="17">
        <v>1041</v>
      </c>
      <c r="K3526" s="17">
        <v>166101</v>
      </c>
      <c r="L3526" s="17">
        <v>28758.690019999998</v>
      </c>
      <c r="M3526" s="17">
        <v>2025</v>
      </c>
      <c r="N3526" s="17" t="s">
        <v>114</v>
      </c>
    </row>
    <row r="3527" spans="1:14" ht="14.25" customHeight="1">
      <c r="A3527" s="17">
        <v>13526</v>
      </c>
      <c r="B3527" s="18">
        <v>45313</v>
      </c>
      <c r="C3527" s="17" t="s">
        <v>167</v>
      </c>
      <c r="D3527" s="17" t="s">
        <v>83</v>
      </c>
      <c r="E3527" s="17" t="s">
        <v>162</v>
      </c>
      <c r="F3527" s="17" t="s">
        <v>164</v>
      </c>
      <c r="G3527" s="17">
        <v>1</v>
      </c>
      <c r="H3527" s="17">
        <v>33894</v>
      </c>
      <c r="I3527" s="17">
        <v>33894</v>
      </c>
      <c r="J3527" s="17">
        <v>3487</v>
      </c>
      <c r="K3527" s="17">
        <v>30407</v>
      </c>
      <c r="L3527" s="17">
        <v>5341.3876700000001</v>
      </c>
      <c r="M3527" s="17">
        <v>2024</v>
      </c>
      <c r="N3527" s="17" t="s">
        <v>171</v>
      </c>
    </row>
    <row r="3528" spans="1:14" ht="14.25" customHeight="1">
      <c r="A3528" s="17">
        <v>13527</v>
      </c>
      <c r="B3528" s="18">
        <v>45640</v>
      </c>
      <c r="C3528" s="17" t="s">
        <v>167</v>
      </c>
      <c r="D3528" s="17" t="s">
        <v>83</v>
      </c>
      <c r="E3528" s="17" t="s">
        <v>168</v>
      </c>
      <c r="F3528" s="17" t="s">
        <v>163</v>
      </c>
      <c r="G3528" s="17">
        <v>8</v>
      </c>
      <c r="H3528" s="17">
        <v>43570</v>
      </c>
      <c r="I3528" s="17">
        <v>348560</v>
      </c>
      <c r="J3528" s="17">
        <v>559</v>
      </c>
      <c r="K3528" s="17">
        <v>348001</v>
      </c>
      <c r="L3528" s="17">
        <v>50111.559350000003</v>
      </c>
      <c r="M3528" s="17">
        <v>2024</v>
      </c>
      <c r="N3528" s="17" t="s">
        <v>169</v>
      </c>
    </row>
    <row r="3529" spans="1:14" ht="14.25" customHeight="1">
      <c r="A3529" s="17">
        <v>13528</v>
      </c>
      <c r="B3529" s="18">
        <v>46017</v>
      </c>
      <c r="C3529" s="17" t="s">
        <v>167</v>
      </c>
      <c r="D3529" s="17" t="s">
        <v>170</v>
      </c>
      <c r="E3529" s="17" t="s">
        <v>165</v>
      </c>
      <c r="F3529" s="17" t="s">
        <v>172</v>
      </c>
      <c r="G3529" s="17">
        <v>2</v>
      </c>
      <c r="H3529" s="17">
        <v>71080</v>
      </c>
      <c r="I3529" s="17">
        <v>142160</v>
      </c>
      <c r="J3529" s="17">
        <v>1564</v>
      </c>
      <c r="K3529" s="17">
        <v>140596</v>
      </c>
      <c r="L3529" s="17">
        <v>25133.03816</v>
      </c>
      <c r="M3529" s="17">
        <v>2025</v>
      </c>
      <c r="N3529" s="17" t="s">
        <v>169</v>
      </c>
    </row>
    <row r="3530" spans="1:14" ht="14.25" customHeight="1">
      <c r="A3530" s="17">
        <v>13529</v>
      </c>
      <c r="B3530" s="18">
        <v>45974</v>
      </c>
      <c r="C3530" s="17" t="s">
        <v>45</v>
      </c>
      <c r="D3530" s="17" t="s">
        <v>89</v>
      </c>
      <c r="E3530" s="17" t="s">
        <v>162</v>
      </c>
      <c r="F3530" s="17" t="s">
        <v>164</v>
      </c>
      <c r="G3530" s="17">
        <v>5</v>
      </c>
      <c r="H3530" s="17">
        <v>44420</v>
      </c>
      <c r="I3530" s="17">
        <v>222100</v>
      </c>
      <c r="J3530" s="17">
        <v>3224</v>
      </c>
      <c r="K3530" s="17">
        <v>218876</v>
      </c>
      <c r="L3530" s="17">
        <v>43992.319770000002</v>
      </c>
      <c r="M3530" s="17">
        <v>2025</v>
      </c>
      <c r="N3530" s="17" t="s">
        <v>173</v>
      </c>
    </row>
    <row r="3531" spans="1:14" ht="14.25" customHeight="1">
      <c r="A3531" s="17">
        <v>13530</v>
      </c>
      <c r="B3531" s="18">
        <v>45857</v>
      </c>
      <c r="C3531" s="17" t="s">
        <v>58</v>
      </c>
      <c r="D3531" s="17" t="s">
        <v>89</v>
      </c>
      <c r="E3531" s="17" t="s">
        <v>165</v>
      </c>
      <c r="F3531" s="17" t="s">
        <v>166</v>
      </c>
      <c r="G3531" s="17">
        <v>8</v>
      </c>
      <c r="H3531" s="17">
        <v>61210</v>
      </c>
      <c r="I3531" s="17">
        <v>489680</v>
      </c>
      <c r="J3531" s="17">
        <v>1800</v>
      </c>
      <c r="K3531" s="17">
        <v>487880</v>
      </c>
      <c r="L3531" s="17">
        <v>98021.622829999993</v>
      </c>
      <c r="M3531" s="17">
        <v>2025</v>
      </c>
      <c r="N3531" s="17" t="s">
        <v>123</v>
      </c>
    </row>
    <row r="3532" spans="1:14" ht="14.25" customHeight="1">
      <c r="A3532" s="17">
        <v>13531</v>
      </c>
      <c r="B3532" s="18">
        <v>45611</v>
      </c>
      <c r="C3532" s="17" t="s">
        <v>167</v>
      </c>
      <c r="D3532" s="17" t="s">
        <v>89</v>
      </c>
      <c r="E3532" s="17" t="s">
        <v>168</v>
      </c>
      <c r="F3532" s="17" t="s">
        <v>163</v>
      </c>
      <c r="G3532" s="17">
        <v>5</v>
      </c>
      <c r="H3532" s="17">
        <v>32734</v>
      </c>
      <c r="I3532" s="17">
        <v>163670</v>
      </c>
      <c r="J3532" s="17">
        <v>3270</v>
      </c>
      <c r="K3532" s="17">
        <v>160400</v>
      </c>
      <c r="L3532" s="17">
        <v>18153.83884</v>
      </c>
      <c r="M3532" s="17">
        <v>2024</v>
      </c>
      <c r="N3532" s="17" t="s">
        <v>173</v>
      </c>
    </row>
    <row r="3533" spans="1:14" ht="14.25" customHeight="1">
      <c r="A3533" s="17">
        <v>13532</v>
      </c>
      <c r="B3533" s="18">
        <v>45417</v>
      </c>
      <c r="C3533" s="17" t="s">
        <v>167</v>
      </c>
      <c r="D3533" s="17" t="s">
        <v>86</v>
      </c>
      <c r="E3533" s="17" t="s">
        <v>162</v>
      </c>
      <c r="F3533" s="17" t="s">
        <v>166</v>
      </c>
      <c r="G3533" s="17">
        <v>3</v>
      </c>
      <c r="H3533" s="17">
        <v>41219</v>
      </c>
      <c r="I3533" s="17">
        <v>123657</v>
      </c>
      <c r="J3533" s="17">
        <v>1811</v>
      </c>
      <c r="K3533" s="17">
        <v>121846</v>
      </c>
      <c r="L3533" s="17">
        <v>26851.080819999999</v>
      </c>
      <c r="M3533" s="17">
        <v>2024</v>
      </c>
      <c r="N3533" s="17" t="s">
        <v>117</v>
      </c>
    </row>
    <row r="3534" spans="1:14" ht="14.25" customHeight="1">
      <c r="A3534" s="17">
        <v>13533</v>
      </c>
      <c r="B3534" s="18">
        <v>45568</v>
      </c>
      <c r="C3534" s="17" t="s">
        <v>50</v>
      </c>
      <c r="D3534" s="17" t="s">
        <v>111</v>
      </c>
      <c r="E3534" s="17" t="s">
        <v>165</v>
      </c>
      <c r="F3534" s="17" t="s">
        <v>172</v>
      </c>
      <c r="G3534" s="17">
        <v>6</v>
      </c>
      <c r="H3534" s="17">
        <v>71972</v>
      </c>
      <c r="I3534" s="17">
        <v>431832</v>
      </c>
      <c r="J3534" s="17">
        <v>3081</v>
      </c>
      <c r="K3534" s="17">
        <v>428751</v>
      </c>
      <c r="L3534" s="17">
        <v>102731.5156</v>
      </c>
      <c r="M3534" s="17">
        <v>2024</v>
      </c>
      <c r="N3534" s="17" t="s">
        <v>174</v>
      </c>
    </row>
    <row r="3535" spans="1:14" ht="14.25" customHeight="1">
      <c r="A3535" s="17">
        <v>13534</v>
      </c>
      <c r="B3535" s="18">
        <v>45495</v>
      </c>
      <c r="C3535" s="17" t="s">
        <v>58</v>
      </c>
      <c r="D3535" s="17" t="s">
        <v>170</v>
      </c>
      <c r="E3535" s="17" t="s">
        <v>162</v>
      </c>
      <c r="F3535" s="17" t="s">
        <v>166</v>
      </c>
      <c r="G3535" s="17">
        <v>1</v>
      </c>
      <c r="H3535" s="17">
        <v>60813</v>
      </c>
      <c r="I3535" s="17">
        <v>60813</v>
      </c>
      <c r="J3535" s="17">
        <v>4262</v>
      </c>
      <c r="K3535" s="17">
        <v>56551</v>
      </c>
      <c r="L3535" s="17">
        <v>6703.6561270000002</v>
      </c>
      <c r="M3535" s="17">
        <v>2024</v>
      </c>
      <c r="N3535" s="17" t="s">
        <v>123</v>
      </c>
    </row>
    <row r="3536" spans="1:14" ht="14.25" customHeight="1">
      <c r="A3536" s="17">
        <v>13535</v>
      </c>
      <c r="B3536" s="18">
        <v>45485</v>
      </c>
      <c r="C3536" s="17" t="s">
        <v>39</v>
      </c>
      <c r="D3536" s="17" t="s">
        <v>86</v>
      </c>
      <c r="E3536" s="17" t="s">
        <v>168</v>
      </c>
      <c r="F3536" s="17" t="s">
        <v>164</v>
      </c>
      <c r="G3536" s="17">
        <v>1</v>
      </c>
      <c r="H3536" s="17">
        <v>16007</v>
      </c>
      <c r="I3536" s="17">
        <v>16007</v>
      </c>
      <c r="J3536" s="17">
        <v>146</v>
      </c>
      <c r="K3536" s="17">
        <v>15861</v>
      </c>
      <c r="L3536" s="17">
        <v>2577.3497360000001</v>
      </c>
      <c r="M3536" s="17">
        <v>2024</v>
      </c>
      <c r="N3536" s="17" t="s">
        <v>123</v>
      </c>
    </row>
    <row r="3537" spans="1:14" ht="14.25" customHeight="1">
      <c r="A3537" s="17">
        <v>13536</v>
      </c>
      <c r="B3537" s="18">
        <v>45972</v>
      </c>
      <c r="C3537" s="17" t="s">
        <v>58</v>
      </c>
      <c r="D3537" s="17" t="s">
        <v>89</v>
      </c>
      <c r="E3537" s="17" t="s">
        <v>165</v>
      </c>
      <c r="F3537" s="17" t="s">
        <v>163</v>
      </c>
      <c r="G3537" s="17">
        <v>8</v>
      </c>
      <c r="H3537" s="17">
        <v>33341</v>
      </c>
      <c r="I3537" s="17">
        <v>266728</v>
      </c>
      <c r="J3537" s="17">
        <v>3828</v>
      </c>
      <c r="K3537" s="17">
        <v>262900</v>
      </c>
      <c r="L3537" s="17">
        <v>46470.87023</v>
      </c>
      <c r="M3537" s="17">
        <v>2025</v>
      </c>
      <c r="N3537" s="17" t="s">
        <v>173</v>
      </c>
    </row>
    <row r="3538" spans="1:14" ht="14.25" customHeight="1">
      <c r="A3538" s="17">
        <v>13537</v>
      </c>
      <c r="B3538" s="18">
        <v>45955</v>
      </c>
      <c r="C3538" s="17" t="s">
        <v>58</v>
      </c>
      <c r="D3538" s="17" t="s">
        <v>170</v>
      </c>
      <c r="E3538" s="17" t="s">
        <v>168</v>
      </c>
      <c r="F3538" s="17" t="s">
        <v>172</v>
      </c>
      <c r="G3538" s="17">
        <v>7</v>
      </c>
      <c r="H3538" s="17">
        <v>54411</v>
      </c>
      <c r="I3538" s="17">
        <v>380877</v>
      </c>
      <c r="J3538" s="17">
        <v>4540</v>
      </c>
      <c r="K3538" s="17">
        <v>376337</v>
      </c>
      <c r="L3538" s="17">
        <v>45244.45852</v>
      </c>
      <c r="M3538" s="17">
        <v>2025</v>
      </c>
      <c r="N3538" s="17" t="s">
        <v>174</v>
      </c>
    </row>
    <row r="3539" spans="1:14" ht="14.25" customHeight="1">
      <c r="A3539" s="17">
        <v>13538</v>
      </c>
      <c r="B3539" s="18">
        <v>45838</v>
      </c>
      <c r="C3539" s="17" t="s">
        <v>58</v>
      </c>
      <c r="D3539" s="17" t="s">
        <v>86</v>
      </c>
      <c r="E3539" s="17" t="s">
        <v>165</v>
      </c>
      <c r="F3539" s="17" t="s">
        <v>164</v>
      </c>
      <c r="G3539" s="17">
        <v>3</v>
      </c>
      <c r="H3539" s="17">
        <v>78087</v>
      </c>
      <c r="I3539" s="17">
        <v>234261</v>
      </c>
      <c r="J3539" s="17">
        <v>2117</v>
      </c>
      <c r="K3539" s="17">
        <v>232144</v>
      </c>
      <c r="L3539" s="17">
        <v>40743.038039999999</v>
      </c>
      <c r="M3539" s="17">
        <v>2025</v>
      </c>
      <c r="N3539" s="17" t="s">
        <v>120</v>
      </c>
    </row>
    <row r="3540" spans="1:14" ht="14.25" customHeight="1">
      <c r="A3540" s="17">
        <v>13539</v>
      </c>
      <c r="B3540" s="18">
        <v>45987</v>
      </c>
      <c r="C3540" s="17" t="s">
        <v>167</v>
      </c>
      <c r="D3540" s="17" t="s">
        <v>83</v>
      </c>
      <c r="E3540" s="17" t="s">
        <v>168</v>
      </c>
      <c r="F3540" s="17" t="s">
        <v>163</v>
      </c>
      <c r="G3540" s="17">
        <v>8</v>
      </c>
      <c r="H3540" s="17">
        <v>53431</v>
      </c>
      <c r="I3540" s="17">
        <v>427448</v>
      </c>
      <c r="J3540" s="17">
        <v>2663</v>
      </c>
      <c r="K3540" s="17">
        <v>424785</v>
      </c>
      <c r="L3540" s="17">
        <v>55659.079640000004</v>
      </c>
      <c r="M3540" s="17">
        <v>2025</v>
      </c>
      <c r="N3540" s="17" t="s">
        <v>173</v>
      </c>
    </row>
    <row r="3541" spans="1:14" ht="14.25" customHeight="1">
      <c r="A3541" s="17">
        <v>13540</v>
      </c>
      <c r="B3541" s="18">
        <v>45577</v>
      </c>
      <c r="C3541" s="17" t="s">
        <v>167</v>
      </c>
      <c r="D3541" s="17" t="s">
        <v>89</v>
      </c>
      <c r="E3541" s="17" t="s">
        <v>168</v>
      </c>
      <c r="F3541" s="17" t="s">
        <v>172</v>
      </c>
      <c r="G3541" s="17">
        <v>8</v>
      </c>
      <c r="H3541" s="17">
        <v>9841</v>
      </c>
      <c r="I3541" s="17">
        <v>78728</v>
      </c>
      <c r="J3541" s="17">
        <v>318</v>
      </c>
      <c r="K3541" s="17">
        <v>78410</v>
      </c>
      <c r="L3541" s="17">
        <v>18842.247899999998</v>
      </c>
      <c r="M3541" s="17">
        <v>2024</v>
      </c>
      <c r="N3541" s="17" t="s">
        <v>174</v>
      </c>
    </row>
    <row r="3542" spans="1:14" ht="14.25" customHeight="1">
      <c r="A3542" s="17">
        <v>13541</v>
      </c>
      <c r="B3542" s="18">
        <v>45348</v>
      </c>
      <c r="C3542" s="17" t="s">
        <v>45</v>
      </c>
      <c r="D3542" s="17" t="s">
        <v>86</v>
      </c>
      <c r="E3542" s="17" t="s">
        <v>162</v>
      </c>
      <c r="F3542" s="17" t="s">
        <v>172</v>
      </c>
      <c r="G3542" s="17">
        <v>1</v>
      </c>
      <c r="H3542" s="17">
        <v>45729</v>
      </c>
      <c r="I3542" s="17">
        <v>45729</v>
      </c>
      <c r="J3542" s="17">
        <v>3969</v>
      </c>
      <c r="K3542" s="17">
        <v>41760</v>
      </c>
      <c r="L3542" s="17">
        <v>6985.2182210000001</v>
      </c>
      <c r="M3542" s="17">
        <v>2024</v>
      </c>
      <c r="N3542" s="17" t="s">
        <v>175</v>
      </c>
    </row>
    <row r="3543" spans="1:14" ht="14.25" customHeight="1">
      <c r="A3543" s="17">
        <v>13542</v>
      </c>
      <c r="B3543" s="18">
        <v>45594</v>
      </c>
      <c r="C3543" s="17" t="s">
        <v>39</v>
      </c>
      <c r="D3543" s="17" t="s">
        <v>83</v>
      </c>
      <c r="E3543" s="17" t="s">
        <v>168</v>
      </c>
      <c r="F3543" s="17" t="s">
        <v>172</v>
      </c>
      <c r="G3543" s="17">
        <v>7</v>
      </c>
      <c r="H3543" s="17">
        <v>78082</v>
      </c>
      <c r="I3543" s="17">
        <v>546574</v>
      </c>
      <c r="J3543" s="17">
        <v>4131</v>
      </c>
      <c r="K3543" s="17">
        <v>542443</v>
      </c>
      <c r="L3543" s="17">
        <v>135195.8829</v>
      </c>
      <c r="M3543" s="17">
        <v>2024</v>
      </c>
      <c r="N3543" s="17" t="s">
        <v>174</v>
      </c>
    </row>
    <row r="3544" spans="1:14" ht="14.25" customHeight="1">
      <c r="A3544" s="17">
        <v>13543</v>
      </c>
      <c r="B3544" s="18">
        <v>45454</v>
      </c>
      <c r="C3544" s="17" t="s">
        <v>50</v>
      </c>
      <c r="D3544" s="17" t="s">
        <v>89</v>
      </c>
      <c r="E3544" s="17" t="s">
        <v>162</v>
      </c>
      <c r="F3544" s="17" t="s">
        <v>172</v>
      </c>
      <c r="G3544" s="17">
        <v>2</v>
      </c>
      <c r="H3544" s="17">
        <v>62804</v>
      </c>
      <c r="I3544" s="17">
        <v>125608</v>
      </c>
      <c r="J3544" s="17">
        <v>254</v>
      </c>
      <c r="K3544" s="17">
        <v>125354</v>
      </c>
      <c r="L3544" s="17">
        <v>13409.95377</v>
      </c>
      <c r="M3544" s="17">
        <v>2024</v>
      </c>
      <c r="N3544" s="17" t="s">
        <v>120</v>
      </c>
    </row>
    <row r="3545" spans="1:14" ht="14.25" customHeight="1">
      <c r="A3545" s="17">
        <v>13544</v>
      </c>
      <c r="B3545" s="18">
        <v>45310</v>
      </c>
      <c r="C3545" s="17" t="s">
        <v>58</v>
      </c>
      <c r="D3545" s="17" t="s">
        <v>111</v>
      </c>
      <c r="E3545" s="17" t="s">
        <v>168</v>
      </c>
      <c r="F3545" s="17" t="s">
        <v>166</v>
      </c>
      <c r="G3545" s="17">
        <v>2</v>
      </c>
      <c r="H3545" s="17">
        <v>57006</v>
      </c>
      <c r="I3545" s="17">
        <v>114012</v>
      </c>
      <c r="J3545" s="17">
        <v>1336</v>
      </c>
      <c r="K3545" s="17">
        <v>112676</v>
      </c>
      <c r="L3545" s="17">
        <v>13423.893190000001</v>
      </c>
      <c r="M3545" s="17">
        <v>2024</v>
      </c>
      <c r="N3545" s="17" t="s">
        <v>171</v>
      </c>
    </row>
    <row r="3546" spans="1:14" ht="14.25" customHeight="1">
      <c r="A3546" s="17">
        <v>13545</v>
      </c>
      <c r="B3546" s="18">
        <v>45661</v>
      </c>
      <c r="C3546" s="17" t="s">
        <v>39</v>
      </c>
      <c r="D3546" s="17" t="s">
        <v>89</v>
      </c>
      <c r="E3546" s="17" t="s">
        <v>168</v>
      </c>
      <c r="F3546" s="17" t="s">
        <v>166</v>
      </c>
      <c r="G3546" s="17">
        <v>2</v>
      </c>
      <c r="H3546" s="17">
        <v>26584</v>
      </c>
      <c r="I3546" s="17">
        <v>53168</v>
      </c>
      <c r="J3546" s="17">
        <v>334</v>
      </c>
      <c r="K3546" s="17">
        <v>52834</v>
      </c>
      <c r="L3546" s="17">
        <v>8795.8899149999997</v>
      </c>
      <c r="M3546" s="17">
        <v>2025</v>
      </c>
      <c r="N3546" s="17" t="s">
        <v>171</v>
      </c>
    </row>
    <row r="3547" spans="1:14" ht="14.25" customHeight="1">
      <c r="A3547" s="17">
        <v>13546</v>
      </c>
      <c r="B3547" s="18">
        <v>45555</v>
      </c>
      <c r="C3547" s="17" t="s">
        <v>39</v>
      </c>
      <c r="D3547" s="17" t="s">
        <v>111</v>
      </c>
      <c r="E3547" s="17" t="s">
        <v>168</v>
      </c>
      <c r="F3547" s="17" t="s">
        <v>166</v>
      </c>
      <c r="G3547" s="17">
        <v>5</v>
      </c>
      <c r="H3547" s="17">
        <v>65591</v>
      </c>
      <c r="I3547" s="17">
        <v>327955</v>
      </c>
      <c r="J3547" s="17">
        <v>3091</v>
      </c>
      <c r="K3547" s="17">
        <v>324864</v>
      </c>
      <c r="L3547" s="17">
        <v>75093.578210000007</v>
      </c>
      <c r="M3547" s="17">
        <v>2024</v>
      </c>
      <c r="N3547" s="17" t="s">
        <v>129</v>
      </c>
    </row>
    <row r="3548" spans="1:14" ht="14.25" customHeight="1">
      <c r="A3548" s="17">
        <v>13547</v>
      </c>
      <c r="B3548" s="18">
        <v>45404</v>
      </c>
      <c r="C3548" s="17" t="s">
        <v>45</v>
      </c>
      <c r="D3548" s="17" t="s">
        <v>111</v>
      </c>
      <c r="E3548" s="17" t="s">
        <v>165</v>
      </c>
      <c r="F3548" s="17" t="s">
        <v>172</v>
      </c>
      <c r="G3548" s="17">
        <v>7</v>
      </c>
      <c r="H3548" s="17">
        <v>24361</v>
      </c>
      <c r="I3548" s="17">
        <v>170527</v>
      </c>
      <c r="J3548" s="17">
        <v>4393</v>
      </c>
      <c r="K3548" s="17">
        <v>166134</v>
      </c>
      <c r="L3548" s="17">
        <v>30449.682219999999</v>
      </c>
      <c r="M3548" s="17">
        <v>2024</v>
      </c>
      <c r="N3548" s="17" t="s">
        <v>114</v>
      </c>
    </row>
    <row r="3549" spans="1:14" ht="14.25" customHeight="1">
      <c r="A3549" s="17">
        <v>13548</v>
      </c>
      <c r="B3549" s="18">
        <v>45779</v>
      </c>
      <c r="C3549" s="17" t="s">
        <v>50</v>
      </c>
      <c r="D3549" s="17" t="s">
        <v>111</v>
      </c>
      <c r="E3549" s="17" t="s">
        <v>162</v>
      </c>
      <c r="F3549" s="17" t="s">
        <v>166</v>
      </c>
      <c r="G3549" s="17">
        <v>4</v>
      </c>
      <c r="H3549" s="17">
        <v>52871</v>
      </c>
      <c r="I3549" s="17">
        <v>211484</v>
      </c>
      <c r="J3549" s="17">
        <v>1044</v>
      </c>
      <c r="K3549" s="17">
        <v>210440</v>
      </c>
      <c r="L3549" s="17">
        <v>44161.146099999998</v>
      </c>
      <c r="M3549" s="17">
        <v>2025</v>
      </c>
      <c r="N3549" s="17" t="s">
        <v>117</v>
      </c>
    </row>
    <row r="3550" spans="1:14" ht="14.25" customHeight="1">
      <c r="A3550" s="17">
        <v>13549</v>
      </c>
      <c r="B3550" s="18">
        <v>45618</v>
      </c>
      <c r="C3550" s="17" t="s">
        <v>58</v>
      </c>
      <c r="D3550" s="17" t="s">
        <v>170</v>
      </c>
      <c r="E3550" s="17" t="s">
        <v>165</v>
      </c>
      <c r="F3550" s="17" t="s">
        <v>163</v>
      </c>
      <c r="G3550" s="17">
        <v>4</v>
      </c>
      <c r="H3550" s="17">
        <v>19101</v>
      </c>
      <c r="I3550" s="17">
        <v>76404</v>
      </c>
      <c r="J3550" s="17">
        <v>4573</v>
      </c>
      <c r="K3550" s="17">
        <v>71831</v>
      </c>
      <c r="L3550" s="17">
        <v>11746.84477</v>
      </c>
      <c r="M3550" s="17">
        <v>2024</v>
      </c>
      <c r="N3550" s="17" t="s">
        <v>173</v>
      </c>
    </row>
    <row r="3551" spans="1:14" ht="14.25" customHeight="1">
      <c r="A3551" s="17">
        <v>13550</v>
      </c>
      <c r="B3551" s="18">
        <v>45833</v>
      </c>
      <c r="C3551" s="17" t="s">
        <v>50</v>
      </c>
      <c r="D3551" s="17" t="s">
        <v>170</v>
      </c>
      <c r="E3551" s="17" t="s">
        <v>162</v>
      </c>
      <c r="F3551" s="17" t="s">
        <v>172</v>
      </c>
      <c r="G3551" s="17">
        <v>9</v>
      </c>
      <c r="H3551" s="17">
        <v>47774</v>
      </c>
      <c r="I3551" s="17">
        <v>429966</v>
      </c>
      <c r="J3551" s="17">
        <v>1791</v>
      </c>
      <c r="K3551" s="17">
        <v>428175</v>
      </c>
      <c r="L3551" s="17">
        <v>45419.436139999998</v>
      </c>
      <c r="M3551" s="17">
        <v>2025</v>
      </c>
      <c r="N3551" s="17" t="s">
        <v>120</v>
      </c>
    </row>
    <row r="3552" spans="1:14" ht="14.25" customHeight="1">
      <c r="A3552" s="17">
        <v>13551</v>
      </c>
      <c r="B3552" s="18">
        <v>45938</v>
      </c>
      <c r="C3552" s="17" t="s">
        <v>45</v>
      </c>
      <c r="D3552" s="17" t="s">
        <v>111</v>
      </c>
      <c r="E3552" s="17" t="s">
        <v>168</v>
      </c>
      <c r="F3552" s="17" t="s">
        <v>163</v>
      </c>
      <c r="G3552" s="17">
        <v>9</v>
      </c>
      <c r="H3552" s="17">
        <v>47701</v>
      </c>
      <c r="I3552" s="17">
        <v>429309</v>
      </c>
      <c r="J3552" s="17">
        <v>2519</v>
      </c>
      <c r="K3552" s="17">
        <v>426790</v>
      </c>
      <c r="L3552" s="17">
        <v>84150.988270000002</v>
      </c>
      <c r="M3552" s="17">
        <v>2025</v>
      </c>
      <c r="N3552" s="17" t="s">
        <v>174</v>
      </c>
    </row>
    <row r="3553" spans="1:14" ht="14.25" customHeight="1">
      <c r="A3553" s="17">
        <v>13552</v>
      </c>
      <c r="B3553" s="18">
        <v>45870</v>
      </c>
      <c r="C3553" s="17" t="s">
        <v>167</v>
      </c>
      <c r="D3553" s="17" t="s">
        <v>83</v>
      </c>
      <c r="E3553" s="17" t="s">
        <v>165</v>
      </c>
      <c r="F3553" s="17" t="s">
        <v>163</v>
      </c>
      <c r="G3553" s="17">
        <v>7</v>
      </c>
      <c r="H3553" s="17">
        <v>18261</v>
      </c>
      <c r="I3553" s="17">
        <v>127827</v>
      </c>
      <c r="J3553" s="17">
        <v>961</v>
      </c>
      <c r="K3553" s="17">
        <v>126866</v>
      </c>
      <c r="L3553" s="17">
        <v>24751.584330000002</v>
      </c>
      <c r="M3553" s="17">
        <v>2025</v>
      </c>
      <c r="N3553" s="17" t="s">
        <v>126</v>
      </c>
    </row>
    <row r="3554" spans="1:14" ht="14.25" customHeight="1">
      <c r="A3554" s="17">
        <v>13553</v>
      </c>
      <c r="B3554" s="18">
        <v>45356</v>
      </c>
      <c r="C3554" s="17" t="s">
        <v>39</v>
      </c>
      <c r="D3554" s="17" t="s">
        <v>111</v>
      </c>
      <c r="E3554" s="17" t="s">
        <v>162</v>
      </c>
      <c r="F3554" s="17" t="s">
        <v>166</v>
      </c>
      <c r="G3554" s="17">
        <v>4</v>
      </c>
      <c r="H3554" s="17">
        <v>18209</v>
      </c>
      <c r="I3554" s="17">
        <v>72836</v>
      </c>
      <c r="J3554" s="17">
        <v>3749</v>
      </c>
      <c r="K3554" s="17">
        <v>69087</v>
      </c>
      <c r="L3554" s="17">
        <v>7648.9122690000004</v>
      </c>
      <c r="M3554" s="17">
        <v>2024</v>
      </c>
      <c r="N3554" s="17" t="s">
        <v>112</v>
      </c>
    </row>
    <row r="3555" spans="1:14" ht="14.25" customHeight="1">
      <c r="A3555" s="17">
        <v>13554</v>
      </c>
      <c r="B3555" s="18">
        <v>45583</v>
      </c>
      <c r="C3555" s="17" t="s">
        <v>58</v>
      </c>
      <c r="D3555" s="17" t="s">
        <v>86</v>
      </c>
      <c r="E3555" s="17" t="s">
        <v>168</v>
      </c>
      <c r="F3555" s="17" t="s">
        <v>172</v>
      </c>
      <c r="G3555" s="17">
        <v>8</v>
      </c>
      <c r="H3555" s="17">
        <v>33647</v>
      </c>
      <c r="I3555" s="17">
        <v>269176</v>
      </c>
      <c r="J3555" s="17">
        <v>4565</v>
      </c>
      <c r="K3555" s="17">
        <v>264611</v>
      </c>
      <c r="L3555" s="17">
        <v>33243.66747</v>
      </c>
      <c r="M3555" s="17">
        <v>2024</v>
      </c>
      <c r="N3555" s="17" t="s">
        <v>174</v>
      </c>
    </row>
    <row r="3556" spans="1:14" ht="14.25" customHeight="1">
      <c r="A3556" s="17">
        <v>13555</v>
      </c>
      <c r="B3556" s="18">
        <v>45316</v>
      </c>
      <c r="C3556" s="17" t="s">
        <v>167</v>
      </c>
      <c r="D3556" s="17" t="s">
        <v>111</v>
      </c>
      <c r="E3556" s="17" t="s">
        <v>162</v>
      </c>
      <c r="F3556" s="17" t="s">
        <v>166</v>
      </c>
      <c r="G3556" s="17">
        <v>3</v>
      </c>
      <c r="H3556" s="17">
        <v>13221</v>
      </c>
      <c r="I3556" s="17">
        <v>39663</v>
      </c>
      <c r="J3556" s="17">
        <v>2814</v>
      </c>
      <c r="K3556" s="17">
        <v>36849</v>
      </c>
      <c r="L3556" s="17">
        <v>6316.7797549999996</v>
      </c>
      <c r="M3556" s="17">
        <v>2024</v>
      </c>
      <c r="N3556" s="17" t="s">
        <v>171</v>
      </c>
    </row>
    <row r="3557" spans="1:14" ht="14.25" customHeight="1">
      <c r="A3557" s="17">
        <v>13556</v>
      </c>
      <c r="B3557" s="18">
        <v>45840</v>
      </c>
      <c r="C3557" s="17" t="s">
        <v>45</v>
      </c>
      <c r="D3557" s="17" t="s">
        <v>170</v>
      </c>
      <c r="E3557" s="17" t="s">
        <v>162</v>
      </c>
      <c r="F3557" s="17" t="s">
        <v>166</v>
      </c>
      <c r="G3557" s="17">
        <v>3</v>
      </c>
      <c r="H3557" s="17">
        <v>52833</v>
      </c>
      <c r="I3557" s="17">
        <v>158499</v>
      </c>
      <c r="J3557" s="17">
        <v>589</v>
      </c>
      <c r="K3557" s="17">
        <v>157910</v>
      </c>
      <c r="L3557" s="17">
        <v>26370.281220000001</v>
      </c>
      <c r="M3557" s="17">
        <v>2025</v>
      </c>
      <c r="N3557" s="17" t="s">
        <v>123</v>
      </c>
    </row>
    <row r="3558" spans="1:14" ht="14.25" customHeight="1">
      <c r="A3558" s="17">
        <v>13557</v>
      </c>
      <c r="B3558" s="18">
        <v>45292</v>
      </c>
      <c r="C3558" s="17" t="s">
        <v>50</v>
      </c>
      <c r="D3558" s="17" t="s">
        <v>170</v>
      </c>
      <c r="E3558" s="17" t="s">
        <v>168</v>
      </c>
      <c r="F3558" s="17" t="s">
        <v>166</v>
      </c>
      <c r="G3558" s="17">
        <v>7</v>
      </c>
      <c r="H3558" s="17">
        <v>30557</v>
      </c>
      <c r="I3558" s="17">
        <v>213899</v>
      </c>
      <c r="J3558" s="17">
        <v>1988</v>
      </c>
      <c r="K3558" s="17">
        <v>211911</v>
      </c>
      <c r="L3558" s="17">
        <v>45107.93174</v>
      </c>
      <c r="M3558" s="17">
        <v>2024</v>
      </c>
      <c r="N3558" s="17" t="s">
        <v>171</v>
      </c>
    </row>
    <row r="3559" spans="1:14" ht="14.25" customHeight="1">
      <c r="A3559" s="17">
        <v>13558</v>
      </c>
      <c r="B3559" s="18">
        <v>45840</v>
      </c>
      <c r="C3559" s="17" t="s">
        <v>39</v>
      </c>
      <c r="D3559" s="17" t="s">
        <v>86</v>
      </c>
      <c r="E3559" s="17" t="s">
        <v>165</v>
      </c>
      <c r="F3559" s="17" t="s">
        <v>172</v>
      </c>
      <c r="G3559" s="17">
        <v>9</v>
      </c>
      <c r="H3559" s="17">
        <v>12526</v>
      </c>
      <c r="I3559" s="17">
        <v>112734</v>
      </c>
      <c r="J3559" s="17">
        <v>2839</v>
      </c>
      <c r="K3559" s="17">
        <v>109895</v>
      </c>
      <c r="L3559" s="17">
        <v>17375.715</v>
      </c>
      <c r="M3559" s="17">
        <v>2025</v>
      </c>
      <c r="N3559" s="17" t="s">
        <v>123</v>
      </c>
    </row>
    <row r="3560" spans="1:14" ht="14.25" customHeight="1">
      <c r="A3560" s="17">
        <v>13559</v>
      </c>
      <c r="B3560" s="18">
        <v>45432</v>
      </c>
      <c r="C3560" s="17" t="s">
        <v>58</v>
      </c>
      <c r="D3560" s="17" t="s">
        <v>86</v>
      </c>
      <c r="E3560" s="17" t="s">
        <v>168</v>
      </c>
      <c r="F3560" s="17" t="s">
        <v>172</v>
      </c>
      <c r="G3560" s="17">
        <v>4</v>
      </c>
      <c r="H3560" s="17">
        <v>6251</v>
      </c>
      <c r="I3560" s="17">
        <v>25004</v>
      </c>
      <c r="J3560" s="17">
        <v>3865</v>
      </c>
      <c r="K3560" s="17">
        <v>21139</v>
      </c>
      <c r="L3560" s="17">
        <v>4217.1255620000002</v>
      </c>
      <c r="M3560" s="17">
        <v>2024</v>
      </c>
      <c r="N3560" s="17" t="s">
        <v>117</v>
      </c>
    </row>
    <row r="3561" spans="1:14" ht="14.25" customHeight="1">
      <c r="A3561" s="17">
        <v>13560</v>
      </c>
      <c r="B3561" s="18">
        <v>45939</v>
      </c>
      <c r="C3561" s="17" t="s">
        <v>167</v>
      </c>
      <c r="D3561" s="17" t="s">
        <v>89</v>
      </c>
      <c r="E3561" s="17" t="s">
        <v>165</v>
      </c>
      <c r="F3561" s="17" t="s">
        <v>166</v>
      </c>
      <c r="G3561" s="17">
        <v>4</v>
      </c>
      <c r="H3561" s="17">
        <v>37588</v>
      </c>
      <c r="I3561" s="17">
        <v>150352</v>
      </c>
      <c r="J3561" s="17">
        <v>2433</v>
      </c>
      <c r="K3561" s="17">
        <v>147919</v>
      </c>
      <c r="L3561" s="17">
        <v>30421.543839999998</v>
      </c>
      <c r="M3561" s="17">
        <v>2025</v>
      </c>
      <c r="N3561" s="17" t="s">
        <v>174</v>
      </c>
    </row>
    <row r="3562" spans="1:14" ht="14.25" customHeight="1">
      <c r="A3562" s="17">
        <v>13561</v>
      </c>
      <c r="B3562" s="18">
        <v>45479</v>
      </c>
      <c r="C3562" s="17" t="s">
        <v>167</v>
      </c>
      <c r="D3562" s="17" t="s">
        <v>83</v>
      </c>
      <c r="E3562" s="17" t="s">
        <v>162</v>
      </c>
      <c r="F3562" s="17" t="s">
        <v>163</v>
      </c>
      <c r="G3562" s="17">
        <v>1</v>
      </c>
      <c r="H3562" s="17">
        <v>59492</v>
      </c>
      <c r="I3562" s="17">
        <v>59492</v>
      </c>
      <c r="J3562" s="17">
        <v>2989</v>
      </c>
      <c r="K3562" s="17">
        <v>56503</v>
      </c>
      <c r="L3562" s="17">
        <v>11116.997960000001</v>
      </c>
      <c r="M3562" s="17">
        <v>2024</v>
      </c>
      <c r="N3562" s="17" t="s">
        <v>123</v>
      </c>
    </row>
    <row r="3563" spans="1:14" ht="14.25" customHeight="1">
      <c r="A3563" s="17">
        <v>13562</v>
      </c>
      <c r="B3563" s="18">
        <v>45419</v>
      </c>
      <c r="C3563" s="17" t="s">
        <v>39</v>
      </c>
      <c r="D3563" s="17" t="s">
        <v>83</v>
      </c>
      <c r="E3563" s="17" t="s">
        <v>162</v>
      </c>
      <c r="F3563" s="17" t="s">
        <v>163</v>
      </c>
      <c r="G3563" s="17">
        <v>1</v>
      </c>
      <c r="H3563" s="17">
        <v>11889</v>
      </c>
      <c r="I3563" s="17">
        <v>11889</v>
      </c>
      <c r="J3563" s="17">
        <v>3948</v>
      </c>
      <c r="K3563" s="17">
        <v>7941</v>
      </c>
      <c r="L3563" s="17">
        <v>1504.1749749999999</v>
      </c>
      <c r="M3563" s="17">
        <v>2024</v>
      </c>
      <c r="N3563" s="17" t="s">
        <v>117</v>
      </c>
    </row>
    <row r="3564" spans="1:14" ht="14.25" customHeight="1">
      <c r="A3564" s="17">
        <v>13563</v>
      </c>
      <c r="B3564" s="18">
        <v>45492</v>
      </c>
      <c r="C3564" s="17" t="s">
        <v>50</v>
      </c>
      <c r="D3564" s="17" t="s">
        <v>83</v>
      </c>
      <c r="E3564" s="17" t="s">
        <v>162</v>
      </c>
      <c r="F3564" s="17" t="s">
        <v>172</v>
      </c>
      <c r="G3564" s="17">
        <v>3</v>
      </c>
      <c r="H3564" s="17">
        <v>34146</v>
      </c>
      <c r="I3564" s="17">
        <v>102438</v>
      </c>
      <c r="J3564" s="17">
        <v>4541</v>
      </c>
      <c r="K3564" s="17">
        <v>97897</v>
      </c>
      <c r="L3564" s="17">
        <v>21620.799360000001</v>
      </c>
      <c r="M3564" s="17">
        <v>2024</v>
      </c>
      <c r="N3564" s="17" t="s">
        <v>123</v>
      </c>
    </row>
    <row r="3565" spans="1:14" ht="14.25" customHeight="1">
      <c r="A3565" s="17">
        <v>13564</v>
      </c>
      <c r="B3565" s="18">
        <v>45418</v>
      </c>
      <c r="C3565" s="17" t="s">
        <v>45</v>
      </c>
      <c r="D3565" s="17" t="s">
        <v>170</v>
      </c>
      <c r="E3565" s="17" t="s">
        <v>165</v>
      </c>
      <c r="F3565" s="17" t="s">
        <v>164</v>
      </c>
      <c r="G3565" s="17">
        <v>7</v>
      </c>
      <c r="H3565" s="17">
        <v>57318</v>
      </c>
      <c r="I3565" s="17">
        <v>401226</v>
      </c>
      <c r="J3565" s="17">
        <v>1960</v>
      </c>
      <c r="K3565" s="17">
        <v>399266</v>
      </c>
      <c r="L3565" s="17">
        <v>79280.670929999993</v>
      </c>
      <c r="M3565" s="17">
        <v>2024</v>
      </c>
      <c r="N3565" s="17" t="s">
        <v>117</v>
      </c>
    </row>
    <row r="3566" spans="1:14" ht="14.25" customHeight="1">
      <c r="A3566" s="17">
        <v>13565</v>
      </c>
      <c r="B3566" s="18">
        <v>45548</v>
      </c>
      <c r="C3566" s="17" t="s">
        <v>50</v>
      </c>
      <c r="D3566" s="17" t="s">
        <v>83</v>
      </c>
      <c r="E3566" s="17" t="s">
        <v>168</v>
      </c>
      <c r="F3566" s="17" t="s">
        <v>166</v>
      </c>
      <c r="G3566" s="17">
        <v>9</v>
      </c>
      <c r="H3566" s="17">
        <v>78588</v>
      </c>
      <c r="I3566" s="17">
        <v>707292</v>
      </c>
      <c r="J3566" s="17">
        <v>4194</v>
      </c>
      <c r="K3566" s="17">
        <v>703098</v>
      </c>
      <c r="L3566" s="17">
        <v>158286.80179999999</v>
      </c>
      <c r="M3566" s="17">
        <v>2024</v>
      </c>
      <c r="N3566" s="17" t="s">
        <v>129</v>
      </c>
    </row>
    <row r="3567" spans="1:14" ht="14.25" customHeight="1">
      <c r="A3567" s="17">
        <v>13566</v>
      </c>
      <c r="B3567" s="18">
        <v>45967</v>
      </c>
      <c r="C3567" s="17" t="s">
        <v>50</v>
      </c>
      <c r="D3567" s="17" t="s">
        <v>89</v>
      </c>
      <c r="E3567" s="17" t="s">
        <v>165</v>
      </c>
      <c r="F3567" s="17" t="s">
        <v>166</v>
      </c>
      <c r="G3567" s="17">
        <v>4</v>
      </c>
      <c r="H3567" s="17">
        <v>42638</v>
      </c>
      <c r="I3567" s="17">
        <v>170552</v>
      </c>
      <c r="J3567" s="17">
        <v>654</v>
      </c>
      <c r="K3567" s="17">
        <v>169898</v>
      </c>
      <c r="L3567" s="17">
        <v>33215.539640000003</v>
      </c>
      <c r="M3567" s="17">
        <v>2025</v>
      </c>
      <c r="N3567" s="17" t="s">
        <v>173</v>
      </c>
    </row>
    <row r="3568" spans="1:14" ht="14.25" customHeight="1">
      <c r="A3568" s="17">
        <v>13567</v>
      </c>
      <c r="B3568" s="18">
        <v>45838</v>
      </c>
      <c r="C3568" s="17" t="s">
        <v>50</v>
      </c>
      <c r="D3568" s="17" t="s">
        <v>89</v>
      </c>
      <c r="E3568" s="17" t="s">
        <v>162</v>
      </c>
      <c r="F3568" s="17" t="s">
        <v>164</v>
      </c>
      <c r="G3568" s="17">
        <v>2</v>
      </c>
      <c r="H3568" s="17">
        <v>6147</v>
      </c>
      <c r="I3568" s="17">
        <v>12294</v>
      </c>
      <c r="J3568" s="17">
        <v>1078</v>
      </c>
      <c r="K3568" s="17">
        <v>11216</v>
      </c>
      <c r="L3568" s="17">
        <v>1389.056204</v>
      </c>
      <c r="M3568" s="17">
        <v>2025</v>
      </c>
      <c r="N3568" s="17" t="s">
        <v>120</v>
      </c>
    </row>
    <row r="3569" spans="1:14" ht="14.25" customHeight="1">
      <c r="A3569" s="17">
        <v>13568</v>
      </c>
      <c r="B3569" s="18">
        <v>45485</v>
      </c>
      <c r="C3569" s="17" t="s">
        <v>39</v>
      </c>
      <c r="D3569" s="17" t="s">
        <v>83</v>
      </c>
      <c r="E3569" s="17" t="s">
        <v>162</v>
      </c>
      <c r="F3569" s="17" t="s">
        <v>172</v>
      </c>
      <c r="G3569" s="17">
        <v>6</v>
      </c>
      <c r="H3569" s="17">
        <v>7847</v>
      </c>
      <c r="I3569" s="17">
        <v>47082</v>
      </c>
      <c r="J3569" s="17">
        <v>3074</v>
      </c>
      <c r="K3569" s="17">
        <v>44008</v>
      </c>
      <c r="L3569" s="17">
        <v>6443.5110169999998</v>
      </c>
      <c r="M3569" s="17">
        <v>2024</v>
      </c>
      <c r="N3569" s="17" t="s">
        <v>123</v>
      </c>
    </row>
    <row r="3570" spans="1:14" ht="14.25" customHeight="1">
      <c r="A3570" s="17">
        <v>13569</v>
      </c>
      <c r="B3570" s="18">
        <v>45994</v>
      </c>
      <c r="C3570" s="17" t="s">
        <v>39</v>
      </c>
      <c r="D3570" s="17" t="s">
        <v>86</v>
      </c>
      <c r="E3570" s="17" t="s">
        <v>168</v>
      </c>
      <c r="F3570" s="17" t="s">
        <v>163</v>
      </c>
      <c r="G3570" s="17">
        <v>6</v>
      </c>
      <c r="H3570" s="17">
        <v>65335</v>
      </c>
      <c r="I3570" s="17">
        <v>392010</v>
      </c>
      <c r="J3570" s="17">
        <v>1355</v>
      </c>
      <c r="K3570" s="17">
        <v>390655</v>
      </c>
      <c r="L3570" s="17">
        <v>58423.744359999997</v>
      </c>
      <c r="M3570" s="17">
        <v>2025</v>
      </c>
      <c r="N3570" s="17" t="s">
        <v>169</v>
      </c>
    </row>
    <row r="3571" spans="1:14" ht="14.25" customHeight="1">
      <c r="A3571" s="17">
        <v>13570</v>
      </c>
      <c r="B3571" s="18">
        <v>45395</v>
      </c>
      <c r="C3571" s="17" t="s">
        <v>45</v>
      </c>
      <c r="D3571" s="17" t="s">
        <v>89</v>
      </c>
      <c r="E3571" s="17" t="s">
        <v>165</v>
      </c>
      <c r="F3571" s="17" t="s">
        <v>172</v>
      </c>
      <c r="G3571" s="17">
        <v>9</v>
      </c>
      <c r="H3571" s="17">
        <v>38388</v>
      </c>
      <c r="I3571" s="17">
        <v>345492</v>
      </c>
      <c r="J3571" s="17">
        <v>1458</v>
      </c>
      <c r="K3571" s="17">
        <v>344034</v>
      </c>
      <c r="L3571" s="17">
        <v>39249.917260000002</v>
      </c>
      <c r="M3571" s="17">
        <v>2024</v>
      </c>
      <c r="N3571" s="17" t="s">
        <v>114</v>
      </c>
    </row>
    <row r="3572" spans="1:14" ht="14.25" customHeight="1">
      <c r="A3572" s="17">
        <v>13571</v>
      </c>
      <c r="B3572" s="18">
        <v>45826</v>
      </c>
      <c r="C3572" s="17" t="s">
        <v>50</v>
      </c>
      <c r="D3572" s="17" t="s">
        <v>86</v>
      </c>
      <c r="E3572" s="17" t="s">
        <v>162</v>
      </c>
      <c r="F3572" s="17" t="s">
        <v>163</v>
      </c>
      <c r="G3572" s="17">
        <v>4</v>
      </c>
      <c r="H3572" s="17">
        <v>69347</v>
      </c>
      <c r="I3572" s="17">
        <v>277388</v>
      </c>
      <c r="J3572" s="17">
        <v>3282</v>
      </c>
      <c r="K3572" s="17">
        <v>274106</v>
      </c>
      <c r="L3572" s="17">
        <v>55875.4113</v>
      </c>
      <c r="M3572" s="17">
        <v>2025</v>
      </c>
      <c r="N3572" s="17" t="s">
        <v>120</v>
      </c>
    </row>
    <row r="3573" spans="1:14" ht="14.25" customHeight="1">
      <c r="A3573" s="17">
        <v>13572</v>
      </c>
      <c r="B3573" s="18">
        <v>45556</v>
      </c>
      <c r="C3573" s="17" t="s">
        <v>39</v>
      </c>
      <c r="D3573" s="17" t="s">
        <v>170</v>
      </c>
      <c r="E3573" s="17" t="s">
        <v>165</v>
      </c>
      <c r="F3573" s="17" t="s">
        <v>163</v>
      </c>
      <c r="G3573" s="17">
        <v>8</v>
      </c>
      <c r="H3573" s="17">
        <v>44983</v>
      </c>
      <c r="I3573" s="17">
        <v>359864</v>
      </c>
      <c r="J3573" s="17">
        <v>4912</v>
      </c>
      <c r="K3573" s="17">
        <v>354952</v>
      </c>
      <c r="L3573" s="17">
        <v>67180.583740000002</v>
      </c>
      <c r="M3573" s="17">
        <v>2024</v>
      </c>
      <c r="N3573" s="17" t="s">
        <v>129</v>
      </c>
    </row>
    <row r="3574" spans="1:14" ht="14.25" customHeight="1">
      <c r="A3574" s="17">
        <v>13573</v>
      </c>
      <c r="B3574" s="18">
        <v>45675</v>
      </c>
      <c r="C3574" s="17" t="s">
        <v>45</v>
      </c>
      <c r="D3574" s="17" t="s">
        <v>89</v>
      </c>
      <c r="E3574" s="17" t="s">
        <v>165</v>
      </c>
      <c r="F3574" s="17" t="s">
        <v>172</v>
      </c>
      <c r="G3574" s="17">
        <v>3</v>
      </c>
      <c r="H3574" s="17">
        <v>48820</v>
      </c>
      <c r="I3574" s="17">
        <v>146460</v>
      </c>
      <c r="J3574" s="17">
        <v>4756</v>
      </c>
      <c r="K3574" s="17">
        <v>141704</v>
      </c>
      <c r="L3574" s="17">
        <v>26705.994719999999</v>
      </c>
      <c r="M3574" s="17">
        <v>2025</v>
      </c>
      <c r="N3574" s="17" t="s">
        <v>171</v>
      </c>
    </row>
    <row r="3575" spans="1:14" ht="14.25" customHeight="1">
      <c r="A3575" s="17">
        <v>13574</v>
      </c>
      <c r="B3575" s="18">
        <v>45551</v>
      </c>
      <c r="C3575" s="17" t="s">
        <v>45</v>
      </c>
      <c r="D3575" s="17" t="s">
        <v>86</v>
      </c>
      <c r="E3575" s="17" t="s">
        <v>168</v>
      </c>
      <c r="F3575" s="17" t="s">
        <v>166</v>
      </c>
      <c r="G3575" s="17">
        <v>2</v>
      </c>
      <c r="H3575" s="17">
        <v>31076</v>
      </c>
      <c r="I3575" s="17">
        <v>62152</v>
      </c>
      <c r="J3575" s="17">
        <v>4695</v>
      </c>
      <c r="K3575" s="17">
        <v>57457</v>
      </c>
      <c r="L3575" s="17">
        <v>9869.8252869999997</v>
      </c>
      <c r="M3575" s="17">
        <v>2024</v>
      </c>
      <c r="N3575" s="17" t="s">
        <v>129</v>
      </c>
    </row>
    <row r="3576" spans="1:14" ht="14.25" customHeight="1">
      <c r="A3576" s="17">
        <v>13575</v>
      </c>
      <c r="B3576" s="18">
        <v>45705</v>
      </c>
      <c r="C3576" s="17" t="s">
        <v>50</v>
      </c>
      <c r="D3576" s="17" t="s">
        <v>83</v>
      </c>
      <c r="E3576" s="17" t="s">
        <v>168</v>
      </c>
      <c r="F3576" s="17" t="s">
        <v>166</v>
      </c>
      <c r="G3576" s="17">
        <v>9</v>
      </c>
      <c r="H3576" s="17">
        <v>35752</v>
      </c>
      <c r="I3576" s="17">
        <v>321768</v>
      </c>
      <c r="J3576" s="17">
        <v>919</v>
      </c>
      <c r="K3576" s="17">
        <v>320849</v>
      </c>
      <c r="L3576" s="17">
        <v>58224.049010000002</v>
      </c>
      <c r="M3576" s="17">
        <v>2025</v>
      </c>
      <c r="N3576" s="17" t="s">
        <v>175</v>
      </c>
    </row>
    <row r="3577" spans="1:14" ht="14.25" customHeight="1">
      <c r="A3577" s="17">
        <v>13576</v>
      </c>
      <c r="B3577" s="18">
        <v>45649</v>
      </c>
      <c r="C3577" s="17" t="s">
        <v>58</v>
      </c>
      <c r="D3577" s="17" t="s">
        <v>170</v>
      </c>
      <c r="E3577" s="17" t="s">
        <v>162</v>
      </c>
      <c r="F3577" s="17" t="s">
        <v>166</v>
      </c>
      <c r="G3577" s="17">
        <v>6</v>
      </c>
      <c r="H3577" s="17">
        <v>65533</v>
      </c>
      <c r="I3577" s="17">
        <v>393198</v>
      </c>
      <c r="J3577" s="17">
        <v>1746</v>
      </c>
      <c r="K3577" s="17">
        <v>391452</v>
      </c>
      <c r="L3577" s="17">
        <v>39620.067969999996</v>
      </c>
      <c r="M3577" s="17">
        <v>2024</v>
      </c>
      <c r="N3577" s="17" t="s">
        <v>169</v>
      </c>
    </row>
    <row r="3578" spans="1:14" ht="14.25" customHeight="1">
      <c r="A3578" s="17">
        <v>13577</v>
      </c>
      <c r="B3578" s="18">
        <v>45366</v>
      </c>
      <c r="C3578" s="17" t="s">
        <v>50</v>
      </c>
      <c r="D3578" s="17" t="s">
        <v>111</v>
      </c>
      <c r="E3578" s="17" t="s">
        <v>168</v>
      </c>
      <c r="F3578" s="17" t="s">
        <v>163</v>
      </c>
      <c r="G3578" s="17">
        <v>8</v>
      </c>
      <c r="H3578" s="17">
        <v>21003</v>
      </c>
      <c r="I3578" s="17">
        <v>168024</v>
      </c>
      <c r="J3578" s="17">
        <v>1758</v>
      </c>
      <c r="K3578" s="17">
        <v>166266</v>
      </c>
      <c r="L3578" s="17">
        <v>19027.017230000001</v>
      </c>
      <c r="M3578" s="17">
        <v>2024</v>
      </c>
      <c r="N3578" s="17" t="s">
        <v>112</v>
      </c>
    </row>
    <row r="3579" spans="1:14" ht="14.25" customHeight="1">
      <c r="A3579" s="17">
        <v>13578</v>
      </c>
      <c r="B3579" s="18">
        <v>45646</v>
      </c>
      <c r="C3579" s="17" t="s">
        <v>58</v>
      </c>
      <c r="D3579" s="17" t="s">
        <v>111</v>
      </c>
      <c r="E3579" s="17" t="s">
        <v>165</v>
      </c>
      <c r="F3579" s="17" t="s">
        <v>166</v>
      </c>
      <c r="G3579" s="17">
        <v>9</v>
      </c>
      <c r="H3579" s="17">
        <v>77954</v>
      </c>
      <c r="I3579" s="17">
        <v>701586</v>
      </c>
      <c r="J3579" s="17">
        <v>1831</v>
      </c>
      <c r="K3579" s="17">
        <v>699755</v>
      </c>
      <c r="L3579" s="17">
        <v>141702.44870000001</v>
      </c>
      <c r="M3579" s="17">
        <v>2024</v>
      </c>
      <c r="N3579" s="17" t="s">
        <v>169</v>
      </c>
    </row>
    <row r="3580" spans="1:14" ht="14.25" customHeight="1">
      <c r="A3580" s="17">
        <v>13579</v>
      </c>
      <c r="B3580" s="18">
        <v>45875</v>
      </c>
      <c r="C3580" s="17" t="s">
        <v>45</v>
      </c>
      <c r="D3580" s="17" t="s">
        <v>83</v>
      </c>
      <c r="E3580" s="17" t="s">
        <v>168</v>
      </c>
      <c r="F3580" s="17" t="s">
        <v>163</v>
      </c>
      <c r="G3580" s="17">
        <v>1</v>
      </c>
      <c r="H3580" s="17">
        <v>22710</v>
      </c>
      <c r="I3580" s="17">
        <v>22710</v>
      </c>
      <c r="J3580" s="17">
        <v>1171</v>
      </c>
      <c r="K3580" s="17">
        <v>21539</v>
      </c>
      <c r="L3580" s="17">
        <v>2998.6600309999999</v>
      </c>
      <c r="M3580" s="17">
        <v>2025</v>
      </c>
      <c r="N3580" s="17" t="s">
        <v>126</v>
      </c>
    </row>
    <row r="3581" spans="1:14" ht="14.25" customHeight="1">
      <c r="A3581" s="17">
        <v>13580</v>
      </c>
      <c r="B3581" s="18">
        <v>45479</v>
      </c>
      <c r="C3581" s="17" t="s">
        <v>39</v>
      </c>
      <c r="D3581" s="17" t="s">
        <v>170</v>
      </c>
      <c r="E3581" s="17" t="s">
        <v>165</v>
      </c>
      <c r="F3581" s="17" t="s">
        <v>166</v>
      </c>
      <c r="G3581" s="17">
        <v>1</v>
      </c>
      <c r="H3581" s="17">
        <v>70657</v>
      </c>
      <c r="I3581" s="17">
        <v>70657</v>
      </c>
      <c r="J3581" s="17">
        <v>3278</v>
      </c>
      <c r="K3581" s="17">
        <v>67379</v>
      </c>
      <c r="L3581" s="17">
        <v>7828.5457219999998</v>
      </c>
      <c r="M3581" s="17">
        <v>2024</v>
      </c>
      <c r="N3581" s="17" t="s">
        <v>123</v>
      </c>
    </row>
    <row r="3582" spans="1:14" ht="14.25" customHeight="1">
      <c r="A3582" s="17">
        <v>13581</v>
      </c>
      <c r="B3582" s="18">
        <v>45976</v>
      </c>
      <c r="C3582" s="17" t="s">
        <v>167</v>
      </c>
      <c r="D3582" s="17" t="s">
        <v>170</v>
      </c>
      <c r="E3582" s="17" t="s">
        <v>162</v>
      </c>
      <c r="F3582" s="17" t="s">
        <v>172</v>
      </c>
      <c r="G3582" s="17">
        <v>5</v>
      </c>
      <c r="H3582" s="17">
        <v>42081</v>
      </c>
      <c r="I3582" s="17">
        <v>210405</v>
      </c>
      <c r="J3582" s="17">
        <v>359</v>
      </c>
      <c r="K3582" s="17">
        <v>210046</v>
      </c>
      <c r="L3582" s="17">
        <v>31359.508419999998</v>
      </c>
      <c r="M3582" s="17">
        <v>2025</v>
      </c>
      <c r="N3582" s="17" t="s">
        <v>173</v>
      </c>
    </row>
    <row r="3583" spans="1:14" ht="14.25" customHeight="1">
      <c r="A3583" s="17">
        <v>13582</v>
      </c>
      <c r="B3583" s="18">
        <v>45581</v>
      </c>
      <c r="C3583" s="17" t="s">
        <v>45</v>
      </c>
      <c r="D3583" s="17" t="s">
        <v>170</v>
      </c>
      <c r="E3583" s="17" t="s">
        <v>165</v>
      </c>
      <c r="F3583" s="17" t="s">
        <v>164</v>
      </c>
      <c r="G3583" s="17">
        <v>9</v>
      </c>
      <c r="H3583" s="17">
        <v>55228</v>
      </c>
      <c r="I3583" s="17">
        <v>497052</v>
      </c>
      <c r="J3583" s="17">
        <v>3810</v>
      </c>
      <c r="K3583" s="17">
        <v>493242</v>
      </c>
      <c r="L3583" s="17">
        <v>68152.422290000002</v>
      </c>
      <c r="M3583" s="17">
        <v>2024</v>
      </c>
      <c r="N3583" s="17" t="s">
        <v>174</v>
      </c>
    </row>
    <row r="3584" spans="1:14" ht="14.25" customHeight="1">
      <c r="A3584" s="17">
        <v>13583</v>
      </c>
      <c r="B3584" s="18">
        <v>45336</v>
      </c>
      <c r="C3584" s="17" t="s">
        <v>39</v>
      </c>
      <c r="D3584" s="17" t="s">
        <v>170</v>
      </c>
      <c r="E3584" s="17" t="s">
        <v>168</v>
      </c>
      <c r="F3584" s="17" t="s">
        <v>163</v>
      </c>
      <c r="G3584" s="17">
        <v>7</v>
      </c>
      <c r="H3584" s="17">
        <v>25655</v>
      </c>
      <c r="I3584" s="17">
        <v>179585</v>
      </c>
      <c r="J3584" s="17">
        <v>1440</v>
      </c>
      <c r="K3584" s="17">
        <v>178145</v>
      </c>
      <c r="L3584" s="17">
        <v>18599.38363</v>
      </c>
      <c r="M3584" s="17">
        <v>2024</v>
      </c>
      <c r="N3584" s="17" t="s">
        <v>175</v>
      </c>
    </row>
    <row r="3585" spans="1:14" ht="14.25" customHeight="1">
      <c r="A3585" s="17">
        <v>13584</v>
      </c>
      <c r="B3585" s="18">
        <v>45864</v>
      </c>
      <c r="C3585" s="17" t="s">
        <v>45</v>
      </c>
      <c r="D3585" s="17" t="s">
        <v>111</v>
      </c>
      <c r="E3585" s="17" t="s">
        <v>168</v>
      </c>
      <c r="F3585" s="17" t="s">
        <v>172</v>
      </c>
      <c r="G3585" s="17">
        <v>7</v>
      </c>
      <c r="H3585" s="17">
        <v>13483</v>
      </c>
      <c r="I3585" s="17">
        <v>94381</v>
      </c>
      <c r="J3585" s="17">
        <v>2919</v>
      </c>
      <c r="K3585" s="17">
        <v>91462</v>
      </c>
      <c r="L3585" s="17">
        <v>14778.765670000001</v>
      </c>
      <c r="M3585" s="17">
        <v>2025</v>
      </c>
      <c r="N3585" s="17" t="s">
        <v>123</v>
      </c>
    </row>
    <row r="3586" spans="1:14" ht="14.25" customHeight="1">
      <c r="A3586" s="17">
        <v>13585</v>
      </c>
      <c r="B3586" s="18">
        <v>45374</v>
      </c>
      <c r="C3586" s="17" t="s">
        <v>50</v>
      </c>
      <c r="D3586" s="17" t="s">
        <v>86</v>
      </c>
      <c r="E3586" s="17" t="s">
        <v>162</v>
      </c>
      <c r="F3586" s="17" t="s">
        <v>163</v>
      </c>
      <c r="G3586" s="17">
        <v>2</v>
      </c>
      <c r="H3586" s="17">
        <v>45094</v>
      </c>
      <c r="I3586" s="17">
        <v>90188</v>
      </c>
      <c r="J3586" s="17">
        <v>1719</v>
      </c>
      <c r="K3586" s="17">
        <v>88469</v>
      </c>
      <c r="L3586" s="17">
        <v>9205.5868929999997</v>
      </c>
      <c r="M3586" s="17">
        <v>2024</v>
      </c>
      <c r="N3586" s="17" t="s">
        <v>112</v>
      </c>
    </row>
    <row r="3587" spans="1:14" ht="14.25" customHeight="1">
      <c r="A3587" s="17">
        <v>13586</v>
      </c>
      <c r="B3587" s="18">
        <v>45414</v>
      </c>
      <c r="C3587" s="17" t="s">
        <v>58</v>
      </c>
      <c r="D3587" s="17" t="s">
        <v>170</v>
      </c>
      <c r="E3587" s="17" t="s">
        <v>168</v>
      </c>
      <c r="F3587" s="17" t="s">
        <v>163</v>
      </c>
      <c r="G3587" s="17">
        <v>3</v>
      </c>
      <c r="H3587" s="17">
        <v>46450</v>
      </c>
      <c r="I3587" s="17">
        <v>139350</v>
      </c>
      <c r="J3587" s="17">
        <v>3253</v>
      </c>
      <c r="K3587" s="17">
        <v>136097</v>
      </c>
      <c r="L3587" s="17">
        <v>13617.67915</v>
      </c>
      <c r="M3587" s="17">
        <v>2024</v>
      </c>
      <c r="N3587" s="17" t="s">
        <v>117</v>
      </c>
    </row>
    <row r="3588" spans="1:14" ht="14.25" customHeight="1">
      <c r="A3588" s="17">
        <v>13587</v>
      </c>
      <c r="B3588" s="18">
        <v>45649</v>
      </c>
      <c r="C3588" s="17" t="s">
        <v>45</v>
      </c>
      <c r="D3588" s="17" t="s">
        <v>86</v>
      </c>
      <c r="E3588" s="17" t="s">
        <v>162</v>
      </c>
      <c r="F3588" s="17" t="s">
        <v>172</v>
      </c>
      <c r="G3588" s="17">
        <v>4</v>
      </c>
      <c r="H3588" s="17">
        <v>30209</v>
      </c>
      <c r="I3588" s="17">
        <v>120836</v>
      </c>
      <c r="J3588" s="17">
        <v>555</v>
      </c>
      <c r="K3588" s="17">
        <v>120281</v>
      </c>
      <c r="L3588" s="17">
        <v>26326.030279999999</v>
      </c>
      <c r="M3588" s="17">
        <v>2024</v>
      </c>
      <c r="N3588" s="17" t="s">
        <v>169</v>
      </c>
    </row>
    <row r="3589" spans="1:14" ht="14.25" customHeight="1">
      <c r="A3589" s="17">
        <v>13588</v>
      </c>
      <c r="B3589" s="18">
        <v>45819</v>
      </c>
      <c r="C3589" s="17" t="s">
        <v>39</v>
      </c>
      <c r="D3589" s="17" t="s">
        <v>170</v>
      </c>
      <c r="E3589" s="17" t="s">
        <v>162</v>
      </c>
      <c r="F3589" s="17" t="s">
        <v>166</v>
      </c>
      <c r="G3589" s="17">
        <v>2</v>
      </c>
      <c r="H3589" s="17">
        <v>51316</v>
      </c>
      <c r="I3589" s="17">
        <v>102632</v>
      </c>
      <c r="J3589" s="17">
        <v>1233</v>
      </c>
      <c r="K3589" s="17">
        <v>101399</v>
      </c>
      <c r="L3589" s="17">
        <v>14930.571239999999</v>
      </c>
      <c r="M3589" s="17">
        <v>2025</v>
      </c>
      <c r="N3589" s="17" t="s">
        <v>120</v>
      </c>
    </row>
    <row r="3590" spans="1:14" ht="14.25" customHeight="1">
      <c r="A3590" s="17">
        <v>13589</v>
      </c>
      <c r="B3590" s="18">
        <v>45357</v>
      </c>
      <c r="C3590" s="17" t="s">
        <v>50</v>
      </c>
      <c r="D3590" s="17" t="s">
        <v>89</v>
      </c>
      <c r="E3590" s="17" t="s">
        <v>168</v>
      </c>
      <c r="F3590" s="17" t="s">
        <v>163</v>
      </c>
      <c r="G3590" s="17">
        <v>9</v>
      </c>
      <c r="H3590" s="17">
        <v>23556</v>
      </c>
      <c r="I3590" s="17">
        <v>212004</v>
      </c>
      <c r="J3590" s="17">
        <v>3920</v>
      </c>
      <c r="K3590" s="17">
        <v>208084</v>
      </c>
      <c r="L3590" s="17">
        <v>38524.246800000001</v>
      </c>
      <c r="M3590" s="17">
        <v>2024</v>
      </c>
      <c r="N3590" s="17" t="s">
        <v>112</v>
      </c>
    </row>
    <row r="3591" spans="1:14" ht="14.25" customHeight="1">
      <c r="A3591" s="17">
        <v>13590</v>
      </c>
      <c r="B3591" s="18">
        <v>45948</v>
      </c>
      <c r="C3591" s="17" t="s">
        <v>167</v>
      </c>
      <c r="D3591" s="17" t="s">
        <v>89</v>
      </c>
      <c r="E3591" s="17" t="s">
        <v>165</v>
      </c>
      <c r="F3591" s="17" t="s">
        <v>164</v>
      </c>
      <c r="G3591" s="17">
        <v>5</v>
      </c>
      <c r="H3591" s="17">
        <v>32962</v>
      </c>
      <c r="I3591" s="17">
        <v>164810</v>
      </c>
      <c r="J3591" s="17">
        <v>4039</v>
      </c>
      <c r="K3591" s="17">
        <v>160771</v>
      </c>
      <c r="L3591" s="17">
        <v>23257.553339999999</v>
      </c>
      <c r="M3591" s="17">
        <v>2025</v>
      </c>
      <c r="N3591" s="17" t="s">
        <v>174</v>
      </c>
    </row>
    <row r="3592" spans="1:14" ht="14.25" customHeight="1">
      <c r="A3592" s="17">
        <v>13591</v>
      </c>
      <c r="B3592" s="18">
        <v>45666</v>
      </c>
      <c r="C3592" s="17" t="s">
        <v>50</v>
      </c>
      <c r="D3592" s="17" t="s">
        <v>89</v>
      </c>
      <c r="E3592" s="17" t="s">
        <v>162</v>
      </c>
      <c r="F3592" s="17" t="s">
        <v>164</v>
      </c>
      <c r="G3592" s="17">
        <v>7</v>
      </c>
      <c r="H3592" s="17">
        <v>20638</v>
      </c>
      <c r="I3592" s="17">
        <v>144466</v>
      </c>
      <c r="J3592" s="17">
        <v>2297</v>
      </c>
      <c r="K3592" s="17">
        <v>142169</v>
      </c>
      <c r="L3592" s="17">
        <v>34049.98085</v>
      </c>
      <c r="M3592" s="17">
        <v>2025</v>
      </c>
      <c r="N3592" s="17" t="s">
        <v>171</v>
      </c>
    </row>
    <row r="3593" spans="1:14" ht="14.25" customHeight="1">
      <c r="A3593" s="17">
        <v>13592</v>
      </c>
      <c r="B3593" s="18">
        <v>45453</v>
      </c>
      <c r="C3593" s="17" t="s">
        <v>58</v>
      </c>
      <c r="D3593" s="17" t="s">
        <v>170</v>
      </c>
      <c r="E3593" s="17" t="s">
        <v>165</v>
      </c>
      <c r="F3593" s="17" t="s">
        <v>172</v>
      </c>
      <c r="G3593" s="17">
        <v>9</v>
      </c>
      <c r="H3593" s="17">
        <v>43754</v>
      </c>
      <c r="I3593" s="17">
        <v>393786</v>
      </c>
      <c r="J3593" s="17">
        <v>1535</v>
      </c>
      <c r="K3593" s="17">
        <v>392251</v>
      </c>
      <c r="L3593" s="17">
        <v>82128.410090000005</v>
      </c>
      <c r="M3593" s="17">
        <v>2024</v>
      </c>
      <c r="N3593" s="17" t="s">
        <v>120</v>
      </c>
    </row>
    <row r="3594" spans="1:14" ht="14.25" customHeight="1">
      <c r="A3594" s="17">
        <v>13593</v>
      </c>
      <c r="B3594" s="18">
        <v>45671</v>
      </c>
      <c r="C3594" s="17" t="s">
        <v>50</v>
      </c>
      <c r="D3594" s="17" t="s">
        <v>86</v>
      </c>
      <c r="E3594" s="17" t="s">
        <v>168</v>
      </c>
      <c r="F3594" s="17" t="s">
        <v>164</v>
      </c>
      <c r="G3594" s="17">
        <v>5</v>
      </c>
      <c r="H3594" s="17">
        <v>77617</v>
      </c>
      <c r="I3594" s="17">
        <v>388085</v>
      </c>
      <c r="J3594" s="17">
        <v>4058</v>
      </c>
      <c r="K3594" s="17">
        <v>384027</v>
      </c>
      <c r="L3594" s="17">
        <v>59668.401980000002</v>
      </c>
      <c r="M3594" s="17">
        <v>2025</v>
      </c>
      <c r="N3594" s="17" t="s">
        <v>171</v>
      </c>
    </row>
    <row r="3595" spans="1:14" ht="14.25" customHeight="1">
      <c r="A3595" s="17">
        <v>13594</v>
      </c>
      <c r="B3595" s="18">
        <v>45947</v>
      </c>
      <c r="C3595" s="17" t="s">
        <v>167</v>
      </c>
      <c r="D3595" s="17" t="s">
        <v>111</v>
      </c>
      <c r="E3595" s="17" t="s">
        <v>165</v>
      </c>
      <c r="F3595" s="17" t="s">
        <v>172</v>
      </c>
      <c r="G3595" s="17">
        <v>6</v>
      </c>
      <c r="H3595" s="17">
        <v>59376</v>
      </c>
      <c r="I3595" s="17">
        <v>356256</v>
      </c>
      <c r="J3595" s="17">
        <v>3302</v>
      </c>
      <c r="K3595" s="17">
        <v>352954</v>
      </c>
      <c r="L3595" s="17">
        <v>46446.641929999998</v>
      </c>
      <c r="M3595" s="17">
        <v>2025</v>
      </c>
      <c r="N3595" s="17" t="s">
        <v>174</v>
      </c>
    </row>
    <row r="3596" spans="1:14" ht="14.25" customHeight="1">
      <c r="A3596" s="17">
        <v>13595</v>
      </c>
      <c r="B3596" s="18">
        <v>45649</v>
      </c>
      <c r="C3596" s="17" t="s">
        <v>39</v>
      </c>
      <c r="D3596" s="17" t="s">
        <v>83</v>
      </c>
      <c r="E3596" s="17" t="s">
        <v>165</v>
      </c>
      <c r="F3596" s="17" t="s">
        <v>172</v>
      </c>
      <c r="G3596" s="17">
        <v>4</v>
      </c>
      <c r="H3596" s="17">
        <v>18353</v>
      </c>
      <c r="I3596" s="17">
        <v>73412</v>
      </c>
      <c r="J3596" s="17">
        <v>909</v>
      </c>
      <c r="K3596" s="17">
        <v>72503</v>
      </c>
      <c r="L3596" s="17">
        <v>8749.0064239999992</v>
      </c>
      <c r="M3596" s="17">
        <v>2024</v>
      </c>
      <c r="N3596" s="17" t="s">
        <v>169</v>
      </c>
    </row>
    <row r="3597" spans="1:14" ht="14.25" customHeight="1">
      <c r="A3597" s="17">
        <v>13596</v>
      </c>
      <c r="B3597" s="18">
        <v>45479</v>
      </c>
      <c r="C3597" s="17" t="s">
        <v>45</v>
      </c>
      <c r="D3597" s="17" t="s">
        <v>111</v>
      </c>
      <c r="E3597" s="17" t="s">
        <v>165</v>
      </c>
      <c r="F3597" s="17" t="s">
        <v>163</v>
      </c>
      <c r="G3597" s="17">
        <v>8</v>
      </c>
      <c r="H3597" s="17">
        <v>76296</v>
      </c>
      <c r="I3597" s="17">
        <v>610368</v>
      </c>
      <c r="J3597" s="17">
        <v>1961</v>
      </c>
      <c r="K3597" s="17">
        <v>608407</v>
      </c>
      <c r="L3597" s="17">
        <v>130419.8296</v>
      </c>
      <c r="M3597" s="17">
        <v>2024</v>
      </c>
      <c r="N3597" s="17" t="s">
        <v>123</v>
      </c>
    </row>
    <row r="3598" spans="1:14" ht="14.25" customHeight="1">
      <c r="A3598" s="17">
        <v>13597</v>
      </c>
      <c r="B3598" s="18">
        <v>45613</v>
      </c>
      <c r="C3598" s="17" t="s">
        <v>58</v>
      </c>
      <c r="D3598" s="17" t="s">
        <v>170</v>
      </c>
      <c r="E3598" s="17" t="s">
        <v>165</v>
      </c>
      <c r="F3598" s="17" t="s">
        <v>172</v>
      </c>
      <c r="G3598" s="17">
        <v>1</v>
      </c>
      <c r="H3598" s="17">
        <v>18771</v>
      </c>
      <c r="I3598" s="17">
        <v>18771</v>
      </c>
      <c r="J3598" s="17">
        <v>11</v>
      </c>
      <c r="K3598" s="17">
        <v>18760</v>
      </c>
      <c r="L3598" s="17">
        <v>3150.8454350000002</v>
      </c>
      <c r="M3598" s="17">
        <v>2024</v>
      </c>
      <c r="N3598" s="17" t="s">
        <v>173</v>
      </c>
    </row>
    <row r="3599" spans="1:14" ht="14.25" customHeight="1">
      <c r="A3599" s="17">
        <v>13598</v>
      </c>
      <c r="B3599" s="18">
        <v>45741</v>
      </c>
      <c r="C3599" s="17" t="s">
        <v>167</v>
      </c>
      <c r="D3599" s="17" t="s">
        <v>89</v>
      </c>
      <c r="E3599" s="17" t="s">
        <v>168</v>
      </c>
      <c r="F3599" s="17" t="s">
        <v>172</v>
      </c>
      <c r="G3599" s="17">
        <v>1</v>
      </c>
      <c r="H3599" s="17">
        <v>71026</v>
      </c>
      <c r="I3599" s="17">
        <v>71026</v>
      </c>
      <c r="J3599" s="17">
        <v>979</v>
      </c>
      <c r="K3599" s="17">
        <v>70047</v>
      </c>
      <c r="L3599" s="17">
        <v>9441.95082</v>
      </c>
      <c r="M3599" s="17">
        <v>2025</v>
      </c>
      <c r="N3599" s="17" t="s">
        <v>112</v>
      </c>
    </row>
    <row r="3600" spans="1:14" ht="14.25" customHeight="1">
      <c r="A3600" s="17">
        <v>13599</v>
      </c>
      <c r="B3600" s="18">
        <v>45765</v>
      </c>
      <c r="C3600" s="17" t="s">
        <v>58</v>
      </c>
      <c r="D3600" s="17" t="s">
        <v>89</v>
      </c>
      <c r="E3600" s="17" t="s">
        <v>168</v>
      </c>
      <c r="F3600" s="17" t="s">
        <v>166</v>
      </c>
      <c r="G3600" s="17">
        <v>5</v>
      </c>
      <c r="H3600" s="17">
        <v>9263</v>
      </c>
      <c r="I3600" s="17">
        <v>46315</v>
      </c>
      <c r="J3600" s="17">
        <v>272</v>
      </c>
      <c r="K3600" s="17">
        <v>46043</v>
      </c>
      <c r="L3600" s="17">
        <v>10955.65148</v>
      </c>
      <c r="M3600" s="17">
        <v>2025</v>
      </c>
      <c r="N3600" s="17" t="s">
        <v>114</v>
      </c>
    </row>
    <row r="3601" spans="1:14" ht="14.25" customHeight="1">
      <c r="A3601" s="17">
        <v>13600</v>
      </c>
      <c r="B3601" s="18">
        <v>45304</v>
      </c>
      <c r="C3601" s="17" t="s">
        <v>50</v>
      </c>
      <c r="D3601" s="17" t="s">
        <v>86</v>
      </c>
      <c r="E3601" s="17" t="s">
        <v>165</v>
      </c>
      <c r="F3601" s="17" t="s">
        <v>163</v>
      </c>
      <c r="G3601" s="17">
        <v>9</v>
      </c>
      <c r="H3601" s="17">
        <v>12769</v>
      </c>
      <c r="I3601" s="17">
        <v>114921</v>
      </c>
      <c r="J3601" s="17">
        <v>4583</v>
      </c>
      <c r="K3601" s="17">
        <v>110338</v>
      </c>
      <c r="L3601" s="17">
        <v>17490.168430000002</v>
      </c>
      <c r="M3601" s="17">
        <v>2024</v>
      </c>
      <c r="N3601" s="17" t="s">
        <v>171</v>
      </c>
    </row>
    <row r="3602" spans="1:14" ht="14.25" customHeight="1">
      <c r="A3602" s="17">
        <v>13601</v>
      </c>
      <c r="B3602" s="18">
        <v>45475</v>
      </c>
      <c r="C3602" s="17" t="s">
        <v>58</v>
      </c>
      <c r="D3602" s="17" t="s">
        <v>170</v>
      </c>
      <c r="E3602" s="17" t="s">
        <v>168</v>
      </c>
      <c r="F3602" s="17" t="s">
        <v>164</v>
      </c>
      <c r="G3602" s="17">
        <v>2</v>
      </c>
      <c r="H3602" s="17">
        <v>30334</v>
      </c>
      <c r="I3602" s="17">
        <v>60668</v>
      </c>
      <c r="J3602" s="17">
        <v>1997</v>
      </c>
      <c r="K3602" s="17">
        <v>58671</v>
      </c>
      <c r="L3602" s="17">
        <v>10650.18916</v>
      </c>
      <c r="M3602" s="17">
        <v>2024</v>
      </c>
      <c r="N3602" s="17" t="s">
        <v>123</v>
      </c>
    </row>
    <row r="3603" spans="1:14" ht="14.25" customHeight="1">
      <c r="A3603" s="17">
        <v>13602</v>
      </c>
      <c r="B3603" s="18">
        <v>45402</v>
      </c>
      <c r="C3603" s="17" t="s">
        <v>167</v>
      </c>
      <c r="D3603" s="17" t="s">
        <v>111</v>
      </c>
      <c r="E3603" s="17" t="s">
        <v>168</v>
      </c>
      <c r="F3603" s="17" t="s">
        <v>166</v>
      </c>
      <c r="G3603" s="17">
        <v>3</v>
      </c>
      <c r="H3603" s="17">
        <v>37749</v>
      </c>
      <c r="I3603" s="17">
        <v>113247</v>
      </c>
      <c r="J3603" s="17">
        <v>4633</v>
      </c>
      <c r="K3603" s="17">
        <v>108614</v>
      </c>
      <c r="L3603" s="17">
        <v>24836.750090000001</v>
      </c>
      <c r="M3603" s="17">
        <v>2024</v>
      </c>
      <c r="N3603" s="17" t="s">
        <v>114</v>
      </c>
    </row>
    <row r="3604" spans="1:14" ht="14.25" customHeight="1">
      <c r="A3604" s="17">
        <v>13603</v>
      </c>
      <c r="B3604" s="18">
        <v>45799</v>
      </c>
      <c r="C3604" s="17" t="s">
        <v>45</v>
      </c>
      <c r="D3604" s="17" t="s">
        <v>170</v>
      </c>
      <c r="E3604" s="17" t="s">
        <v>162</v>
      </c>
      <c r="F3604" s="17" t="s">
        <v>166</v>
      </c>
      <c r="G3604" s="17">
        <v>8</v>
      </c>
      <c r="H3604" s="17">
        <v>16635</v>
      </c>
      <c r="I3604" s="17">
        <v>133080</v>
      </c>
      <c r="J3604" s="17">
        <v>1688</v>
      </c>
      <c r="K3604" s="17">
        <v>131392</v>
      </c>
      <c r="L3604" s="17">
        <v>29564.02245</v>
      </c>
      <c r="M3604" s="17">
        <v>2025</v>
      </c>
      <c r="N3604" s="17" t="s">
        <v>117</v>
      </c>
    </row>
    <row r="3605" spans="1:14" ht="14.25" customHeight="1">
      <c r="A3605" s="17">
        <v>13604</v>
      </c>
      <c r="B3605" s="18">
        <v>45581</v>
      </c>
      <c r="C3605" s="17" t="s">
        <v>45</v>
      </c>
      <c r="D3605" s="17" t="s">
        <v>170</v>
      </c>
      <c r="E3605" s="17" t="s">
        <v>168</v>
      </c>
      <c r="F3605" s="17" t="s">
        <v>163</v>
      </c>
      <c r="G3605" s="17">
        <v>5</v>
      </c>
      <c r="H3605" s="17">
        <v>70110</v>
      </c>
      <c r="I3605" s="17">
        <v>350550</v>
      </c>
      <c r="J3605" s="17">
        <v>1595</v>
      </c>
      <c r="K3605" s="17">
        <v>348955</v>
      </c>
      <c r="L3605" s="17">
        <v>68288.066430000006</v>
      </c>
      <c r="M3605" s="17">
        <v>2024</v>
      </c>
      <c r="N3605" s="17" t="s">
        <v>174</v>
      </c>
    </row>
    <row r="3606" spans="1:14" ht="14.25" customHeight="1">
      <c r="A3606" s="17">
        <v>13605</v>
      </c>
      <c r="B3606" s="18">
        <v>45586</v>
      </c>
      <c r="C3606" s="17" t="s">
        <v>58</v>
      </c>
      <c r="D3606" s="17" t="s">
        <v>89</v>
      </c>
      <c r="E3606" s="17" t="s">
        <v>165</v>
      </c>
      <c r="F3606" s="17" t="s">
        <v>163</v>
      </c>
      <c r="G3606" s="17">
        <v>3</v>
      </c>
      <c r="H3606" s="17">
        <v>6904</v>
      </c>
      <c r="I3606" s="17">
        <v>20712</v>
      </c>
      <c r="J3606" s="17">
        <v>3242</v>
      </c>
      <c r="K3606" s="17">
        <v>17470</v>
      </c>
      <c r="L3606" s="17">
        <v>4075.6386240000002</v>
      </c>
      <c r="M3606" s="17">
        <v>2024</v>
      </c>
      <c r="N3606" s="17" t="s">
        <v>174</v>
      </c>
    </row>
    <row r="3607" spans="1:14" ht="14.25" customHeight="1">
      <c r="A3607" s="17">
        <v>13606</v>
      </c>
      <c r="B3607" s="18">
        <v>45742</v>
      </c>
      <c r="C3607" s="17" t="s">
        <v>39</v>
      </c>
      <c r="D3607" s="17" t="s">
        <v>111</v>
      </c>
      <c r="E3607" s="17" t="s">
        <v>168</v>
      </c>
      <c r="F3607" s="17" t="s">
        <v>166</v>
      </c>
      <c r="G3607" s="17">
        <v>6</v>
      </c>
      <c r="H3607" s="17">
        <v>75805</v>
      </c>
      <c r="I3607" s="17">
        <v>454830</v>
      </c>
      <c r="J3607" s="17">
        <v>4683</v>
      </c>
      <c r="K3607" s="17">
        <v>450147</v>
      </c>
      <c r="L3607" s="17">
        <v>109302.31969999999</v>
      </c>
      <c r="M3607" s="17">
        <v>2025</v>
      </c>
      <c r="N3607" s="17" t="s">
        <v>112</v>
      </c>
    </row>
    <row r="3608" spans="1:14" ht="14.25" customHeight="1">
      <c r="A3608" s="17">
        <v>13607</v>
      </c>
      <c r="B3608" s="18">
        <v>45506</v>
      </c>
      <c r="C3608" s="17" t="s">
        <v>58</v>
      </c>
      <c r="D3608" s="17" t="s">
        <v>83</v>
      </c>
      <c r="E3608" s="17" t="s">
        <v>168</v>
      </c>
      <c r="F3608" s="17" t="s">
        <v>163</v>
      </c>
      <c r="G3608" s="17">
        <v>6</v>
      </c>
      <c r="H3608" s="17">
        <v>35968</v>
      </c>
      <c r="I3608" s="17">
        <v>215808</v>
      </c>
      <c r="J3608" s="17">
        <v>1715</v>
      </c>
      <c r="K3608" s="17">
        <v>214093</v>
      </c>
      <c r="L3608" s="17">
        <v>51439.508560000002</v>
      </c>
      <c r="M3608" s="17">
        <v>2024</v>
      </c>
      <c r="N3608" s="17" t="s">
        <v>126</v>
      </c>
    </row>
    <row r="3609" spans="1:14" ht="14.25" customHeight="1">
      <c r="A3609" s="17">
        <v>13608</v>
      </c>
      <c r="B3609" s="18">
        <v>45923</v>
      </c>
      <c r="C3609" s="17" t="s">
        <v>50</v>
      </c>
      <c r="D3609" s="17" t="s">
        <v>89</v>
      </c>
      <c r="E3609" s="17" t="s">
        <v>168</v>
      </c>
      <c r="F3609" s="17" t="s">
        <v>163</v>
      </c>
      <c r="G3609" s="17">
        <v>5</v>
      </c>
      <c r="H3609" s="17">
        <v>6650</v>
      </c>
      <c r="I3609" s="17">
        <v>33250</v>
      </c>
      <c r="J3609" s="17">
        <v>4338</v>
      </c>
      <c r="K3609" s="17">
        <v>28912</v>
      </c>
      <c r="L3609" s="17">
        <v>4404.7750130000004</v>
      </c>
      <c r="M3609" s="17">
        <v>2025</v>
      </c>
      <c r="N3609" s="17" t="s">
        <v>129</v>
      </c>
    </row>
    <row r="3610" spans="1:14" ht="14.25" customHeight="1">
      <c r="A3610" s="17">
        <v>13609</v>
      </c>
      <c r="B3610" s="18">
        <v>45858</v>
      </c>
      <c r="C3610" s="17" t="s">
        <v>45</v>
      </c>
      <c r="D3610" s="17" t="s">
        <v>111</v>
      </c>
      <c r="E3610" s="17" t="s">
        <v>168</v>
      </c>
      <c r="F3610" s="17" t="s">
        <v>172</v>
      </c>
      <c r="G3610" s="17">
        <v>5</v>
      </c>
      <c r="H3610" s="17">
        <v>17467</v>
      </c>
      <c r="I3610" s="17">
        <v>87335</v>
      </c>
      <c r="J3610" s="17">
        <v>1201</v>
      </c>
      <c r="K3610" s="17">
        <v>86134</v>
      </c>
      <c r="L3610" s="17">
        <v>13744.89028</v>
      </c>
      <c r="M3610" s="17">
        <v>2025</v>
      </c>
      <c r="N3610" s="17" t="s">
        <v>123</v>
      </c>
    </row>
    <row r="3611" spans="1:14" ht="14.25" customHeight="1">
      <c r="A3611" s="17">
        <v>13610</v>
      </c>
      <c r="B3611" s="18">
        <v>45318</v>
      </c>
      <c r="C3611" s="17" t="s">
        <v>45</v>
      </c>
      <c r="D3611" s="17" t="s">
        <v>86</v>
      </c>
      <c r="E3611" s="17" t="s">
        <v>162</v>
      </c>
      <c r="F3611" s="17" t="s">
        <v>163</v>
      </c>
      <c r="G3611" s="17">
        <v>6</v>
      </c>
      <c r="H3611" s="17">
        <v>51900</v>
      </c>
      <c r="I3611" s="17">
        <v>311400</v>
      </c>
      <c r="J3611" s="17">
        <v>2845</v>
      </c>
      <c r="K3611" s="17">
        <v>308555</v>
      </c>
      <c r="L3611" s="17">
        <v>41986.800510000001</v>
      </c>
      <c r="M3611" s="17">
        <v>2024</v>
      </c>
      <c r="N3611" s="17" t="s">
        <v>171</v>
      </c>
    </row>
    <row r="3612" spans="1:14" ht="14.25" customHeight="1">
      <c r="A3612" s="17">
        <v>13611</v>
      </c>
      <c r="B3612" s="18">
        <v>45921</v>
      </c>
      <c r="C3612" s="17" t="s">
        <v>45</v>
      </c>
      <c r="D3612" s="17" t="s">
        <v>89</v>
      </c>
      <c r="E3612" s="17" t="s">
        <v>165</v>
      </c>
      <c r="F3612" s="17" t="s">
        <v>172</v>
      </c>
      <c r="G3612" s="17">
        <v>2</v>
      </c>
      <c r="H3612" s="17">
        <v>40518</v>
      </c>
      <c r="I3612" s="17">
        <v>81036</v>
      </c>
      <c r="J3612" s="17">
        <v>256</v>
      </c>
      <c r="K3612" s="17">
        <v>80780</v>
      </c>
      <c r="L3612" s="17">
        <v>18217.86721</v>
      </c>
      <c r="M3612" s="17">
        <v>2025</v>
      </c>
      <c r="N3612" s="17" t="s">
        <v>129</v>
      </c>
    </row>
    <row r="3613" spans="1:14" ht="14.25" customHeight="1">
      <c r="A3613" s="17">
        <v>13612</v>
      </c>
      <c r="B3613" s="18">
        <v>45522</v>
      </c>
      <c r="C3613" s="17" t="s">
        <v>39</v>
      </c>
      <c r="D3613" s="17" t="s">
        <v>86</v>
      </c>
      <c r="E3613" s="17" t="s">
        <v>165</v>
      </c>
      <c r="F3613" s="17" t="s">
        <v>166</v>
      </c>
      <c r="G3613" s="17">
        <v>6</v>
      </c>
      <c r="H3613" s="17">
        <v>73415</v>
      </c>
      <c r="I3613" s="17">
        <v>440490</v>
      </c>
      <c r="J3613" s="17">
        <v>309</v>
      </c>
      <c r="K3613" s="17">
        <v>440181</v>
      </c>
      <c r="L3613" s="17">
        <v>52061.831530000003</v>
      </c>
      <c r="M3613" s="17">
        <v>2024</v>
      </c>
      <c r="N3613" s="17" t="s">
        <v>126</v>
      </c>
    </row>
    <row r="3614" spans="1:14" ht="14.25" customHeight="1">
      <c r="A3614" s="17">
        <v>13613</v>
      </c>
      <c r="B3614" s="18">
        <v>45856</v>
      </c>
      <c r="C3614" s="17" t="s">
        <v>39</v>
      </c>
      <c r="D3614" s="17" t="s">
        <v>89</v>
      </c>
      <c r="E3614" s="17" t="s">
        <v>168</v>
      </c>
      <c r="F3614" s="17" t="s">
        <v>166</v>
      </c>
      <c r="G3614" s="17">
        <v>2</v>
      </c>
      <c r="H3614" s="17">
        <v>9357</v>
      </c>
      <c r="I3614" s="17">
        <v>18714</v>
      </c>
      <c r="J3614" s="17">
        <v>2563</v>
      </c>
      <c r="K3614" s="17">
        <v>16151</v>
      </c>
      <c r="L3614" s="17">
        <v>2475.3427270000002</v>
      </c>
      <c r="M3614" s="17">
        <v>2025</v>
      </c>
      <c r="N3614" s="17" t="s">
        <v>123</v>
      </c>
    </row>
    <row r="3615" spans="1:14" ht="14.25" customHeight="1">
      <c r="A3615" s="17">
        <v>13614</v>
      </c>
      <c r="B3615" s="18">
        <v>45612</v>
      </c>
      <c r="C3615" s="17" t="s">
        <v>167</v>
      </c>
      <c r="D3615" s="17" t="s">
        <v>170</v>
      </c>
      <c r="E3615" s="17" t="s">
        <v>168</v>
      </c>
      <c r="F3615" s="17" t="s">
        <v>164</v>
      </c>
      <c r="G3615" s="17">
        <v>3</v>
      </c>
      <c r="H3615" s="17">
        <v>15865</v>
      </c>
      <c r="I3615" s="17">
        <v>47595</v>
      </c>
      <c r="J3615" s="17">
        <v>3417</v>
      </c>
      <c r="K3615" s="17">
        <v>44178</v>
      </c>
      <c r="L3615" s="17">
        <v>4482.2989749999997</v>
      </c>
      <c r="M3615" s="17">
        <v>2024</v>
      </c>
      <c r="N3615" s="17" t="s">
        <v>173</v>
      </c>
    </row>
    <row r="3616" spans="1:14" ht="14.25" customHeight="1">
      <c r="A3616" s="17">
        <v>13615</v>
      </c>
      <c r="B3616" s="18">
        <v>45524</v>
      </c>
      <c r="C3616" s="17" t="s">
        <v>58</v>
      </c>
      <c r="D3616" s="17" t="s">
        <v>111</v>
      </c>
      <c r="E3616" s="17" t="s">
        <v>162</v>
      </c>
      <c r="F3616" s="17" t="s">
        <v>163</v>
      </c>
      <c r="G3616" s="17">
        <v>2</v>
      </c>
      <c r="H3616" s="17">
        <v>73368</v>
      </c>
      <c r="I3616" s="17">
        <v>146736</v>
      </c>
      <c r="J3616" s="17">
        <v>1088</v>
      </c>
      <c r="K3616" s="17">
        <v>145648</v>
      </c>
      <c r="L3616" s="17">
        <v>27556.155409999999</v>
      </c>
      <c r="M3616" s="17">
        <v>2024</v>
      </c>
      <c r="N3616" s="17" t="s">
        <v>126</v>
      </c>
    </row>
    <row r="3617" spans="1:14" ht="14.25" customHeight="1">
      <c r="A3617" s="17">
        <v>13616</v>
      </c>
      <c r="B3617" s="18">
        <v>45961</v>
      </c>
      <c r="C3617" s="17" t="s">
        <v>58</v>
      </c>
      <c r="D3617" s="17" t="s">
        <v>86</v>
      </c>
      <c r="E3617" s="17" t="s">
        <v>168</v>
      </c>
      <c r="F3617" s="17" t="s">
        <v>166</v>
      </c>
      <c r="G3617" s="17">
        <v>1</v>
      </c>
      <c r="H3617" s="17">
        <v>66039</v>
      </c>
      <c r="I3617" s="17">
        <v>66039</v>
      </c>
      <c r="J3617" s="17">
        <v>4731</v>
      </c>
      <c r="K3617" s="17">
        <v>61308</v>
      </c>
      <c r="L3617" s="17">
        <v>12185.43376</v>
      </c>
      <c r="M3617" s="17">
        <v>2025</v>
      </c>
      <c r="N3617" s="17" t="s">
        <v>174</v>
      </c>
    </row>
    <row r="3618" spans="1:14" ht="14.25" customHeight="1">
      <c r="A3618" s="17">
        <v>13617</v>
      </c>
      <c r="B3618" s="18">
        <v>45728</v>
      </c>
      <c r="C3618" s="17" t="s">
        <v>50</v>
      </c>
      <c r="D3618" s="17" t="s">
        <v>89</v>
      </c>
      <c r="E3618" s="17" t="s">
        <v>162</v>
      </c>
      <c r="F3618" s="17" t="s">
        <v>172</v>
      </c>
      <c r="G3618" s="17">
        <v>1</v>
      </c>
      <c r="H3618" s="17">
        <v>76294</v>
      </c>
      <c r="I3618" s="17">
        <v>76294</v>
      </c>
      <c r="J3618" s="17">
        <v>4892</v>
      </c>
      <c r="K3618" s="17">
        <v>71402</v>
      </c>
      <c r="L3618" s="17">
        <v>9806.9308309999997</v>
      </c>
      <c r="M3618" s="17">
        <v>2025</v>
      </c>
      <c r="N3618" s="17" t="s">
        <v>112</v>
      </c>
    </row>
    <row r="3619" spans="1:14" ht="14.25" customHeight="1">
      <c r="A3619" s="17">
        <v>13618</v>
      </c>
      <c r="B3619" s="18">
        <v>45824</v>
      </c>
      <c r="C3619" s="17" t="s">
        <v>45</v>
      </c>
      <c r="D3619" s="17" t="s">
        <v>86</v>
      </c>
      <c r="E3619" s="17" t="s">
        <v>165</v>
      </c>
      <c r="F3619" s="17" t="s">
        <v>166</v>
      </c>
      <c r="G3619" s="17">
        <v>9</v>
      </c>
      <c r="H3619" s="17">
        <v>7921</v>
      </c>
      <c r="I3619" s="17">
        <v>71289</v>
      </c>
      <c r="J3619" s="17">
        <v>1176</v>
      </c>
      <c r="K3619" s="17">
        <v>70113</v>
      </c>
      <c r="L3619" s="17">
        <v>14759.459430000001</v>
      </c>
      <c r="M3619" s="17">
        <v>2025</v>
      </c>
      <c r="N3619" s="17" t="s">
        <v>120</v>
      </c>
    </row>
    <row r="3620" spans="1:14" ht="14.25" customHeight="1">
      <c r="A3620" s="17">
        <v>13619</v>
      </c>
      <c r="B3620" s="18">
        <v>45694</v>
      </c>
      <c r="C3620" s="17" t="s">
        <v>39</v>
      </c>
      <c r="D3620" s="17" t="s">
        <v>89</v>
      </c>
      <c r="E3620" s="17" t="s">
        <v>165</v>
      </c>
      <c r="F3620" s="17" t="s">
        <v>163</v>
      </c>
      <c r="G3620" s="17">
        <v>4</v>
      </c>
      <c r="H3620" s="17">
        <v>9428</v>
      </c>
      <c r="I3620" s="17">
        <v>37712</v>
      </c>
      <c r="J3620" s="17">
        <v>3097</v>
      </c>
      <c r="K3620" s="17">
        <v>34615</v>
      </c>
      <c r="L3620" s="17">
        <v>5442.5343869999997</v>
      </c>
      <c r="M3620" s="17">
        <v>2025</v>
      </c>
      <c r="N3620" s="17" t="s">
        <v>175</v>
      </c>
    </row>
    <row r="3621" spans="1:14" ht="14.25" customHeight="1">
      <c r="A3621" s="17">
        <v>13620</v>
      </c>
      <c r="B3621" s="18">
        <v>45344</v>
      </c>
      <c r="C3621" s="17" t="s">
        <v>50</v>
      </c>
      <c r="D3621" s="17" t="s">
        <v>89</v>
      </c>
      <c r="E3621" s="17" t="s">
        <v>162</v>
      </c>
      <c r="F3621" s="17" t="s">
        <v>164</v>
      </c>
      <c r="G3621" s="17">
        <v>5</v>
      </c>
      <c r="H3621" s="17">
        <v>78647</v>
      </c>
      <c r="I3621" s="17">
        <v>393235</v>
      </c>
      <c r="J3621" s="17">
        <v>3230</v>
      </c>
      <c r="K3621" s="17">
        <v>390005</v>
      </c>
      <c r="L3621" s="17">
        <v>57235.831870000002</v>
      </c>
      <c r="M3621" s="17">
        <v>2024</v>
      </c>
      <c r="N3621" s="17" t="s">
        <v>175</v>
      </c>
    </row>
    <row r="3622" spans="1:14" ht="14.25" customHeight="1">
      <c r="A3622" s="17">
        <v>13621</v>
      </c>
      <c r="B3622" s="18">
        <v>45604</v>
      </c>
      <c r="C3622" s="17" t="s">
        <v>50</v>
      </c>
      <c r="D3622" s="17" t="s">
        <v>83</v>
      </c>
      <c r="E3622" s="17" t="s">
        <v>165</v>
      </c>
      <c r="F3622" s="17" t="s">
        <v>164</v>
      </c>
      <c r="G3622" s="17">
        <v>7</v>
      </c>
      <c r="H3622" s="17">
        <v>57557</v>
      </c>
      <c r="I3622" s="17">
        <v>402899</v>
      </c>
      <c r="J3622" s="17">
        <v>1724</v>
      </c>
      <c r="K3622" s="17">
        <v>401175</v>
      </c>
      <c r="L3622" s="17">
        <v>97655.949550000005</v>
      </c>
      <c r="M3622" s="17">
        <v>2024</v>
      </c>
      <c r="N3622" s="17" t="s">
        <v>173</v>
      </c>
    </row>
    <row r="3623" spans="1:14" ht="14.25" customHeight="1">
      <c r="A3623" s="17">
        <v>13622</v>
      </c>
      <c r="B3623" s="18">
        <v>45572</v>
      </c>
      <c r="C3623" s="17" t="s">
        <v>39</v>
      </c>
      <c r="D3623" s="17" t="s">
        <v>83</v>
      </c>
      <c r="E3623" s="17" t="s">
        <v>168</v>
      </c>
      <c r="F3623" s="17" t="s">
        <v>166</v>
      </c>
      <c r="G3623" s="17">
        <v>2</v>
      </c>
      <c r="H3623" s="17">
        <v>17366</v>
      </c>
      <c r="I3623" s="17">
        <v>34732</v>
      </c>
      <c r="J3623" s="17">
        <v>2628</v>
      </c>
      <c r="K3623" s="17">
        <v>32104</v>
      </c>
      <c r="L3623" s="17">
        <v>6045.3074319999996</v>
      </c>
      <c r="M3623" s="17">
        <v>2024</v>
      </c>
      <c r="N3623" s="17" t="s">
        <v>174</v>
      </c>
    </row>
    <row r="3624" spans="1:14" ht="14.25" customHeight="1">
      <c r="A3624" s="17">
        <v>13623</v>
      </c>
      <c r="B3624" s="18">
        <v>46017</v>
      </c>
      <c r="C3624" s="17" t="s">
        <v>58</v>
      </c>
      <c r="D3624" s="17" t="s">
        <v>83</v>
      </c>
      <c r="E3624" s="17" t="s">
        <v>168</v>
      </c>
      <c r="F3624" s="17" t="s">
        <v>164</v>
      </c>
      <c r="G3624" s="17">
        <v>9</v>
      </c>
      <c r="H3624" s="17">
        <v>51923</v>
      </c>
      <c r="I3624" s="17">
        <v>467307</v>
      </c>
      <c r="J3624" s="17">
        <v>4174</v>
      </c>
      <c r="K3624" s="17">
        <v>463133</v>
      </c>
      <c r="L3624" s="17">
        <v>63841.915809999999</v>
      </c>
      <c r="M3624" s="17">
        <v>2025</v>
      </c>
      <c r="N3624" s="17" t="s">
        <v>169</v>
      </c>
    </row>
    <row r="3625" spans="1:14" ht="14.25" customHeight="1">
      <c r="A3625" s="17">
        <v>13624</v>
      </c>
      <c r="B3625" s="18">
        <v>45322</v>
      </c>
      <c r="C3625" s="17" t="s">
        <v>45</v>
      </c>
      <c r="D3625" s="17" t="s">
        <v>86</v>
      </c>
      <c r="E3625" s="17" t="s">
        <v>162</v>
      </c>
      <c r="F3625" s="17" t="s">
        <v>163</v>
      </c>
      <c r="G3625" s="17">
        <v>4</v>
      </c>
      <c r="H3625" s="17">
        <v>35564</v>
      </c>
      <c r="I3625" s="17">
        <v>142256</v>
      </c>
      <c r="J3625" s="17">
        <v>3299</v>
      </c>
      <c r="K3625" s="17">
        <v>138957</v>
      </c>
      <c r="L3625" s="17">
        <v>34389.95695</v>
      </c>
      <c r="M3625" s="17">
        <v>2024</v>
      </c>
      <c r="N3625" s="17" t="s">
        <v>171</v>
      </c>
    </row>
    <row r="3626" spans="1:14" ht="14.25" customHeight="1">
      <c r="A3626" s="17">
        <v>13625</v>
      </c>
      <c r="B3626" s="18">
        <v>45628</v>
      </c>
      <c r="C3626" s="17" t="s">
        <v>58</v>
      </c>
      <c r="D3626" s="17" t="s">
        <v>170</v>
      </c>
      <c r="E3626" s="17" t="s">
        <v>165</v>
      </c>
      <c r="F3626" s="17" t="s">
        <v>163</v>
      </c>
      <c r="G3626" s="17">
        <v>1</v>
      </c>
      <c r="H3626" s="17">
        <v>7642</v>
      </c>
      <c r="I3626" s="17">
        <v>7642</v>
      </c>
      <c r="J3626" s="17">
        <v>1350</v>
      </c>
      <c r="K3626" s="17">
        <v>6292</v>
      </c>
      <c r="L3626" s="17">
        <v>994.96934869999995</v>
      </c>
      <c r="M3626" s="17">
        <v>2024</v>
      </c>
      <c r="N3626" s="17" t="s">
        <v>169</v>
      </c>
    </row>
    <row r="3627" spans="1:14" ht="14.25" customHeight="1">
      <c r="A3627" s="17">
        <v>13626</v>
      </c>
      <c r="B3627" s="18">
        <v>45474</v>
      </c>
      <c r="C3627" s="17" t="s">
        <v>50</v>
      </c>
      <c r="D3627" s="17" t="s">
        <v>89</v>
      </c>
      <c r="E3627" s="17" t="s">
        <v>165</v>
      </c>
      <c r="F3627" s="17" t="s">
        <v>164</v>
      </c>
      <c r="G3627" s="17">
        <v>8</v>
      </c>
      <c r="H3627" s="17">
        <v>18849</v>
      </c>
      <c r="I3627" s="17">
        <v>150792</v>
      </c>
      <c r="J3627" s="17">
        <v>619</v>
      </c>
      <c r="K3627" s="17">
        <v>150173</v>
      </c>
      <c r="L3627" s="17">
        <v>29610.281330000002</v>
      </c>
      <c r="M3627" s="17">
        <v>2024</v>
      </c>
      <c r="N3627" s="17" t="s">
        <v>123</v>
      </c>
    </row>
    <row r="3628" spans="1:14" ht="14.25" customHeight="1">
      <c r="A3628" s="17">
        <v>13627</v>
      </c>
      <c r="B3628" s="18">
        <v>45314</v>
      </c>
      <c r="C3628" s="17" t="s">
        <v>45</v>
      </c>
      <c r="D3628" s="17" t="s">
        <v>111</v>
      </c>
      <c r="E3628" s="17" t="s">
        <v>162</v>
      </c>
      <c r="F3628" s="17" t="s">
        <v>172</v>
      </c>
      <c r="G3628" s="17">
        <v>4</v>
      </c>
      <c r="H3628" s="17">
        <v>24344</v>
      </c>
      <c r="I3628" s="17">
        <v>97376</v>
      </c>
      <c r="J3628" s="17">
        <v>2548</v>
      </c>
      <c r="K3628" s="17">
        <v>94828</v>
      </c>
      <c r="L3628" s="17">
        <v>19779.042850000002</v>
      </c>
      <c r="M3628" s="17">
        <v>2024</v>
      </c>
      <c r="N3628" s="17" t="s">
        <v>171</v>
      </c>
    </row>
    <row r="3629" spans="1:14" ht="14.25" customHeight="1">
      <c r="A3629" s="17">
        <v>13628</v>
      </c>
      <c r="B3629" s="18">
        <v>45835</v>
      </c>
      <c r="C3629" s="17" t="s">
        <v>167</v>
      </c>
      <c r="D3629" s="17" t="s">
        <v>83</v>
      </c>
      <c r="E3629" s="17" t="s">
        <v>162</v>
      </c>
      <c r="F3629" s="17" t="s">
        <v>164</v>
      </c>
      <c r="G3629" s="17">
        <v>7</v>
      </c>
      <c r="H3629" s="17">
        <v>26214</v>
      </c>
      <c r="I3629" s="17">
        <v>183498</v>
      </c>
      <c r="J3629" s="17">
        <v>1378</v>
      </c>
      <c r="K3629" s="17">
        <v>182120</v>
      </c>
      <c r="L3629" s="17">
        <v>29748.27722</v>
      </c>
      <c r="M3629" s="17">
        <v>2025</v>
      </c>
      <c r="N3629" s="17" t="s">
        <v>120</v>
      </c>
    </row>
    <row r="3630" spans="1:14" ht="14.25" customHeight="1">
      <c r="A3630" s="17">
        <v>13629</v>
      </c>
      <c r="B3630" s="18">
        <v>45737</v>
      </c>
      <c r="C3630" s="17" t="s">
        <v>50</v>
      </c>
      <c r="D3630" s="17" t="s">
        <v>86</v>
      </c>
      <c r="E3630" s="17" t="s">
        <v>165</v>
      </c>
      <c r="F3630" s="17" t="s">
        <v>164</v>
      </c>
      <c r="G3630" s="17">
        <v>3</v>
      </c>
      <c r="H3630" s="17">
        <v>43226</v>
      </c>
      <c r="I3630" s="17">
        <v>129678</v>
      </c>
      <c r="J3630" s="17">
        <v>4058</v>
      </c>
      <c r="K3630" s="17">
        <v>125620</v>
      </c>
      <c r="L3630" s="17">
        <v>22660.279979999999</v>
      </c>
      <c r="M3630" s="17">
        <v>2025</v>
      </c>
      <c r="N3630" s="17" t="s">
        <v>112</v>
      </c>
    </row>
    <row r="3631" spans="1:14" ht="14.25" customHeight="1">
      <c r="A3631" s="17">
        <v>13630</v>
      </c>
      <c r="B3631" s="18">
        <v>45365</v>
      </c>
      <c r="C3631" s="17" t="s">
        <v>58</v>
      </c>
      <c r="D3631" s="17" t="s">
        <v>86</v>
      </c>
      <c r="E3631" s="17" t="s">
        <v>162</v>
      </c>
      <c r="F3631" s="17" t="s">
        <v>166</v>
      </c>
      <c r="G3631" s="17">
        <v>9</v>
      </c>
      <c r="H3631" s="17">
        <v>27522</v>
      </c>
      <c r="I3631" s="17">
        <v>247698</v>
      </c>
      <c r="J3631" s="17">
        <v>977</v>
      </c>
      <c r="K3631" s="17">
        <v>246721</v>
      </c>
      <c r="L3631" s="17">
        <v>33545.98558</v>
      </c>
      <c r="M3631" s="17">
        <v>2024</v>
      </c>
      <c r="N3631" s="17" t="s">
        <v>112</v>
      </c>
    </row>
    <row r="3632" spans="1:14" ht="14.25" customHeight="1">
      <c r="A3632" s="17">
        <v>13631</v>
      </c>
      <c r="B3632" s="18">
        <v>45301</v>
      </c>
      <c r="C3632" s="17" t="s">
        <v>58</v>
      </c>
      <c r="D3632" s="17" t="s">
        <v>86</v>
      </c>
      <c r="E3632" s="17" t="s">
        <v>168</v>
      </c>
      <c r="F3632" s="17" t="s">
        <v>172</v>
      </c>
      <c r="G3632" s="17">
        <v>5</v>
      </c>
      <c r="H3632" s="17">
        <v>11680</v>
      </c>
      <c r="I3632" s="17">
        <v>58400</v>
      </c>
      <c r="J3632" s="17">
        <v>1537</v>
      </c>
      <c r="K3632" s="17">
        <v>56863</v>
      </c>
      <c r="L3632" s="17">
        <v>9659.5033750000002</v>
      </c>
      <c r="M3632" s="17">
        <v>2024</v>
      </c>
      <c r="N3632" s="17" t="s">
        <v>171</v>
      </c>
    </row>
    <row r="3633" spans="1:14" ht="14.25" customHeight="1">
      <c r="A3633" s="17">
        <v>13632</v>
      </c>
      <c r="B3633" s="18">
        <v>45775</v>
      </c>
      <c r="C3633" s="17" t="s">
        <v>58</v>
      </c>
      <c r="D3633" s="17" t="s">
        <v>111</v>
      </c>
      <c r="E3633" s="17" t="s">
        <v>165</v>
      </c>
      <c r="F3633" s="17" t="s">
        <v>164</v>
      </c>
      <c r="G3633" s="17">
        <v>5</v>
      </c>
      <c r="H3633" s="17">
        <v>17507</v>
      </c>
      <c r="I3633" s="17">
        <v>87535</v>
      </c>
      <c r="J3633" s="17">
        <v>3772</v>
      </c>
      <c r="K3633" s="17">
        <v>83763</v>
      </c>
      <c r="L3633" s="17">
        <v>12281.33217</v>
      </c>
      <c r="M3633" s="17">
        <v>2025</v>
      </c>
      <c r="N3633" s="17" t="s">
        <v>114</v>
      </c>
    </row>
    <row r="3634" spans="1:14" ht="14.25" customHeight="1">
      <c r="A3634" s="17">
        <v>13633</v>
      </c>
      <c r="B3634" s="18">
        <v>45747</v>
      </c>
      <c r="C3634" s="17" t="s">
        <v>39</v>
      </c>
      <c r="D3634" s="17" t="s">
        <v>111</v>
      </c>
      <c r="E3634" s="17" t="s">
        <v>162</v>
      </c>
      <c r="F3634" s="17" t="s">
        <v>166</v>
      </c>
      <c r="G3634" s="17">
        <v>3</v>
      </c>
      <c r="H3634" s="17">
        <v>79955</v>
      </c>
      <c r="I3634" s="17">
        <v>239865</v>
      </c>
      <c r="J3634" s="17">
        <v>3578</v>
      </c>
      <c r="K3634" s="17">
        <v>236287</v>
      </c>
      <c r="L3634" s="17">
        <v>43032.278890000001</v>
      </c>
      <c r="M3634" s="17">
        <v>2025</v>
      </c>
      <c r="N3634" s="17" t="s">
        <v>112</v>
      </c>
    </row>
    <row r="3635" spans="1:14" ht="14.25" customHeight="1">
      <c r="A3635" s="17">
        <v>13634</v>
      </c>
      <c r="B3635" s="18">
        <v>45857</v>
      </c>
      <c r="C3635" s="17" t="s">
        <v>50</v>
      </c>
      <c r="D3635" s="17" t="s">
        <v>83</v>
      </c>
      <c r="E3635" s="17" t="s">
        <v>162</v>
      </c>
      <c r="F3635" s="17" t="s">
        <v>166</v>
      </c>
      <c r="G3635" s="17">
        <v>9</v>
      </c>
      <c r="H3635" s="17">
        <v>54007</v>
      </c>
      <c r="I3635" s="17">
        <v>486063</v>
      </c>
      <c r="J3635" s="17">
        <v>2533</v>
      </c>
      <c r="K3635" s="17">
        <v>483530</v>
      </c>
      <c r="L3635" s="17">
        <v>96939.811369999996</v>
      </c>
      <c r="M3635" s="17">
        <v>2025</v>
      </c>
      <c r="N3635" s="17" t="s">
        <v>123</v>
      </c>
    </row>
    <row r="3636" spans="1:14" ht="14.25" customHeight="1">
      <c r="A3636" s="17">
        <v>13635</v>
      </c>
      <c r="B3636" s="18">
        <v>45855</v>
      </c>
      <c r="C3636" s="17" t="s">
        <v>45</v>
      </c>
      <c r="D3636" s="17" t="s">
        <v>111</v>
      </c>
      <c r="E3636" s="17" t="s">
        <v>162</v>
      </c>
      <c r="F3636" s="17" t="s">
        <v>166</v>
      </c>
      <c r="G3636" s="17">
        <v>3</v>
      </c>
      <c r="H3636" s="17">
        <v>54353</v>
      </c>
      <c r="I3636" s="17">
        <v>163059</v>
      </c>
      <c r="J3636" s="17">
        <v>477</v>
      </c>
      <c r="K3636" s="17">
        <v>162582</v>
      </c>
      <c r="L3636" s="17">
        <v>31232.12903</v>
      </c>
      <c r="M3636" s="17">
        <v>2025</v>
      </c>
      <c r="N3636" s="17" t="s">
        <v>123</v>
      </c>
    </row>
    <row r="3637" spans="1:14" ht="14.25" customHeight="1">
      <c r="A3637" s="17">
        <v>13636</v>
      </c>
      <c r="B3637" s="18">
        <v>45951</v>
      </c>
      <c r="C3637" s="17" t="s">
        <v>58</v>
      </c>
      <c r="D3637" s="17" t="s">
        <v>83</v>
      </c>
      <c r="E3637" s="17" t="s">
        <v>165</v>
      </c>
      <c r="F3637" s="17" t="s">
        <v>163</v>
      </c>
      <c r="G3637" s="17">
        <v>2</v>
      </c>
      <c r="H3637" s="17">
        <v>73696</v>
      </c>
      <c r="I3637" s="17">
        <v>147392</v>
      </c>
      <c r="J3637" s="17">
        <v>3654</v>
      </c>
      <c r="K3637" s="17">
        <v>143738</v>
      </c>
      <c r="L3637" s="17">
        <v>31120.357059999998</v>
      </c>
      <c r="M3637" s="17">
        <v>2025</v>
      </c>
      <c r="N3637" s="17" t="s">
        <v>174</v>
      </c>
    </row>
    <row r="3638" spans="1:14" ht="14.25" customHeight="1">
      <c r="A3638" s="17">
        <v>13637</v>
      </c>
      <c r="B3638" s="18">
        <v>45451</v>
      </c>
      <c r="C3638" s="17" t="s">
        <v>58</v>
      </c>
      <c r="D3638" s="17" t="s">
        <v>111</v>
      </c>
      <c r="E3638" s="17" t="s">
        <v>168</v>
      </c>
      <c r="F3638" s="17" t="s">
        <v>166</v>
      </c>
      <c r="G3638" s="17">
        <v>9</v>
      </c>
      <c r="H3638" s="17">
        <v>49233</v>
      </c>
      <c r="I3638" s="17">
        <v>443097</v>
      </c>
      <c r="J3638" s="17">
        <v>1894</v>
      </c>
      <c r="K3638" s="17">
        <v>441203</v>
      </c>
      <c r="L3638" s="17">
        <v>46868.776019999998</v>
      </c>
      <c r="M3638" s="17">
        <v>2024</v>
      </c>
      <c r="N3638" s="17" t="s">
        <v>120</v>
      </c>
    </row>
    <row r="3639" spans="1:14" ht="14.25" customHeight="1">
      <c r="A3639" s="17">
        <v>13638</v>
      </c>
      <c r="B3639" s="18">
        <v>45305</v>
      </c>
      <c r="C3639" s="17" t="s">
        <v>39</v>
      </c>
      <c r="D3639" s="17" t="s">
        <v>111</v>
      </c>
      <c r="E3639" s="17" t="s">
        <v>168</v>
      </c>
      <c r="F3639" s="17" t="s">
        <v>166</v>
      </c>
      <c r="G3639" s="17">
        <v>9</v>
      </c>
      <c r="H3639" s="17">
        <v>55865</v>
      </c>
      <c r="I3639" s="17">
        <v>502785</v>
      </c>
      <c r="J3639" s="17">
        <v>2380</v>
      </c>
      <c r="K3639" s="17">
        <v>500405</v>
      </c>
      <c r="L3639" s="17">
        <v>55940.03183</v>
      </c>
      <c r="M3639" s="17">
        <v>2024</v>
      </c>
      <c r="N3639" s="17" t="s">
        <v>171</v>
      </c>
    </row>
    <row r="3640" spans="1:14" ht="14.25" customHeight="1">
      <c r="A3640" s="17">
        <v>13639</v>
      </c>
      <c r="B3640" s="18">
        <v>45469</v>
      </c>
      <c r="C3640" s="17" t="s">
        <v>45</v>
      </c>
      <c r="D3640" s="17" t="s">
        <v>111</v>
      </c>
      <c r="E3640" s="17" t="s">
        <v>165</v>
      </c>
      <c r="F3640" s="17" t="s">
        <v>163</v>
      </c>
      <c r="G3640" s="17">
        <v>4</v>
      </c>
      <c r="H3640" s="17">
        <v>12872</v>
      </c>
      <c r="I3640" s="17">
        <v>51488</v>
      </c>
      <c r="J3640" s="17">
        <v>1632</v>
      </c>
      <c r="K3640" s="17">
        <v>49856</v>
      </c>
      <c r="L3640" s="17">
        <v>6521.0210129999996</v>
      </c>
      <c r="M3640" s="17">
        <v>2024</v>
      </c>
      <c r="N3640" s="17" t="s">
        <v>120</v>
      </c>
    </row>
    <row r="3641" spans="1:14" ht="14.25" customHeight="1">
      <c r="A3641" s="17">
        <v>13640</v>
      </c>
      <c r="B3641" s="18">
        <v>45703</v>
      </c>
      <c r="C3641" s="17" t="s">
        <v>50</v>
      </c>
      <c r="D3641" s="17" t="s">
        <v>83</v>
      </c>
      <c r="E3641" s="17" t="s">
        <v>162</v>
      </c>
      <c r="F3641" s="17" t="s">
        <v>163</v>
      </c>
      <c r="G3641" s="17">
        <v>4</v>
      </c>
      <c r="H3641" s="17">
        <v>12839</v>
      </c>
      <c r="I3641" s="17">
        <v>51356</v>
      </c>
      <c r="J3641" s="17">
        <v>2040</v>
      </c>
      <c r="K3641" s="17">
        <v>49316</v>
      </c>
      <c r="L3641" s="17">
        <v>12223.97566</v>
      </c>
      <c r="M3641" s="17">
        <v>2025</v>
      </c>
      <c r="N3641" s="17" t="s">
        <v>175</v>
      </c>
    </row>
    <row r="3642" spans="1:14" ht="14.25" customHeight="1">
      <c r="A3642" s="17">
        <v>13641</v>
      </c>
      <c r="B3642" s="18">
        <v>45344</v>
      </c>
      <c r="C3642" s="17" t="s">
        <v>167</v>
      </c>
      <c r="D3642" s="17" t="s">
        <v>89</v>
      </c>
      <c r="E3642" s="17" t="s">
        <v>165</v>
      </c>
      <c r="F3642" s="17" t="s">
        <v>166</v>
      </c>
      <c r="G3642" s="17">
        <v>6</v>
      </c>
      <c r="H3642" s="17">
        <v>20652</v>
      </c>
      <c r="I3642" s="17">
        <v>123912</v>
      </c>
      <c r="J3642" s="17">
        <v>1565</v>
      </c>
      <c r="K3642" s="17">
        <v>122347</v>
      </c>
      <c r="L3642" s="17">
        <v>26921.259320000001</v>
      </c>
      <c r="M3642" s="17">
        <v>2024</v>
      </c>
      <c r="N3642" s="17" t="s">
        <v>175</v>
      </c>
    </row>
    <row r="3643" spans="1:14" ht="14.25" customHeight="1">
      <c r="A3643" s="17">
        <v>13642</v>
      </c>
      <c r="B3643" s="18">
        <v>45699</v>
      </c>
      <c r="C3643" s="17" t="s">
        <v>39</v>
      </c>
      <c r="D3643" s="17" t="s">
        <v>83</v>
      </c>
      <c r="E3643" s="17" t="s">
        <v>165</v>
      </c>
      <c r="F3643" s="17" t="s">
        <v>164</v>
      </c>
      <c r="G3643" s="17">
        <v>9</v>
      </c>
      <c r="H3643" s="17">
        <v>11859</v>
      </c>
      <c r="I3643" s="17">
        <v>106731</v>
      </c>
      <c r="J3643" s="17">
        <v>4125</v>
      </c>
      <c r="K3643" s="17">
        <v>102606</v>
      </c>
      <c r="L3643" s="17">
        <v>24483.654159999998</v>
      </c>
      <c r="M3643" s="17">
        <v>2025</v>
      </c>
      <c r="N3643" s="17" t="s">
        <v>175</v>
      </c>
    </row>
    <row r="3644" spans="1:14" ht="14.25" customHeight="1">
      <c r="A3644" s="17">
        <v>13643</v>
      </c>
      <c r="B3644" s="18">
        <v>45313</v>
      </c>
      <c r="C3644" s="17" t="s">
        <v>50</v>
      </c>
      <c r="D3644" s="17" t="s">
        <v>89</v>
      </c>
      <c r="E3644" s="17" t="s">
        <v>162</v>
      </c>
      <c r="F3644" s="17" t="s">
        <v>172</v>
      </c>
      <c r="G3644" s="17">
        <v>8</v>
      </c>
      <c r="H3644" s="17">
        <v>38520</v>
      </c>
      <c r="I3644" s="17">
        <v>308160</v>
      </c>
      <c r="J3644" s="17">
        <v>4822</v>
      </c>
      <c r="K3644" s="17">
        <v>303338</v>
      </c>
      <c r="L3644" s="17">
        <v>42714.101459999998</v>
      </c>
      <c r="M3644" s="17">
        <v>2024</v>
      </c>
      <c r="N3644" s="17" t="s">
        <v>171</v>
      </c>
    </row>
    <row r="3645" spans="1:14" ht="14.25" customHeight="1">
      <c r="A3645" s="17">
        <v>13644</v>
      </c>
      <c r="B3645" s="18">
        <v>45321</v>
      </c>
      <c r="C3645" s="17" t="s">
        <v>167</v>
      </c>
      <c r="D3645" s="17" t="s">
        <v>86</v>
      </c>
      <c r="E3645" s="17" t="s">
        <v>165</v>
      </c>
      <c r="F3645" s="17" t="s">
        <v>163</v>
      </c>
      <c r="G3645" s="17">
        <v>3</v>
      </c>
      <c r="H3645" s="17">
        <v>54266</v>
      </c>
      <c r="I3645" s="17">
        <v>162798</v>
      </c>
      <c r="J3645" s="17">
        <v>4268</v>
      </c>
      <c r="K3645" s="17">
        <v>158530</v>
      </c>
      <c r="L3645" s="17">
        <v>29499.020540000001</v>
      </c>
      <c r="M3645" s="17">
        <v>2024</v>
      </c>
      <c r="N3645" s="17" t="s">
        <v>171</v>
      </c>
    </row>
    <row r="3646" spans="1:14" ht="14.25" customHeight="1">
      <c r="A3646" s="17">
        <v>13645</v>
      </c>
      <c r="B3646" s="18">
        <v>45994</v>
      </c>
      <c r="C3646" s="17" t="s">
        <v>58</v>
      </c>
      <c r="D3646" s="17" t="s">
        <v>86</v>
      </c>
      <c r="E3646" s="17" t="s">
        <v>168</v>
      </c>
      <c r="F3646" s="17" t="s">
        <v>172</v>
      </c>
      <c r="G3646" s="17">
        <v>6</v>
      </c>
      <c r="H3646" s="17">
        <v>74516</v>
      </c>
      <c r="I3646" s="17">
        <v>447096</v>
      </c>
      <c r="J3646" s="17">
        <v>2839</v>
      </c>
      <c r="K3646" s="17">
        <v>444257</v>
      </c>
      <c r="L3646" s="17">
        <v>81402.418239999999</v>
      </c>
      <c r="M3646" s="17">
        <v>2025</v>
      </c>
      <c r="N3646" s="17" t="s">
        <v>169</v>
      </c>
    </row>
    <row r="3647" spans="1:14" ht="14.25" customHeight="1">
      <c r="A3647" s="17">
        <v>13646</v>
      </c>
      <c r="B3647" s="18">
        <v>45551</v>
      </c>
      <c r="C3647" s="17" t="s">
        <v>58</v>
      </c>
      <c r="D3647" s="17" t="s">
        <v>83</v>
      </c>
      <c r="E3647" s="17" t="s">
        <v>165</v>
      </c>
      <c r="F3647" s="17" t="s">
        <v>163</v>
      </c>
      <c r="G3647" s="17">
        <v>7</v>
      </c>
      <c r="H3647" s="17">
        <v>44093</v>
      </c>
      <c r="I3647" s="17">
        <v>308651</v>
      </c>
      <c r="J3647" s="17">
        <v>467</v>
      </c>
      <c r="K3647" s="17">
        <v>308184</v>
      </c>
      <c r="L3647" s="17">
        <v>57145.894269999997</v>
      </c>
      <c r="M3647" s="17">
        <v>2024</v>
      </c>
      <c r="N3647" s="17" t="s">
        <v>129</v>
      </c>
    </row>
    <row r="3648" spans="1:14" ht="14.25" customHeight="1">
      <c r="A3648" s="17">
        <v>13647</v>
      </c>
      <c r="B3648" s="18">
        <v>45496</v>
      </c>
      <c r="C3648" s="17" t="s">
        <v>45</v>
      </c>
      <c r="D3648" s="17" t="s">
        <v>89</v>
      </c>
      <c r="E3648" s="17" t="s">
        <v>162</v>
      </c>
      <c r="F3648" s="17" t="s">
        <v>166</v>
      </c>
      <c r="G3648" s="17">
        <v>6</v>
      </c>
      <c r="H3648" s="17">
        <v>56970</v>
      </c>
      <c r="I3648" s="17">
        <v>341820</v>
      </c>
      <c r="J3648" s="17">
        <v>3547</v>
      </c>
      <c r="K3648" s="17">
        <v>338273</v>
      </c>
      <c r="L3648" s="17">
        <v>70237.328269999998</v>
      </c>
      <c r="M3648" s="17">
        <v>2024</v>
      </c>
      <c r="N3648" s="17" t="s">
        <v>123</v>
      </c>
    </row>
    <row r="3649" spans="1:14" ht="14.25" customHeight="1">
      <c r="A3649" s="17">
        <v>13648</v>
      </c>
      <c r="B3649" s="18">
        <v>45350</v>
      </c>
      <c r="C3649" s="17" t="s">
        <v>167</v>
      </c>
      <c r="D3649" s="17" t="s">
        <v>89</v>
      </c>
      <c r="E3649" s="17" t="s">
        <v>165</v>
      </c>
      <c r="F3649" s="17" t="s">
        <v>163</v>
      </c>
      <c r="G3649" s="17">
        <v>3</v>
      </c>
      <c r="H3649" s="17">
        <v>54620</v>
      </c>
      <c r="I3649" s="17">
        <v>163860</v>
      </c>
      <c r="J3649" s="17">
        <v>1975</v>
      </c>
      <c r="K3649" s="17">
        <v>161885</v>
      </c>
      <c r="L3649" s="17">
        <v>25755.418610000001</v>
      </c>
      <c r="M3649" s="17">
        <v>2024</v>
      </c>
      <c r="N3649" s="17" t="s">
        <v>175</v>
      </c>
    </row>
    <row r="3650" spans="1:14" ht="14.25" customHeight="1">
      <c r="A3650" s="17">
        <v>13649</v>
      </c>
      <c r="B3650" s="18">
        <v>45762</v>
      </c>
      <c r="C3650" s="17" t="s">
        <v>58</v>
      </c>
      <c r="D3650" s="17" t="s">
        <v>89</v>
      </c>
      <c r="E3650" s="17" t="s">
        <v>168</v>
      </c>
      <c r="F3650" s="17" t="s">
        <v>166</v>
      </c>
      <c r="G3650" s="17">
        <v>9</v>
      </c>
      <c r="H3650" s="17">
        <v>5425</v>
      </c>
      <c r="I3650" s="17">
        <v>48825</v>
      </c>
      <c r="J3650" s="17">
        <v>3388</v>
      </c>
      <c r="K3650" s="17">
        <v>45437</v>
      </c>
      <c r="L3650" s="17">
        <v>9159.2610700000005</v>
      </c>
      <c r="M3650" s="17">
        <v>2025</v>
      </c>
      <c r="N3650" s="17" t="s">
        <v>114</v>
      </c>
    </row>
    <row r="3651" spans="1:14" ht="14.25" customHeight="1">
      <c r="A3651" s="17">
        <v>13650</v>
      </c>
      <c r="B3651" s="18">
        <v>45757</v>
      </c>
      <c r="C3651" s="17" t="s">
        <v>58</v>
      </c>
      <c r="D3651" s="17" t="s">
        <v>86</v>
      </c>
      <c r="E3651" s="17" t="s">
        <v>165</v>
      </c>
      <c r="F3651" s="17" t="s">
        <v>172</v>
      </c>
      <c r="G3651" s="17">
        <v>4</v>
      </c>
      <c r="H3651" s="17">
        <v>78677</v>
      </c>
      <c r="I3651" s="17">
        <v>314708</v>
      </c>
      <c r="J3651" s="17">
        <v>4220</v>
      </c>
      <c r="K3651" s="17">
        <v>310488</v>
      </c>
      <c r="L3651" s="17">
        <v>67768.836139999999</v>
      </c>
      <c r="M3651" s="17">
        <v>2025</v>
      </c>
      <c r="N3651" s="17" t="s">
        <v>114</v>
      </c>
    </row>
    <row r="3652" spans="1:14" ht="14.25" customHeight="1">
      <c r="A3652" s="17">
        <v>13651</v>
      </c>
      <c r="B3652" s="18">
        <v>45303</v>
      </c>
      <c r="C3652" s="17" t="s">
        <v>45</v>
      </c>
      <c r="D3652" s="17" t="s">
        <v>83</v>
      </c>
      <c r="E3652" s="17" t="s">
        <v>165</v>
      </c>
      <c r="F3652" s="17" t="s">
        <v>164</v>
      </c>
      <c r="G3652" s="17">
        <v>2</v>
      </c>
      <c r="H3652" s="17">
        <v>55727</v>
      </c>
      <c r="I3652" s="17">
        <v>111454</v>
      </c>
      <c r="J3652" s="17">
        <v>2743</v>
      </c>
      <c r="K3652" s="17">
        <v>108711</v>
      </c>
      <c r="L3652" s="17">
        <v>15584.916080000001</v>
      </c>
      <c r="M3652" s="17">
        <v>2024</v>
      </c>
      <c r="N3652" s="17" t="s">
        <v>171</v>
      </c>
    </row>
    <row r="3653" spans="1:14" ht="14.25" customHeight="1">
      <c r="A3653" s="17">
        <v>13652</v>
      </c>
      <c r="B3653" s="18">
        <v>45922</v>
      </c>
      <c r="C3653" s="17" t="s">
        <v>50</v>
      </c>
      <c r="D3653" s="17" t="s">
        <v>170</v>
      </c>
      <c r="E3653" s="17" t="s">
        <v>165</v>
      </c>
      <c r="F3653" s="17" t="s">
        <v>166</v>
      </c>
      <c r="G3653" s="17">
        <v>9</v>
      </c>
      <c r="H3653" s="17">
        <v>54985</v>
      </c>
      <c r="I3653" s="17">
        <v>494865</v>
      </c>
      <c r="J3653" s="17">
        <v>2574</v>
      </c>
      <c r="K3653" s="17">
        <v>492291</v>
      </c>
      <c r="L3653" s="17">
        <v>119066.2298</v>
      </c>
      <c r="M3653" s="17">
        <v>2025</v>
      </c>
      <c r="N3653" s="17" t="s">
        <v>129</v>
      </c>
    </row>
    <row r="3654" spans="1:14" ht="14.25" customHeight="1">
      <c r="A3654" s="17">
        <v>13653</v>
      </c>
      <c r="B3654" s="18">
        <v>45581</v>
      </c>
      <c r="C3654" s="17" t="s">
        <v>58</v>
      </c>
      <c r="D3654" s="17" t="s">
        <v>89</v>
      </c>
      <c r="E3654" s="17" t="s">
        <v>165</v>
      </c>
      <c r="F3654" s="17" t="s">
        <v>172</v>
      </c>
      <c r="G3654" s="17">
        <v>3</v>
      </c>
      <c r="H3654" s="17">
        <v>52084</v>
      </c>
      <c r="I3654" s="17">
        <v>156252</v>
      </c>
      <c r="J3654" s="17">
        <v>1419</v>
      </c>
      <c r="K3654" s="17">
        <v>154833</v>
      </c>
      <c r="L3654" s="17">
        <v>27514.93924</v>
      </c>
      <c r="M3654" s="17">
        <v>2024</v>
      </c>
      <c r="N3654" s="17" t="s">
        <v>174</v>
      </c>
    </row>
    <row r="3655" spans="1:14" ht="14.25" customHeight="1">
      <c r="A3655" s="17">
        <v>13654</v>
      </c>
      <c r="B3655" s="18">
        <v>45645</v>
      </c>
      <c r="C3655" s="17" t="s">
        <v>39</v>
      </c>
      <c r="D3655" s="17" t="s">
        <v>89</v>
      </c>
      <c r="E3655" s="17" t="s">
        <v>162</v>
      </c>
      <c r="F3655" s="17" t="s">
        <v>172</v>
      </c>
      <c r="G3655" s="17">
        <v>6</v>
      </c>
      <c r="H3655" s="17">
        <v>74642</v>
      </c>
      <c r="I3655" s="17">
        <v>447852</v>
      </c>
      <c r="J3655" s="17">
        <v>1877</v>
      </c>
      <c r="K3655" s="17">
        <v>445975</v>
      </c>
      <c r="L3655" s="17">
        <v>93616.577019999997</v>
      </c>
      <c r="M3655" s="17">
        <v>2024</v>
      </c>
      <c r="N3655" s="17" t="s">
        <v>169</v>
      </c>
    </row>
    <row r="3656" spans="1:14" ht="14.25" customHeight="1">
      <c r="A3656" s="17">
        <v>13655</v>
      </c>
      <c r="B3656" s="18">
        <v>45930</v>
      </c>
      <c r="C3656" s="17" t="s">
        <v>39</v>
      </c>
      <c r="D3656" s="17" t="s">
        <v>170</v>
      </c>
      <c r="E3656" s="17" t="s">
        <v>168</v>
      </c>
      <c r="F3656" s="17" t="s">
        <v>163</v>
      </c>
      <c r="G3656" s="17">
        <v>5</v>
      </c>
      <c r="H3656" s="17">
        <v>6408</v>
      </c>
      <c r="I3656" s="17">
        <v>32040</v>
      </c>
      <c r="J3656" s="17">
        <v>1026</v>
      </c>
      <c r="K3656" s="17">
        <v>31014</v>
      </c>
      <c r="L3656" s="17">
        <v>6492.4315280000001</v>
      </c>
      <c r="M3656" s="17">
        <v>2025</v>
      </c>
      <c r="N3656" s="17" t="s">
        <v>129</v>
      </c>
    </row>
    <row r="3657" spans="1:14" ht="14.25" customHeight="1">
      <c r="A3657" s="17">
        <v>13656</v>
      </c>
      <c r="B3657" s="18">
        <v>45366</v>
      </c>
      <c r="C3657" s="17" t="s">
        <v>50</v>
      </c>
      <c r="D3657" s="17" t="s">
        <v>83</v>
      </c>
      <c r="E3657" s="17" t="s">
        <v>168</v>
      </c>
      <c r="F3657" s="17" t="s">
        <v>166</v>
      </c>
      <c r="G3657" s="17">
        <v>2</v>
      </c>
      <c r="H3657" s="17">
        <v>60337</v>
      </c>
      <c r="I3657" s="17">
        <v>120674</v>
      </c>
      <c r="J3657" s="17">
        <v>4631</v>
      </c>
      <c r="K3657" s="17">
        <v>116043</v>
      </c>
      <c r="L3657" s="17">
        <v>21443.17957</v>
      </c>
      <c r="M3657" s="17">
        <v>2024</v>
      </c>
      <c r="N3657" s="17" t="s">
        <v>112</v>
      </c>
    </row>
    <row r="3658" spans="1:14" ht="14.25" customHeight="1">
      <c r="A3658" s="17">
        <v>13657</v>
      </c>
      <c r="B3658" s="18">
        <v>46007</v>
      </c>
      <c r="C3658" s="17" t="s">
        <v>167</v>
      </c>
      <c r="D3658" s="17" t="s">
        <v>89</v>
      </c>
      <c r="E3658" s="17" t="s">
        <v>168</v>
      </c>
      <c r="F3658" s="17" t="s">
        <v>172</v>
      </c>
      <c r="G3658" s="17">
        <v>1</v>
      </c>
      <c r="H3658" s="17">
        <v>44612</v>
      </c>
      <c r="I3658" s="17">
        <v>44612</v>
      </c>
      <c r="J3658" s="17">
        <v>600</v>
      </c>
      <c r="K3658" s="17">
        <v>44012</v>
      </c>
      <c r="L3658" s="17">
        <v>6531.4932150000004</v>
      </c>
      <c r="M3658" s="17">
        <v>2025</v>
      </c>
      <c r="N3658" s="17" t="s">
        <v>169</v>
      </c>
    </row>
    <row r="3659" spans="1:14" ht="14.25" customHeight="1">
      <c r="A3659" s="17">
        <v>13658</v>
      </c>
      <c r="B3659" s="18">
        <v>45852</v>
      </c>
      <c r="C3659" s="17" t="s">
        <v>45</v>
      </c>
      <c r="D3659" s="17" t="s">
        <v>83</v>
      </c>
      <c r="E3659" s="17" t="s">
        <v>165</v>
      </c>
      <c r="F3659" s="17" t="s">
        <v>164</v>
      </c>
      <c r="G3659" s="17">
        <v>9</v>
      </c>
      <c r="H3659" s="17">
        <v>44163</v>
      </c>
      <c r="I3659" s="17">
        <v>397467</v>
      </c>
      <c r="J3659" s="17">
        <v>3592</v>
      </c>
      <c r="K3659" s="17">
        <v>393875</v>
      </c>
      <c r="L3659" s="17">
        <v>78791.11709</v>
      </c>
      <c r="M3659" s="17">
        <v>2025</v>
      </c>
      <c r="N3659" s="17" t="s">
        <v>123</v>
      </c>
    </row>
    <row r="3660" spans="1:14" ht="14.25" customHeight="1">
      <c r="A3660" s="17">
        <v>13659</v>
      </c>
      <c r="B3660" s="18">
        <v>45882</v>
      </c>
      <c r="C3660" s="17" t="s">
        <v>39</v>
      </c>
      <c r="D3660" s="17" t="s">
        <v>89</v>
      </c>
      <c r="E3660" s="17" t="s">
        <v>168</v>
      </c>
      <c r="F3660" s="17" t="s">
        <v>163</v>
      </c>
      <c r="G3660" s="17">
        <v>3</v>
      </c>
      <c r="H3660" s="17">
        <v>20843</v>
      </c>
      <c r="I3660" s="17">
        <v>62529</v>
      </c>
      <c r="J3660" s="17">
        <v>987</v>
      </c>
      <c r="K3660" s="17">
        <v>61542</v>
      </c>
      <c r="L3660" s="17">
        <v>6959.952851</v>
      </c>
      <c r="M3660" s="17">
        <v>2025</v>
      </c>
      <c r="N3660" s="17" t="s">
        <v>126</v>
      </c>
    </row>
    <row r="3661" spans="1:14" ht="14.25" customHeight="1">
      <c r="A3661" s="17">
        <v>13660</v>
      </c>
      <c r="B3661" s="18">
        <v>45732</v>
      </c>
      <c r="C3661" s="17" t="s">
        <v>39</v>
      </c>
      <c r="D3661" s="17" t="s">
        <v>111</v>
      </c>
      <c r="E3661" s="17" t="s">
        <v>162</v>
      </c>
      <c r="F3661" s="17" t="s">
        <v>163</v>
      </c>
      <c r="G3661" s="17">
        <v>7</v>
      </c>
      <c r="H3661" s="17">
        <v>54364</v>
      </c>
      <c r="I3661" s="17">
        <v>380548</v>
      </c>
      <c r="J3661" s="17">
        <v>605</v>
      </c>
      <c r="K3661" s="17">
        <v>379943</v>
      </c>
      <c r="L3661" s="17">
        <v>93927.725829999996</v>
      </c>
      <c r="M3661" s="17">
        <v>2025</v>
      </c>
      <c r="N3661" s="17" t="s">
        <v>112</v>
      </c>
    </row>
    <row r="3662" spans="1:14" ht="14.25" customHeight="1">
      <c r="A3662" s="17">
        <v>13661</v>
      </c>
      <c r="B3662" s="18">
        <v>45532</v>
      </c>
      <c r="C3662" s="17" t="s">
        <v>50</v>
      </c>
      <c r="D3662" s="17" t="s">
        <v>89</v>
      </c>
      <c r="E3662" s="17" t="s">
        <v>165</v>
      </c>
      <c r="F3662" s="17" t="s">
        <v>172</v>
      </c>
      <c r="G3662" s="17">
        <v>9</v>
      </c>
      <c r="H3662" s="17">
        <v>33477</v>
      </c>
      <c r="I3662" s="17">
        <v>301293</v>
      </c>
      <c r="J3662" s="17">
        <v>2747</v>
      </c>
      <c r="K3662" s="17">
        <v>298546</v>
      </c>
      <c r="L3662" s="17">
        <v>38094.346960000003</v>
      </c>
      <c r="M3662" s="17">
        <v>2024</v>
      </c>
      <c r="N3662" s="17" t="s">
        <v>126</v>
      </c>
    </row>
    <row r="3663" spans="1:14" ht="14.25" customHeight="1">
      <c r="A3663" s="17">
        <v>13662</v>
      </c>
      <c r="B3663" s="18">
        <v>45445</v>
      </c>
      <c r="C3663" s="17" t="s">
        <v>167</v>
      </c>
      <c r="D3663" s="17" t="s">
        <v>111</v>
      </c>
      <c r="E3663" s="17" t="s">
        <v>165</v>
      </c>
      <c r="F3663" s="17" t="s">
        <v>166</v>
      </c>
      <c r="G3663" s="17">
        <v>9</v>
      </c>
      <c r="H3663" s="17">
        <v>66082</v>
      </c>
      <c r="I3663" s="17">
        <v>594738</v>
      </c>
      <c r="J3663" s="17">
        <v>138</v>
      </c>
      <c r="K3663" s="17">
        <v>594600</v>
      </c>
      <c r="L3663" s="17">
        <v>84025.261530000003</v>
      </c>
      <c r="M3663" s="17">
        <v>2024</v>
      </c>
      <c r="N3663" s="17" t="s">
        <v>120</v>
      </c>
    </row>
    <row r="3664" spans="1:14" ht="14.25" customHeight="1">
      <c r="A3664" s="17">
        <v>13663</v>
      </c>
      <c r="B3664" s="18">
        <v>45387</v>
      </c>
      <c r="C3664" s="17" t="s">
        <v>167</v>
      </c>
      <c r="D3664" s="17" t="s">
        <v>83</v>
      </c>
      <c r="E3664" s="17" t="s">
        <v>168</v>
      </c>
      <c r="F3664" s="17" t="s">
        <v>163</v>
      </c>
      <c r="G3664" s="17">
        <v>6</v>
      </c>
      <c r="H3664" s="17">
        <v>32330</v>
      </c>
      <c r="I3664" s="17">
        <v>193980</v>
      </c>
      <c r="J3664" s="17">
        <v>2057</v>
      </c>
      <c r="K3664" s="17">
        <v>191923</v>
      </c>
      <c r="L3664" s="17">
        <v>46669.123359999998</v>
      </c>
      <c r="M3664" s="17">
        <v>2024</v>
      </c>
      <c r="N3664" s="17" t="s">
        <v>114</v>
      </c>
    </row>
    <row r="3665" spans="1:14" ht="14.25" customHeight="1">
      <c r="A3665" s="17">
        <v>13664</v>
      </c>
      <c r="B3665" s="18">
        <v>46017</v>
      </c>
      <c r="C3665" s="17" t="s">
        <v>50</v>
      </c>
      <c r="D3665" s="17" t="s">
        <v>89</v>
      </c>
      <c r="E3665" s="17" t="s">
        <v>165</v>
      </c>
      <c r="F3665" s="17" t="s">
        <v>166</v>
      </c>
      <c r="G3665" s="17">
        <v>8</v>
      </c>
      <c r="H3665" s="17">
        <v>42569</v>
      </c>
      <c r="I3665" s="17">
        <v>340552</v>
      </c>
      <c r="J3665" s="17">
        <v>3586</v>
      </c>
      <c r="K3665" s="17">
        <v>336966</v>
      </c>
      <c r="L3665" s="17">
        <v>43125.315269999999</v>
      </c>
      <c r="M3665" s="17">
        <v>2025</v>
      </c>
      <c r="N3665" s="17" t="s">
        <v>169</v>
      </c>
    </row>
    <row r="3666" spans="1:14" ht="14.25" customHeight="1">
      <c r="A3666" s="17">
        <v>13665</v>
      </c>
      <c r="B3666" s="18">
        <v>45585</v>
      </c>
      <c r="C3666" s="17" t="s">
        <v>39</v>
      </c>
      <c r="D3666" s="17" t="s">
        <v>86</v>
      </c>
      <c r="E3666" s="17" t="s">
        <v>165</v>
      </c>
      <c r="F3666" s="17" t="s">
        <v>172</v>
      </c>
      <c r="G3666" s="17">
        <v>9</v>
      </c>
      <c r="H3666" s="17">
        <v>53114</v>
      </c>
      <c r="I3666" s="17">
        <v>478026</v>
      </c>
      <c r="J3666" s="17">
        <v>4225</v>
      </c>
      <c r="K3666" s="17">
        <v>473801</v>
      </c>
      <c r="L3666" s="17">
        <v>59468.613590000001</v>
      </c>
      <c r="M3666" s="17">
        <v>2024</v>
      </c>
      <c r="N3666" s="17" t="s">
        <v>174</v>
      </c>
    </row>
    <row r="3667" spans="1:14" ht="14.25" customHeight="1">
      <c r="A3667" s="17">
        <v>13666</v>
      </c>
      <c r="B3667" s="18">
        <v>45500</v>
      </c>
      <c r="C3667" s="17" t="s">
        <v>45</v>
      </c>
      <c r="D3667" s="17" t="s">
        <v>86</v>
      </c>
      <c r="E3667" s="17" t="s">
        <v>168</v>
      </c>
      <c r="F3667" s="17" t="s">
        <v>172</v>
      </c>
      <c r="G3667" s="17">
        <v>3</v>
      </c>
      <c r="H3667" s="17">
        <v>72294</v>
      </c>
      <c r="I3667" s="17">
        <v>216882</v>
      </c>
      <c r="J3667" s="17">
        <v>4496</v>
      </c>
      <c r="K3667" s="17">
        <v>212386</v>
      </c>
      <c r="L3667" s="17">
        <v>46869.426789999998</v>
      </c>
      <c r="M3667" s="17">
        <v>2024</v>
      </c>
      <c r="N3667" s="17" t="s">
        <v>123</v>
      </c>
    </row>
    <row r="3668" spans="1:14" ht="14.25" customHeight="1">
      <c r="A3668" s="17">
        <v>13667</v>
      </c>
      <c r="B3668" s="18">
        <v>45634</v>
      </c>
      <c r="C3668" s="17" t="s">
        <v>39</v>
      </c>
      <c r="D3668" s="17" t="s">
        <v>170</v>
      </c>
      <c r="E3668" s="17" t="s">
        <v>162</v>
      </c>
      <c r="F3668" s="17" t="s">
        <v>166</v>
      </c>
      <c r="G3668" s="17">
        <v>6</v>
      </c>
      <c r="H3668" s="17">
        <v>69106</v>
      </c>
      <c r="I3668" s="17">
        <v>414636</v>
      </c>
      <c r="J3668" s="17">
        <v>1244</v>
      </c>
      <c r="K3668" s="17">
        <v>413392</v>
      </c>
      <c r="L3668" s="17">
        <v>56921.277970000003</v>
      </c>
      <c r="M3668" s="17">
        <v>2024</v>
      </c>
      <c r="N3668" s="17" t="s">
        <v>169</v>
      </c>
    </row>
    <row r="3669" spans="1:14" ht="14.25" customHeight="1">
      <c r="A3669" s="17">
        <v>13668</v>
      </c>
      <c r="B3669" s="18">
        <v>45379</v>
      </c>
      <c r="C3669" s="17" t="s">
        <v>167</v>
      </c>
      <c r="D3669" s="17" t="s">
        <v>86</v>
      </c>
      <c r="E3669" s="17" t="s">
        <v>162</v>
      </c>
      <c r="F3669" s="17" t="s">
        <v>164</v>
      </c>
      <c r="G3669" s="17">
        <v>5</v>
      </c>
      <c r="H3669" s="17">
        <v>43548</v>
      </c>
      <c r="I3669" s="17">
        <v>217740</v>
      </c>
      <c r="J3669" s="17">
        <v>641</v>
      </c>
      <c r="K3669" s="17">
        <v>217099</v>
      </c>
      <c r="L3669" s="17">
        <v>24794.65713</v>
      </c>
      <c r="M3669" s="17">
        <v>2024</v>
      </c>
      <c r="N3669" s="17" t="s">
        <v>112</v>
      </c>
    </row>
    <row r="3670" spans="1:14" ht="14.25" customHeight="1">
      <c r="A3670" s="17">
        <v>13669</v>
      </c>
      <c r="B3670" s="18">
        <v>45681</v>
      </c>
      <c r="C3670" s="17" t="s">
        <v>39</v>
      </c>
      <c r="D3670" s="17" t="s">
        <v>111</v>
      </c>
      <c r="E3670" s="17" t="s">
        <v>168</v>
      </c>
      <c r="F3670" s="17" t="s">
        <v>163</v>
      </c>
      <c r="G3670" s="17">
        <v>7</v>
      </c>
      <c r="H3670" s="17">
        <v>67598</v>
      </c>
      <c r="I3670" s="17">
        <v>473186</v>
      </c>
      <c r="J3670" s="17">
        <v>436</v>
      </c>
      <c r="K3670" s="17">
        <v>472750</v>
      </c>
      <c r="L3670" s="17">
        <v>63346.823709999997</v>
      </c>
      <c r="M3670" s="17">
        <v>2025</v>
      </c>
      <c r="N3670" s="17" t="s">
        <v>171</v>
      </c>
    </row>
    <row r="3671" spans="1:14" ht="14.25" customHeight="1">
      <c r="A3671" s="17">
        <v>13670</v>
      </c>
      <c r="B3671" s="18">
        <v>45616</v>
      </c>
      <c r="C3671" s="17" t="s">
        <v>45</v>
      </c>
      <c r="D3671" s="17" t="s">
        <v>86</v>
      </c>
      <c r="E3671" s="17" t="s">
        <v>162</v>
      </c>
      <c r="F3671" s="17" t="s">
        <v>172</v>
      </c>
      <c r="G3671" s="17">
        <v>7</v>
      </c>
      <c r="H3671" s="17">
        <v>16260</v>
      </c>
      <c r="I3671" s="17">
        <v>113820</v>
      </c>
      <c r="J3671" s="17">
        <v>1423</v>
      </c>
      <c r="K3671" s="17">
        <v>112397</v>
      </c>
      <c r="L3671" s="17">
        <v>26217.278890000001</v>
      </c>
      <c r="M3671" s="17">
        <v>2024</v>
      </c>
      <c r="N3671" s="17" t="s">
        <v>173</v>
      </c>
    </row>
    <row r="3672" spans="1:14" ht="14.25" customHeight="1">
      <c r="A3672" s="17">
        <v>13671</v>
      </c>
      <c r="B3672" s="18">
        <v>45448</v>
      </c>
      <c r="C3672" s="17" t="s">
        <v>58</v>
      </c>
      <c r="D3672" s="17" t="s">
        <v>86</v>
      </c>
      <c r="E3672" s="17" t="s">
        <v>162</v>
      </c>
      <c r="F3672" s="17" t="s">
        <v>164</v>
      </c>
      <c r="G3672" s="17">
        <v>9</v>
      </c>
      <c r="H3672" s="17">
        <v>37350</v>
      </c>
      <c r="I3672" s="17">
        <v>336150</v>
      </c>
      <c r="J3672" s="17">
        <v>1136</v>
      </c>
      <c r="K3672" s="17">
        <v>335014</v>
      </c>
      <c r="L3672" s="17">
        <v>47588.027739999998</v>
      </c>
      <c r="M3672" s="17">
        <v>2024</v>
      </c>
      <c r="N3672" s="17" t="s">
        <v>120</v>
      </c>
    </row>
    <row r="3673" spans="1:14" ht="14.25" customHeight="1">
      <c r="A3673" s="17">
        <v>13672</v>
      </c>
      <c r="B3673" s="18">
        <v>45959</v>
      </c>
      <c r="C3673" s="17" t="s">
        <v>39</v>
      </c>
      <c r="D3673" s="17" t="s">
        <v>86</v>
      </c>
      <c r="E3673" s="17" t="s">
        <v>162</v>
      </c>
      <c r="F3673" s="17" t="s">
        <v>164</v>
      </c>
      <c r="G3673" s="17">
        <v>1</v>
      </c>
      <c r="H3673" s="17">
        <v>46741</v>
      </c>
      <c r="I3673" s="17">
        <v>46741</v>
      </c>
      <c r="J3673" s="17">
        <v>3721</v>
      </c>
      <c r="K3673" s="17">
        <v>43020</v>
      </c>
      <c r="L3673" s="17">
        <v>8787.2255120000009</v>
      </c>
      <c r="M3673" s="17">
        <v>2025</v>
      </c>
      <c r="N3673" s="17" t="s">
        <v>174</v>
      </c>
    </row>
    <row r="3674" spans="1:14" ht="14.25" customHeight="1">
      <c r="A3674" s="17">
        <v>13673</v>
      </c>
      <c r="B3674" s="18">
        <v>45942</v>
      </c>
      <c r="C3674" s="17" t="s">
        <v>50</v>
      </c>
      <c r="D3674" s="17" t="s">
        <v>89</v>
      </c>
      <c r="E3674" s="17" t="s">
        <v>165</v>
      </c>
      <c r="F3674" s="17" t="s">
        <v>166</v>
      </c>
      <c r="G3674" s="17">
        <v>6</v>
      </c>
      <c r="H3674" s="17">
        <v>50181</v>
      </c>
      <c r="I3674" s="17">
        <v>301086</v>
      </c>
      <c r="J3674" s="17">
        <v>3289</v>
      </c>
      <c r="K3674" s="17">
        <v>297797</v>
      </c>
      <c r="L3674" s="17">
        <v>47430.39157</v>
      </c>
      <c r="M3674" s="17">
        <v>2025</v>
      </c>
      <c r="N3674" s="17" t="s">
        <v>174</v>
      </c>
    </row>
    <row r="3675" spans="1:14" ht="14.25" customHeight="1">
      <c r="A3675" s="17">
        <v>13674</v>
      </c>
      <c r="B3675" s="18">
        <v>45924</v>
      </c>
      <c r="C3675" s="17" t="s">
        <v>58</v>
      </c>
      <c r="D3675" s="17" t="s">
        <v>170</v>
      </c>
      <c r="E3675" s="17" t="s">
        <v>165</v>
      </c>
      <c r="F3675" s="17" t="s">
        <v>166</v>
      </c>
      <c r="G3675" s="17">
        <v>5</v>
      </c>
      <c r="H3675" s="17">
        <v>5840</v>
      </c>
      <c r="I3675" s="17">
        <v>29200</v>
      </c>
      <c r="J3675" s="17">
        <v>57</v>
      </c>
      <c r="K3675" s="17">
        <v>29143</v>
      </c>
      <c r="L3675" s="17">
        <v>4060.1390839999999</v>
      </c>
      <c r="M3675" s="17">
        <v>2025</v>
      </c>
      <c r="N3675" s="17" t="s">
        <v>129</v>
      </c>
    </row>
    <row r="3676" spans="1:14" ht="14.25" customHeight="1">
      <c r="A3676" s="17">
        <v>13675</v>
      </c>
      <c r="B3676" s="18">
        <v>45868</v>
      </c>
      <c r="C3676" s="17" t="s">
        <v>50</v>
      </c>
      <c r="D3676" s="17" t="s">
        <v>83</v>
      </c>
      <c r="E3676" s="17" t="s">
        <v>165</v>
      </c>
      <c r="F3676" s="17" t="s">
        <v>166</v>
      </c>
      <c r="G3676" s="17">
        <v>4</v>
      </c>
      <c r="H3676" s="17">
        <v>67422</v>
      </c>
      <c r="I3676" s="17">
        <v>269688</v>
      </c>
      <c r="J3676" s="17">
        <v>1136</v>
      </c>
      <c r="K3676" s="17">
        <v>268552</v>
      </c>
      <c r="L3676" s="17">
        <v>32657.832890000001</v>
      </c>
      <c r="M3676" s="17">
        <v>2025</v>
      </c>
      <c r="N3676" s="17" t="s">
        <v>123</v>
      </c>
    </row>
    <row r="3677" spans="1:14" ht="14.25" customHeight="1">
      <c r="A3677" s="17">
        <v>13676</v>
      </c>
      <c r="B3677" s="18">
        <v>45910</v>
      </c>
      <c r="C3677" s="17" t="s">
        <v>50</v>
      </c>
      <c r="D3677" s="17" t="s">
        <v>170</v>
      </c>
      <c r="E3677" s="17" t="s">
        <v>162</v>
      </c>
      <c r="F3677" s="17" t="s">
        <v>164</v>
      </c>
      <c r="G3677" s="17">
        <v>1</v>
      </c>
      <c r="H3677" s="17">
        <v>22725</v>
      </c>
      <c r="I3677" s="17">
        <v>22725</v>
      </c>
      <c r="J3677" s="17">
        <v>699</v>
      </c>
      <c r="K3677" s="17">
        <v>22026</v>
      </c>
      <c r="L3677" s="17">
        <v>5414.6242519999996</v>
      </c>
      <c r="M3677" s="17">
        <v>2025</v>
      </c>
      <c r="N3677" s="17" t="s">
        <v>129</v>
      </c>
    </row>
    <row r="3678" spans="1:14" ht="14.25" customHeight="1">
      <c r="A3678" s="17">
        <v>13677</v>
      </c>
      <c r="B3678" s="18">
        <v>45950</v>
      </c>
      <c r="C3678" s="17" t="s">
        <v>50</v>
      </c>
      <c r="D3678" s="17" t="s">
        <v>111</v>
      </c>
      <c r="E3678" s="17" t="s">
        <v>165</v>
      </c>
      <c r="F3678" s="17" t="s">
        <v>163</v>
      </c>
      <c r="G3678" s="17">
        <v>4</v>
      </c>
      <c r="H3678" s="17">
        <v>17299</v>
      </c>
      <c r="I3678" s="17">
        <v>69196</v>
      </c>
      <c r="J3678" s="17">
        <v>1145</v>
      </c>
      <c r="K3678" s="17">
        <v>68051</v>
      </c>
      <c r="L3678" s="17">
        <v>12124.46509</v>
      </c>
      <c r="M3678" s="17">
        <v>2025</v>
      </c>
      <c r="N3678" s="17" t="s">
        <v>174</v>
      </c>
    </row>
    <row r="3679" spans="1:14" ht="14.25" customHeight="1">
      <c r="A3679" s="17">
        <v>13678</v>
      </c>
      <c r="B3679" s="18">
        <v>45428</v>
      </c>
      <c r="C3679" s="17" t="s">
        <v>39</v>
      </c>
      <c r="D3679" s="17" t="s">
        <v>89</v>
      </c>
      <c r="E3679" s="17" t="s">
        <v>162</v>
      </c>
      <c r="F3679" s="17" t="s">
        <v>166</v>
      </c>
      <c r="G3679" s="17">
        <v>7</v>
      </c>
      <c r="H3679" s="17">
        <v>55652</v>
      </c>
      <c r="I3679" s="17">
        <v>389564</v>
      </c>
      <c r="J3679" s="17">
        <v>2455</v>
      </c>
      <c r="K3679" s="17">
        <v>387109</v>
      </c>
      <c r="L3679" s="17">
        <v>45374.303599999999</v>
      </c>
      <c r="M3679" s="17">
        <v>2024</v>
      </c>
      <c r="N3679" s="17" t="s">
        <v>117</v>
      </c>
    </row>
    <row r="3680" spans="1:14" ht="14.25" customHeight="1">
      <c r="A3680" s="17">
        <v>13679</v>
      </c>
      <c r="B3680" s="18">
        <v>45965</v>
      </c>
      <c r="C3680" s="17" t="s">
        <v>167</v>
      </c>
      <c r="D3680" s="17" t="s">
        <v>89</v>
      </c>
      <c r="E3680" s="17" t="s">
        <v>168</v>
      </c>
      <c r="F3680" s="17" t="s">
        <v>163</v>
      </c>
      <c r="G3680" s="17">
        <v>4</v>
      </c>
      <c r="H3680" s="17">
        <v>76095</v>
      </c>
      <c r="I3680" s="17">
        <v>304380</v>
      </c>
      <c r="J3680" s="17">
        <v>1108</v>
      </c>
      <c r="K3680" s="17">
        <v>303272</v>
      </c>
      <c r="L3680" s="17">
        <v>39371.406819999997</v>
      </c>
      <c r="M3680" s="17">
        <v>2025</v>
      </c>
      <c r="N3680" s="17" t="s">
        <v>173</v>
      </c>
    </row>
    <row r="3681" spans="1:14" ht="14.25" customHeight="1">
      <c r="A3681" s="17">
        <v>13680</v>
      </c>
      <c r="B3681" s="18">
        <v>45719</v>
      </c>
      <c r="C3681" s="17" t="s">
        <v>58</v>
      </c>
      <c r="D3681" s="17" t="s">
        <v>86</v>
      </c>
      <c r="E3681" s="17" t="s">
        <v>162</v>
      </c>
      <c r="F3681" s="17" t="s">
        <v>166</v>
      </c>
      <c r="G3681" s="17">
        <v>1</v>
      </c>
      <c r="H3681" s="17">
        <v>37597</v>
      </c>
      <c r="I3681" s="17">
        <v>37597</v>
      </c>
      <c r="J3681" s="17">
        <v>4495</v>
      </c>
      <c r="K3681" s="17">
        <v>33102</v>
      </c>
      <c r="L3681" s="17">
        <v>5332.5521799999997</v>
      </c>
      <c r="M3681" s="17">
        <v>2025</v>
      </c>
      <c r="N3681" s="17" t="s">
        <v>112</v>
      </c>
    </row>
    <row r="3682" spans="1:14" ht="14.25" customHeight="1">
      <c r="A3682" s="17">
        <v>13681</v>
      </c>
      <c r="B3682" s="18">
        <v>45743</v>
      </c>
      <c r="C3682" s="17" t="s">
        <v>45</v>
      </c>
      <c r="D3682" s="17" t="s">
        <v>86</v>
      </c>
      <c r="E3682" s="17" t="s">
        <v>165</v>
      </c>
      <c r="F3682" s="17" t="s">
        <v>164</v>
      </c>
      <c r="G3682" s="17">
        <v>1</v>
      </c>
      <c r="H3682" s="17">
        <v>13707</v>
      </c>
      <c r="I3682" s="17">
        <v>13707</v>
      </c>
      <c r="J3682" s="17">
        <v>107</v>
      </c>
      <c r="K3682" s="17">
        <v>13600</v>
      </c>
      <c r="L3682" s="17">
        <v>2470.1078739999998</v>
      </c>
      <c r="M3682" s="17">
        <v>2025</v>
      </c>
      <c r="N3682" s="17" t="s">
        <v>112</v>
      </c>
    </row>
    <row r="3683" spans="1:14" ht="14.25" customHeight="1">
      <c r="A3683" s="17">
        <v>13682</v>
      </c>
      <c r="B3683" s="18">
        <v>45903</v>
      </c>
      <c r="C3683" s="17" t="s">
        <v>167</v>
      </c>
      <c r="D3683" s="17" t="s">
        <v>111</v>
      </c>
      <c r="E3683" s="17" t="s">
        <v>162</v>
      </c>
      <c r="F3683" s="17" t="s">
        <v>163</v>
      </c>
      <c r="G3683" s="17">
        <v>1</v>
      </c>
      <c r="H3683" s="17">
        <v>53943</v>
      </c>
      <c r="I3683" s="17">
        <v>53943</v>
      </c>
      <c r="J3683" s="17">
        <v>1984</v>
      </c>
      <c r="K3683" s="17">
        <v>51959</v>
      </c>
      <c r="L3683" s="17">
        <v>6612.7969759999996</v>
      </c>
      <c r="M3683" s="17">
        <v>2025</v>
      </c>
      <c r="N3683" s="17" t="s">
        <v>129</v>
      </c>
    </row>
    <row r="3684" spans="1:14" ht="14.25" customHeight="1">
      <c r="A3684" s="17">
        <v>13683</v>
      </c>
      <c r="B3684" s="18">
        <v>45432</v>
      </c>
      <c r="C3684" s="17" t="s">
        <v>39</v>
      </c>
      <c r="D3684" s="17" t="s">
        <v>89</v>
      </c>
      <c r="E3684" s="17" t="s">
        <v>165</v>
      </c>
      <c r="F3684" s="17" t="s">
        <v>163</v>
      </c>
      <c r="G3684" s="17">
        <v>5</v>
      </c>
      <c r="H3684" s="17">
        <v>68803</v>
      </c>
      <c r="I3684" s="17">
        <v>344015</v>
      </c>
      <c r="J3684" s="17">
        <v>4247</v>
      </c>
      <c r="K3684" s="17">
        <v>339768</v>
      </c>
      <c r="L3684" s="17">
        <v>48131.281300000002</v>
      </c>
      <c r="M3684" s="17">
        <v>2024</v>
      </c>
      <c r="N3684" s="17" t="s">
        <v>117</v>
      </c>
    </row>
    <row r="3685" spans="1:14" ht="14.25" customHeight="1">
      <c r="A3685" s="17">
        <v>13684</v>
      </c>
      <c r="B3685" s="18">
        <v>45374</v>
      </c>
      <c r="C3685" s="17" t="s">
        <v>50</v>
      </c>
      <c r="D3685" s="17" t="s">
        <v>83</v>
      </c>
      <c r="E3685" s="17" t="s">
        <v>165</v>
      </c>
      <c r="F3685" s="17" t="s">
        <v>164</v>
      </c>
      <c r="G3685" s="17">
        <v>7</v>
      </c>
      <c r="H3685" s="17">
        <v>8155</v>
      </c>
      <c r="I3685" s="17">
        <v>57085</v>
      </c>
      <c r="J3685" s="17">
        <v>905</v>
      </c>
      <c r="K3685" s="17">
        <v>56180</v>
      </c>
      <c r="L3685" s="17">
        <v>12222.2932</v>
      </c>
      <c r="M3685" s="17">
        <v>2024</v>
      </c>
      <c r="N3685" s="17" t="s">
        <v>112</v>
      </c>
    </row>
    <row r="3686" spans="1:14" ht="14.25" customHeight="1">
      <c r="A3686" s="17">
        <v>13685</v>
      </c>
      <c r="B3686" s="18">
        <v>45468</v>
      </c>
      <c r="C3686" s="17" t="s">
        <v>45</v>
      </c>
      <c r="D3686" s="17" t="s">
        <v>170</v>
      </c>
      <c r="E3686" s="17" t="s">
        <v>168</v>
      </c>
      <c r="F3686" s="17" t="s">
        <v>163</v>
      </c>
      <c r="G3686" s="17">
        <v>9</v>
      </c>
      <c r="H3686" s="17">
        <v>28572</v>
      </c>
      <c r="I3686" s="17">
        <v>257148</v>
      </c>
      <c r="J3686" s="17">
        <v>4945</v>
      </c>
      <c r="K3686" s="17">
        <v>252203</v>
      </c>
      <c r="L3686" s="17">
        <v>41013.816789999997</v>
      </c>
      <c r="M3686" s="17">
        <v>2024</v>
      </c>
      <c r="N3686" s="17" t="s">
        <v>120</v>
      </c>
    </row>
    <row r="3687" spans="1:14" ht="14.25" customHeight="1">
      <c r="A3687" s="17">
        <v>13686</v>
      </c>
      <c r="B3687" s="18">
        <v>45489</v>
      </c>
      <c r="C3687" s="17" t="s">
        <v>58</v>
      </c>
      <c r="D3687" s="17" t="s">
        <v>89</v>
      </c>
      <c r="E3687" s="17" t="s">
        <v>168</v>
      </c>
      <c r="F3687" s="17" t="s">
        <v>164</v>
      </c>
      <c r="G3687" s="17">
        <v>8</v>
      </c>
      <c r="H3687" s="17">
        <v>64694</v>
      </c>
      <c r="I3687" s="17">
        <v>517552</v>
      </c>
      <c r="J3687" s="17">
        <v>1992</v>
      </c>
      <c r="K3687" s="17">
        <v>515560</v>
      </c>
      <c r="L3687" s="17">
        <v>51664.450709999997</v>
      </c>
      <c r="M3687" s="17">
        <v>2024</v>
      </c>
      <c r="N3687" s="17" t="s">
        <v>123</v>
      </c>
    </row>
    <row r="3688" spans="1:14" ht="14.25" customHeight="1">
      <c r="A3688" s="17">
        <v>13687</v>
      </c>
      <c r="B3688" s="18">
        <v>45915</v>
      </c>
      <c r="C3688" s="17" t="s">
        <v>167</v>
      </c>
      <c r="D3688" s="17" t="s">
        <v>83</v>
      </c>
      <c r="E3688" s="17" t="s">
        <v>165</v>
      </c>
      <c r="F3688" s="17" t="s">
        <v>164</v>
      </c>
      <c r="G3688" s="17">
        <v>2</v>
      </c>
      <c r="H3688" s="17">
        <v>71514</v>
      </c>
      <c r="I3688" s="17">
        <v>143028</v>
      </c>
      <c r="J3688" s="17">
        <v>4122</v>
      </c>
      <c r="K3688" s="17">
        <v>138906</v>
      </c>
      <c r="L3688" s="17">
        <v>15014.49446</v>
      </c>
      <c r="M3688" s="17">
        <v>2025</v>
      </c>
      <c r="N3688" s="17" t="s">
        <v>129</v>
      </c>
    </row>
    <row r="3689" spans="1:14" ht="14.25" customHeight="1">
      <c r="A3689" s="17">
        <v>13688</v>
      </c>
      <c r="B3689" s="18">
        <v>45859</v>
      </c>
      <c r="C3689" s="17" t="s">
        <v>167</v>
      </c>
      <c r="D3689" s="17" t="s">
        <v>83</v>
      </c>
      <c r="E3689" s="17" t="s">
        <v>162</v>
      </c>
      <c r="F3689" s="17" t="s">
        <v>172</v>
      </c>
      <c r="G3689" s="17">
        <v>9</v>
      </c>
      <c r="H3689" s="17">
        <v>49843</v>
      </c>
      <c r="I3689" s="17">
        <v>448587</v>
      </c>
      <c r="J3689" s="17">
        <v>4214</v>
      </c>
      <c r="K3689" s="17">
        <v>444373</v>
      </c>
      <c r="L3689" s="17">
        <v>73721.154949999996</v>
      </c>
      <c r="M3689" s="17">
        <v>2025</v>
      </c>
      <c r="N3689" s="17" t="s">
        <v>123</v>
      </c>
    </row>
    <row r="3690" spans="1:14" ht="14.25" customHeight="1">
      <c r="A3690" s="17">
        <v>13689</v>
      </c>
      <c r="B3690" s="18">
        <v>45982</v>
      </c>
      <c r="C3690" s="17" t="s">
        <v>45</v>
      </c>
      <c r="D3690" s="17" t="s">
        <v>170</v>
      </c>
      <c r="E3690" s="17" t="s">
        <v>168</v>
      </c>
      <c r="F3690" s="17" t="s">
        <v>166</v>
      </c>
      <c r="G3690" s="17">
        <v>4</v>
      </c>
      <c r="H3690" s="17">
        <v>40357</v>
      </c>
      <c r="I3690" s="17">
        <v>161428</v>
      </c>
      <c r="J3690" s="17">
        <v>4818</v>
      </c>
      <c r="K3690" s="17">
        <v>156610</v>
      </c>
      <c r="L3690" s="17">
        <v>17073.255829999998</v>
      </c>
      <c r="M3690" s="17">
        <v>2025</v>
      </c>
      <c r="N3690" s="17" t="s">
        <v>173</v>
      </c>
    </row>
    <row r="3691" spans="1:14" ht="14.25" customHeight="1">
      <c r="A3691" s="17">
        <v>13690</v>
      </c>
      <c r="B3691" s="18">
        <v>45712</v>
      </c>
      <c r="C3691" s="17" t="s">
        <v>39</v>
      </c>
      <c r="D3691" s="17" t="s">
        <v>83</v>
      </c>
      <c r="E3691" s="17" t="s">
        <v>168</v>
      </c>
      <c r="F3691" s="17" t="s">
        <v>172</v>
      </c>
      <c r="G3691" s="17">
        <v>5</v>
      </c>
      <c r="H3691" s="17">
        <v>28167</v>
      </c>
      <c r="I3691" s="17">
        <v>140835</v>
      </c>
      <c r="J3691" s="17">
        <v>2147</v>
      </c>
      <c r="K3691" s="17">
        <v>138688</v>
      </c>
      <c r="L3691" s="17">
        <v>17486.56826</v>
      </c>
      <c r="M3691" s="17">
        <v>2025</v>
      </c>
      <c r="N3691" s="17" t="s">
        <v>175</v>
      </c>
    </row>
    <row r="3692" spans="1:14" ht="14.25" customHeight="1">
      <c r="A3692" s="17">
        <v>13691</v>
      </c>
      <c r="B3692" s="18">
        <v>45692</v>
      </c>
      <c r="C3692" s="17" t="s">
        <v>58</v>
      </c>
      <c r="D3692" s="17" t="s">
        <v>111</v>
      </c>
      <c r="E3692" s="17" t="s">
        <v>165</v>
      </c>
      <c r="F3692" s="17" t="s">
        <v>164</v>
      </c>
      <c r="G3692" s="17">
        <v>5</v>
      </c>
      <c r="H3692" s="17">
        <v>76478</v>
      </c>
      <c r="I3692" s="17">
        <v>382390</v>
      </c>
      <c r="J3692" s="17">
        <v>4098</v>
      </c>
      <c r="K3692" s="17">
        <v>378292</v>
      </c>
      <c r="L3692" s="17">
        <v>79131.675289999999</v>
      </c>
      <c r="M3692" s="17">
        <v>2025</v>
      </c>
      <c r="N3692" s="17" t="s">
        <v>175</v>
      </c>
    </row>
    <row r="3693" spans="1:14" ht="14.25" customHeight="1">
      <c r="A3693" s="17">
        <v>13692</v>
      </c>
      <c r="B3693" s="18">
        <v>45989</v>
      </c>
      <c r="C3693" s="17" t="s">
        <v>45</v>
      </c>
      <c r="D3693" s="17" t="s">
        <v>83</v>
      </c>
      <c r="E3693" s="17" t="s">
        <v>162</v>
      </c>
      <c r="F3693" s="17" t="s">
        <v>164</v>
      </c>
      <c r="G3693" s="17">
        <v>4</v>
      </c>
      <c r="H3693" s="17">
        <v>23983</v>
      </c>
      <c r="I3693" s="17">
        <v>95932</v>
      </c>
      <c r="J3693" s="17">
        <v>805</v>
      </c>
      <c r="K3693" s="17">
        <v>95127</v>
      </c>
      <c r="L3693" s="17">
        <v>16367.320809999999</v>
      </c>
      <c r="M3693" s="17">
        <v>2025</v>
      </c>
      <c r="N3693" s="17" t="s">
        <v>173</v>
      </c>
    </row>
    <row r="3694" spans="1:14" ht="14.25" customHeight="1">
      <c r="A3694" s="17">
        <v>13693</v>
      </c>
      <c r="B3694" s="18">
        <v>45762</v>
      </c>
      <c r="C3694" s="17" t="s">
        <v>50</v>
      </c>
      <c r="D3694" s="17" t="s">
        <v>111</v>
      </c>
      <c r="E3694" s="17" t="s">
        <v>168</v>
      </c>
      <c r="F3694" s="17" t="s">
        <v>163</v>
      </c>
      <c r="G3694" s="17">
        <v>6</v>
      </c>
      <c r="H3694" s="17">
        <v>40276</v>
      </c>
      <c r="I3694" s="17">
        <v>241656</v>
      </c>
      <c r="J3694" s="17">
        <v>1992</v>
      </c>
      <c r="K3694" s="17">
        <v>239664</v>
      </c>
      <c r="L3694" s="17">
        <v>41310.713510000001</v>
      </c>
      <c r="M3694" s="17">
        <v>2025</v>
      </c>
      <c r="N3694" s="17" t="s">
        <v>114</v>
      </c>
    </row>
    <row r="3695" spans="1:14" ht="14.25" customHeight="1">
      <c r="A3695" s="17">
        <v>13694</v>
      </c>
      <c r="B3695" s="18">
        <v>45509</v>
      </c>
      <c r="C3695" s="17" t="s">
        <v>58</v>
      </c>
      <c r="D3695" s="17" t="s">
        <v>83</v>
      </c>
      <c r="E3695" s="17" t="s">
        <v>168</v>
      </c>
      <c r="F3695" s="17" t="s">
        <v>164</v>
      </c>
      <c r="G3695" s="17">
        <v>1</v>
      </c>
      <c r="H3695" s="17">
        <v>50279</v>
      </c>
      <c r="I3695" s="17">
        <v>50279</v>
      </c>
      <c r="J3695" s="17">
        <v>3600</v>
      </c>
      <c r="K3695" s="17">
        <v>46679</v>
      </c>
      <c r="L3695" s="17">
        <v>8856.5333460000002</v>
      </c>
      <c r="M3695" s="17">
        <v>2024</v>
      </c>
      <c r="N3695" s="17" t="s">
        <v>126</v>
      </c>
    </row>
    <row r="3696" spans="1:14" ht="14.25" customHeight="1">
      <c r="A3696" s="17">
        <v>13695</v>
      </c>
      <c r="B3696" s="18">
        <v>46020</v>
      </c>
      <c r="C3696" s="17" t="s">
        <v>167</v>
      </c>
      <c r="D3696" s="17" t="s">
        <v>86</v>
      </c>
      <c r="E3696" s="17" t="s">
        <v>162</v>
      </c>
      <c r="F3696" s="17" t="s">
        <v>164</v>
      </c>
      <c r="G3696" s="17">
        <v>2</v>
      </c>
      <c r="H3696" s="17">
        <v>64483</v>
      </c>
      <c r="I3696" s="17">
        <v>128966</v>
      </c>
      <c r="J3696" s="17">
        <v>4399</v>
      </c>
      <c r="K3696" s="17">
        <v>124567</v>
      </c>
      <c r="L3696" s="17">
        <v>27190.210739999999</v>
      </c>
      <c r="M3696" s="17">
        <v>2025</v>
      </c>
      <c r="N3696" s="17" t="s">
        <v>169</v>
      </c>
    </row>
    <row r="3697" spans="1:14" ht="14.25" customHeight="1">
      <c r="A3697" s="17">
        <v>13696</v>
      </c>
      <c r="B3697" s="18">
        <v>45923</v>
      </c>
      <c r="C3697" s="17" t="s">
        <v>45</v>
      </c>
      <c r="D3697" s="17" t="s">
        <v>83</v>
      </c>
      <c r="E3697" s="17" t="s">
        <v>168</v>
      </c>
      <c r="F3697" s="17" t="s">
        <v>164</v>
      </c>
      <c r="G3697" s="17">
        <v>4</v>
      </c>
      <c r="H3697" s="17">
        <v>76451</v>
      </c>
      <c r="I3697" s="17">
        <v>305804</v>
      </c>
      <c r="J3697" s="17">
        <v>4272</v>
      </c>
      <c r="K3697" s="17">
        <v>301532</v>
      </c>
      <c r="L3697" s="17">
        <v>37326.010849999999</v>
      </c>
      <c r="M3697" s="17">
        <v>2025</v>
      </c>
      <c r="N3697" s="17" t="s">
        <v>129</v>
      </c>
    </row>
    <row r="3698" spans="1:14" ht="14.25" customHeight="1">
      <c r="A3698" s="17">
        <v>13697</v>
      </c>
      <c r="B3698" s="18">
        <v>45466</v>
      </c>
      <c r="C3698" s="17" t="s">
        <v>167</v>
      </c>
      <c r="D3698" s="17" t="s">
        <v>111</v>
      </c>
      <c r="E3698" s="17" t="s">
        <v>162</v>
      </c>
      <c r="F3698" s="17" t="s">
        <v>166</v>
      </c>
      <c r="G3698" s="17">
        <v>4</v>
      </c>
      <c r="H3698" s="17">
        <v>7045</v>
      </c>
      <c r="I3698" s="17">
        <v>28180</v>
      </c>
      <c r="J3698" s="17">
        <v>4010</v>
      </c>
      <c r="K3698" s="17">
        <v>24170</v>
      </c>
      <c r="L3698" s="17">
        <v>3044.384051</v>
      </c>
      <c r="M3698" s="17">
        <v>2024</v>
      </c>
      <c r="N3698" s="17" t="s">
        <v>120</v>
      </c>
    </row>
    <row r="3699" spans="1:14" ht="14.25" customHeight="1">
      <c r="A3699" s="17">
        <v>13698</v>
      </c>
      <c r="B3699" s="18">
        <v>45314</v>
      </c>
      <c r="C3699" s="17" t="s">
        <v>167</v>
      </c>
      <c r="D3699" s="17" t="s">
        <v>83</v>
      </c>
      <c r="E3699" s="17" t="s">
        <v>165</v>
      </c>
      <c r="F3699" s="17" t="s">
        <v>172</v>
      </c>
      <c r="G3699" s="17">
        <v>8</v>
      </c>
      <c r="H3699" s="17">
        <v>47344</v>
      </c>
      <c r="I3699" s="17">
        <v>378752</v>
      </c>
      <c r="J3699" s="17">
        <v>83</v>
      </c>
      <c r="K3699" s="17">
        <v>378669</v>
      </c>
      <c r="L3699" s="17">
        <v>44762.68118</v>
      </c>
      <c r="M3699" s="17">
        <v>2024</v>
      </c>
      <c r="N3699" s="17" t="s">
        <v>171</v>
      </c>
    </row>
    <row r="3700" spans="1:14" ht="14.25" customHeight="1">
      <c r="A3700" s="17">
        <v>13699</v>
      </c>
      <c r="B3700" s="18">
        <v>46016</v>
      </c>
      <c r="C3700" s="17" t="s">
        <v>167</v>
      </c>
      <c r="D3700" s="17" t="s">
        <v>83</v>
      </c>
      <c r="E3700" s="17" t="s">
        <v>168</v>
      </c>
      <c r="F3700" s="17" t="s">
        <v>172</v>
      </c>
      <c r="G3700" s="17">
        <v>9</v>
      </c>
      <c r="H3700" s="17">
        <v>14564</v>
      </c>
      <c r="I3700" s="17">
        <v>131076</v>
      </c>
      <c r="J3700" s="17">
        <v>4358</v>
      </c>
      <c r="K3700" s="17">
        <v>126718</v>
      </c>
      <c r="L3700" s="17">
        <v>30478.769850000001</v>
      </c>
      <c r="M3700" s="17">
        <v>2025</v>
      </c>
      <c r="N3700" s="17" t="s">
        <v>169</v>
      </c>
    </row>
    <row r="3701" spans="1:14" ht="14.25" customHeight="1">
      <c r="A3701" s="17">
        <v>13700</v>
      </c>
      <c r="B3701" s="18">
        <v>45526</v>
      </c>
      <c r="C3701" s="17" t="s">
        <v>39</v>
      </c>
      <c r="D3701" s="17" t="s">
        <v>83</v>
      </c>
      <c r="E3701" s="17" t="s">
        <v>165</v>
      </c>
      <c r="F3701" s="17" t="s">
        <v>166</v>
      </c>
      <c r="G3701" s="17">
        <v>4</v>
      </c>
      <c r="H3701" s="17">
        <v>16105</v>
      </c>
      <c r="I3701" s="17">
        <v>64420</v>
      </c>
      <c r="J3701" s="17">
        <v>3320</v>
      </c>
      <c r="K3701" s="17">
        <v>61100</v>
      </c>
      <c r="L3701" s="17">
        <v>11400.8649</v>
      </c>
      <c r="M3701" s="17">
        <v>2024</v>
      </c>
      <c r="N3701" s="17" t="s">
        <v>126</v>
      </c>
    </row>
    <row r="3702" spans="1:14" ht="14.25" customHeight="1">
      <c r="A3702" s="17">
        <v>13701</v>
      </c>
      <c r="B3702" s="18">
        <v>45304</v>
      </c>
      <c r="C3702" s="17" t="s">
        <v>167</v>
      </c>
      <c r="D3702" s="17" t="s">
        <v>111</v>
      </c>
      <c r="E3702" s="17" t="s">
        <v>162</v>
      </c>
      <c r="F3702" s="17" t="s">
        <v>166</v>
      </c>
      <c r="G3702" s="17">
        <v>6</v>
      </c>
      <c r="H3702" s="17">
        <v>61754</v>
      </c>
      <c r="I3702" s="17">
        <v>370524</v>
      </c>
      <c r="J3702" s="17">
        <v>2505</v>
      </c>
      <c r="K3702" s="17">
        <v>368019</v>
      </c>
      <c r="L3702" s="17">
        <v>41915.915370000002</v>
      </c>
      <c r="M3702" s="17">
        <v>2024</v>
      </c>
      <c r="N3702" s="17" t="s">
        <v>171</v>
      </c>
    </row>
    <row r="3703" spans="1:14" ht="14.25" customHeight="1">
      <c r="A3703" s="17">
        <v>13702</v>
      </c>
      <c r="B3703" s="18">
        <v>45392</v>
      </c>
      <c r="C3703" s="17" t="s">
        <v>50</v>
      </c>
      <c r="D3703" s="17" t="s">
        <v>83</v>
      </c>
      <c r="E3703" s="17" t="s">
        <v>165</v>
      </c>
      <c r="F3703" s="17" t="s">
        <v>166</v>
      </c>
      <c r="G3703" s="17">
        <v>4</v>
      </c>
      <c r="H3703" s="17">
        <v>25056</v>
      </c>
      <c r="I3703" s="17">
        <v>100224</v>
      </c>
      <c r="J3703" s="17">
        <v>2456</v>
      </c>
      <c r="K3703" s="17">
        <v>97768</v>
      </c>
      <c r="L3703" s="17">
        <v>13012.611279999999</v>
      </c>
      <c r="M3703" s="17">
        <v>2024</v>
      </c>
      <c r="N3703" s="17" t="s">
        <v>114</v>
      </c>
    </row>
    <row r="3704" spans="1:14" ht="14.25" customHeight="1">
      <c r="A3704" s="17">
        <v>13703</v>
      </c>
      <c r="B3704" s="18">
        <v>45827</v>
      </c>
      <c r="C3704" s="17" t="s">
        <v>50</v>
      </c>
      <c r="D3704" s="17" t="s">
        <v>170</v>
      </c>
      <c r="E3704" s="17" t="s">
        <v>165</v>
      </c>
      <c r="F3704" s="17" t="s">
        <v>172</v>
      </c>
      <c r="G3704" s="17">
        <v>4</v>
      </c>
      <c r="H3704" s="17">
        <v>68565</v>
      </c>
      <c r="I3704" s="17">
        <v>274260</v>
      </c>
      <c r="J3704" s="17">
        <v>3062</v>
      </c>
      <c r="K3704" s="17">
        <v>271198</v>
      </c>
      <c r="L3704" s="17">
        <v>56636.585550000003</v>
      </c>
      <c r="M3704" s="17">
        <v>2025</v>
      </c>
      <c r="N3704" s="17" t="s">
        <v>120</v>
      </c>
    </row>
    <row r="3705" spans="1:14" ht="14.25" customHeight="1">
      <c r="A3705" s="17">
        <v>13704</v>
      </c>
      <c r="B3705" s="18">
        <v>45814</v>
      </c>
      <c r="C3705" s="17" t="s">
        <v>58</v>
      </c>
      <c r="D3705" s="17" t="s">
        <v>170</v>
      </c>
      <c r="E3705" s="17" t="s">
        <v>165</v>
      </c>
      <c r="F3705" s="17" t="s">
        <v>172</v>
      </c>
      <c r="G3705" s="17">
        <v>9</v>
      </c>
      <c r="H3705" s="17">
        <v>52689</v>
      </c>
      <c r="I3705" s="17">
        <v>474201</v>
      </c>
      <c r="J3705" s="17">
        <v>3852</v>
      </c>
      <c r="K3705" s="17">
        <v>470349</v>
      </c>
      <c r="L3705" s="17">
        <v>49080.33107</v>
      </c>
      <c r="M3705" s="17">
        <v>2025</v>
      </c>
      <c r="N3705" s="17" t="s">
        <v>120</v>
      </c>
    </row>
    <row r="3706" spans="1:14" ht="14.25" customHeight="1">
      <c r="A3706" s="17">
        <v>13705</v>
      </c>
      <c r="B3706" s="18">
        <v>45743</v>
      </c>
      <c r="C3706" s="17" t="s">
        <v>167</v>
      </c>
      <c r="D3706" s="17" t="s">
        <v>111</v>
      </c>
      <c r="E3706" s="17" t="s">
        <v>162</v>
      </c>
      <c r="F3706" s="17" t="s">
        <v>164</v>
      </c>
      <c r="G3706" s="17">
        <v>4</v>
      </c>
      <c r="H3706" s="17">
        <v>37135</v>
      </c>
      <c r="I3706" s="17">
        <v>148540</v>
      </c>
      <c r="J3706" s="17">
        <v>4897</v>
      </c>
      <c r="K3706" s="17">
        <v>143643</v>
      </c>
      <c r="L3706" s="17">
        <v>29999.601200000001</v>
      </c>
      <c r="M3706" s="17">
        <v>2025</v>
      </c>
      <c r="N3706" s="17" t="s">
        <v>112</v>
      </c>
    </row>
    <row r="3707" spans="1:14" ht="14.25" customHeight="1">
      <c r="A3707" s="17">
        <v>13706</v>
      </c>
      <c r="B3707" s="18">
        <v>45722</v>
      </c>
      <c r="C3707" s="17" t="s">
        <v>167</v>
      </c>
      <c r="D3707" s="17" t="s">
        <v>86</v>
      </c>
      <c r="E3707" s="17" t="s">
        <v>162</v>
      </c>
      <c r="F3707" s="17" t="s">
        <v>172</v>
      </c>
      <c r="G3707" s="17">
        <v>6</v>
      </c>
      <c r="H3707" s="17">
        <v>37812</v>
      </c>
      <c r="I3707" s="17">
        <v>226872</v>
      </c>
      <c r="J3707" s="17">
        <v>4990</v>
      </c>
      <c r="K3707" s="17">
        <v>221882</v>
      </c>
      <c r="L3707" s="17">
        <v>52523.83221</v>
      </c>
      <c r="M3707" s="17">
        <v>2025</v>
      </c>
      <c r="N3707" s="17" t="s">
        <v>112</v>
      </c>
    </row>
    <row r="3708" spans="1:14" ht="14.25" customHeight="1">
      <c r="A3708" s="17">
        <v>13707</v>
      </c>
      <c r="B3708" s="18">
        <v>45897</v>
      </c>
      <c r="C3708" s="17" t="s">
        <v>45</v>
      </c>
      <c r="D3708" s="17" t="s">
        <v>170</v>
      </c>
      <c r="E3708" s="17" t="s">
        <v>162</v>
      </c>
      <c r="F3708" s="17" t="s">
        <v>163</v>
      </c>
      <c r="G3708" s="17">
        <v>9</v>
      </c>
      <c r="H3708" s="17">
        <v>75047</v>
      </c>
      <c r="I3708" s="17">
        <v>675423</v>
      </c>
      <c r="J3708" s="17">
        <v>4968</v>
      </c>
      <c r="K3708" s="17">
        <v>670455</v>
      </c>
      <c r="L3708" s="17">
        <v>72715.715519999998</v>
      </c>
      <c r="M3708" s="17">
        <v>2025</v>
      </c>
      <c r="N3708" s="17" t="s">
        <v>126</v>
      </c>
    </row>
    <row r="3709" spans="1:14" ht="14.25" customHeight="1">
      <c r="A3709" s="17">
        <v>13708</v>
      </c>
      <c r="B3709" s="18">
        <v>46004</v>
      </c>
      <c r="C3709" s="17" t="s">
        <v>39</v>
      </c>
      <c r="D3709" s="17" t="s">
        <v>89</v>
      </c>
      <c r="E3709" s="17" t="s">
        <v>162</v>
      </c>
      <c r="F3709" s="17" t="s">
        <v>172</v>
      </c>
      <c r="G3709" s="17">
        <v>3</v>
      </c>
      <c r="H3709" s="17">
        <v>27772</v>
      </c>
      <c r="I3709" s="17">
        <v>83316</v>
      </c>
      <c r="J3709" s="17">
        <v>387</v>
      </c>
      <c r="K3709" s="17">
        <v>82929</v>
      </c>
      <c r="L3709" s="17">
        <v>10611.84917</v>
      </c>
      <c r="M3709" s="17">
        <v>2025</v>
      </c>
      <c r="N3709" s="17" t="s">
        <v>169</v>
      </c>
    </row>
    <row r="3710" spans="1:14" ht="14.25" customHeight="1">
      <c r="A3710" s="17">
        <v>13709</v>
      </c>
      <c r="B3710" s="18">
        <v>45824</v>
      </c>
      <c r="C3710" s="17" t="s">
        <v>58</v>
      </c>
      <c r="D3710" s="17" t="s">
        <v>170</v>
      </c>
      <c r="E3710" s="17" t="s">
        <v>162</v>
      </c>
      <c r="F3710" s="17" t="s">
        <v>166</v>
      </c>
      <c r="G3710" s="17">
        <v>7</v>
      </c>
      <c r="H3710" s="17">
        <v>12775</v>
      </c>
      <c r="I3710" s="17">
        <v>89425</v>
      </c>
      <c r="J3710" s="17">
        <v>2003</v>
      </c>
      <c r="K3710" s="17">
        <v>87422</v>
      </c>
      <c r="L3710" s="17">
        <v>8773.3913169999996</v>
      </c>
      <c r="M3710" s="17">
        <v>2025</v>
      </c>
      <c r="N3710" s="17" t="s">
        <v>120</v>
      </c>
    </row>
    <row r="3711" spans="1:14" ht="14.25" customHeight="1">
      <c r="A3711" s="17">
        <v>13710</v>
      </c>
      <c r="B3711" s="18">
        <v>46014</v>
      </c>
      <c r="C3711" s="17" t="s">
        <v>167</v>
      </c>
      <c r="D3711" s="17" t="s">
        <v>89</v>
      </c>
      <c r="E3711" s="17" t="s">
        <v>168</v>
      </c>
      <c r="F3711" s="17" t="s">
        <v>172</v>
      </c>
      <c r="G3711" s="17">
        <v>7</v>
      </c>
      <c r="H3711" s="17">
        <v>59523</v>
      </c>
      <c r="I3711" s="17">
        <v>416661</v>
      </c>
      <c r="J3711" s="17">
        <v>1031</v>
      </c>
      <c r="K3711" s="17">
        <v>415630</v>
      </c>
      <c r="L3711" s="17">
        <v>48360.452920000003</v>
      </c>
      <c r="M3711" s="17">
        <v>2025</v>
      </c>
      <c r="N3711" s="17" t="s">
        <v>169</v>
      </c>
    </row>
    <row r="3712" spans="1:14" ht="14.25" customHeight="1">
      <c r="A3712" s="17">
        <v>13711</v>
      </c>
      <c r="B3712" s="18">
        <v>45943</v>
      </c>
      <c r="C3712" s="17" t="s">
        <v>45</v>
      </c>
      <c r="D3712" s="17" t="s">
        <v>111</v>
      </c>
      <c r="E3712" s="17" t="s">
        <v>168</v>
      </c>
      <c r="F3712" s="17" t="s">
        <v>164</v>
      </c>
      <c r="G3712" s="17">
        <v>1</v>
      </c>
      <c r="H3712" s="17">
        <v>15707</v>
      </c>
      <c r="I3712" s="17">
        <v>15707</v>
      </c>
      <c r="J3712" s="17">
        <v>1540</v>
      </c>
      <c r="K3712" s="17">
        <v>14167</v>
      </c>
      <c r="L3712" s="17">
        <v>2727.8378309999998</v>
      </c>
      <c r="M3712" s="17">
        <v>2025</v>
      </c>
      <c r="N3712" s="17" t="s">
        <v>174</v>
      </c>
    </row>
    <row r="3713" spans="1:14" ht="14.25" customHeight="1">
      <c r="A3713" s="17">
        <v>13712</v>
      </c>
      <c r="B3713" s="18">
        <v>45584</v>
      </c>
      <c r="C3713" s="17" t="s">
        <v>39</v>
      </c>
      <c r="D3713" s="17" t="s">
        <v>86</v>
      </c>
      <c r="E3713" s="17" t="s">
        <v>168</v>
      </c>
      <c r="F3713" s="17" t="s">
        <v>172</v>
      </c>
      <c r="G3713" s="17">
        <v>2</v>
      </c>
      <c r="H3713" s="17">
        <v>18372</v>
      </c>
      <c r="I3713" s="17">
        <v>36744</v>
      </c>
      <c r="J3713" s="17">
        <v>449</v>
      </c>
      <c r="K3713" s="17">
        <v>36295</v>
      </c>
      <c r="L3713" s="17">
        <v>3873.499288</v>
      </c>
      <c r="M3713" s="17">
        <v>2024</v>
      </c>
      <c r="N3713" s="17" t="s">
        <v>174</v>
      </c>
    </row>
    <row r="3714" spans="1:14" ht="14.25" customHeight="1">
      <c r="A3714" s="17">
        <v>13713</v>
      </c>
      <c r="B3714" s="18">
        <v>45392</v>
      </c>
      <c r="C3714" s="17" t="s">
        <v>58</v>
      </c>
      <c r="D3714" s="17" t="s">
        <v>89</v>
      </c>
      <c r="E3714" s="17" t="s">
        <v>165</v>
      </c>
      <c r="F3714" s="17" t="s">
        <v>166</v>
      </c>
      <c r="G3714" s="17">
        <v>5</v>
      </c>
      <c r="H3714" s="17">
        <v>66526</v>
      </c>
      <c r="I3714" s="17">
        <v>332630</v>
      </c>
      <c r="J3714" s="17">
        <v>3547</v>
      </c>
      <c r="K3714" s="17">
        <v>329083</v>
      </c>
      <c r="L3714" s="17">
        <v>53928.562619999997</v>
      </c>
      <c r="M3714" s="17">
        <v>2024</v>
      </c>
      <c r="N3714" s="17" t="s">
        <v>114</v>
      </c>
    </row>
    <row r="3715" spans="1:14" ht="14.25" customHeight="1">
      <c r="A3715" s="17">
        <v>13714</v>
      </c>
      <c r="B3715" s="18">
        <v>45793</v>
      </c>
      <c r="C3715" s="17" t="s">
        <v>58</v>
      </c>
      <c r="D3715" s="17" t="s">
        <v>89</v>
      </c>
      <c r="E3715" s="17" t="s">
        <v>165</v>
      </c>
      <c r="F3715" s="17" t="s">
        <v>163</v>
      </c>
      <c r="G3715" s="17">
        <v>8</v>
      </c>
      <c r="H3715" s="17">
        <v>70106</v>
      </c>
      <c r="I3715" s="17">
        <v>560848</v>
      </c>
      <c r="J3715" s="17">
        <v>4437</v>
      </c>
      <c r="K3715" s="17">
        <v>556411</v>
      </c>
      <c r="L3715" s="17">
        <v>97655.842050000007</v>
      </c>
      <c r="M3715" s="17">
        <v>2025</v>
      </c>
      <c r="N3715" s="17" t="s">
        <v>117</v>
      </c>
    </row>
    <row r="3716" spans="1:14" ht="14.25" customHeight="1">
      <c r="A3716" s="17">
        <v>13715</v>
      </c>
      <c r="B3716" s="18">
        <v>45595</v>
      </c>
      <c r="C3716" s="17" t="s">
        <v>167</v>
      </c>
      <c r="D3716" s="17" t="s">
        <v>170</v>
      </c>
      <c r="E3716" s="17" t="s">
        <v>162</v>
      </c>
      <c r="F3716" s="17" t="s">
        <v>166</v>
      </c>
      <c r="G3716" s="17">
        <v>6</v>
      </c>
      <c r="H3716" s="17">
        <v>58475</v>
      </c>
      <c r="I3716" s="17">
        <v>350850</v>
      </c>
      <c r="J3716" s="17">
        <v>1096</v>
      </c>
      <c r="K3716" s="17">
        <v>349754</v>
      </c>
      <c r="L3716" s="17">
        <v>82539.973050000001</v>
      </c>
      <c r="M3716" s="17">
        <v>2024</v>
      </c>
      <c r="N3716" s="17" t="s">
        <v>174</v>
      </c>
    </row>
    <row r="3717" spans="1:14" ht="14.25" customHeight="1">
      <c r="A3717" s="17">
        <v>13716</v>
      </c>
      <c r="B3717" s="18">
        <v>45831</v>
      </c>
      <c r="C3717" s="17" t="s">
        <v>58</v>
      </c>
      <c r="D3717" s="17" t="s">
        <v>89</v>
      </c>
      <c r="E3717" s="17" t="s">
        <v>162</v>
      </c>
      <c r="F3717" s="17" t="s">
        <v>163</v>
      </c>
      <c r="G3717" s="17">
        <v>7</v>
      </c>
      <c r="H3717" s="17">
        <v>62201</v>
      </c>
      <c r="I3717" s="17">
        <v>435407</v>
      </c>
      <c r="J3717" s="17">
        <v>859</v>
      </c>
      <c r="K3717" s="17">
        <v>434548</v>
      </c>
      <c r="L3717" s="17">
        <v>74370.088810000001</v>
      </c>
      <c r="M3717" s="17">
        <v>2025</v>
      </c>
      <c r="N3717" s="17" t="s">
        <v>120</v>
      </c>
    </row>
    <row r="3718" spans="1:14" ht="14.25" customHeight="1">
      <c r="A3718" s="17">
        <v>13717</v>
      </c>
      <c r="B3718" s="18">
        <v>45844</v>
      </c>
      <c r="C3718" s="17" t="s">
        <v>45</v>
      </c>
      <c r="D3718" s="17" t="s">
        <v>111</v>
      </c>
      <c r="E3718" s="17" t="s">
        <v>168</v>
      </c>
      <c r="F3718" s="17" t="s">
        <v>164</v>
      </c>
      <c r="G3718" s="17">
        <v>3</v>
      </c>
      <c r="H3718" s="17">
        <v>32957</v>
      </c>
      <c r="I3718" s="17">
        <v>98871</v>
      </c>
      <c r="J3718" s="17">
        <v>301</v>
      </c>
      <c r="K3718" s="17">
        <v>98570</v>
      </c>
      <c r="L3718" s="17">
        <v>11964.60677</v>
      </c>
      <c r="M3718" s="17">
        <v>2025</v>
      </c>
      <c r="N3718" s="17" t="s">
        <v>123</v>
      </c>
    </row>
    <row r="3719" spans="1:14" ht="14.25" customHeight="1">
      <c r="A3719" s="17">
        <v>13718</v>
      </c>
      <c r="B3719" s="18">
        <v>45646</v>
      </c>
      <c r="C3719" s="17" t="s">
        <v>58</v>
      </c>
      <c r="D3719" s="17" t="s">
        <v>111</v>
      </c>
      <c r="E3719" s="17" t="s">
        <v>162</v>
      </c>
      <c r="F3719" s="17" t="s">
        <v>164</v>
      </c>
      <c r="G3719" s="17">
        <v>6</v>
      </c>
      <c r="H3719" s="17">
        <v>61243</v>
      </c>
      <c r="I3719" s="17">
        <v>367458</v>
      </c>
      <c r="J3719" s="17">
        <v>2019</v>
      </c>
      <c r="K3719" s="17">
        <v>365439</v>
      </c>
      <c r="L3719" s="17">
        <v>52401.698640000002</v>
      </c>
      <c r="M3719" s="17">
        <v>2024</v>
      </c>
      <c r="N3719" s="17" t="s">
        <v>169</v>
      </c>
    </row>
    <row r="3720" spans="1:14" ht="14.25" customHeight="1">
      <c r="A3720" s="17">
        <v>13719</v>
      </c>
      <c r="B3720" s="18">
        <v>45594</v>
      </c>
      <c r="C3720" s="17" t="s">
        <v>50</v>
      </c>
      <c r="D3720" s="17" t="s">
        <v>111</v>
      </c>
      <c r="E3720" s="17" t="s">
        <v>165</v>
      </c>
      <c r="F3720" s="17" t="s">
        <v>172</v>
      </c>
      <c r="G3720" s="17">
        <v>9</v>
      </c>
      <c r="H3720" s="17">
        <v>78752</v>
      </c>
      <c r="I3720" s="17">
        <v>708768</v>
      </c>
      <c r="J3720" s="17">
        <v>880</v>
      </c>
      <c r="K3720" s="17">
        <v>707888</v>
      </c>
      <c r="L3720" s="17">
        <v>142164.655</v>
      </c>
      <c r="M3720" s="17">
        <v>2024</v>
      </c>
      <c r="N3720" s="17" t="s">
        <v>174</v>
      </c>
    </row>
    <row r="3721" spans="1:14" ht="14.25" customHeight="1">
      <c r="A3721" s="17">
        <v>13720</v>
      </c>
      <c r="B3721" s="18">
        <v>45787</v>
      </c>
      <c r="C3721" s="17" t="s">
        <v>45</v>
      </c>
      <c r="D3721" s="17" t="s">
        <v>170</v>
      </c>
      <c r="E3721" s="17" t="s">
        <v>162</v>
      </c>
      <c r="F3721" s="17" t="s">
        <v>164</v>
      </c>
      <c r="G3721" s="17">
        <v>3</v>
      </c>
      <c r="H3721" s="17">
        <v>38993</v>
      </c>
      <c r="I3721" s="17">
        <v>116979</v>
      </c>
      <c r="J3721" s="17">
        <v>2281</v>
      </c>
      <c r="K3721" s="17">
        <v>114698</v>
      </c>
      <c r="L3721" s="17">
        <v>13398.71888</v>
      </c>
      <c r="M3721" s="17">
        <v>2025</v>
      </c>
      <c r="N3721" s="17" t="s">
        <v>117</v>
      </c>
    </row>
    <row r="3722" spans="1:14" ht="14.25" customHeight="1">
      <c r="A3722" s="17">
        <v>13721</v>
      </c>
      <c r="B3722" s="18">
        <v>45949</v>
      </c>
      <c r="C3722" s="17" t="s">
        <v>39</v>
      </c>
      <c r="D3722" s="17" t="s">
        <v>86</v>
      </c>
      <c r="E3722" s="17" t="s">
        <v>168</v>
      </c>
      <c r="F3722" s="17" t="s">
        <v>164</v>
      </c>
      <c r="G3722" s="17">
        <v>6</v>
      </c>
      <c r="H3722" s="17">
        <v>39016</v>
      </c>
      <c r="I3722" s="17">
        <v>234096</v>
      </c>
      <c r="J3722" s="17">
        <v>4161</v>
      </c>
      <c r="K3722" s="17">
        <v>229935</v>
      </c>
      <c r="L3722" s="17">
        <v>30986.365989999998</v>
      </c>
      <c r="M3722" s="17">
        <v>2025</v>
      </c>
      <c r="N3722" s="17" t="s">
        <v>174</v>
      </c>
    </row>
    <row r="3723" spans="1:14" ht="14.25" customHeight="1">
      <c r="A3723" s="17">
        <v>13722</v>
      </c>
      <c r="B3723" s="18">
        <v>45518</v>
      </c>
      <c r="C3723" s="17" t="s">
        <v>39</v>
      </c>
      <c r="D3723" s="17" t="s">
        <v>170</v>
      </c>
      <c r="E3723" s="17" t="s">
        <v>162</v>
      </c>
      <c r="F3723" s="17" t="s">
        <v>166</v>
      </c>
      <c r="G3723" s="17">
        <v>7</v>
      </c>
      <c r="H3723" s="17">
        <v>30354</v>
      </c>
      <c r="I3723" s="17">
        <v>212478</v>
      </c>
      <c r="J3723" s="17">
        <v>229</v>
      </c>
      <c r="K3723" s="17">
        <v>212249</v>
      </c>
      <c r="L3723" s="17">
        <v>52927.804730000003</v>
      </c>
      <c r="M3723" s="17">
        <v>2024</v>
      </c>
      <c r="N3723" s="17" t="s">
        <v>126</v>
      </c>
    </row>
    <row r="3724" spans="1:14" ht="14.25" customHeight="1">
      <c r="A3724" s="17">
        <v>13723</v>
      </c>
      <c r="B3724" s="18">
        <v>45527</v>
      </c>
      <c r="C3724" s="17" t="s">
        <v>167</v>
      </c>
      <c r="D3724" s="17" t="s">
        <v>111</v>
      </c>
      <c r="E3724" s="17" t="s">
        <v>165</v>
      </c>
      <c r="F3724" s="17" t="s">
        <v>166</v>
      </c>
      <c r="G3724" s="17">
        <v>5</v>
      </c>
      <c r="H3724" s="17">
        <v>53637</v>
      </c>
      <c r="I3724" s="17">
        <v>268185</v>
      </c>
      <c r="J3724" s="17">
        <v>921</v>
      </c>
      <c r="K3724" s="17">
        <v>267264</v>
      </c>
      <c r="L3724" s="17">
        <v>26948.278730000002</v>
      </c>
      <c r="M3724" s="17">
        <v>2024</v>
      </c>
      <c r="N3724" s="17" t="s">
        <v>126</v>
      </c>
    </row>
    <row r="3725" spans="1:14" ht="14.25" customHeight="1">
      <c r="A3725" s="17">
        <v>13724</v>
      </c>
      <c r="B3725" s="18">
        <v>45746</v>
      </c>
      <c r="C3725" s="17" t="s">
        <v>167</v>
      </c>
      <c r="D3725" s="17" t="s">
        <v>170</v>
      </c>
      <c r="E3725" s="17" t="s">
        <v>168</v>
      </c>
      <c r="F3725" s="17" t="s">
        <v>172</v>
      </c>
      <c r="G3725" s="17">
        <v>8</v>
      </c>
      <c r="H3725" s="17">
        <v>9848</v>
      </c>
      <c r="I3725" s="17">
        <v>78784</v>
      </c>
      <c r="J3725" s="17">
        <v>1832</v>
      </c>
      <c r="K3725" s="17">
        <v>76952</v>
      </c>
      <c r="L3725" s="17">
        <v>9451.8215479999999</v>
      </c>
      <c r="M3725" s="17">
        <v>2025</v>
      </c>
      <c r="N3725" s="17" t="s">
        <v>112</v>
      </c>
    </row>
    <row r="3726" spans="1:14" ht="14.25" customHeight="1">
      <c r="A3726" s="17">
        <v>13725</v>
      </c>
      <c r="B3726" s="18">
        <v>45304</v>
      </c>
      <c r="C3726" s="17" t="s">
        <v>50</v>
      </c>
      <c r="D3726" s="17" t="s">
        <v>111</v>
      </c>
      <c r="E3726" s="17" t="s">
        <v>162</v>
      </c>
      <c r="F3726" s="17" t="s">
        <v>172</v>
      </c>
      <c r="G3726" s="17">
        <v>8</v>
      </c>
      <c r="H3726" s="17">
        <v>47673</v>
      </c>
      <c r="I3726" s="17">
        <v>381384</v>
      </c>
      <c r="J3726" s="17">
        <v>50</v>
      </c>
      <c r="K3726" s="17">
        <v>381334</v>
      </c>
      <c r="L3726" s="17">
        <v>86392.314490000004</v>
      </c>
      <c r="M3726" s="17">
        <v>2024</v>
      </c>
      <c r="N3726" s="17" t="s">
        <v>171</v>
      </c>
    </row>
    <row r="3727" spans="1:14" ht="14.25" customHeight="1">
      <c r="A3727" s="17">
        <v>13726</v>
      </c>
      <c r="B3727" s="18">
        <v>45501</v>
      </c>
      <c r="C3727" s="17" t="s">
        <v>39</v>
      </c>
      <c r="D3727" s="17" t="s">
        <v>83</v>
      </c>
      <c r="E3727" s="17" t="s">
        <v>165</v>
      </c>
      <c r="F3727" s="17" t="s">
        <v>172</v>
      </c>
      <c r="G3727" s="17">
        <v>6</v>
      </c>
      <c r="H3727" s="17">
        <v>16783</v>
      </c>
      <c r="I3727" s="17">
        <v>100698</v>
      </c>
      <c r="J3727" s="17">
        <v>3678</v>
      </c>
      <c r="K3727" s="17">
        <v>97020</v>
      </c>
      <c r="L3727" s="17">
        <v>11177.41258</v>
      </c>
      <c r="M3727" s="17">
        <v>2024</v>
      </c>
      <c r="N3727" s="17" t="s">
        <v>123</v>
      </c>
    </row>
    <row r="3728" spans="1:14" ht="14.25" customHeight="1">
      <c r="A3728" s="17">
        <v>13727</v>
      </c>
      <c r="B3728" s="18">
        <v>45688</v>
      </c>
      <c r="C3728" s="17" t="s">
        <v>39</v>
      </c>
      <c r="D3728" s="17" t="s">
        <v>83</v>
      </c>
      <c r="E3728" s="17" t="s">
        <v>168</v>
      </c>
      <c r="F3728" s="17" t="s">
        <v>172</v>
      </c>
      <c r="G3728" s="17">
        <v>7</v>
      </c>
      <c r="H3728" s="17">
        <v>69694</v>
      </c>
      <c r="I3728" s="17">
        <v>487858</v>
      </c>
      <c r="J3728" s="17">
        <v>4482</v>
      </c>
      <c r="K3728" s="17">
        <v>483376</v>
      </c>
      <c r="L3728" s="17">
        <v>50776.788209999999</v>
      </c>
      <c r="M3728" s="17">
        <v>2025</v>
      </c>
      <c r="N3728" s="17" t="s">
        <v>171</v>
      </c>
    </row>
    <row r="3729" spans="1:14" ht="14.25" customHeight="1">
      <c r="A3729" s="17">
        <v>13728</v>
      </c>
      <c r="B3729" s="18">
        <v>45391</v>
      </c>
      <c r="C3729" s="17" t="s">
        <v>39</v>
      </c>
      <c r="D3729" s="17" t="s">
        <v>89</v>
      </c>
      <c r="E3729" s="17" t="s">
        <v>168</v>
      </c>
      <c r="F3729" s="17" t="s">
        <v>166</v>
      </c>
      <c r="G3729" s="17">
        <v>3</v>
      </c>
      <c r="H3729" s="17">
        <v>66865</v>
      </c>
      <c r="I3729" s="17">
        <v>200595</v>
      </c>
      <c r="J3729" s="17">
        <v>3781</v>
      </c>
      <c r="K3729" s="17">
        <v>196814</v>
      </c>
      <c r="L3729" s="17">
        <v>23262.793969999999</v>
      </c>
      <c r="M3729" s="17">
        <v>2024</v>
      </c>
      <c r="N3729" s="17" t="s">
        <v>114</v>
      </c>
    </row>
    <row r="3730" spans="1:14" ht="14.25" customHeight="1">
      <c r="A3730" s="17">
        <v>13729</v>
      </c>
      <c r="B3730" s="18">
        <v>45322</v>
      </c>
      <c r="C3730" s="17" t="s">
        <v>39</v>
      </c>
      <c r="D3730" s="17" t="s">
        <v>86</v>
      </c>
      <c r="E3730" s="17" t="s">
        <v>165</v>
      </c>
      <c r="F3730" s="17" t="s">
        <v>172</v>
      </c>
      <c r="G3730" s="17">
        <v>7</v>
      </c>
      <c r="H3730" s="17">
        <v>58907</v>
      </c>
      <c r="I3730" s="17">
        <v>412349</v>
      </c>
      <c r="J3730" s="17">
        <v>752</v>
      </c>
      <c r="K3730" s="17">
        <v>411597</v>
      </c>
      <c r="L3730" s="17">
        <v>83982.078309999997</v>
      </c>
      <c r="M3730" s="17">
        <v>2024</v>
      </c>
      <c r="N3730" s="17" t="s">
        <v>171</v>
      </c>
    </row>
    <row r="3731" spans="1:14" ht="14.25" customHeight="1">
      <c r="A3731" s="17">
        <v>13730</v>
      </c>
      <c r="B3731" s="18">
        <v>45819</v>
      </c>
      <c r="C3731" s="17" t="s">
        <v>58</v>
      </c>
      <c r="D3731" s="17" t="s">
        <v>83</v>
      </c>
      <c r="E3731" s="17" t="s">
        <v>162</v>
      </c>
      <c r="F3731" s="17" t="s">
        <v>172</v>
      </c>
      <c r="G3731" s="17">
        <v>7</v>
      </c>
      <c r="H3731" s="17">
        <v>55669</v>
      </c>
      <c r="I3731" s="17">
        <v>389683</v>
      </c>
      <c r="J3731" s="17">
        <v>1478</v>
      </c>
      <c r="K3731" s="17">
        <v>388205</v>
      </c>
      <c r="L3731" s="17">
        <v>96650.071100000001</v>
      </c>
      <c r="M3731" s="17">
        <v>2025</v>
      </c>
      <c r="N3731" s="17" t="s">
        <v>120</v>
      </c>
    </row>
    <row r="3732" spans="1:14" ht="14.25" customHeight="1">
      <c r="A3732" s="17">
        <v>13731</v>
      </c>
      <c r="B3732" s="18">
        <v>45940</v>
      </c>
      <c r="C3732" s="17" t="s">
        <v>45</v>
      </c>
      <c r="D3732" s="17" t="s">
        <v>111</v>
      </c>
      <c r="E3732" s="17" t="s">
        <v>162</v>
      </c>
      <c r="F3732" s="17" t="s">
        <v>164</v>
      </c>
      <c r="G3732" s="17">
        <v>4</v>
      </c>
      <c r="H3732" s="17">
        <v>15924</v>
      </c>
      <c r="I3732" s="17">
        <v>63696</v>
      </c>
      <c r="J3732" s="17">
        <v>2088</v>
      </c>
      <c r="K3732" s="17">
        <v>61608</v>
      </c>
      <c r="L3732" s="17">
        <v>11618.981390000001</v>
      </c>
      <c r="M3732" s="17">
        <v>2025</v>
      </c>
      <c r="N3732" s="17" t="s">
        <v>174</v>
      </c>
    </row>
    <row r="3733" spans="1:14" ht="14.25" customHeight="1">
      <c r="A3733" s="17">
        <v>13732</v>
      </c>
      <c r="B3733" s="18">
        <v>45620</v>
      </c>
      <c r="C3733" s="17" t="s">
        <v>45</v>
      </c>
      <c r="D3733" s="17" t="s">
        <v>170</v>
      </c>
      <c r="E3733" s="17" t="s">
        <v>162</v>
      </c>
      <c r="F3733" s="17" t="s">
        <v>172</v>
      </c>
      <c r="G3733" s="17">
        <v>4</v>
      </c>
      <c r="H3733" s="17">
        <v>75178</v>
      </c>
      <c r="I3733" s="17">
        <v>300712</v>
      </c>
      <c r="J3733" s="17">
        <v>2993</v>
      </c>
      <c r="K3733" s="17">
        <v>297719</v>
      </c>
      <c r="L3733" s="17">
        <v>35323.597300000001</v>
      </c>
      <c r="M3733" s="17">
        <v>2024</v>
      </c>
      <c r="N3733" s="17" t="s">
        <v>173</v>
      </c>
    </row>
    <row r="3734" spans="1:14" ht="14.25" customHeight="1">
      <c r="A3734" s="17">
        <v>13733</v>
      </c>
      <c r="B3734" s="18">
        <v>45457</v>
      </c>
      <c r="C3734" s="17" t="s">
        <v>50</v>
      </c>
      <c r="D3734" s="17" t="s">
        <v>170</v>
      </c>
      <c r="E3734" s="17" t="s">
        <v>168</v>
      </c>
      <c r="F3734" s="17" t="s">
        <v>163</v>
      </c>
      <c r="G3734" s="17">
        <v>3</v>
      </c>
      <c r="H3734" s="17">
        <v>75732</v>
      </c>
      <c r="I3734" s="17">
        <v>227196</v>
      </c>
      <c r="J3734" s="17">
        <v>3795</v>
      </c>
      <c r="K3734" s="17">
        <v>223401</v>
      </c>
      <c r="L3734" s="17">
        <v>28498.554179999999</v>
      </c>
      <c r="M3734" s="17">
        <v>2024</v>
      </c>
      <c r="N3734" s="17" t="s">
        <v>120</v>
      </c>
    </row>
    <row r="3735" spans="1:14" ht="14.25" customHeight="1">
      <c r="A3735" s="17">
        <v>13734</v>
      </c>
      <c r="B3735" s="18">
        <v>45750</v>
      </c>
      <c r="C3735" s="17" t="s">
        <v>58</v>
      </c>
      <c r="D3735" s="17" t="s">
        <v>89</v>
      </c>
      <c r="E3735" s="17" t="s">
        <v>168</v>
      </c>
      <c r="F3735" s="17" t="s">
        <v>164</v>
      </c>
      <c r="G3735" s="17">
        <v>7</v>
      </c>
      <c r="H3735" s="17">
        <v>25152</v>
      </c>
      <c r="I3735" s="17">
        <v>176064</v>
      </c>
      <c r="J3735" s="17">
        <v>3340</v>
      </c>
      <c r="K3735" s="17">
        <v>172724</v>
      </c>
      <c r="L3735" s="17">
        <v>31202.988089999999</v>
      </c>
      <c r="M3735" s="17">
        <v>2025</v>
      </c>
      <c r="N3735" s="17" t="s">
        <v>114</v>
      </c>
    </row>
    <row r="3736" spans="1:14" ht="14.25" customHeight="1">
      <c r="A3736" s="17">
        <v>13735</v>
      </c>
      <c r="B3736" s="18">
        <v>45391</v>
      </c>
      <c r="C3736" s="17" t="s">
        <v>39</v>
      </c>
      <c r="D3736" s="17" t="s">
        <v>170</v>
      </c>
      <c r="E3736" s="17" t="s">
        <v>162</v>
      </c>
      <c r="F3736" s="17" t="s">
        <v>166</v>
      </c>
      <c r="G3736" s="17">
        <v>5</v>
      </c>
      <c r="H3736" s="17">
        <v>13072</v>
      </c>
      <c r="I3736" s="17">
        <v>65360</v>
      </c>
      <c r="J3736" s="17">
        <v>2343</v>
      </c>
      <c r="K3736" s="17">
        <v>63017</v>
      </c>
      <c r="L3736" s="17">
        <v>13066.4948</v>
      </c>
      <c r="M3736" s="17">
        <v>2024</v>
      </c>
      <c r="N3736" s="17" t="s">
        <v>114</v>
      </c>
    </row>
    <row r="3737" spans="1:14" ht="14.25" customHeight="1">
      <c r="A3737" s="17">
        <v>13736</v>
      </c>
      <c r="B3737" s="18">
        <v>45912</v>
      </c>
      <c r="C3737" s="17" t="s">
        <v>39</v>
      </c>
      <c r="D3737" s="17" t="s">
        <v>83</v>
      </c>
      <c r="E3737" s="17" t="s">
        <v>168</v>
      </c>
      <c r="F3737" s="17" t="s">
        <v>163</v>
      </c>
      <c r="G3737" s="17">
        <v>3</v>
      </c>
      <c r="H3737" s="17">
        <v>49687</v>
      </c>
      <c r="I3737" s="17">
        <v>149061</v>
      </c>
      <c r="J3737" s="17">
        <v>1238</v>
      </c>
      <c r="K3737" s="17">
        <v>147823</v>
      </c>
      <c r="L3737" s="17">
        <v>29481.350139999999</v>
      </c>
      <c r="M3737" s="17">
        <v>2025</v>
      </c>
      <c r="N3737" s="17" t="s">
        <v>129</v>
      </c>
    </row>
    <row r="3738" spans="1:14" ht="14.25" customHeight="1">
      <c r="A3738" s="17">
        <v>13737</v>
      </c>
      <c r="B3738" s="18">
        <v>45464</v>
      </c>
      <c r="C3738" s="17" t="s">
        <v>167</v>
      </c>
      <c r="D3738" s="17" t="s">
        <v>170</v>
      </c>
      <c r="E3738" s="17" t="s">
        <v>168</v>
      </c>
      <c r="F3738" s="17" t="s">
        <v>172</v>
      </c>
      <c r="G3738" s="17">
        <v>6</v>
      </c>
      <c r="H3738" s="17">
        <v>26942</v>
      </c>
      <c r="I3738" s="17">
        <v>161652</v>
      </c>
      <c r="J3738" s="17">
        <v>4520</v>
      </c>
      <c r="K3738" s="17">
        <v>157132</v>
      </c>
      <c r="L3738" s="17">
        <v>29259.388620000002</v>
      </c>
      <c r="M3738" s="17">
        <v>2024</v>
      </c>
      <c r="N3738" s="17" t="s">
        <v>120</v>
      </c>
    </row>
    <row r="3739" spans="1:14" ht="14.25" customHeight="1">
      <c r="A3739" s="17">
        <v>13738</v>
      </c>
      <c r="B3739" s="18">
        <v>45453</v>
      </c>
      <c r="C3739" s="17" t="s">
        <v>167</v>
      </c>
      <c r="D3739" s="17" t="s">
        <v>83</v>
      </c>
      <c r="E3739" s="17" t="s">
        <v>165</v>
      </c>
      <c r="F3739" s="17" t="s">
        <v>164</v>
      </c>
      <c r="G3739" s="17">
        <v>6</v>
      </c>
      <c r="H3739" s="17">
        <v>52417</v>
      </c>
      <c r="I3739" s="17">
        <v>314502</v>
      </c>
      <c r="J3739" s="17">
        <v>2236</v>
      </c>
      <c r="K3739" s="17">
        <v>312266</v>
      </c>
      <c r="L3739" s="17">
        <v>77423.377670000002</v>
      </c>
      <c r="M3739" s="17">
        <v>2024</v>
      </c>
      <c r="N3739" s="17" t="s">
        <v>120</v>
      </c>
    </row>
    <row r="3740" spans="1:14" ht="14.25" customHeight="1">
      <c r="A3740" s="17">
        <v>13739</v>
      </c>
      <c r="B3740" s="18">
        <v>46019</v>
      </c>
      <c r="C3740" s="17" t="s">
        <v>50</v>
      </c>
      <c r="D3740" s="17" t="s">
        <v>83</v>
      </c>
      <c r="E3740" s="17" t="s">
        <v>162</v>
      </c>
      <c r="F3740" s="17" t="s">
        <v>172</v>
      </c>
      <c r="G3740" s="17">
        <v>6</v>
      </c>
      <c r="H3740" s="17">
        <v>66259</v>
      </c>
      <c r="I3740" s="17">
        <v>397554</v>
      </c>
      <c r="J3740" s="17">
        <v>4256</v>
      </c>
      <c r="K3740" s="17">
        <v>393298</v>
      </c>
      <c r="L3740" s="17">
        <v>51012.753479999999</v>
      </c>
      <c r="M3740" s="17">
        <v>2025</v>
      </c>
      <c r="N3740" s="17" t="s">
        <v>169</v>
      </c>
    </row>
    <row r="3741" spans="1:14" ht="14.25" customHeight="1">
      <c r="A3741" s="17">
        <v>13740</v>
      </c>
      <c r="B3741" s="18">
        <v>45554</v>
      </c>
      <c r="C3741" s="17" t="s">
        <v>39</v>
      </c>
      <c r="D3741" s="17" t="s">
        <v>86</v>
      </c>
      <c r="E3741" s="17" t="s">
        <v>162</v>
      </c>
      <c r="F3741" s="17" t="s">
        <v>164</v>
      </c>
      <c r="G3741" s="17">
        <v>2</v>
      </c>
      <c r="H3741" s="17">
        <v>10490</v>
      </c>
      <c r="I3741" s="17">
        <v>20980</v>
      </c>
      <c r="J3741" s="17">
        <v>2428</v>
      </c>
      <c r="K3741" s="17">
        <v>18552</v>
      </c>
      <c r="L3741" s="17">
        <v>2336.3572260000001</v>
      </c>
      <c r="M3741" s="17">
        <v>2024</v>
      </c>
      <c r="N3741" s="17" t="s">
        <v>129</v>
      </c>
    </row>
    <row r="3742" spans="1:14" ht="14.25" customHeight="1">
      <c r="A3742" s="17">
        <v>13741</v>
      </c>
      <c r="B3742" s="18">
        <v>45565</v>
      </c>
      <c r="C3742" s="17" t="s">
        <v>50</v>
      </c>
      <c r="D3742" s="17" t="s">
        <v>89</v>
      </c>
      <c r="E3742" s="17" t="s">
        <v>162</v>
      </c>
      <c r="F3742" s="17" t="s">
        <v>172</v>
      </c>
      <c r="G3742" s="17">
        <v>7</v>
      </c>
      <c r="H3742" s="17">
        <v>26719</v>
      </c>
      <c r="I3742" s="17">
        <v>187033</v>
      </c>
      <c r="J3742" s="17">
        <v>4339</v>
      </c>
      <c r="K3742" s="17">
        <v>182694</v>
      </c>
      <c r="L3742" s="17">
        <v>41811.19932</v>
      </c>
      <c r="M3742" s="17">
        <v>2024</v>
      </c>
      <c r="N3742" s="17" t="s">
        <v>129</v>
      </c>
    </row>
    <row r="3743" spans="1:14" ht="14.25" customHeight="1">
      <c r="A3743" s="17">
        <v>13742</v>
      </c>
      <c r="B3743" s="18">
        <v>45294</v>
      </c>
      <c r="C3743" s="17" t="s">
        <v>58</v>
      </c>
      <c r="D3743" s="17" t="s">
        <v>111</v>
      </c>
      <c r="E3743" s="17" t="s">
        <v>168</v>
      </c>
      <c r="F3743" s="17" t="s">
        <v>163</v>
      </c>
      <c r="G3743" s="17">
        <v>7</v>
      </c>
      <c r="H3743" s="17">
        <v>54200</v>
      </c>
      <c r="I3743" s="17">
        <v>379400</v>
      </c>
      <c r="J3743" s="17">
        <v>182</v>
      </c>
      <c r="K3743" s="17">
        <v>379218</v>
      </c>
      <c r="L3743" s="17">
        <v>54464.52519</v>
      </c>
      <c r="M3743" s="17">
        <v>2024</v>
      </c>
      <c r="N3743" s="17" t="s">
        <v>171</v>
      </c>
    </row>
    <row r="3744" spans="1:14" ht="14.25" customHeight="1">
      <c r="A3744" s="17">
        <v>13743</v>
      </c>
      <c r="B3744" s="18">
        <v>45319</v>
      </c>
      <c r="C3744" s="17" t="s">
        <v>45</v>
      </c>
      <c r="D3744" s="17" t="s">
        <v>83</v>
      </c>
      <c r="E3744" s="17" t="s">
        <v>168</v>
      </c>
      <c r="F3744" s="17" t="s">
        <v>166</v>
      </c>
      <c r="G3744" s="17">
        <v>4</v>
      </c>
      <c r="H3744" s="17">
        <v>43684</v>
      </c>
      <c r="I3744" s="17">
        <v>174736</v>
      </c>
      <c r="J3744" s="17">
        <v>543</v>
      </c>
      <c r="K3744" s="17">
        <v>174193</v>
      </c>
      <c r="L3744" s="17">
        <v>26107.86508</v>
      </c>
      <c r="M3744" s="17">
        <v>2024</v>
      </c>
      <c r="N3744" s="17" t="s">
        <v>171</v>
      </c>
    </row>
    <row r="3745" spans="1:14" ht="14.25" customHeight="1">
      <c r="A3745" s="17">
        <v>13744</v>
      </c>
      <c r="B3745" s="18">
        <v>45617</v>
      </c>
      <c r="C3745" s="17" t="s">
        <v>39</v>
      </c>
      <c r="D3745" s="17" t="s">
        <v>89</v>
      </c>
      <c r="E3745" s="17" t="s">
        <v>168</v>
      </c>
      <c r="F3745" s="17" t="s">
        <v>163</v>
      </c>
      <c r="G3745" s="17">
        <v>6</v>
      </c>
      <c r="H3745" s="17">
        <v>23894</v>
      </c>
      <c r="I3745" s="17">
        <v>143364</v>
      </c>
      <c r="J3745" s="17">
        <v>2826</v>
      </c>
      <c r="K3745" s="17">
        <v>140538</v>
      </c>
      <c r="L3745" s="17">
        <v>25620.108459999999</v>
      </c>
      <c r="M3745" s="17">
        <v>2024</v>
      </c>
      <c r="N3745" s="17" t="s">
        <v>173</v>
      </c>
    </row>
    <row r="3746" spans="1:14" ht="14.25" customHeight="1">
      <c r="A3746" s="17">
        <v>13745</v>
      </c>
      <c r="B3746" s="18">
        <v>45440</v>
      </c>
      <c r="C3746" s="17" t="s">
        <v>58</v>
      </c>
      <c r="D3746" s="17" t="s">
        <v>111</v>
      </c>
      <c r="E3746" s="17" t="s">
        <v>162</v>
      </c>
      <c r="F3746" s="17" t="s">
        <v>163</v>
      </c>
      <c r="G3746" s="17">
        <v>4</v>
      </c>
      <c r="H3746" s="17">
        <v>35837</v>
      </c>
      <c r="I3746" s="17">
        <v>143348</v>
      </c>
      <c r="J3746" s="17">
        <v>92</v>
      </c>
      <c r="K3746" s="17">
        <v>143256</v>
      </c>
      <c r="L3746" s="17">
        <v>22518.5854</v>
      </c>
      <c r="M3746" s="17">
        <v>2024</v>
      </c>
      <c r="N3746" s="17" t="s">
        <v>117</v>
      </c>
    </row>
    <row r="3747" spans="1:14" ht="14.25" customHeight="1">
      <c r="A3747" s="17">
        <v>13746</v>
      </c>
      <c r="B3747" s="18">
        <v>45831</v>
      </c>
      <c r="C3747" s="17" t="s">
        <v>39</v>
      </c>
      <c r="D3747" s="17" t="s">
        <v>170</v>
      </c>
      <c r="E3747" s="17" t="s">
        <v>168</v>
      </c>
      <c r="F3747" s="17" t="s">
        <v>166</v>
      </c>
      <c r="G3747" s="17">
        <v>4</v>
      </c>
      <c r="H3747" s="17">
        <v>57812</v>
      </c>
      <c r="I3747" s="17">
        <v>231248</v>
      </c>
      <c r="J3747" s="17">
        <v>2415</v>
      </c>
      <c r="K3747" s="17">
        <v>228833</v>
      </c>
      <c r="L3747" s="17">
        <v>32756.543440000001</v>
      </c>
      <c r="M3747" s="17">
        <v>2025</v>
      </c>
      <c r="N3747" s="17" t="s">
        <v>120</v>
      </c>
    </row>
    <row r="3748" spans="1:14" ht="14.25" customHeight="1">
      <c r="A3748" s="17">
        <v>13747</v>
      </c>
      <c r="B3748" s="18">
        <v>45779</v>
      </c>
      <c r="C3748" s="17" t="s">
        <v>167</v>
      </c>
      <c r="D3748" s="17" t="s">
        <v>89</v>
      </c>
      <c r="E3748" s="17" t="s">
        <v>162</v>
      </c>
      <c r="F3748" s="17" t="s">
        <v>164</v>
      </c>
      <c r="G3748" s="17">
        <v>6</v>
      </c>
      <c r="H3748" s="17">
        <v>72282</v>
      </c>
      <c r="I3748" s="17">
        <v>433692</v>
      </c>
      <c r="J3748" s="17">
        <v>4254</v>
      </c>
      <c r="K3748" s="17">
        <v>429438</v>
      </c>
      <c r="L3748" s="17">
        <v>102024.2865</v>
      </c>
      <c r="M3748" s="17">
        <v>2025</v>
      </c>
      <c r="N3748" s="17" t="s">
        <v>117</v>
      </c>
    </row>
    <row r="3749" spans="1:14" ht="14.25" customHeight="1">
      <c r="A3749" s="17">
        <v>13748</v>
      </c>
      <c r="B3749" s="18">
        <v>45729</v>
      </c>
      <c r="C3749" s="17" t="s">
        <v>50</v>
      </c>
      <c r="D3749" s="17" t="s">
        <v>89</v>
      </c>
      <c r="E3749" s="17" t="s">
        <v>168</v>
      </c>
      <c r="F3749" s="17" t="s">
        <v>164</v>
      </c>
      <c r="G3749" s="17">
        <v>9</v>
      </c>
      <c r="H3749" s="17">
        <v>78706</v>
      </c>
      <c r="I3749" s="17">
        <v>708354</v>
      </c>
      <c r="J3749" s="17">
        <v>2445</v>
      </c>
      <c r="K3749" s="17">
        <v>705909</v>
      </c>
      <c r="L3749" s="17">
        <v>84279.274560000005</v>
      </c>
      <c r="M3749" s="17">
        <v>2025</v>
      </c>
      <c r="N3749" s="17" t="s">
        <v>112</v>
      </c>
    </row>
    <row r="3750" spans="1:14" ht="14.25" customHeight="1">
      <c r="A3750" s="17">
        <v>13749</v>
      </c>
      <c r="B3750" s="18">
        <v>45356</v>
      </c>
      <c r="C3750" s="17" t="s">
        <v>167</v>
      </c>
      <c r="D3750" s="17" t="s">
        <v>89</v>
      </c>
      <c r="E3750" s="17" t="s">
        <v>162</v>
      </c>
      <c r="F3750" s="17" t="s">
        <v>166</v>
      </c>
      <c r="G3750" s="17">
        <v>7</v>
      </c>
      <c r="H3750" s="17">
        <v>61132</v>
      </c>
      <c r="I3750" s="17">
        <v>427924</v>
      </c>
      <c r="J3750" s="17">
        <v>4533</v>
      </c>
      <c r="K3750" s="17">
        <v>423391</v>
      </c>
      <c r="L3750" s="17">
        <v>68014.998349999994</v>
      </c>
      <c r="M3750" s="17">
        <v>2024</v>
      </c>
      <c r="N3750" s="17" t="s">
        <v>112</v>
      </c>
    </row>
    <row r="3751" spans="1:14" ht="14.25" customHeight="1">
      <c r="A3751" s="17">
        <v>13750</v>
      </c>
      <c r="B3751" s="18">
        <v>45647</v>
      </c>
      <c r="C3751" s="17" t="s">
        <v>45</v>
      </c>
      <c r="D3751" s="17" t="s">
        <v>170</v>
      </c>
      <c r="E3751" s="17" t="s">
        <v>165</v>
      </c>
      <c r="F3751" s="17" t="s">
        <v>172</v>
      </c>
      <c r="G3751" s="17">
        <v>2</v>
      </c>
      <c r="H3751" s="17">
        <v>65161</v>
      </c>
      <c r="I3751" s="17">
        <v>130322</v>
      </c>
      <c r="J3751" s="17">
        <v>4401</v>
      </c>
      <c r="K3751" s="17">
        <v>125921</v>
      </c>
      <c r="L3751" s="17">
        <v>12648.142250000001</v>
      </c>
      <c r="M3751" s="17">
        <v>2024</v>
      </c>
      <c r="N3751" s="17" t="s">
        <v>169</v>
      </c>
    </row>
    <row r="3752" spans="1:14" ht="14.25" customHeight="1">
      <c r="A3752" s="17">
        <v>13751</v>
      </c>
      <c r="B3752" s="18">
        <v>45824</v>
      </c>
      <c r="C3752" s="17" t="s">
        <v>167</v>
      </c>
      <c r="D3752" s="17" t="s">
        <v>170</v>
      </c>
      <c r="E3752" s="17" t="s">
        <v>168</v>
      </c>
      <c r="F3752" s="17" t="s">
        <v>164</v>
      </c>
      <c r="G3752" s="17">
        <v>6</v>
      </c>
      <c r="H3752" s="17">
        <v>24104</v>
      </c>
      <c r="I3752" s="17">
        <v>144624</v>
      </c>
      <c r="J3752" s="17">
        <v>3032</v>
      </c>
      <c r="K3752" s="17">
        <v>141592</v>
      </c>
      <c r="L3752" s="17">
        <v>31308.54679</v>
      </c>
      <c r="M3752" s="17">
        <v>2025</v>
      </c>
      <c r="N3752" s="17" t="s">
        <v>120</v>
      </c>
    </row>
    <row r="3753" spans="1:14" ht="14.25" customHeight="1">
      <c r="A3753" s="17">
        <v>13752</v>
      </c>
      <c r="B3753" s="18">
        <v>45543</v>
      </c>
      <c r="C3753" s="17" t="s">
        <v>39</v>
      </c>
      <c r="D3753" s="17" t="s">
        <v>89</v>
      </c>
      <c r="E3753" s="17" t="s">
        <v>162</v>
      </c>
      <c r="F3753" s="17" t="s">
        <v>163</v>
      </c>
      <c r="G3753" s="17">
        <v>5</v>
      </c>
      <c r="H3753" s="17">
        <v>20140</v>
      </c>
      <c r="I3753" s="17">
        <v>100700</v>
      </c>
      <c r="J3753" s="17">
        <v>1973</v>
      </c>
      <c r="K3753" s="17">
        <v>98727</v>
      </c>
      <c r="L3753" s="17">
        <v>12366.823109999999</v>
      </c>
      <c r="M3753" s="17">
        <v>2024</v>
      </c>
      <c r="N3753" s="17" t="s">
        <v>129</v>
      </c>
    </row>
    <row r="3754" spans="1:14" ht="14.25" customHeight="1">
      <c r="A3754" s="17">
        <v>13753</v>
      </c>
      <c r="B3754" s="18">
        <v>45526</v>
      </c>
      <c r="C3754" s="17" t="s">
        <v>167</v>
      </c>
      <c r="D3754" s="17" t="s">
        <v>86</v>
      </c>
      <c r="E3754" s="17" t="s">
        <v>165</v>
      </c>
      <c r="F3754" s="17" t="s">
        <v>166</v>
      </c>
      <c r="G3754" s="17">
        <v>6</v>
      </c>
      <c r="H3754" s="17">
        <v>13152</v>
      </c>
      <c r="I3754" s="17">
        <v>78912</v>
      </c>
      <c r="J3754" s="17">
        <v>3289</v>
      </c>
      <c r="K3754" s="17">
        <v>75623</v>
      </c>
      <c r="L3754" s="17">
        <v>16330.67338</v>
      </c>
      <c r="M3754" s="17">
        <v>2024</v>
      </c>
      <c r="N3754" s="17" t="s">
        <v>126</v>
      </c>
    </row>
    <row r="3755" spans="1:14" ht="14.25" customHeight="1">
      <c r="A3755" s="17">
        <v>13754</v>
      </c>
      <c r="B3755" s="18">
        <v>45518</v>
      </c>
      <c r="C3755" s="17" t="s">
        <v>39</v>
      </c>
      <c r="D3755" s="17" t="s">
        <v>83</v>
      </c>
      <c r="E3755" s="17" t="s">
        <v>165</v>
      </c>
      <c r="F3755" s="17" t="s">
        <v>163</v>
      </c>
      <c r="G3755" s="17">
        <v>8</v>
      </c>
      <c r="H3755" s="17">
        <v>53486</v>
      </c>
      <c r="I3755" s="17">
        <v>427888</v>
      </c>
      <c r="J3755" s="17">
        <v>2376</v>
      </c>
      <c r="K3755" s="17">
        <v>425512</v>
      </c>
      <c r="L3755" s="17">
        <v>52036.061269999998</v>
      </c>
      <c r="M3755" s="17">
        <v>2024</v>
      </c>
      <c r="N3755" s="17" t="s">
        <v>126</v>
      </c>
    </row>
    <row r="3756" spans="1:14" ht="14.25" customHeight="1">
      <c r="A3756" s="17">
        <v>13755</v>
      </c>
      <c r="B3756" s="18">
        <v>45816</v>
      </c>
      <c r="C3756" s="17" t="s">
        <v>45</v>
      </c>
      <c r="D3756" s="17" t="s">
        <v>170</v>
      </c>
      <c r="E3756" s="17" t="s">
        <v>168</v>
      </c>
      <c r="F3756" s="17" t="s">
        <v>164</v>
      </c>
      <c r="G3756" s="17">
        <v>8</v>
      </c>
      <c r="H3756" s="17">
        <v>43147</v>
      </c>
      <c r="I3756" s="17">
        <v>345176</v>
      </c>
      <c r="J3756" s="17">
        <v>4438</v>
      </c>
      <c r="K3756" s="17">
        <v>340738</v>
      </c>
      <c r="L3756" s="17">
        <v>55373.61421</v>
      </c>
      <c r="M3756" s="17">
        <v>2025</v>
      </c>
      <c r="N3756" s="17" t="s">
        <v>120</v>
      </c>
    </row>
    <row r="3757" spans="1:14" ht="14.25" customHeight="1">
      <c r="A3757" s="17">
        <v>13756</v>
      </c>
      <c r="B3757" s="18">
        <v>45604</v>
      </c>
      <c r="C3757" s="17" t="s">
        <v>167</v>
      </c>
      <c r="D3757" s="17" t="s">
        <v>86</v>
      </c>
      <c r="E3757" s="17" t="s">
        <v>162</v>
      </c>
      <c r="F3757" s="17" t="s">
        <v>166</v>
      </c>
      <c r="G3757" s="17">
        <v>3</v>
      </c>
      <c r="H3757" s="17">
        <v>13666</v>
      </c>
      <c r="I3757" s="17">
        <v>40998</v>
      </c>
      <c r="J3757" s="17">
        <v>3234</v>
      </c>
      <c r="K3757" s="17">
        <v>37764</v>
      </c>
      <c r="L3757" s="17">
        <v>7901.2764029999998</v>
      </c>
      <c r="M3757" s="17">
        <v>2024</v>
      </c>
      <c r="N3757" s="17" t="s">
        <v>173</v>
      </c>
    </row>
    <row r="3758" spans="1:14" ht="14.25" customHeight="1">
      <c r="A3758" s="17">
        <v>13757</v>
      </c>
      <c r="B3758" s="18">
        <v>45340</v>
      </c>
      <c r="C3758" s="17" t="s">
        <v>50</v>
      </c>
      <c r="D3758" s="17" t="s">
        <v>170</v>
      </c>
      <c r="E3758" s="17" t="s">
        <v>168</v>
      </c>
      <c r="F3758" s="17" t="s">
        <v>166</v>
      </c>
      <c r="G3758" s="17">
        <v>9</v>
      </c>
      <c r="H3758" s="17">
        <v>39726</v>
      </c>
      <c r="I3758" s="17">
        <v>357534</v>
      </c>
      <c r="J3758" s="17">
        <v>1133</v>
      </c>
      <c r="K3758" s="17">
        <v>356401</v>
      </c>
      <c r="L3758" s="17">
        <v>50117.579239999999</v>
      </c>
      <c r="M3758" s="17">
        <v>2024</v>
      </c>
      <c r="N3758" s="17" t="s">
        <v>175</v>
      </c>
    </row>
    <row r="3759" spans="1:14" ht="14.25" customHeight="1">
      <c r="A3759" s="17">
        <v>13758</v>
      </c>
      <c r="B3759" s="18">
        <v>45409</v>
      </c>
      <c r="C3759" s="17" t="s">
        <v>50</v>
      </c>
      <c r="D3759" s="17" t="s">
        <v>89</v>
      </c>
      <c r="E3759" s="17" t="s">
        <v>165</v>
      </c>
      <c r="F3759" s="17" t="s">
        <v>164</v>
      </c>
      <c r="G3759" s="17">
        <v>6</v>
      </c>
      <c r="H3759" s="17">
        <v>53689</v>
      </c>
      <c r="I3759" s="17">
        <v>322134</v>
      </c>
      <c r="J3759" s="17">
        <v>3638</v>
      </c>
      <c r="K3759" s="17">
        <v>318496</v>
      </c>
      <c r="L3759" s="17">
        <v>46846.802329999999</v>
      </c>
      <c r="M3759" s="17">
        <v>2024</v>
      </c>
      <c r="N3759" s="17" t="s">
        <v>114</v>
      </c>
    </row>
    <row r="3760" spans="1:14" ht="14.25" customHeight="1">
      <c r="A3760" s="17">
        <v>13759</v>
      </c>
      <c r="B3760" s="18">
        <v>45345</v>
      </c>
      <c r="C3760" s="17" t="s">
        <v>50</v>
      </c>
      <c r="D3760" s="17" t="s">
        <v>86</v>
      </c>
      <c r="E3760" s="17" t="s">
        <v>168</v>
      </c>
      <c r="F3760" s="17" t="s">
        <v>164</v>
      </c>
      <c r="G3760" s="17">
        <v>7</v>
      </c>
      <c r="H3760" s="17">
        <v>51116</v>
      </c>
      <c r="I3760" s="17">
        <v>357812</v>
      </c>
      <c r="J3760" s="17">
        <v>2397</v>
      </c>
      <c r="K3760" s="17">
        <v>355415</v>
      </c>
      <c r="L3760" s="17">
        <v>71117.963669999997</v>
      </c>
      <c r="M3760" s="17">
        <v>2024</v>
      </c>
      <c r="N3760" s="17" t="s">
        <v>175</v>
      </c>
    </row>
    <row r="3761" spans="1:14" ht="14.25" customHeight="1">
      <c r="A3761" s="17">
        <v>13760</v>
      </c>
      <c r="B3761" s="18">
        <v>45941</v>
      </c>
      <c r="C3761" s="17" t="s">
        <v>167</v>
      </c>
      <c r="D3761" s="17" t="s">
        <v>111</v>
      </c>
      <c r="E3761" s="17" t="s">
        <v>162</v>
      </c>
      <c r="F3761" s="17" t="s">
        <v>166</v>
      </c>
      <c r="G3761" s="17">
        <v>9</v>
      </c>
      <c r="H3761" s="17">
        <v>76420</v>
      </c>
      <c r="I3761" s="17">
        <v>687780</v>
      </c>
      <c r="J3761" s="17">
        <v>2773</v>
      </c>
      <c r="K3761" s="17">
        <v>685007</v>
      </c>
      <c r="L3761" s="17">
        <v>87787.173150000002</v>
      </c>
      <c r="M3761" s="17">
        <v>2025</v>
      </c>
      <c r="N3761" s="17" t="s">
        <v>174</v>
      </c>
    </row>
    <row r="3762" spans="1:14" ht="14.25" customHeight="1">
      <c r="A3762" s="17">
        <v>13761</v>
      </c>
      <c r="B3762" s="18">
        <v>45856</v>
      </c>
      <c r="C3762" s="17" t="s">
        <v>167</v>
      </c>
      <c r="D3762" s="17" t="s">
        <v>83</v>
      </c>
      <c r="E3762" s="17" t="s">
        <v>165</v>
      </c>
      <c r="F3762" s="17" t="s">
        <v>172</v>
      </c>
      <c r="G3762" s="17">
        <v>7</v>
      </c>
      <c r="H3762" s="17">
        <v>8820</v>
      </c>
      <c r="I3762" s="17">
        <v>61740</v>
      </c>
      <c r="J3762" s="17">
        <v>4460</v>
      </c>
      <c r="K3762" s="17">
        <v>57280</v>
      </c>
      <c r="L3762" s="17">
        <v>13905.73142</v>
      </c>
      <c r="M3762" s="17">
        <v>2025</v>
      </c>
      <c r="N3762" s="17" t="s">
        <v>123</v>
      </c>
    </row>
    <row r="3763" spans="1:14" ht="14.25" customHeight="1">
      <c r="A3763" s="17">
        <v>13762</v>
      </c>
      <c r="B3763" s="18">
        <v>45335</v>
      </c>
      <c r="C3763" s="17" t="s">
        <v>167</v>
      </c>
      <c r="D3763" s="17" t="s">
        <v>83</v>
      </c>
      <c r="E3763" s="17" t="s">
        <v>168</v>
      </c>
      <c r="F3763" s="17" t="s">
        <v>166</v>
      </c>
      <c r="G3763" s="17">
        <v>9</v>
      </c>
      <c r="H3763" s="17">
        <v>9322</v>
      </c>
      <c r="I3763" s="17">
        <v>83898</v>
      </c>
      <c r="J3763" s="17">
        <v>1920</v>
      </c>
      <c r="K3763" s="17">
        <v>81978</v>
      </c>
      <c r="L3763" s="17">
        <v>10519.265520000001</v>
      </c>
      <c r="M3763" s="17">
        <v>2024</v>
      </c>
      <c r="N3763" s="17" t="s">
        <v>175</v>
      </c>
    </row>
    <row r="3764" spans="1:14" ht="14.25" customHeight="1">
      <c r="A3764" s="17">
        <v>13763</v>
      </c>
      <c r="B3764" s="18">
        <v>45344</v>
      </c>
      <c r="C3764" s="17" t="s">
        <v>39</v>
      </c>
      <c r="D3764" s="17" t="s">
        <v>170</v>
      </c>
      <c r="E3764" s="17" t="s">
        <v>168</v>
      </c>
      <c r="F3764" s="17" t="s">
        <v>172</v>
      </c>
      <c r="G3764" s="17">
        <v>1</v>
      </c>
      <c r="H3764" s="17">
        <v>43235</v>
      </c>
      <c r="I3764" s="17">
        <v>43235</v>
      </c>
      <c r="J3764" s="17">
        <v>2062</v>
      </c>
      <c r="K3764" s="17">
        <v>41173</v>
      </c>
      <c r="L3764" s="17">
        <v>8749.2344639999992</v>
      </c>
      <c r="M3764" s="17">
        <v>2024</v>
      </c>
      <c r="N3764" s="17" t="s">
        <v>175</v>
      </c>
    </row>
    <row r="3765" spans="1:14" ht="14.25" customHeight="1">
      <c r="A3765" s="17">
        <v>13764</v>
      </c>
      <c r="B3765" s="18">
        <v>45877</v>
      </c>
      <c r="C3765" s="17" t="s">
        <v>45</v>
      </c>
      <c r="D3765" s="17" t="s">
        <v>83</v>
      </c>
      <c r="E3765" s="17" t="s">
        <v>168</v>
      </c>
      <c r="F3765" s="17" t="s">
        <v>163</v>
      </c>
      <c r="G3765" s="17">
        <v>1</v>
      </c>
      <c r="H3765" s="17">
        <v>64961</v>
      </c>
      <c r="I3765" s="17">
        <v>64961</v>
      </c>
      <c r="J3765" s="17">
        <v>2200</v>
      </c>
      <c r="K3765" s="17">
        <v>62761</v>
      </c>
      <c r="L3765" s="17">
        <v>13831.88615</v>
      </c>
      <c r="M3765" s="17">
        <v>2025</v>
      </c>
      <c r="N3765" s="17" t="s">
        <v>126</v>
      </c>
    </row>
    <row r="3766" spans="1:14" ht="14.25" customHeight="1">
      <c r="A3766" s="17">
        <v>13765</v>
      </c>
      <c r="B3766" s="18">
        <v>45849</v>
      </c>
      <c r="C3766" s="17" t="s">
        <v>50</v>
      </c>
      <c r="D3766" s="17" t="s">
        <v>111</v>
      </c>
      <c r="E3766" s="17" t="s">
        <v>168</v>
      </c>
      <c r="F3766" s="17" t="s">
        <v>172</v>
      </c>
      <c r="G3766" s="17">
        <v>3</v>
      </c>
      <c r="H3766" s="17">
        <v>55356</v>
      </c>
      <c r="I3766" s="17">
        <v>166068</v>
      </c>
      <c r="J3766" s="17">
        <v>4627</v>
      </c>
      <c r="K3766" s="17">
        <v>161441</v>
      </c>
      <c r="L3766" s="17">
        <v>25209.91072</v>
      </c>
      <c r="M3766" s="17">
        <v>2025</v>
      </c>
      <c r="N3766" s="17" t="s">
        <v>123</v>
      </c>
    </row>
    <row r="3767" spans="1:14" ht="14.25" customHeight="1">
      <c r="A3767" s="17">
        <v>13766</v>
      </c>
      <c r="B3767" s="18">
        <v>45816</v>
      </c>
      <c r="C3767" s="17" t="s">
        <v>39</v>
      </c>
      <c r="D3767" s="17" t="s">
        <v>86</v>
      </c>
      <c r="E3767" s="17" t="s">
        <v>168</v>
      </c>
      <c r="F3767" s="17" t="s">
        <v>172</v>
      </c>
      <c r="G3767" s="17">
        <v>9</v>
      </c>
      <c r="H3767" s="17">
        <v>29923</v>
      </c>
      <c r="I3767" s="17">
        <v>269307</v>
      </c>
      <c r="J3767" s="17">
        <v>3014</v>
      </c>
      <c r="K3767" s="17">
        <v>266293</v>
      </c>
      <c r="L3767" s="17">
        <v>32870.108419999997</v>
      </c>
      <c r="M3767" s="17">
        <v>2025</v>
      </c>
      <c r="N3767" s="17" t="s">
        <v>120</v>
      </c>
    </row>
    <row r="3768" spans="1:14" ht="14.25" customHeight="1">
      <c r="A3768" s="17">
        <v>13767</v>
      </c>
      <c r="B3768" s="18">
        <v>45968</v>
      </c>
      <c r="C3768" s="17" t="s">
        <v>50</v>
      </c>
      <c r="D3768" s="17" t="s">
        <v>86</v>
      </c>
      <c r="E3768" s="17" t="s">
        <v>165</v>
      </c>
      <c r="F3768" s="17" t="s">
        <v>164</v>
      </c>
      <c r="G3768" s="17">
        <v>1</v>
      </c>
      <c r="H3768" s="17">
        <v>38750</v>
      </c>
      <c r="I3768" s="17">
        <v>38750</v>
      </c>
      <c r="J3768" s="17">
        <v>3471</v>
      </c>
      <c r="K3768" s="17">
        <v>35279</v>
      </c>
      <c r="L3768" s="17">
        <v>4405.8365210000002</v>
      </c>
      <c r="M3768" s="17">
        <v>2025</v>
      </c>
      <c r="N3768" s="17" t="s">
        <v>173</v>
      </c>
    </row>
    <row r="3769" spans="1:14" ht="14.25" customHeight="1">
      <c r="A3769" s="17">
        <v>13768</v>
      </c>
      <c r="B3769" s="18">
        <v>45393</v>
      </c>
      <c r="C3769" s="17" t="s">
        <v>39</v>
      </c>
      <c r="D3769" s="17" t="s">
        <v>89</v>
      </c>
      <c r="E3769" s="17" t="s">
        <v>165</v>
      </c>
      <c r="F3769" s="17" t="s">
        <v>166</v>
      </c>
      <c r="G3769" s="17">
        <v>1</v>
      </c>
      <c r="H3769" s="17">
        <v>26983</v>
      </c>
      <c r="I3769" s="17">
        <v>26983</v>
      </c>
      <c r="J3769" s="17">
        <v>4950</v>
      </c>
      <c r="K3769" s="17">
        <v>22033</v>
      </c>
      <c r="L3769" s="17">
        <v>5460.1641810000001</v>
      </c>
      <c r="M3769" s="17">
        <v>2024</v>
      </c>
      <c r="N3769" s="17" t="s">
        <v>114</v>
      </c>
    </row>
    <row r="3770" spans="1:14" ht="14.25" customHeight="1">
      <c r="A3770" s="17">
        <v>13769</v>
      </c>
      <c r="B3770" s="18">
        <v>45689</v>
      </c>
      <c r="C3770" s="17" t="s">
        <v>167</v>
      </c>
      <c r="D3770" s="17" t="s">
        <v>86</v>
      </c>
      <c r="E3770" s="17" t="s">
        <v>162</v>
      </c>
      <c r="F3770" s="17" t="s">
        <v>163</v>
      </c>
      <c r="G3770" s="17">
        <v>5</v>
      </c>
      <c r="H3770" s="17">
        <v>10905</v>
      </c>
      <c r="I3770" s="17">
        <v>54525</v>
      </c>
      <c r="J3770" s="17">
        <v>468</v>
      </c>
      <c r="K3770" s="17">
        <v>54057</v>
      </c>
      <c r="L3770" s="17">
        <v>11287.722739999999</v>
      </c>
      <c r="M3770" s="17">
        <v>2025</v>
      </c>
      <c r="N3770" s="17" t="s">
        <v>175</v>
      </c>
    </row>
    <row r="3771" spans="1:14" ht="14.25" customHeight="1">
      <c r="A3771" s="17">
        <v>13770</v>
      </c>
      <c r="B3771" s="18">
        <v>45429</v>
      </c>
      <c r="C3771" s="17" t="s">
        <v>50</v>
      </c>
      <c r="D3771" s="17" t="s">
        <v>170</v>
      </c>
      <c r="E3771" s="17" t="s">
        <v>168</v>
      </c>
      <c r="F3771" s="17" t="s">
        <v>166</v>
      </c>
      <c r="G3771" s="17">
        <v>8</v>
      </c>
      <c r="H3771" s="17">
        <v>60483</v>
      </c>
      <c r="I3771" s="17">
        <v>483864</v>
      </c>
      <c r="J3771" s="17">
        <v>1344</v>
      </c>
      <c r="K3771" s="17">
        <v>482520</v>
      </c>
      <c r="L3771" s="17">
        <v>80825.533370000005</v>
      </c>
      <c r="M3771" s="17">
        <v>2024</v>
      </c>
      <c r="N3771" s="17" t="s">
        <v>117</v>
      </c>
    </row>
    <row r="3772" spans="1:14" ht="14.25" customHeight="1">
      <c r="A3772" s="17">
        <v>13771</v>
      </c>
      <c r="B3772" s="18">
        <v>45966</v>
      </c>
      <c r="C3772" s="17" t="s">
        <v>167</v>
      </c>
      <c r="D3772" s="17" t="s">
        <v>111</v>
      </c>
      <c r="E3772" s="17" t="s">
        <v>162</v>
      </c>
      <c r="F3772" s="17" t="s">
        <v>172</v>
      </c>
      <c r="G3772" s="17">
        <v>2</v>
      </c>
      <c r="H3772" s="17">
        <v>30028</v>
      </c>
      <c r="I3772" s="17">
        <v>60056</v>
      </c>
      <c r="J3772" s="17">
        <v>878</v>
      </c>
      <c r="K3772" s="17">
        <v>59178</v>
      </c>
      <c r="L3772" s="17">
        <v>8202.2168729999994</v>
      </c>
      <c r="M3772" s="17">
        <v>2025</v>
      </c>
      <c r="N3772" s="17" t="s">
        <v>173</v>
      </c>
    </row>
    <row r="3773" spans="1:14" ht="14.25" customHeight="1">
      <c r="A3773" s="17">
        <v>13772</v>
      </c>
      <c r="B3773" s="18">
        <v>45678</v>
      </c>
      <c r="C3773" s="17" t="s">
        <v>50</v>
      </c>
      <c r="D3773" s="17" t="s">
        <v>89</v>
      </c>
      <c r="E3773" s="17" t="s">
        <v>165</v>
      </c>
      <c r="F3773" s="17" t="s">
        <v>172</v>
      </c>
      <c r="G3773" s="17">
        <v>4</v>
      </c>
      <c r="H3773" s="17">
        <v>74609</v>
      </c>
      <c r="I3773" s="17">
        <v>298436</v>
      </c>
      <c r="J3773" s="17">
        <v>4462</v>
      </c>
      <c r="K3773" s="17">
        <v>293974</v>
      </c>
      <c r="L3773" s="17">
        <v>30231.26266</v>
      </c>
      <c r="M3773" s="17">
        <v>2025</v>
      </c>
      <c r="N3773" s="17" t="s">
        <v>171</v>
      </c>
    </row>
    <row r="3774" spans="1:14" ht="14.25" customHeight="1">
      <c r="A3774" s="17">
        <v>13773</v>
      </c>
      <c r="B3774" s="18">
        <v>45402</v>
      </c>
      <c r="C3774" s="17" t="s">
        <v>58</v>
      </c>
      <c r="D3774" s="17" t="s">
        <v>170</v>
      </c>
      <c r="E3774" s="17" t="s">
        <v>168</v>
      </c>
      <c r="F3774" s="17" t="s">
        <v>172</v>
      </c>
      <c r="G3774" s="17">
        <v>6</v>
      </c>
      <c r="H3774" s="17">
        <v>57046</v>
      </c>
      <c r="I3774" s="17">
        <v>342276</v>
      </c>
      <c r="J3774" s="17">
        <v>3909</v>
      </c>
      <c r="K3774" s="17">
        <v>338367</v>
      </c>
      <c r="L3774" s="17">
        <v>67866.126569999993</v>
      </c>
      <c r="M3774" s="17">
        <v>2024</v>
      </c>
      <c r="N3774" s="17" t="s">
        <v>114</v>
      </c>
    </row>
    <row r="3775" spans="1:14" ht="14.25" customHeight="1">
      <c r="A3775" s="17">
        <v>13774</v>
      </c>
      <c r="B3775" s="18">
        <v>45905</v>
      </c>
      <c r="C3775" s="17" t="s">
        <v>39</v>
      </c>
      <c r="D3775" s="17" t="s">
        <v>170</v>
      </c>
      <c r="E3775" s="17" t="s">
        <v>162</v>
      </c>
      <c r="F3775" s="17" t="s">
        <v>166</v>
      </c>
      <c r="G3775" s="17">
        <v>1</v>
      </c>
      <c r="H3775" s="17">
        <v>7234</v>
      </c>
      <c r="I3775" s="17">
        <v>7234</v>
      </c>
      <c r="J3775" s="17">
        <v>3807</v>
      </c>
      <c r="K3775" s="17">
        <v>3427</v>
      </c>
      <c r="L3775" s="17">
        <v>834.60284799999999</v>
      </c>
      <c r="M3775" s="17">
        <v>2025</v>
      </c>
      <c r="N3775" s="17" t="s">
        <v>129</v>
      </c>
    </row>
    <row r="3776" spans="1:14" ht="14.25" customHeight="1">
      <c r="A3776" s="17">
        <v>13775</v>
      </c>
      <c r="B3776" s="18">
        <v>45308</v>
      </c>
      <c r="C3776" s="17" t="s">
        <v>58</v>
      </c>
      <c r="D3776" s="17" t="s">
        <v>170</v>
      </c>
      <c r="E3776" s="17" t="s">
        <v>168</v>
      </c>
      <c r="F3776" s="17" t="s">
        <v>172</v>
      </c>
      <c r="G3776" s="17">
        <v>4</v>
      </c>
      <c r="H3776" s="17">
        <v>78167</v>
      </c>
      <c r="I3776" s="17">
        <v>312668</v>
      </c>
      <c r="J3776" s="17">
        <v>4736</v>
      </c>
      <c r="K3776" s="17">
        <v>307932</v>
      </c>
      <c r="L3776" s="17">
        <v>35728.2664</v>
      </c>
      <c r="M3776" s="17">
        <v>2024</v>
      </c>
      <c r="N3776" s="17" t="s">
        <v>171</v>
      </c>
    </row>
    <row r="3777" spans="1:14" ht="14.25" customHeight="1">
      <c r="A3777" s="17">
        <v>13776</v>
      </c>
      <c r="B3777" s="18">
        <v>45473</v>
      </c>
      <c r="C3777" s="17" t="s">
        <v>39</v>
      </c>
      <c r="D3777" s="17" t="s">
        <v>83</v>
      </c>
      <c r="E3777" s="17" t="s">
        <v>168</v>
      </c>
      <c r="F3777" s="17" t="s">
        <v>166</v>
      </c>
      <c r="G3777" s="17">
        <v>4</v>
      </c>
      <c r="H3777" s="17">
        <v>60011</v>
      </c>
      <c r="I3777" s="17">
        <v>240044</v>
      </c>
      <c r="J3777" s="17">
        <v>4957</v>
      </c>
      <c r="K3777" s="17">
        <v>235087</v>
      </c>
      <c r="L3777" s="17">
        <v>50114.362569999998</v>
      </c>
      <c r="M3777" s="17">
        <v>2024</v>
      </c>
      <c r="N3777" s="17" t="s">
        <v>120</v>
      </c>
    </row>
    <row r="3778" spans="1:14" ht="14.25" customHeight="1">
      <c r="A3778" s="17">
        <v>13777</v>
      </c>
      <c r="B3778" s="18">
        <v>45827</v>
      </c>
      <c r="C3778" s="17" t="s">
        <v>45</v>
      </c>
      <c r="D3778" s="17" t="s">
        <v>170</v>
      </c>
      <c r="E3778" s="17" t="s">
        <v>162</v>
      </c>
      <c r="F3778" s="17" t="s">
        <v>163</v>
      </c>
      <c r="G3778" s="17">
        <v>9</v>
      </c>
      <c r="H3778" s="17">
        <v>17061</v>
      </c>
      <c r="I3778" s="17">
        <v>153549</v>
      </c>
      <c r="J3778" s="17">
        <v>2941</v>
      </c>
      <c r="K3778" s="17">
        <v>150608</v>
      </c>
      <c r="L3778" s="17">
        <v>18522.605169999999</v>
      </c>
      <c r="M3778" s="17">
        <v>2025</v>
      </c>
      <c r="N3778" s="17" t="s">
        <v>120</v>
      </c>
    </row>
    <row r="3779" spans="1:14" ht="14.25" customHeight="1">
      <c r="A3779" s="17">
        <v>13778</v>
      </c>
      <c r="B3779" s="18">
        <v>45832</v>
      </c>
      <c r="C3779" s="17" t="s">
        <v>50</v>
      </c>
      <c r="D3779" s="17" t="s">
        <v>83</v>
      </c>
      <c r="E3779" s="17" t="s">
        <v>165</v>
      </c>
      <c r="F3779" s="17" t="s">
        <v>163</v>
      </c>
      <c r="G3779" s="17">
        <v>9</v>
      </c>
      <c r="H3779" s="17">
        <v>54253</v>
      </c>
      <c r="I3779" s="17">
        <v>488277</v>
      </c>
      <c r="J3779" s="17">
        <v>3345</v>
      </c>
      <c r="K3779" s="17">
        <v>484932</v>
      </c>
      <c r="L3779" s="17">
        <v>106110.7726</v>
      </c>
      <c r="M3779" s="17">
        <v>2025</v>
      </c>
      <c r="N3779" s="17" t="s">
        <v>120</v>
      </c>
    </row>
    <row r="3780" spans="1:14" ht="14.25" customHeight="1">
      <c r="A3780" s="17">
        <v>13779</v>
      </c>
      <c r="B3780" s="18">
        <v>45462</v>
      </c>
      <c r="C3780" s="17" t="s">
        <v>45</v>
      </c>
      <c r="D3780" s="17" t="s">
        <v>86</v>
      </c>
      <c r="E3780" s="17" t="s">
        <v>162</v>
      </c>
      <c r="F3780" s="17" t="s">
        <v>166</v>
      </c>
      <c r="G3780" s="17">
        <v>6</v>
      </c>
      <c r="H3780" s="17">
        <v>49667</v>
      </c>
      <c r="I3780" s="17">
        <v>298002</v>
      </c>
      <c r="J3780" s="17">
        <v>588</v>
      </c>
      <c r="K3780" s="17">
        <v>297414</v>
      </c>
      <c r="L3780" s="17">
        <v>46273.432820000002</v>
      </c>
      <c r="M3780" s="17">
        <v>2024</v>
      </c>
      <c r="N3780" s="17" t="s">
        <v>120</v>
      </c>
    </row>
    <row r="3781" spans="1:14" ht="14.25" customHeight="1">
      <c r="A3781" s="17">
        <v>13780</v>
      </c>
      <c r="B3781" s="18">
        <v>45700</v>
      </c>
      <c r="C3781" s="17" t="s">
        <v>45</v>
      </c>
      <c r="D3781" s="17" t="s">
        <v>83</v>
      </c>
      <c r="E3781" s="17" t="s">
        <v>162</v>
      </c>
      <c r="F3781" s="17" t="s">
        <v>163</v>
      </c>
      <c r="G3781" s="17">
        <v>8</v>
      </c>
      <c r="H3781" s="17">
        <v>63796</v>
      </c>
      <c r="I3781" s="17">
        <v>510368</v>
      </c>
      <c r="J3781" s="17">
        <v>3883</v>
      </c>
      <c r="K3781" s="17">
        <v>506485</v>
      </c>
      <c r="L3781" s="17">
        <v>104745.77619999999</v>
      </c>
      <c r="M3781" s="17">
        <v>2025</v>
      </c>
      <c r="N3781" s="17" t="s">
        <v>175</v>
      </c>
    </row>
    <row r="3782" spans="1:14" ht="14.25" customHeight="1">
      <c r="A3782" s="17">
        <v>13781</v>
      </c>
      <c r="B3782" s="18">
        <v>45669</v>
      </c>
      <c r="C3782" s="17" t="s">
        <v>39</v>
      </c>
      <c r="D3782" s="17" t="s">
        <v>170</v>
      </c>
      <c r="E3782" s="17" t="s">
        <v>162</v>
      </c>
      <c r="F3782" s="17" t="s">
        <v>164</v>
      </c>
      <c r="G3782" s="17">
        <v>4</v>
      </c>
      <c r="H3782" s="17">
        <v>69065</v>
      </c>
      <c r="I3782" s="17">
        <v>276260</v>
      </c>
      <c r="J3782" s="17">
        <v>1329</v>
      </c>
      <c r="K3782" s="17">
        <v>274931</v>
      </c>
      <c r="L3782" s="17">
        <v>65692.662160000007</v>
      </c>
      <c r="M3782" s="17">
        <v>2025</v>
      </c>
      <c r="N3782" s="17" t="s">
        <v>171</v>
      </c>
    </row>
    <row r="3783" spans="1:14" ht="14.25" customHeight="1">
      <c r="A3783" s="17">
        <v>13782</v>
      </c>
      <c r="B3783" s="18">
        <v>45479</v>
      </c>
      <c r="C3783" s="17" t="s">
        <v>58</v>
      </c>
      <c r="D3783" s="17" t="s">
        <v>111</v>
      </c>
      <c r="E3783" s="17" t="s">
        <v>168</v>
      </c>
      <c r="F3783" s="17" t="s">
        <v>172</v>
      </c>
      <c r="G3783" s="17">
        <v>8</v>
      </c>
      <c r="H3783" s="17">
        <v>35638</v>
      </c>
      <c r="I3783" s="17">
        <v>285104</v>
      </c>
      <c r="J3783" s="17">
        <v>91</v>
      </c>
      <c r="K3783" s="17">
        <v>285013</v>
      </c>
      <c r="L3783" s="17">
        <v>55013.459849999999</v>
      </c>
      <c r="M3783" s="17">
        <v>2024</v>
      </c>
      <c r="N3783" s="17" t="s">
        <v>123</v>
      </c>
    </row>
    <row r="3784" spans="1:14" ht="14.25" customHeight="1">
      <c r="A3784" s="17">
        <v>13783</v>
      </c>
      <c r="B3784" s="18">
        <v>45521</v>
      </c>
      <c r="C3784" s="17" t="s">
        <v>167</v>
      </c>
      <c r="D3784" s="17" t="s">
        <v>111</v>
      </c>
      <c r="E3784" s="17" t="s">
        <v>165</v>
      </c>
      <c r="F3784" s="17" t="s">
        <v>172</v>
      </c>
      <c r="G3784" s="17">
        <v>3</v>
      </c>
      <c r="H3784" s="17">
        <v>28884</v>
      </c>
      <c r="I3784" s="17">
        <v>86652</v>
      </c>
      <c r="J3784" s="17">
        <v>457</v>
      </c>
      <c r="K3784" s="17">
        <v>86195</v>
      </c>
      <c r="L3784" s="17">
        <v>20523.44786</v>
      </c>
      <c r="M3784" s="17">
        <v>2024</v>
      </c>
      <c r="N3784" s="17" t="s">
        <v>126</v>
      </c>
    </row>
    <row r="3785" spans="1:14" ht="14.25" customHeight="1">
      <c r="A3785" s="17">
        <v>13784</v>
      </c>
      <c r="B3785" s="18">
        <v>45410</v>
      </c>
      <c r="C3785" s="17" t="s">
        <v>39</v>
      </c>
      <c r="D3785" s="17" t="s">
        <v>86</v>
      </c>
      <c r="E3785" s="17" t="s">
        <v>165</v>
      </c>
      <c r="F3785" s="17" t="s">
        <v>172</v>
      </c>
      <c r="G3785" s="17">
        <v>2</v>
      </c>
      <c r="H3785" s="17">
        <v>35697</v>
      </c>
      <c r="I3785" s="17">
        <v>71394</v>
      </c>
      <c r="J3785" s="17">
        <v>3341</v>
      </c>
      <c r="K3785" s="17">
        <v>68053</v>
      </c>
      <c r="L3785" s="17">
        <v>9204.4170780000004</v>
      </c>
      <c r="M3785" s="17">
        <v>2024</v>
      </c>
      <c r="N3785" s="17" t="s">
        <v>114</v>
      </c>
    </row>
    <row r="3786" spans="1:14" ht="14.25" customHeight="1">
      <c r="A3786" s="17">
        <v>13785</v>
      </c>
      <c r="B3786" s="18">
        <v>45447</v>
      </c>
      <c r="C3786" s="17" t="s">
        <v>167</v>
      </c>
      <c r="D3786" s="17" t="s">
        <v>170</v>
      </c>
      <c r="E3786" s="17" t="s">
        <v>168</v>
      </c>
      <c r="F3786" s="17" t="s">
        <v>164</v>
      </c>
      <c r="G3786" s="17">
        <v>6</v>
      </c>
      <c r="H3786" s="17">
        <v>12114</v>
      </c>
      <c r="I3786" s="17">
        <v>72684</v>
      </c>
      <c r="J3786" s="17">
        <v>1884</v>
      </c>
      <c r="K3786" s="17">
        <v>70800</v>
      </c>
      <c r="L3786" s="17">
        <v>17467.781060000001</v>
      </c>
      <c r="M3786" s="17">
        <v>2024</v>
      </c>
      <c r="N3786" s="17" t="s">
        <v>120</v>
      </c>
    </row>
    <row r="3787" spans="1:14" ht="14.25" customHeight="1">
      <c r="A3787" s="17">
        <v>13786</v>
      </c>
      <c r="B3787" s="18">
        <v>45978</v>
      </c>
      <c r="C3787" s="17" t="s">
        <v>45</v>
      </c>
      <c r="D3787" s="17" t="s">
        <v>83</v>
      </c>
      <c r="E3787" s="17" t="s">
        <v>165</v>
      </c>
      <c r="F3787" s="17" t="s">
        <v>172</v>
      </c>
      <c r="G3787" s="17">
        <v>5</v>
      </c>
      <c r="H3787" s="17">
        <v>35550</v>
      </c>
      <c r="I3787" s="17">
        <v>177750</v>
      </c>
      <c r="J3787" s="17">
        <v>3121</v>
      </c>
      <c r="K3787" s="17">
        <v>174629</v>
      </c>
      <c r="L3787" s="17">
        <v>40326.587890000003</v>
      </c>
      <c r="M3787" s="17">
        <v>2025</v>
      </c>
      <c r="N3787" s="17" t="s">
        <v>173</v>
      </c>
    </row>
    <row r="3788" spans="1:14" ht="14.25" customHeight="1">
      <c r="A3788" s="17">
        <v>13787</v>
      </c>
      <c r="B3788" s="18">
        <v>45756</v>
      </c>
      <c r="C3788" s="17" t="s">
        <v>167</v>
      </c>
      <c r="D3788" s="17" t="s">
        <v>111</v>
      </c>
      <c r="E3788" s="17" t="s">
        <v>162</v>
      </c>
      <c r="F3788" s="17" t="s">
        <v>166</v>
      </c>
      <c r="G3788" s="17">
        <v>8</v>
      </c>
      <c r="H3788" s="17">
        <v>12469</v>
      </c>
      <c r="I3788" s="17">
        <v>99752</v>
      </c>
      <c r="J3788" s="17">
        <v>2039</v>
      </c>
      <c r="K3788" s="17">
        <v>97713</v>
      </c>
      <c r="L3788" s="17">
        <v>11347.99698</v>
      </c>
      <c r="M3788" s="17">
        <v>2025</v>
      </c>
      <c r="N3788" s="17" t="s">
        <v>114</v>
      </c>
    </row>
    <row r="3789" spans="1:14" ht="14.25" customHeight="1">
      <c r="A3789" s="17">
        <v>13788</v>
      </c>
      <c r="B3789" s="18">
        <v>45395</v>
      </c>
      <c r="C3789" s="17" t="s">
        <v>58</v>
      </c>
      <c r="D3789" s="17" t="s">
        <v>89</v>
      </c>
      <c r="E3789" s="17" t="s">
        <v>165</v>
      </c>
      <c r="F3789" s="17" t="s">
        <v>172</v>
      </c>
      <c r="G3789" s="17">
        <v>1</v>
      </c>
      <c r="H3789" s="17">
        <v>52771</v>
      </c>
      <c r="I3789" s="17">
        <v>52771</v>
      </c>
      <c r="J3789" s="17">
        <v>1403</v>
      </c>
      <c r="K3789" s="17">
        <v>51368</v>
      </c>
      <c r="L3789" s="17">
        <v>8323.2064389999996</v>
      </c>
      <c r="M3789" s="17">
        <v>2024</v>
      </c>
      <c r="N3789" s="17" t="s">
        <v>114</v>
      </c>
    </row>
    <row r="3790" spans="1:14" ht="14.25" customHeight="1">
      <c r="A3790" s="17">
        <v>13789</v>
      </c>
      <c r="B3790" s="18">
        <v>45895</v>
      </c>
      <c r="C3790" s="17" t="s">
        <v>39</v>
      </c>
      <c r="D3790" s="17" t="s">
        <v>170</v>
      </c>
      <c r="E3790" s="17" t="s">
        <v>168</v>
      </c>
      <c r="F3790" s="17" t="s">
        <v>166</v>
      </c>
      <c r="G3790" s="17">
        <v>3</v>
      </c>
      <c r="H3790" s="17">
        <v>11492</v>
      </c>
      <c r="I3790" s="17">
        <v>34476</v>
      </c>
      <c r="J3790" s="17">
        <v>3703</v>
      </c>
      <c r="K3790" s="17">
        <v>30773</v>
      </c>
      <c r="L3790" s="17">
        <v>7356.4219320000002</v>
      </c>
      <c r="M3790" s="17">
        <v>2025</v>
      </c>
      <c r="N3790" s="17" t="s">
        <v>126</v>
      </c>
    </row>
    <row r="3791" spans="1:14" ht="14.25" customHeight="1">
      <c r="A3791" s="17">
        <v>13790</v>
      </c>
      <c r="B3791" s="18">
        <v>45989</v>
      </c>
      <c r="C3791" s="17" t="s">
        <v>58</v>
      </c>
      <c r="D3791" s="17" t="s">
        <v>170</v>
      </c>
      <c r="E3791" s="17" t="s">
        <v>165</v>
      </c>
      <c r="F3791" s="17" t="s">
        <v>163</v>
      </c>
      <c r="G3791" s="17">
        <v>7</v>
      </c>
      <c r="H3791" s="17">
        <v>6971</v>
      </c>
      <c r="I3791" s="17">
        <v>48797</v>
      </c>
      <c r="J3791" s="17">
        <v>4482</v>
      </c>
      <c r="K3791" s="17">
        <v>44315</v>
      </c>
      <c r="L3791" s="17">
        <v>4950.7523590000001</v>
      </c>
      <c r="M3791" s="17">
        <v>2025</v>
      </c>
      <c r="N3791" s="17" t="s">
        <v>173</v>
      </c>
    </row>
    <row r="3792" spans="1:14" ht="14.25" customHeight="1">
      <c r="A3792" s="17">
        <v>13791</v>
      </c>
      <c r="B3792" s="18">
        <v>45793</v>
      </c>
      <c r="C3792" s="17" t="s">
        <v>58</v>
      </c>
      <c r="D3792" s="17" t="s">
        <v>89</v>
      </c>
      <c r="E3792" s="17" t="s">
        <v>168</v>
      </c>
      <c r="F3792" s="17" t="s">
        <v>166</v>
      </c>
      <c r="G3792" s="17">
        <v>4</v>
      </c>
      <c r="H3792" s="17">
        <v>51350</v>
      </c>
      <c r="I3792" s="17">
        <v>205400</v>
      </c>
      <c r="J3792" s="17">
        <v>1981</v>
      </c>
      <c r="K3792" s="17">
        <v>203419</v>
      </c>
      <c r="L3792" s="17">
        <v>34187.495110000003</v>
      </c>
      <c r="M3792" s="17">
        <v>2025</v>
      </c>
      <c r="N3792" s="17" t="s">
        <v>117</v>
      </c>
    </row>
    <row r="3793" spans="1:14" ht="14.25" customHeight="1">
      <c r="A3793" s="17">
        <v>13792</v>
      </c>
      <c r="B3793" s="18">
        <v>45984</v>
      </c>
      <c r="C3793" s="17" t="s">
        <v>39</v>
      </c>
      <c r="D3793" s="17" t="s">
        <v>111</v>
      </c>
      <c r="E3793" s="17" t="s">
        <v>162</v>
      </c>
      <c r="F3793" s="17" t="s">
        <v>166</v>
      </c>
      <c r="G3793" s="17">
        <v>5</v>
      </c>
      <c r="H3793" s="17">
        <v>14644</v>
      </c>
      <c r="I3793" s="17">
        <v>73220</v>
      </c>
      <c r="J3793" s="17">
        <v>1792</v>
      </c>
      <c r="K3793" s="17">
        <v>71428</v>
      </c>
      <c r="L3793" s="17">
        <v>14895.52828</v>
      </c>
      <c r="M3793" s="17">
        <v>2025</v>
      </c>
      <c r="N3793" s="17" t="s">
        <v>173</v>
      </c>
    </row>
    <row r="3794" spans="1:14" ht="14.25" customHeight="1">
      <c r="A3794" s="17">
        <v>13793</v>
      </c>
      <c r="B3794" s="18">
        <v>45973</v>
      </c>
      <c r="C3794" s="17" t="s">
        <v>58</v>
      </c>
      <c r="D3794" s="17" t="s">
        <v>89</v>
      </c>
      <c r="E3794" s="17" t="s">
        <v>168</v>
      </c>
      <c r="F3794" s="17" t="s">
        <v>166</v>
      </c>
      <c r="G3794" s="17">
        <v>8</v>
      </c>
      <c r="H3794" s="17">
        <v>69194</v>
      </c>
      <c r="I3794" s="17">
        <v>553552</v>
      </c>
      <c r="J3794" s="17">
        <v>4466</v>
      </c>
      <c r="K3794" s="17">
        <v>549086</v>
      </c>
      <c r="L3794" s="17">
        <v>57663.417439999997</v>
      </c>
      <c r="M3794" s="17">
        <v>2025</v>
      </c>
      <c r="N3794" s="17" t="s">
        <v>173</v>
      </c>
    </row>
    <row r="3795" spans="1:14" ht="14.25" customHeight="1">
      <c r="A3795" s="17">
        <v>13794</v>
      </c>
      <c r="B3795" s="18">
        <v>45990</v>
      </c>
      <c r="C3795" s="17" t="s">
        <v>50</v>
      </c>
      <c r="D3795" s="17" t="s">
        <v>86</v>
      </c>
      <c r="E3795" s="17" t="s">
        <v>165</v>
      </c>
      <c r="F3795" s="17" t="s">
        <v>172</v>
      </c>
      <c r="G3795" s="17">
        <v>1</v>
      </c>
      <c r="H3795" s="17">
        <v>17534</v>
      </c>
      <c r="I3795" s="17">
        <v>17534</v>
      </c>
      <c r="J3795" s="17">
        <v>2231</v>
      </c>
      <c r="K3795" s="17">
        <v>15303</v>
      </c>
      <c r="L3795" s="17">
        <v>3258.3856989999999</v>
      </c>
      <c r="M3795" s="17">
        <v>2025</v>
      </c>
      <c r="N3795" s="17" t="s">
        <v>173</v>
      </c>
    </row>
    <row r="3796" spans="1:14" ht="14.25" customHeight="1">
      <c r="A3796" s="17">
        <v>13795</v>
      </c>
      <c r="B3796" s="18">
        <v>45466</v>
      </c>
      <c r="C3796" s="17" t="s">
        <v>50</v>
      </c>
      <c r="D3796" s="17" t="s">
        <v>83</v>
      </c>
      <c r="E3796" s="17" t="s">
        <v>162</v>
      </c>
      <c r="F3796" s="17" t="s">
        <v>164</v>
      </c>
      <c r="G3796" s="17">
        <v>1</v>
      </c>
      <c r="H3796" s="17">
        <v>17768</v>
      </c>
      <c r="I3796" s="17">
        <v>17768</v>
      </c>
      <c r="J3796" s="17">
        <v>771</v>
      </c>
      <c r="K3796" s="17">
        <v>16997</v>
      </c>
      <c r="L3796" s="17">
        <v>2620.6040320000002</v>
      </c>
      <c r="M3796" s="17">
        <v>2024</v>
      </c>
      <c r="N3796" s="17" t="s">
        <v>120</v>
      </c>
    </row>
    <row r="3797" spans="1:14" ht="14.25" customHeight="1">
      <c r="A3797" s="17">
        <v>13796</v>
      </c>
      <c r="B3797" s="18">
        <v>45965</v>
      </c>
      <c r="C3797" s="17" t="s">
        <v>50</v>
      </c>
      <c r="D3797" s="17" t="s">
        <v>83</v>
      </c>
      <c r="E3797" s="17" t="s">
        <v>165</v>
      </c>
      <c r="F3797" s="17" t="s">
        <v>164</v>
      </c>
      <c r="G3797" s="17">
        <v>7</v>
      </c>
      <c r="H3797" s="17">
        <v>27625</v>
      </c>
      <c r="I3797" s="17">
        <v>193375</v>
      </c>
      <c r="J3797" s="17">
        <v>204</v>
      </c>
      <c r="K3797" s="17">
        <v>193171</v>
      </c>
      <c r="L3797" s="17">
        <v>26542.81048</v>
      </c>
      <c r="M3797" s="17">
        <v>2025</v>
      </c>
      <c r="N3797" s="17" t="s">
        <v>173</v>
      </c>
    </row>
    <row r="3798" spans="1:14" ht="14.25" customHeight="1">
      <c r="A3798" s="17">
        <v>13797</v>
      </c>
      <c r="B3798" s="18">
        <v>45712</v>
      </c>
      <c r="C3798" s="17" t="s">
        <v>167</v>
      </c>
      <c r="D3798" s="17" t="s">
        <v>111</v>
      </c>
      <c r="E3798" s="17" t="s">
        <v>168</v>
      </c>
      <c r="F3798" s="17" t="s">
        <v>166</v>
      </c>
      <c r="G3798" s="17">
        <v>9</v>
      </c>
      <c r="H3798" s="17">
        <v>33660</v>
      </c>
      <c r="I3798" s="17">
        <v>302940</v>
      </c>
      <c r="J3798" s="17">
        <v>2219</v>
      </c>
      <c r="K3798" s="17">
        <v>300721</v>
      </c>
      <c r="L3798" s="17">
        <v>56053.142690000001</v>
      </c>
      <c r="M3798" s="17">
        <v>2025</v>
      </c>
      <c r="N3798" s="17" t="s">
        <v>175</v>
      </c>
    </row>
    <row r="3799" spans="1:14" ht="14.25" customHeight="1">
      <c r="A3799" s="17">
        <v>13798</v>
      </c>
      <c r="B3799" s="18">
        <v>45425</v>
      </c>
      <c r="C3799" s="17" t="s">
        <v>58</v>
      </c>
      <c r="D3799" s="17" t="s">
        <v>89</v>
      </c>
      <c r="E3799" s="17" t="s">
        <v>162</v>
      </c>
      <c r="F3799" s="17" t="s">
        <v>172</v>
      </c>
      <c r="G3799" s="17">
        <v>4</v>
      </c>
      <c r="H3799" s="17">
        <v>25032</v>
      </c>
      <c r="I3799" s="17">
        <v>100128</v>
      </c>
      <c r="J3799" s="17">
        <v>4920</v>
      </c>
      <c r="K3799" s="17">
        <v>95208</v>
      </c>
      <c r="L3799" s="17">
        <v>17294.502970000001</v>
      </c>
      <c r="M3799" s="17">
        <v>2024</v>
      </c>
      <c r="N3799" s="17" t="s">
        <v>117</v>
      </c>
    </row>
    <row r="3800" spans="1:14" ht="14.25" customHeight="1">
      <c r="A3800" s="17">
        <v>13799</v>
      </c>
      <c r="B3800" s="18">
        <v>45682</v>
      </c>
      <c r="C3800" s="17" t="s">
        <v>39</v>
      </c>
      <c r="D3800" s="17" t="s">
        <v>170</v>
      </c>
      <c r="E3800" s="17" t="s">
        <v>168</v>
      </c>
      <c r="F3800" s="17" t="s">
        <v>164</v>
      </c>
      <c r="G3800" s="17">
        <v>8</v>
      </c>
      <c r="H3800" s="17">
        <v>69935</v>
      </c>
      <c r="I3800" s="17">
        <v>559480</v>
      </c>
      <c r="J3800" s="17">
        <v>221</v>
      </c>
      <c r="K3800" s="17">
        <v>559259</v>
      </c>
      <c r="L3800" s="17">
        <v>129239.6617</v>
      </c>
      <c r="M3800" s="17">
        <v>2025</v>
      </c>
      <c r="N3800" s="17" t="s">
        <v>171</v>
      </c>
    </row>
    <row r="3801" spans="1:14" ht="14.25" customHeight="1">
      <c r="A3801" s="17">
        <v>13800</v>
      </c>
      <c r="B3801" s="18">
        <v>45792</v>
      </c>
      <c r="C3801" s="17" t="s">
        <v>39</v>
      </c>
      <c r="D3801" s="17" t="s">
        <v>170</v>
      </c>
      <c r="E3801" s="17" t="s">
        <v>165</v>
      </c>
      <c r="F3801" s="17" t="s">
        <v>163</v>
      </c>
      <c r="G3801" s="17">
        <v>7</v>
      </c>
      <c r="H3801" s="17">
        <v>42892</v>
      </c>
      <c r="I3801" s="17">
        <v>300244</v>
      </c>
      <c r="J3801" s="17">
        <v>1191</v>
      </c>
      <c r="K3801" s="17">
        <v>299053</v>
      </c>
      <c r="L3801" s="17">
        <v>60229.405890000002</v>
      </c>
      <c r="M3801" s="17">
        <v>2025</v>
      </c>
      <c r="N3801" s="17" t="s">
        <v>117</v>
      </c>
    </row>
    <row r="3802" spans="1:14" ht="14.25" customHeight="1">
      <c r="A3802" s="17">
        <v>13801</v>
      </c>
      <c r="B3802" s="18">
        <v>45956</v>
      </c>
      <c r="C3802" s="17" t="s">
        <v>167</v>
      </c>
      <c r="D3802" s="17" t="s">
        <v>170</v>
      </c>
      <c r="E3802" s="17" t="s">
        <v>168</v>
      </c>
      <c r="F3802" s="17" t="s">
        <v>163</v>
      </c>
      <c r="G3802" s="17">
        <v>2</v>
      </c>
      <c r="H3802" s="17">
        <v>79186</v>
      </c>
      <c r="I3802" s="17">
        <v>158372</v>
      </c>
      <c r="J3802" s="17">
        <v>3315</v>
      </c>
      <c r="K3802" s="17">
        <v>155057</v>
      </c>
      <c r="L3802" s="17">
        <v>25317.652890000001</v>
      </c>
      <c r="M3802" s="17">
        <v>2025</v>
      </c>
      <c r="N3802" s="17" t="s">
        <v>174</v>
      </c>
    </row>
    <row r="3803" spans="1:14" ht="14.25" customHeight="1">
      <c r="A3803" s="17">
        <v>13802</v>
      </c>
      <c r="B3803" s="18">
        <v>45324</v>
      </c>
      <c r="C3803" s="17" t="s">
        <v>39</v>
      </c>
      <c r="D3803" s="17" t="s">
        <v>86</v>
      </c>
      <c r="E3803" s="17" t="s">
        <v>165</v>
      </c>
      <c r="F3803" s="17" t="s">
        <v>172</v>
      </c>
      <c r="G3803" s="17">
        <v>5</v>
      </c>
      <c r="H3803" s="17">
        <v>73379</v>
      </c>
      <c r="I3803" s="17">
        <v>366895</v>
      </c>
      <c r="J3803" s="17">
        <v>3289</v>
      </c>
      <c r="K3803" s="17">
        <v>363606</v>
      </c>
      <c r="L3803" s="17">
        <v>71819.734110000005</v>
      </c>
      <c r="M3803" s="17">
        <v>2024</v>
      </c>
      <c r="N3803" s="17" t="s">
        <v>175</v>
      </c>
    </row>
    <row r="3804" spans="1:14" ht="14.25" customHeight="1">
      <c r="A3804" s="17">
        <v>13803</v>
      </c>
      <c r="B3804" s="18">
        <v>45346</v>
      </c>
      <c r="C3804" s="17" t="s">
        <v>50</v>
      </c>
      <c r="D3804" s="17" t="s">
        <v>86</v>
      </c>
      <c r="E3804" s="17" t="s">
        <v>165</v>
      </c>
      <c r="F3804" s="17" t="s">
        <v>163</v>
      </c>
      <c r="G3804" s="17">
        <v>9</v>
      </c>
      <c r="H3804" s="17">
        <v>29357</v>
      </c>
      <c r="I3804" s="17">
        <v>264213</v>
      </c>
      <c r="J3804" s="17">
        <v>1598</v>
      </c>
      <c r="K3804" s="17">
        <v>262615</v>
      </c>
      <c r="L3804" s="17">
        <v>55811.518940000002</v>
      </c>
      <c r="M3804" s="17">
        <v>2024</v>
      </c>
      <c r="N3804" s="17" t="s">
        <v>175</v>
      </c>
    </row>
    <row r="3805" spans="1:14" ht="14.25" customHeight="1">
      <c r="A3805" s="17">
        <v>13804</v>
      </c>
      <c r="B3805" s="18">
        <v>45810</v>
      </c>
      <c r="C3805" s="17" t="s">
        <v>58</v>
      </c>
      <c r="D3805" s="17" t="s">
        <v>170</v>
      </c>
      <c r="E3805" s="17" t="s">
        <v>162</v>
      </c>
      <c r="F3805" s="17" t="s">
        <v>163</v>
      </c>
      <c r="G3805" s="17">
        <v>9</v>
      </c>
      <c r="H3805" s="17">
        <v>5497</v>
      </c>
      <c r="I3805" s="17">
        <v>49473</v>
      </c>
      <c r="J3805" s="17">
        <v>1908</v>
      </c>
      <c r="K3805" s="17">
        <v>47565</v>
      </c>
      <c r="L3805" s="17">
        <v>11444.105089999999</v>
      </c>
      <c r="M3805" s="17">
        <v>2025</v>
      </c>
      <c r="N3805" s="17" t="s">
        <v>120</v>
      </c>
    </row>
    <row r="3806" spans="1:14" ht="14.25" customHeight="1">
      <c r="A3806" s="17">
        <v>13805</v>
      </c>
      <c r="B3806" s="18">
        <v>45929</v>
      </c>
      <c r="C3806" s="17" t="s">
        <v>39</v>
      </c>
      <c r="D3806" s="17" t="s">
        <v>111</v>
      </c>
      <c r="E3806" s="17" t="s">
        <v>162</v>
      </c>
      <c r="F3806" s="17" t="s">
        <v>163</v>
      </c>
      <c r="G3806" s="17">
        <v>3</v>
      </c>
      <c r="H3806" s="17">
        <v>7134</v>
      </c>
      <c r="I3806" s="17">
        <v>21402</v>
      </c>
      <c r="J3806" s="17">
        <v>4262</v>
      </c>
      <c r="K3806" s="17">
        <v>17140</v>
      </c>
      <c r="L3806" s="17">
        <v>3524.6565489999998</v>
      </c>
      <c r="M3806" s="17">
        <v>2025</v>
      </c>
      <c r="N3806" s="17" t="s">
        <v>129</v>
      </c>
    </row>
    <row r="3807" spans="1:14" ht="14.25" customHeight="1">
      <c r="A3807" s="17">
        <v>13806</v>
      </c>
      <c r="B3807" s="18">
        <v>45303</v>
      </c>
      <c r="C3807" s="17" t="s">
        <v>39</v>
      </c>
      <c r="D3807" s="17" t="s">
        <v>86</v>
      </c>
      <c r="E3807" s="17" t="s">
        <v>168</v>
      </c>
      <c r="F3807" s="17" t="s">
        <v>164</v>
      </c>
      <c r="G3807" s="17">
        <v>3</v>
      </c>
      <c r="H3807" s="17">
        <v>23833</v>
      </c>
      <c r="I3807" s="17">
        <v>71499</v>
      </c>
      <c r="J3807" s="17">
        <v>1542</v>
      </c>
      <c r="K3807" s="17">
        <v>69957</v>
      </c>
      <c r="L3807" s="17">
        <v>12702.85176</v>
      </c>
      <c r="M3807" s="17">
        <v>2024</v>
      </c>
      <c r="N3807" s="17" t="s">
        <v>171</v>
      </c>
    </row>
    <row r="3808" spans="1:14" ht="14.25" customHeight="1">
      <c r="A3808" s="17">
        <v>13807</v>
      </c>
      <c r="B3808" s="18">
        <v>45819</v>
      </c>
      <c r="C3808" s="17" t="s">
        <v>45</v>
      </c>
      <c r="D3808" s="17" t="s">
        <v>86</v>
      </c>
      <c r="E3808" s="17" t="s">
        <v>165</v>
      </c>
      <c r="F3808" s="17" t="s">
        <v>163</v>
      </c>
      <c r="G3808" s="17">
        <v>2</v>
      </c>
      <c r="H3808" s="17">
        <v>75948</v>
      </c>
      <c r="I3808" s="17">
        <v>151896</v>
      </c>
      <c r="J3808" s="17">
        <v>141</v>
      </c>
      <c r="K3808" s="17">
        <v>151755</v>
      </c>
      <c r="L3808" s="17">
        <v>23665.738870000001</v>
      </c>
      <c r="M3808" s="17">
        <v>2025</v>
      </c>
      <c r="N3808" s="17" t="s">
        <v>120</v>
      </c>
    </row>
    <row r="3809" spans="1:14" ht="14.25" customHeight="1">
      <c r="A3809" s="17">
        <v>13808</v>
      </c>
      <c r="B3809" s="18">
        <v>46011</v>
      </c>
      <c r="C3809" s="17" t="s">
        <v>45</v>
      </c>
      <c r="D3809" s="17" t="s">
        <v>83</v>
      </c>
      <c r="E3809" s="17" t="s">
        <v>165</v>
      </c>
      <c r="F3809" s="17" t="s">
        <v>166</v>
      </c>
      <c r="G3809" s="17">
        <v>7</v>
      </c>
      <c r="H3809" s="17">
        <v>37666</v>
      </c>
      <c r="I3809" s="17">
        <v>263662</v>
      </c>
      <c r="J3809" s="17">
        <v>89</v>
      </c>
      <c r="K3809" s="17">
        <v>263573</v>
      </c>
      <c r="L3809" s="17">
        <v>61602.952310000001</v>
      </c>
      <c r="M3809" s="17">
        <v>2025</v>
      </c>
      <c r="N3809" s="17" t="s">
        <v>169</v>
      </c>
    </row>
    <row r="3810" spans="1:14" ht="14.25" customHeight="1">
      <c r="A3810" s="17">
        <v>13809</v>
      </c>
      <c r="B3810" s="18">
        <v>45846</v>
      </c>
      <c r="C3810" s="17" t="s">
        <v>45</v>
      </c>
      <c r="D3810" s="17" t="s">
        <v>83</v>
      </c>
      <c r="E3810" s="17" t="s">
        <v>162</v>
      </c>
      <c r="F3810" s="17" t="s">
        <v>166</v>
      </c>
      <c r="G3810" s="17">
        <v>6</v>
      </c>
      <c r="H3810" s="17">
        <v>61600</v>
      </c>
      <c r="I3810" s="17">
        <v>369600</v>
      </c>
      <c r="J3810" s="17">
        <v>3985</v>
      </c>
      <c r="K3810" s="17">
        <v>365615</v>
      </c>
      <c r="L3810" s="17">
        <v>80025.059930000003</v>
      </c>
      <c r="M3810" s="17">
        <v>2025</v>
      </c>
      <c r="N3810" s="17" t="s">
        <v>123</v>
      </c>
    </row>
    <row r="3811" spans="1:14" ht="14.25" customHeight="1">
      <c r="A3811" s="17">
        <v>13810</v>
      </c>
      <c r="B3811" s="18">
        <v>45664</v>
      </c>
      <c r="C3811" s="17" t="s">
        <v>58</v>
      </c>
      <c r="D3811" s="17" t="s">
        <v>111</v>
      </c>
      <c r="E3811" s="17" t="s">
        <v>162</v>
      </c>
      <c r="F3811" s="17" t="s">
        <v>163</v>
      </c>
      <c r="G3811" s="17">
        <v>5</v>
      </c>
      <c r="H3811" s="17">
        <v>74828</v>
      </c>
      <c r="I3811" s="17">
        <v>374140</v>
      </c>
      <c r="J3811" s="17">
        <v>4406</v>
      </c>
      <c r="K3811" s="17">
        <v>369734</v>
      </c>
      <c r="L3811" s="17">
        <v>41253.880799999999</v>
      </c>
      <c r="M3811" s="17">
        <v>2025</v>
      </c>
      <c r="N3811" s="17" t="s">
        <v>171</v>
      </c>
    </row>
    <row r="3812" spans="1:14" ht="14.25" customHeight="1">
      <c r="A3812" s="17">
        <v>13811</v>
      </c>
      <c r="B3812" s="18">
        <v>45775</v>
      </c>
      <c r="C3812" s="17" t="s">
        <v>50</v>
      </c>
      <c r="D3812" s="17" t="s">
        <v>86</v>
      </c>
      <c r="E3812" s="17" t="s">
        <v>162</v>
      </c>
      <c r="F3812" s="17" t="s">
        <v>166</v>
      </c>
      <c r="G3812" s="17">
        <v>7</v>
      </c>
      <c r="H3812" s="17">
        <v>5026</v>
      </c>
      <c r="I3812" s="17">
        <v>35182</v>
      </c>
      <c r="J3812" s="17">
        <v>2263</v>
      </c>
      <c r="K3812" s="17">
        <v>32919</v>
      </c>
      <c r="L3812" s="17">
        <v>6746.1295389999996</v>
      </c>
      <c r="M3812" s="17">
        <v>2025</v>
      </c>
      <c r="N3812" s="17" t="s">
        <v>114</v>
      </c>
    </row>
    <row r="3813" spans="1:14" ht="14.25" customHeight="1">
      <c r="A3813" s="17">
        <v>13812</v>
      </c>
      <c r="B3813" s="18">
        <v>45938</v>
      </c>
      <c r="C3813" s="17" t="s">
        <v>50</v>
      </c>
      <c r="D3813" s="17" t="s">
        <v>86</v>
      </c>
      <c r="E3813" s="17" t="s">
        <v>162</v>
      </c>
      <c r="F3813" s="17" t="s">
        <v>164</v>
      </c>
      <c r="G3813" s="17">
        <v>4</v>
      </c>
      <c r="H3813" s="17">
        <v>17108</v>
      </c>
      <c r="I3813" s="17">
        <v>68432</v>
      </c>
      <c r="J3813" s="17">
        <v>3512</v>
      </c>
      <c r="K3813" s="17">
        <v>64920</v>
      </c>
      <c r="L3813" s="17">
        <v>11738.3434</v>
      </c>
      <c r="M3813" s="17">
        <v>2025</v>
      </c>
      <c r="N3813" s="17" t="s">
        <v>174</v>
      </c>
    </row>
    <row r="3814" spans="1:14" ht="14.25" customHeight="1">
      <c r="A3814" s="17">
        <v>13813</v>
      </c>
      <c r="B3814" s="18">
        <v>45519</v>
      </c>
      <c r="C3814" s="17" t="s">
        <v>50</v>
      </c>
      <c r="D3814" s="17" t="s">
        <v>89</v>
      </c>
      <c r="E3814" s="17" t="s">
        <v>168</v>
      </c>
      <c r="F3814" s="17" t="s">
        <v>172</v>
      </c>
      <c r="G3814" s="17">
        <v>5</v>
      </c>
      <c r="H3814" s="17">
        <v>19470</v>
      </c>
      <c r="I3814" s="17">
        <v>97350</v>
      </c>
      <c r="J3814" s="17">
        <v>3706</v>
      </c>
      <c r="K3814" s="17">
        <v>93644</v>
      </c>
      <c r="L3814" s="17">
        <v>10820.244780000001</v>
      </c>
      <c r="M3814" s="17">
        <v>2024</v>
      </c>
      <c r="N3814" s="17" t="s">
        <v>126</v>
      </c>
    </row>
    <row r="3815" spans="1:14" ht="14.25" customHeight="1">
      <c r="A3815" s="17">
        <v>13814</v>
      </c>
      <c r="B3815" s="18">
        <v>45914</v>
      </c>
      <c r="C3815" s="17" t="s">
        <v>58</v>
      </c>
      <c r="D3815" s="17" t="s">
        <v>111</v>
      </c>
      <c r="E3815" s="17" t="s">
        <v>168</v>
      </c>
      <c r="F3815" s="17" t="s">
        <v>166</v>
      </c>
      <c r="G3815" s="17">
        <v>9</v>
      </c>
      <c r="H3815" s="17">
        <v>34785</v>
      </c>
      <c r="I3815" s="17">
        <v>313065</v>
      </c>
      <c r="J3815" s="17">
        <v>1209</v>
      </c>
      <c r="K3815" s="17">
        <v>311856</v>
      </c>
      <c r="L3815" s="17">
        <v>57613.566220000001</v>
      </c>
      <c r="M3815" s="17">
        <v>2025</v>
      </c>
      <c r="N3815" s="17" t="s">
        <v>129</v>
      </c>
    </row>
    <row r="3816" spans="1:14" ht="14.25" customHeight="1">
      <c r="A3816" s="17">
        <v>13815</v>
      </c>
      <c r="B3816" s="18">
        <v>45598</v>
      </c>
      <c r="C3816" s="17" t="s">
        <v>58</v>
      </c>
      <c r="D3816" s="17" t="s">
        <v>111</v>
      </c>
      <c r="E3816" s="17" t="s">
        <v>168</v>
      </c>
      <c r="F3816" s="17" t="s">
        <v>163</v>
      </c>
      <c r="G3816" s="17">
        <v>9</v>
      </c>
      <c r="H3816" s="17">
        <v>7253</v>
      </c>
      <c r="I3816" s="17">
        <v>65277</v>
      </c>
      <c r="J3816" s="17">
        <v>4978</v>
      </c>
      <c r="K3816" s="17">
        <v>60299</v>
      </c>
      <c r="L3816" s="17">
        <v>7771.0872890000001</v>
      </c>
      <c r="M3816" s="17">
        <v>2024</v>
      </c>
      <c r="N3816" s="17" t="s">
        <v>173</v>
      </c>
    </row>
    <row r="3817" spans="1:14" ht="14.25" customHeight="1">
      <c r="A3817" s="17">
        <v>13816</v>
      </c>
      <c r="B3817" s="18">
        <v>45748</v>
      </c>
      <c r="C3817" s="17" t="s">
        <v>45</v>
      </c>
      <c r="D3817" s="17" t="s">
        <v>89</v>
      </c>
      <c r="E3817" s="17" t="s">
        <v>168</v>
      </c>
      <c r="F3817" s="17" t="s">
        <v>172</v>
      </c>
      <c r="G3817" s="17">
        <v>4</v>
      </c>
      <c r="H3817" s="17">
        <v>69538</v>
      </c>
      <c r="I3817" s="17">
        <v>278152</v>
      </c>
      <c r="J3817" s="17">
        <v>3224</v>
      </c>
      <c r="K3817" s="17">
        <v>274928</v>
      </c>
      <c r="L3817" s="17">
        <v>56696.128519999998</v>
      </c>
      <c r="M3817" s="17">
        <v>2025</v>
      </c>
      <c r="N3817" s="17" t="s">
        <v>114</v>
      </c>
    </row>
    <row r="3818" spans="1:14" ht="14.25" customHeight="1">
      <c r="A3818" s="17">
        <v>13817</v>
      </c>
      <c r="B3818" s="18">
        <v>45451</v>
      </c>
      <c r="C3818" s="17" t="s">
        <v>39</v>
      </c>
      <c r="D3818" s="17" t="s">
        <v>89</v>
      </c>
      <c r="E3818" s="17" t="s">
        <v>162</v>
      </c>
      <c r="F3818" s="17" t="s">
        <v>172</v>
      </c>
      <c r="G3818" s="17">
        <v>6</v>
      </c>
      <c r="H3818" s="17">
        <v>69889</v>
      </c>
      <c r="I3818" s="17">
        <v>419334</v>
      </c>
      <c r="J3818" s="17">
        <v>4856</v>
      </c>
      <c r="K3818" s="17">
        <v>414478</v>
      </c>
      <c r="L3818" s="17">
        <v>58760.212789999998</v>
      </c>
      <c r="M3818" s="17">
        <v>2024</v>
      </c>
      <c r="N3818" s="17" t="s">
        <v>120</v>
      </c>
    </row>
    <row r="3819" spans="1:14" ht="14.25" customHeight="1">
      <c r="A3819" s="17">
        <v>13818</v>
      </c>
      <c r="B3819" s="18">
        <v>45622</v>
      </c>
      <c r="C3819" s="17" t="s">
        <v>167</v>
      </c>
      <c r="D3819" s="17" t="s">
        <v>83</v>
      </c>
      <c r="E3819" s="17" t="s">
        <v>168</v>
      </c>
      <c r="F3819" s="17" t="s">
        <v>163</v>
      </c>
      <c r="G3819" s="17">
        <v>2</v>
      </c>
      <c r="H3819" s="17">
        <v>25026</v>
      </c>
      <c r="I3819" s="17">
        <v>50052</v>
      </c>
      <c r="J3819" s="17">
        <v>1359</v>
      </c>
      <c r="K3819" s="17">
        <v>48693</v>
      </c>
      <c r="L3819" s="17">
        <v>5967.4045740000001</v>
      </c>
      <c r="M3819" s="17">
        <v>2024</v>
      </c>
      <c r="N3819" s="17" t="s">
        <v>173</v>
      </c>
    </row>
    <row r="3820" spans="1:14" ht="14.25" customHeight="1">
      <c r="A3820" s="17">
        <v>13819</v>
      </c>
      <c r="B3820" s="18">
        <v>45516</v>
      </c>
      <c r="C3820" s="17" t="s">
        <v>167</v>
      </c>
      <c r="D3820" s="17" t="s">
        <v>111</v>
      </c>
      <c r="E3820" s="17" t="s">
        <v>168</v>
      </c>
      <c r="F3820" s="17" t="s">
        <v>166</v>
      </c>
      <c r="G3820" s="17">
        <v>3</v>
      </c>
      <c r="H3820" s="17">
        <v>57807</v>
      </c>
      <c r="I3820" s="17">
        <v>173421</v>
      </c>
      <c r="J3820" s="17">
        <v>1538</v>
      </c>
      <c r="K3820" s="17">
        <v>171883</v>
      </c>
      <c r="L3820" s="17">
        <v>19301.76268</v>
      </c>
      <c r="M3820" s="17">
        <v>2024</v>
      </c>
      <c r="N3820" s="17" t="s">
        <v>126</v>
      </c>
    </row>
    <row r="3821" spans="1:14" ht="14.25" customHeight="1">
      <c r="A3821" s="17">
        <v>13820</v>
      </c>
      <c r="B3821" s="18">
        <v>46020</v>
      </c>
      <c r="C3821" s="17" t="s">
        <v>39</v>
      </c>
      <c r="D3821" s="17" t="s">
        <v>111</v>
      </c>
      <c r="E3821" s="17" t="s">
        <v>168</v>
      </c>
      <c r="F3821" s="17" t="s">
        <v>164</v>
      </c>
      <c r="G3821" s="17">
        <v>9</v>
      </c>
      <c r="H3821" s="17">
        <v>67878</v>
      </c>
      <c r="I3821" s="17">
        <v>610902</v>
      </c>
      <c r="J3821" s="17">
        <v>148</v>
      </c>
      <c r="K3821" s="17">
        <v>610754</v>
      </c>
      <c r="L3821" s="17">
        <v>106039.0603</v>
      </c>
      <c r="M3821" s="17">
        <v>2025</v>
      </c>
      <c r="N3821" s="17" t="s">
        <v>169</v>
      </c>
    </row>
    <row r="3822" spans="1:14" ht="14.25" customHeight="1">
      <c r="A3822" s="17">
        <v>13821</v>
      </c>
      <c r="B3822" s="18">
        <v>45795</v>
      </c>
      <c r="C3822" s="17" t="s">
        <v>45</v>
      </c>
      <c r="D3822" s="17" t="s">
        <v>89</v>
      </c>
      <c r="E3822" s="17" t="s">
        <v>162</v>
      </c>
      <c r="F3822" s="17" t="s">
        <v>166</v>
      </c>
      <c r="G3822" s="17">
        <v>6</v>
      </c>
      <c r="H3822" s="17">
        <v>49258</v>
      </c>
      <c r="I3822" s="17">
        <v>295548</v>
      </c>
      <c r="J3822" s="17">
        <v>4810</v>
      </c>
      <c r="K3822" s="17">
        <v>290738</v>
      </c>
      <c r="L3822" s="17">
        <v>37780.012239999996</v>
      </c>
      <c r="M3822" s="17">
        <v>2025</v>
      </c>
      <c r="N3822" s="17" t="s">
        <v>117</v>
      </c>
    </row>
    <row r="3823" spans="1:14" ht="14.25" customHeight="1">
      <c r="A3823" s="17">
        <v>13822</v>
      </c>
      <c r="B3823" s="18">
        <v>45747</v>
      </c>
      <c r="C3823" s="17" t="s">
        <v>39</v>
      </c>
      <c r="D3823" s="17" t="s">
        <v>170</v>
      </c>
      <c r="E3823" s="17" t="s">
        <v>165</v>
      </c>
      <c r="F3823" s="17" t="s">
        <v>166</v>
      </c>
      <c r="G3823" s="17">
        <v>8</v>
      </c>
      <c r="H3823" s="17">
        <v>51147</v>
      </c>
      <c r="I3823" s="17">
        <v>409176</v>
      </c>
      <c r="J3823" s="17">
        <v>1425</v>
      </c>
      <c r="K3823" s="17">
        <v>407751</v>
      </c>
      <c r="L3823" s="17">
        <v>93076.984580000004</v>
      </c>
      <c r="M3823" s="17">
        <v>2025</v>
      </c>
      <c r="N3823" s="17" t="s">
        <v>112</v>
      </c>
    </row>
    <row r="3824" spans="1:14" ht="14.25" customHeight="1">
      <c r="A3824" s="17">
        <v>13823</v>
      </c>
      <c r="B3824" s="18">
        <v>45336</v>
      </c>
      <c r="C3824" s="17" t="s">
        <v>39</v>
      </c>
      <c r="D3824" s="17" t="s">
        <v>170</v>
      </c>
      <c r="E3824" s="17" t="s">
        <v>162</v>
      </c>
      <c r="F3824" s="17" t="s">
        <v>164</v>
      </c>
      <c r="G3824" s="17">
        <v>5</v>
      </c>
      <c r="H3824" s="17">
        <v>50417</v>
      </c>
      <c r="I3824" s="17">
        <v>252085</v>
      </c>
      <c r="J3824" s="17">
        <v>1717</v>
      </c>
      <c r="K3824" s="17">
        <v>250368</v>
      </c>
      <c r="L3824" s="17">
        <v>25149.507099999999</v>
      </c>
      <c r="M3824" s="17">
        <v>2024</v>
      </c>
      <c r="N3824" s="17" t="s">
        <v>175</v>
      </c>
    </row>
    <row r="3825" spans="1:14" ht="14.25" customHeight="1">
      <c r="A3825" s="17">
        <v>13824</v>
      </c>
      <c r="B3825" s="18">
        <v>45505</v>
      </c>
      <c r="C3825" s="17" t="s">
        <v>167</v>
      </c>
      <c r="D3825" s="17" t="s">
        <v>83</v>
      </c>
      <c r="E3825" s="17" t="s">
        <v>165</v>
      </c>
      <c r="F3825" s="17" t="s">
        <v>172</v>
      </c>
      <c r="G3825" s="17">
        <v>2</v>
      </c>
      <c r="H3825" s="17">
        <v>6086</v>
      </c>
      <c r="I3825" s="17">
        <v>12172</v>
      </c>
      <c r="J3825" s="17">
        <v>1354</v>
      </c>
      <c r="K3825" s="17">
        <v>10818</v>
      </c>
      <c r="L3825" s="17">
        <v>2450.7726640000001</v>
      </c>
      <c r="M3825" s="17">
        <v>2024</v>
      </c>
      <c r="N3825" s="17" t="s">
        <v>126</v>
      </c>
    </row>
    <row r="3826" spans="1:14" ht="14.25" customHeight="1">
      <c r="A3826" s="17">
        <v>13825</v>
      </c>
      <c r="B3826" s="18">
        <v>45350</v>
      </c>
      <c r="C3826" s="17" t="s">
        <v>45</v>
      </c>
      <c r="D3826" s="17" t="s">
        <v>170</v>
      </c>
      <c r="E3826" s="17" t="s">
        <v>165</v>
      </c>
      <c r="F3826" s="17" t="s">
        <v>164</v>
      </c>
      <c r="G3826" s="17">
        <v>7</v>
      </c>
      <c r="H3826" s="17">
        <v>29406</v>
      </c>
      <c r="I3826" s="17">
        <v>205842</v>
      </c>
      <c r="J3826" s="17">
        <v>2405</v>
      </c>
      <c r="K3826" s="17">
        <v>203437</v>
      </c>
      <c r="L3826" s="17">
        <v>36245.121370000001</v>
      </c>
      <c r="M3826" s="17">
        <v>2024</v>
      </c>
      <c r="N3826" s="17" t="s">
        <v>175</v>
      </c>
    </row>
    <row r="3827" spans="1:14" ht="14.25" customHeight="1">
      <c r="A3827" s="17">
        <v>13826</v>
      </c>
      <c r="B3827" s="18">
        <v>45935</v>
      </c>
      <c r="C3827" s="17" t="s">
        <v>58</v>
      </c>
      <c r="D3827" s="17" t="s">
        <v>170</v>
      </c>
      <c r="E3827" s="17" t="s">
        <v>168</v>
      </c>
      <c r="F3827" s="17" t="s">
        <v>164</v>
      </c>
      <c r="G3827" s="17">
        <v>6</v>
      </c>
      <c r="H3827" s="17">
        <v>77659</v>
      </c>
      <c r="I3827" s="17">
        <v>465954</v>
      </c>
      <c r="J3827" s="17">
        <v>2635</v>
      </c>
      <c r="K3827" s="17">
        <v>463319</v>
      </c>
      <c r="L3827" s="17">
        <v>110419.0327</v>
      </c>
      <c r="M3827" s="17">
        <v>2025</v>
      </c>
      <c r="N3827" s="17" t="s">
        <v>174</v>
      </c>
    </row>
    <row r="3828" spans="1:14" ht="14.25" customHeight="1">
      <c r="A3828" s="17">
        <v>13827</v>
      </c>
      <c r="B3828" s="18">
        <v>45907</v>
      </c>
      <c r="C3828" s="17" t="s">
        <v>167</v>
      </c>
      <c r="D3828" s="17" t="s">
        <v>170</v>
      </c>
      <c r="E3828" s="17" t="s">
        <v>168</v>
      </c>
      <c r="F3828" s="17" t="s">
        <v>163</v>
      </c>
      <c r="G3828" s="17">
        <v>2</v>
      </c>
      <c r="H3828" s="17">
        <v>12084</v>
      </c>
      <c r="I3828" s="17">
        <v>24168</v>
      </c>
      <c r="J3828" s="17">
        <v>2363</v>
      </c>
      <c r="K3828" s="17">
        <v>21805</v>
      </c>
      <c r="L3828" s="17">
        <v>2849.73227</v>
      </c>
      <c r="M3828" s="17">
        <v>2025</v>
      </c>
      <c r="N3828" s="17" t="s">
        <v>129</v>
      </c>
    </row>
    <row r="3829" spans="1:14" ht="14.25" customHeight="1">
      <c r="A3829" s="17">
        <v>13828</v>
      </c>
      <c r="B3829" s="18">
        <v>45486</v>
      </c>
      <c r="C3829" s="17" t="s">
        <v>58</v>
      </c>
      <c r="D3829" s="17" t="s">
        <v>86</v>
      </c>
      <c r="E3829" s="17" t="s">
        <v>168</v>
      </c>
      <c r="F3829" s="17" t="s">
        <v>163</v>
      </c>
      <c r="G3829" s="17">
        <v>6</v>
      </c>
      <c r="H3829" s="17">
        <v>58493</v>
      </c>
      <c r="I3829" s="17">
        <v>350958</v>
      </c>
      <c r="J3829" s="17">
        <v>2932</v>
      </c>
      <c r="K3829" s="17">
        <v>348026</v>
      </c>
      <c r="L3829" s="17">
        <v>40141.691160000002</v>
      </c>
      <c r="M3829" s="17">
        <v>2024</v>
      </c>
      <c r="N3829" s="17" t="s">
        <v>123</v>
      </c>
    </row>
    <row r="3830" spans="1:14" ht="14.25" customHeight="1">
      <c r="A3830" s="17">
        <v>13829</v>
      </c>
      <c r="B3830" s="18">
        <v>45780</v>
      </c>
      <c r="C3830" s="17" t="s">
        <v>45</v>
      </c>
      <c r="D3830" s="17" t="s">
        <v>83</v>
      </c>
      <c r="E3830" s="17" t="s">
        <v>162</v>
      </c>
      <c r="F3830" s="17" t="s">
        <v>166</v>
      </c>
      <c r="G3830" s="17">
        <v>8</v>
      </c>
      <c r="H3830" s="17">
        <v>27805</v>
      </c>
      <c r="I3830" s="17">
        <v>222440</v>
      </c>
      <c r="J3830" s="17">
        <v>3107</v>
      </c>
      <c r="K3830" s="17">
        <v>219333</v>
      </c>
      <c r="L3830" s="17">
        <v>42494.393839999997</v>
      </c>
      <c r="M3830" s="17">
        <v>2025</v>
      </c>
      <c r="N3830" s="17" t="s">
        <v>117</v>
      </c>
    </row>
    <row r="3831" spans="1:14" ht="14.25" customHeight="1">
      <c r="A3831" s="17">
        <v>13830</v>
      </c>
      <c r="B3831" s="18">
        <v>45448</v>
      </c>
      <c r="C3831" s="17" t="s">
        <v>39</v>
      </c>
      <c r="D3831" s="17" t="s">
        <v>89</v>
      </c>
      <c r="E3831" s="17" t="s">
        <v>162</v>
      </c>
      <c r="F3831" s="17" t="s">
        <v>163</v>
      </c>
      <c r="G3831" s="17">
        <v>1</v>
      </c>
      <c r="H3831" s="17">
        <v>66786</v>
      </c>
      <c r="I3831" s="17">
        <v>66786</v>
      </c>
      <c r="J3831" s="17">
        <v>1501</v>
      </c>
      <c r="K3831" s="17">
        <v>65285</v>
      </c>
      <c r="L3831" s="17">
        <v>13449.30494</v>
      </c>
      <c r="M3831" s="17">
        <v>2024</v>
      </c>
      <c r="N3831" s="17" t="s">
        <v>120</v>
      </c>
    </row>
    <row r="3832" spans="1:14" ht="14.25" customHeight="1">
      <c r="A3832" s="17">
        <v>13831</v>
      </c>
      <c r="B3832" s="18">
        <v>45901</v>
      </c>
      <c r="C3832" s="17" t="s">
        <v>50</v>
      </c>
      <c r="D3832" s="17" t="s">
        <v>170</v>
      </c>
      <c r="E3832" s="17" t="s">
        <v>168</v>
      </c>
      <c r="F3832" s="17" t="s">
        <v>164</v>
      </c>
      <c r="G3832" s="17">
        <v>4</v>
      </c>
      <c r="H3832" s="17">
        <v>19248</v>
      </c>
      <c r="I3832" s="17">
        <v>76992</v>
      </c>
      <c r="J3832" s="17">
        <v>1451</v>
      </c>
      <c r="K3832" s="17">
        <v>75541</v>
      </c>
      <c r="L3832" s="17">
        <v>11775.9172</v>
      </c>
      <c r="M3832" s="17">
        <v>2025</v>
      </c>
      <c r="N3832" s="17" t="s">
        <v>129</v>
      </c>
    </row>
    <row r="3833" spans="1:14" ht="14.25" customHeight="1">
      <c r="A3833" s="17">
        <v>13832</v>
      </c>
      <c r="B3833" s="18">
        <v>45517</v>
      </c>
      <c r="C3833" s="17" t="s">
        <v>50</v>
      </c>
      <c r="D3833" s="17" t="s">
        <v>86</v>
      </c>
      <c r="E3833" s="17" t="s">
        <v>162</v>
      </c>
      <c r="F3833" s="17" t="s">
        <v>164</v>
      </c>
      <c r="G3833" s="17">
        <v>1</v>
      </c>
      <c r="H3833" s="17">
        <v>75003</v>
      </c>
      <c r="I3833" s="17">
        <v>75003</v>
      </c>
      <c r="J3833" s="17">
        <v>449</v>
      </c>
      <c r="K3833" s="17">
        <v>74554</v>
      </c>
      <c r="L3833" s="17">
        <v>7608.3867490000002</v>
      </c>
      <c r="M3833" s="17">
        <v>2024</v>
      </c>
      <c r="N3833" s="17" t="s">
        <v>126</v>
      </c>
    </row>
    <row r="3834" spans="1:14" ht="14.25" customHeight="1">
      <c r="A3834" s="17">
        <v>13833</v>
      </c>
      <c r="B3834" s="18">
        <v>45703</v>
      </c>
      <c r="C3834" s="17" t="s">
        <v>45</v>
      </c>
      <c r="D3834" s="17" t="s">
        <v>170</v>
      </c>
      <c r="E3834" s="17" t="s">
        <v>162</v>
      </c>
      <c r="F3834" s="17" t="s">
        <v>163</v>
      </c>
      <c r="G3834" s="17">
        <v>2</v>
      </c>
      <c r="H3834" s="17">
        <v>30384</v>
      </c>
      <c r="I3834" s="17">
        <v>60768</v>
      </c>
      <c r="J3834" s="17">
        <v>1835</v>
      </c>
      <c r="K3834" s="17">
        <v>58933</v>
      </c>
      <c r="L3834" s="17">
        <v>9490.8277839999992</v>
      </c>
      <c r="M3834" s="17">
        <v>2025</v>
      </c>
      <c r="N3834" s="17" t="s">
        <v>175</v>
      </c>
    </row>
    <row r="3835" spans="1:14" ht="14.25" customHeight="1">
      <c r="A3835" s="17">
        <v>13834</v>
      </c>
      <c r="B3835" s="18">
        <v>45496</v>
      </c>
      <c r="C3835" s="17" t="s">
        <v>50</v>
      </c>
      <c r="D3835" s="17" t="s">
        <v>86</v>
      </c>
      <c r="E3835" s="17" t="s">
        <v>165</v>
      </c>
      <c r="F3835" s="17" t="s">
        <v>163</v>
      </c>
      <c r="G3835" s="17">
        <v>1</v>
      </c>
      <c r="H3835" s="17">
        <v>7896</v>
      </c>
      <c r="I3835" s="17">
        <v>7896</v>
      </c>
      <c r="J3835" s="17">
        <v>4185</v>
      </c>
      <c r="K3835" s="17">
        <v>3711</v>
      </c>
      <c r="L3835" s="17">
        <v>501.23749140000001</v>
      </c>
      <c r="M3835" s="17">
        <v>2024</v>
      </c>
      <c r="N3835" s="17" t="s">
        <v>123</v>
      </c>
    </row>
    <row r="3836" spans="1:14" ht="14.25" customHeight="1">
      <c r="A3836" s="17">
        <v>13835</v>
      </c>
      <c r="B3836" s="18">
        <v>45370</v>
      </c>
      <c r="C3836" s="17" t="s">
        <v>58</v>
      </c>
      <c r="D3836" s="17" t="s">
        <v>83</v>
      </c>
      <c r="E3836" s="17" t="s">
        <v>162</v>
      </c>
      <c r="F3836" s="17" t="s">
        <v>163</v>
      </c>
      <c r="G3836" s="17">
        <v>6</v>
      </c>
      <c r="H3836" s="17">
        <v>15362</v>
      </c>
      <c r="I3836" s="17">
        <v>92172</v>
      </c>
      <c r="J3836" s="17">
        <v>2588</v>
      </c>
      <c r="K3836" s="17">
        <v>89584</v>
      </c>
      <c r="L3836" s="17">
        <v>13627.55805</v>
      </c>
      <c r="M3836" s="17">
        <v>2024</v>
      </c>
      <c r="N3836" s="17" t="s">
        <v>112</v>
      </c>
    </row>
    <row r="3837" spans="1:14" ht="14.25" customHeight="1">
      <c r="A3837" s="17">
        <v>13836</v>
      </c>
      <c r="B3837" s="18">
        <v>45415</v>
      </c>
      <c r="C3837" s="17" t="s">
        <v>50</v>
      </c>
      <c r="D3837" s="17" t="s">
        <v>170</v>
      </c>
      <c r="E3837" s="17" t="s">
        <v>165</v>
      </c>
      <c r="F3837" s="17" t="s">
        <v>164</v>
      </c>
      <c r="G3837" s="17">
        <v>6</v>
      </c>
      <c r="H3837" s="17">
        <v>61032</v>
      </c>
      <c r="I3837" s="17">
        <v>366192</v>
      </c>
      <c r="J3837" s="17">
        <v>4271</v>
      </c>
      <c r="K3837" s="17">
        <v>361921</v>
      </c>
      <c r="L3837" s="17">
        <v>63702.862059999999</v>
      </c>
      <c r="M3837" s="17">
        <v>2024</v>
      </c>
      <c r="N3837" s="17" t="s">
        <v>117</v>
      </c>
    </row>
    <row r="3838" spans="1:14" ht="14.25" customHeight="1">
      <c r="A3838" s="17">
        <v>13837</v>
      </c>
      <c r="B3838" s="18">
        <v>45762</v>
      </c>
      <c r="C3838" s="17" t="s">
        <v>45</v>
      </c>
      <c r="D3838" s="17" t="s">
        <v>86</v>
      </c>
      <c r="E3838" s="17" t="s">
        <v>168</v>
      </c>
      <c r="F3838" s="17" t="s">
        <v>172</v>
      </c>
      <c r="G3838" s="17">
        <v>1</v>
      </c>
      <c r="H3838" s="17">
        <v>66022</v>
      </c>
      <c r="I3838" s="17">
        <v>66022</v>
      </c>
      <c r="J3838" s="17">
        <v>1443</v>
      </c>
      <c r="K3838" s="17">
        <v>64579</v>
      </c>
      <c r="L3838" s="17">
        <v>13261.37995</v>
      </c>
      <c r="M3838" s="17">
        <v>2025</v>
      </c>
      <c r="N3838" s="17" t="s">
        <v>114</v>
      </c>
    </row>
    <row r="3839" spans="1:14" ht="14.25" customHeight="1">
      <c r="A3839" s="17">
        <v>13838</v>
      </c>
      <c r="B3839" s="18">
        <v>45509</v>
      </c>
      <c r="C3839" s="17" t="s">
        <v>45</v>
      </c>
      <c r="D3839" s="17" t="s">
        <v>111</v>
      </c>
      <c r="E3839" s="17" t="s">
        <v>162</v>
      </c>
      <c r="F3839" s="17" t="s">
        <v>172</v>
      </c>
      <c r="G3839" s="17">
        <v>4</v>
      </c>
      <c r="H3839" s="17">
        <v>13937</v>
      </c>
      <c r="I3839" s="17">
        <v>55748</v>
      </c>
      <c r="J3839" s="17">
        <v>2948</v>
      </c>
      <c r="K3839" s="17">
        <v>52800</v>
      </c>
      <c r="L3839" s="17">
        <v>12908.744269999999</v>
      </c>
      <c r="M3839" s="17">
        <v>2024</v>
      </c>
      <c r="N3839" s="17" t="s">
        <v>126</v>
      </c>
    </row>
    <row r="3840" spans="1:14" ht="14.25" customHeight="1">
      <c r="A3840" s="17">
        <v>13839</v>
      </c>
      <c r="B3840" s="18">
        <v>45807</v>
      </c>
      <c r="C3840" s="17" t="s">
        <v>58</v>
      </c>
      <c r="D3840" s="17" t="s">
        <v>111</v>
      </c>
      <c r="E3840" s="17" t="s">
        <v>165</v>
      </c>
      <c r="F3840" s="17" t="s">
        <v>163</v>
      </c>
      <c r="G3840" s="17">
        <v>4</v>
      </c>
      <c r="H3840" s="17">
        <v>52391</v>
      </c>
      <c r="I3840" s="17">
        <v>209564</v>
      </c>
      <c r="J3840" s="17">
        <v>3935</v>
      </c>
      <c r="K3840" s="17">
        <v>205629</v>
      </c>
      <c r="L3840" s="17">
        <v>25004.481599999999</v>
      </c>
      <c r="M3840" s="17">
        <v>2025</v>
      </c>
      <c r="N3840" s="17" t="s">
        <v>117</v>
      </c>
    </row>
    <row r="3841" spans="1:14" ht="14.25" customHeight="1">
      <c r="A3841" s="17">
        <v>13840</v>
      </c>
      <c r="B3841" s="18">
        <v>45893</v>
      </c>
      <c r="C3841" s="17" t="s">
        <v>50</v>
      </c>
      <c r="D3841" s="17" t="s">
        <v>86</v>
      </c>
      <c r="E3841" s="17" t="s">
        <v>162</v>
      </c>
      <c r="F3841" s="17" t="s">
        <v>166</v>
      </c>
      <c r="G3841" s="17">
        <v>8</v>
      </c>
      <c r="H3841" s="17">
        <v>43696</v>
      </c>
      <c r="I3841" s="17">
        <v>349568</v>
      </c>
      <c r="J3841" s="17">
        <v>3709</v>
      </c>
      <c r="K3841" s="17">
        <v>345859</v>
      </c>
      <c r="L3841" s="17">
        <v>69858.300359999994</v>
      </c>
      <c r="M3841" s="17">
        <v>2025</v>
      </c>
      <c r="N3841" s="17" t="s">
        <v>126</v>
      </c>
    </row>
    <row r="3842" spans="1:14" ht="14.25" customHeight="1">
      <c r="A3842" s="17">
        <v>13841</v>
      </c>
      <c r="B3842" s="18">
        <v>45395</v>
      </c>
      <c r="C3842" s="17" t="s">
        <v>50</v>
      </c>
      <c r="D3842" s="17" t="s">
        <v>170</v>
      </c>
      <c r="E3842" s="17" t="s">
        <v>165</v>
      </c>
      <c r="F3842" s="17" t="s">
        <v>166</v>
      </c>
      <c r="G3842" s="17">
        <v>6</v>
      </c>
      <c r="H3842" s="17">
        <v>58954</v>
      </c>
      <c r="I3842" s="17">
        <v>353724</v>
      </c>
      <c r="J3842" s="17">
        <v>3242</v>
      </c>
      <c r="K3842" s="17">
        <v>350482</v>
      </c>
      <c r="L3842" s="17">
        <v>47308.662409999997</v>
      </c>
      <c r="M3842" s="17">
        <v>2024</v>
      </c>
      <c r="N3842" s="17" t="s">
        <v>114</v>
      </c>
    </row>
    <row r="3843" spans="1:14" ht="14.25" customHeight="1">
      <c r="A3843" s="17">
        <v>13842</v>
      </c>
      <c r="B3843" s="18">
        <v>45684</v>
      </c>
      <c r="C3843" s="17" t="s">
        <v>39</v>
      </c>
      <c r="D3843" s="17" t="s">
        <v>170</v>
      </c>
      <c r="E3843" s="17" t="s">
        <v>165</v>
      </c>
      <c r="F3843" s="17" t="s">
        <v>172</v>
      </c>
      <c r="G3843" s="17">
        <v>2</v>
      </c>
      <c r="H3843" s="17">
        <v>16226</v>
      </c>
      <c r="I3843" s="17">
        <v>32452</v>
      </c>
      <c r="J3843" s="17">
        <v>1289</v>
      </c>
      <c r="K3843" s="17">
        <v>31163</v>
      </c>
      <c r="L3843" s="17">
        <v>4147.9731019999999</v>
      </c>
      <c r="M3843" s="17">
        <v>2025</v>
      </c>
      <c r="N3843" s="17" t="s">
        <v>171</v>
      </c>
    </row>
    <row r="3844" spans="1:14" ht="14.25" customHeight="1">
      <c r="A3844" s="17">
        <v>13843</v>
      </c>
      <c r="B3844" s="18">
        <v>45922</v>
      </c>
      <c r="C3844" s="17" t="s">
        <v>167</v>
      </c>
      <c r="D3844" s="17" t="s">
        <v>83</v>
      </c>
      <c r="E3844" s="17" t="s">
        <v>162</v>
      </c>
      <c r="F3844" s="17" t="s">
        <v>163</v>
      </c>
      <c r="G3844" s="17">
        <v>5</v>
      </c>
      <c r="H3844" s="17">
        <v>21858</v>
      </c>
      <c r="I3844" s="17">
        <v>109290</v>
      </c>
      <c r="J3844" s="17">
        <v>503</v>
      </c>
      <c r="K3844" s="17">
        <v>108787</v>
      </c>
      <c r="L3844" s="17">
        <v>21217.067149999999</v>
      </c>
      <c r="M3844" s="17">
        <v>2025</v>
      </c>
      <c r="N3844" s="17" t="s">
        <v>129</v>
      </c>
    </row>
    <row r="3845" spans="1:14" ht="14.25" customHeight="1">
      <c r="A3845" s="17">
        <v>13844</v>
      </c>
      <c r="B3845" s="18">
        <v>45936</v>
      </c>
      <c r="C3845" s="17" t="s">
        <v>45</v>
      </c>
      <c r="D3845" s="17" t="s">
        <v>83</v>
      </c>
      <c r="E3845" s="17" t="s">
        <v>168</v>
      </c>
      <c r="F3845" s="17" t="s">
        <v>164</v>
      </c>
      <c r="G3845" s="17">
        <v>4</v>
      </c>
      <c r="H3845" s="17">
        <v>61848</v>
      </c>
      <c r="I3845" s="17">
        <v>247392</v>
      </c>
      <c r="J3845" s="17">
        <v>3097</v>
      </c>
      <c r="K3845" s="17">
        <v>244295</v>
      </c>
      <c r="L3845" s="17">
        <v>52865.420460000001</v>
      </c>
      <c r="M3845" s="17">
        <v>2025</v>
      </c>
      <c r="N3845" s="17" t="s">
        <v>174</v>
      </c>
    </row>
    <row r="3846" spans="1:14" ht="14.25" customHeight="1">
      <c r="A3846" s="17">
        <v>13845</v>
      </c>
      <c r="B3846" s="18">
        <v>45899</v>
      </c>
      <c r="C3846" s="17" t="s">
        <v>39</v>
      </c>
      <c r="D3846" s="17" t="s">
        <v>89</v>
      </c>
      <c r="E3846" s="17" t="s">
        <v>165</v>
      </c>
      <c r="F3846" s="17" t="s">
        <v>166</v>
      </c>
      <c r="G3846" s="17">
        <v>4</v>
      </c>
      <c r="H3846" s="17">
        <v>44300</v>
      </c>
      <c r="I3846" s="17">
        <v>177200</v>
      </c>
      <c r="J3846" s="17">
        <v>2147</v>
      </c>
      <c r="K3846" s="17">
        <v>175053</v>
      </c>
      <c r="L3846" s="17">
        <v>43179.983269999997</v>
      </c>
      <c r="M3846" s="17">
        <v>2025</v>
      </c>
      <c r="N3846" s="17" t="s">
        <v>126</v>
      </c>
    </row>
    <row r="3847" spans="1:14" ht="14.25" customHeight="1">
      <c r="A3847" s="17">
        <v>13846</v>
      </c>
      <c r="B3847" s="18">
        <v>45725</v>
      </c>
      <c r="C3847" s="17" t="s">
        <v>45</v>
      </c>
      <c r="D3847" s="17" t="s">
        <v>83</v>
      </c>
      <c r="E3847" s="17" t="s">
        <v>168</v>
      </c>
      <c r="F3847" s="17" t="s">
        <v>166</v>
      </c>
      <c r="G3847" s="17">
        <v>8</v>
      </c>
      <c r="H3847" s="17">
        <v>46470</v>
      </c>
      <c r="I3847" s="17">
        <v>371760</v>
      </c>
      <c r="J3847" s="17">
        <v>1465</v>
      </c>
      <c r="K3847" s="17">
        <v>370295</v>
      </c>
      <c r="L3847" s="17">
        <v>79733.630730000004</v>
      </c>
      <c r="M3847" s="17">
        <v>2025</v>
      </c>
      <c r="N3847" s="17" t="s">
        <v>112</v>
      </c>
    </row>
    <row r="3848" spans="1:14" ht="14.25" customHeight="1">
      <c r="A3848" s="17">
        <v>13847</v>
      </c>
      <c r="B3848" s="18">
        <v>45622</v>
      </c>
      <c r="C3848" s="17" t="s">
        <v>39</v>
      </c>
      <c r="D3848" s="17" t="s">
        <v>170</v>
      </c>
      <c r="E3848" s="17" t="s">
        <v>162</v>
      </c>
      <c r="F3848" s="17" t="s">
        <v>164</v>
      </c>
      <c r="G3848" s="17">
        <v>5</v>
      </c>
      <c r="H3848" s="17">
        <v>30113</v>
      </c>
      <c r="I3848" s="17">
        <v>150565</v>
      </c>
      <c r="J3848" s="17">
        <v>4520</v>
      </c>
      <c r="K3848" s="17">
        <v>146045</v>
      </c>
      <c r="L3848" s="17">
        <v>18050.759679999999</v>
      </c>
      <c r="M3848" s="17">
        <v>2024</v>
      </c>
      <c r="N3848" s="17" t="s">
        <v>173</v>
      </c>
    </row>
    <row r="3849" spans="1:14" ht="14.25" customHeight="1">
      <c r="A3849" s="17">
        <v>13848</v>
      </c>
      <c r="B3849" s="18">
        <v>45434</v>
      </c>
      <c r="C3849" s="17" t="s">
        <v>167</v>
      </c>
      <c r="D3849" s="17" t="s">
        <v>89</v>
      </c>
      <c r="E3849" s="17" t="s">
        <v>162</v>
      </c>
      <c r="F3849" s="17" t="s">
        <v>164</v>
      </c>
      <c r="G3849" s="17">
        <v>3</v>
      </c>
      <c r="H3849" s="17">
        <v>57096</v>
      </c>
      <c r="I3849" s="17">
        <v>171288</v>
      </c>
      <c r="J3849" s="17">
        <v>1897</v>
      </c>
      <c r="K3849" s="17">
        <v>169391</v>
      </c>
      <c r="L3849" s="17">
        <v>22666.2772</v>
      </c>
      <c r="M3849" s="17">
        <v>2024</v>
      </c>
      <c r="N3849" s="17" t="s">
        <v>117</v>
      </c>
    </row>
    <row r="3850" spans="1:14" ht="14.25" customHeight="1">
      <c r="A3850" s="17">
        <v>13849</v>
      </c>
      <c r="B3850" s="18">
        <v>45831</v>
      </c>
      <c r="C3850" s="17" t="s">
        <v>39</v>
      </c>
      <c r="D3850" s="17" t="s">
        <v>83</v>
      </c>
      <c r="E3850" s="17" t="s">
        <v>168</v>
      </c>
      <c r="F3850" s="17" t="s">
        <v>163</v>
      </c>
      <c r="G3850" s="17">
        <v>4</v>
      </c>
      <c r="H3850" s="17">
        <v>27016</v>
      </c>
      <c r="I3850" s="17">
        <v>108064</v>
      </c>
      <c r="J3850" s="17">
        <v>3716</v>
      </c>
      <c r="K3850" s="17">
        <v>104348</v>
      </c>
      <c r="L3850" s="17">
        <v>22352.22378</v>
      </c>
      <c r="M3850" s="17">
        <v>2025</v>
      </c>
      <c r="N3850" s="17" t="s">
        <v>120</v>
      </c>
    </row>
    <row r="3851" spans="1:14" ht="14.25" customHeight="1">
      <c r="A3851" s="17">
        <v>13850</v>
      </c>
      <c r="B3851" s="18">
        <v>45569</v>
      </c>
      <c r="C3851" s="17" t="s">
        <v>45</v>
      </c>
      <c r="D3851" s="17" t="s">
        <v>86</v>
      </c>
      <c r="E3851" s="17" t="s">
        <v>162</v>
      </c>
      <c r="F3851" s="17" t="s">
        <v>164</v>
      </c>
      <c r="G3851" s="17">
        <v>1</v>
      </c>
      <c r="H3851" s="17">
        <v>75920</v>
      </c>
      <c r="I3851" s="17">
        <v>75920</v>
      </c>
      <c r="J3851" s="17">
        <v>650</v>
      </c>
      <c r="K3851" s="17">
        <v>75270</v>
      </c>
      <c r="L3851" s="17">
        <v>13476.95693</v>
      </c>
      <c r="M3851" s="17">
        <v>2024</v>
      </c>
      <c r="N3851" s="17" t="s">
        <v>174</v>
      </c>
    </row>
    <row r="3852" spans="1:14" ht="14.25" customHeight="1">
      <c r="A3852" s="17">
        <v>13851</v>
      </c>
      <c r="B3852" s="18">
        <v>45524</v>
      </c>
      <c r="C3852" s="17" t="s">
        <v>50</v>
      </c>
      <c r="D3852" s="17" t="s">
        <v>111</v>
      </c>
      <c r="E3852" s="17" t="s">
        <v>165</v>
      </c>
      <c r="F3852" s="17" t="s">
        <v>164</v>
      </c>
      <c r="G3852" s="17">
        <v>6</v>
      </c>
      <c r="H3852" s="17">
        <v>22750</v>
      </c>
      <c r="I3852" s="17">
        <v>136500</v>
      </c>
      <c r="J3852" s="17">
        <v>3262</v>
      </c>
      <c r="K3852" s="17">
        <v>133238</v>
      </c>
      <c r="L3852" s="17">
        <v>19227.735929999999</v>
      </c>
      <c r="M3852" s="17">
        <v>2024</v>
      </c>
      <c r="N3852" s="17" t="s">
        <v>126</v>
      </c>
    </row>
    <row r="3853" spans="1:14" ht="14.25" customHeight="1">
      <c r="A3853" s="17">
        <v>13852</v>
      </c>
      <c r="B3853" s="18">
        <v>45820</v>
      </c>
      <c r="C3853" s="17" t="s">
        <v>45</v>
      </c>
      <c r="D3853" s="17" t="s">
        <v>83</v>
      </c>
      <c r="E3853" s="17" t="s">
        <v>168</v>
      </c>
      <c r="F3853" s="17" t="s">
        <v>164</v>
      </c>
      <c r="G3853" s="17">
        <v>4</v>
      </c>
      <c r="H3853" s="17">
        <v>22445</v>
      </c>
      <c r="I3853" s="17">
        <v>89780</v>
      </c>
      <c r="J3853" s="17">
        <v>1210</v>
      </c>
      <c r="K3853" s="17">
        <v>88570</v>
      </c>
      <c r="L3853" s="17">
        <v>15124.876319999999</v>
      </c>
      <c r="M3853" s="17">
        <v>2025</v>
      </c>
      <c r="N3853" s="17" t="s">
        <v>120</v>
      </c>
    </row>
    <row r="3854" spans="1:14" ht="14.25" customHeight="1">
      <c r="A3854" s="17">
        <v>13853</v>
      </c>
      <c r="B3854" s="18">
        <v>45862</v>
      </c>
      <c r="C3854" s="17" t="s">
        <v>58</v>
      </c>
      <c r="D3854" s="17" t="s">
        <v>83</v>
      </c>
      <c r="E3854" s="17" t="s">
        <v>162</v>
      </c>
      <c r="F3854" s="17" t="s">
        <v>172</v>
      </c>
      <c r="G3854" s="17">
        <v>6</v>
      </c>
      <c r="H3854" s="17">
        <v>40075</v>
      </c>
      <c r="I3854" s="17">
        <v>240450</v>
      </c>
      <c r="J3854" s="17">
        <v>2187</v>
      </c>
      <c r="K3854" s="17">
        <v>238263</v>
      </c>
      <c r="L3854" s="17">
        <v>56523.894699999997</v>
      </c>
      <c r="M3854" s="17">
        <v>2025</v>
      </c>
      <c r="N3854" s="17" t="s">
        <v>123</v>
      </c>
    </row>
    <row r="3855" spans="1:14" ht="14.25" customHeight="1">
      <c r="A3855" s="17">
        <v>13854</v>
      </c>
      <c r="B3855" s="18">
        <v>45381</v>
      </c>
      <c r="C3855" s="17" t="s">
        <v>58</v>
      </c>
      <c r="D3855" s="17" t="s">
        <v>86</v>
      </c>
      <c r="E3855" s="17" t="s">
        <v>162</v>
      </c>
      <c r="F3855" s="17" t="s">
        <v>164</v>
      </c>
      <c r="G3855" s="17">
        <v>2</v>
      </c>
      <c r="H3855" s="17">
        <v>21691</v>
      </c>
      <c r="I3855" s="17">
        <v>43382</v>
      </c>
      <c r="J3855" s="17">
        <v>3820</v>
      </c>
      <c r="K3855" s="17">
        <v>39562</v>
      </c>
      <c r="L3855" s="17">
        <v>8440.1533280000003</v>
      </c>
      <c r="M3855" s="17">
        <v>2024</v>
      </c>
      <c r="N3855" s="17" t="s">
        <v>112</v>
      </c>
    </row>
    <row r="3856" spans="1:14" ht="14.25" customHeight="1">
      <c r="A3856" s="17">
        <v>13855</v>
      </c>
      <c r="B3856" s="18">
        <v>45783</v>
      </c>
      <c r="C3856" s="17" t="s">
        <v>58</v>
      </c>
      <c r="D3856" s="17" t="s">
        <v>170</v>
      </c>
      <c r="E3856" s="17" t="s">
        <v>168</v>
      </c>
      <c r="F3856" s="17" t="s">
        <v>166</v>
      </c>
      <c r="G3856" s="17">
        <v>5</v>
      </c>
      <c r="H3856" s="17">
        <v>79724</v>
      </c>
      <c r="I3856" s="17">
        <v>398620</v>
      </c>
      <c r="J3856" s="17">
        <v>368</v>
      </c>
      <c r="K3856" s="17">
        <v>398252</v>
      </c>
      <c r="L3856" s="17">
        <v>66748.891640000002</v>
      </c>
      <c r="M3856" s="17">
        <v>2025</v>
      </c>
      <c r="N3856" s="17" t="s">
        <v>117</v>
      </c>
    </row>
    <row r="3857" spans="1:14" ht="14.25" customHeight="1">
      <c r="A3857" s="17">
        <v>13856</v>
      </c>
      <c r="B3857" s="18">
        <v>45490</v>
      </c>
      <c r="C3857" s="17" t="s">
        <v>58</v>
      </c>
      <c r="D3857" s="17" t="s">
        <v>86</v>
      </c>
      <c r="E3857" s="17" t="s">
        <v>165</v>
      </c>
      <c r="F3857" s="17" t="s">
        <v>163</v>
      </c>
      <c r="G3857" s="17">
        <v>9</v>
      </c>
      <c r="H3857" s="17">
        <v>30860</v>
      </c>
      <c r="I3857" s="17">
        <v>277740</v>
      </c>
      <c r="J3857" s="17">
        <v>2344</v>
      </c>
      <c r="K3857" s="17">
        <v>275396</v>
      </c>
      <c r="L3857" s="17">
        <v>68045.694289999999</v>
      </c>
      <c r="M3857" s="17">
        <v>2024</v>
      </c>
      <c r="N3857" s="17" t="s">
        <v>123</v>
      </c>
    </row>
    <row r="3858" spans="1:14" ht="14.25" customHeight="1">
      <c r="A3858" s="17">
        <v>13857</v>
      </c>
      <c r="B3858" s="18">
        <v>45653</v>
      </c>
      <c r="C3858" s="17" t="s">
        <v>167</v>
      </c>
      <c r="D3858" s="17" t="s">
        <v>83</v>
      </c>
      <c r="E3858" s="17" t="s">
        <v>168</v>
      </c>
      <c r="F3858" s="17" t="s">
        <v>163</v>
      </c>
      <c r="G3858" s="17">
        <v>8</v>
      </c>
      <c r="H3858" s="17">
        <v>35171</v>
      </c>
      <c r="I3858" s="17">
        <v>281368</v>
      </c>
      <c r="J3858" s="17">
        <v>3271</v>
      </c>
      <c r="K3858" s="17">
        <v>278097</v>
      </c>
      <c r="L3858" s="17">
        <v>60967.537349999999</v>
      </c>
      <c r="M3858" s="17">
        <v>2024</v>
      </c>
      <c r="N3858" s="17" t="s">
        <v>169</v>
      </c>
    </row>
    <row r="3859" spans="1:14" ht="14.25" customHeight="1">
      <c r="A3859" s="17">
        <v>13858</v>
      </c>
      <c r="B3859" s="18">
        <v>45732</v>
      </c>
      <c r="C3859" s="17" t="s">
        <v>50</v>
      </c>
      <c r="D3859" s="17" t="s">
        <v>170</v>
      </c>
      <c r="E3859" s="17" t="s">
        <v>162</v>
      </c>
      <c r="F3859" s="17" t="s">
        <v>163</v>
      </c>
      <c r="G3859" s="17">
        <v>3</v>
      </c>
      <c r="H3859" s="17">
        <v>34421</v>
      </c>
      <c r="I3859" s="17">
        <v>103263</v>
      </c>
      <c r="J3859" s="17">
        <v>2843</v>
      </c>
      <c r="K3859" s="17">
        <v>100420</v>
      </c>
      <c r="L3859" s="17">
        <v>10130.43353</v>
      </c>
      <c r="M3859" s="17">
        <v>2025</v>
      </c>
      <c r="N3859" s="17" t="s">
        <v>112</v>
      </c>
    </row>
    <row r="3860" spans="1:14" ht="14.25" customHeight="1">
      <c r="A3860" s="17">
        <v>13859</v>
      </c>
      <c r="B3860" s="18">
        <v>45317</v>
      </c>
      <c r="C3860" s="17" t="s">
        <v>50</v>
      </c>
      <c r="D3860" s="17" t="s">
        <v>89</v>
      </c>
      <c r="E3860" s="17" t="s">
        <v>162</v>
      </c>
      <c r="F3860" s="17" t="s">
        <v>172</v>
      </c>
      <c r="G3860" s="17">
        <v>1</v>
      </c>
      <c r="H3860" s="17">
        <v>47089</v>
      </c>
      <c r="I3860" s="17">
        <v>47089</v>
      </c>
      <c r="J3860" s="17">
        <v>3450</v>
      </c>
      <c r="K3860" s="17">
        <v>43639</v>
      </c>
      <c r="L3860" s="17">
        <v>5099.4391850000002</v>
      </c>
      <c r="M3860" s="17">
        <v>2024</v>
      </c>
      <c r="N3860" s="17" t="s">
        <v>171</v>
      </c>
    </row>
    <row r="3861" spans="1:14" ht="14.25" customHeight="1">
      <c r="A3861" s="17">
        <v>13860</v>
      </c>
      <c r="B3861" s="18">
        <v>45316</v>
      </c>
      <c r="C3861" s="17" t="s">
        <v>45</v>
      </c>
      <c r="D3861" s="17" t="s">
        <v>83</v>
      </c>
      <c r="E3861" s="17" t="s">
        <v>168</v>
      </c>
      <c r="F3861" s="17" t="s">
        <v>166</v>
      </c>
      <c r="G3861" s="17">
        <v>3</v>
      </c>
      <c r="H3861" s="17">
        <v>36990</v>
      </c>
      <c r="I3861" s="17">
        <v>110970</v>
      </c>
      <c r="J3861" s="17">
        <v>3151</v>
      </c>
      <c r="K3861" s="17">
        <v>107819</v>
      </c>
      <c r="L3861" s="17">
        <v>19741.154129999999</v>
      </c>
      <c r="M3861" s="17">
        <v>2024</v>
      </c>
      <c r="N3861" s="17" t="s">
        <v>171</v>
      </c>
    </row>
    <row r="3862" spans="1:14" ht="14.25" customHeight="1">
      <c r="A3862" s="17">
        <v>13861</v>
      </c>
      <c r="B3862" s="18">
        <v>45685</v>
      </c>
      <c r="C3862" s="17" t="s">
        <v>39</v>
      </c>
      <c r="D3862" s="17" t="s">
        <v>86</v>
      </c>
      <c r="E3862" s="17" t="s">
        <v>165</v>
      </c>
      <c r="F3862" s="17" t="s">
        <v>164</v>
      </c>
      <c r="G3862" s="17">
        <v>8</v>
      </c>
      <c r="H3862" s="17">
        <v>70839</v>
      </c>
      <c r="I3862" s="17">
        <v>566712</v>
      </c>
      <c r="J3862" s="17">
        <v>3518</v>
      </c>
      <c r="K3862" s="17">
        <v>563194</v>
      </c>
      <c r="L3862" s="17">
        <v>85883.213640000002</v>
      </c>
      <c r="M3862" s="17">
        <v>2025</v>
      </c>
      <c r="N3862" s="17" t="s">
        <v>171</v>
      </c>
    </row>
    <row r="3863" spans="1:14" ht="14.25" customHeight="1">
      <c r="A3863" s="17">
        <v>13862</v>
      </c>
      <c r="B3863" s="18">
        <v>45798</v>
      </c>
      <c r="C3863" s="17" t="s">
        <v>45</v>
      </c>
      <c r="D3863" s="17" t="s">
        <v>89</v>
      </c>
      <c r="E3863" s="17" t="s">
        <v>165</v>
      </c>
      <c r="F3863" s="17" t="s">
        <v>166</v>
      </c>
      <c r="G3863" s="17">
        <v>3</v>
      </c>
      <c r="H3863" s="17">
        <v>11486</v>
      </c>
      <c r="I3863" s="17">
        <v>34458</v>
      </c>
      <c r="J3863" s="17">
        <v>4354</v>
      </c>
      <c r="K3863" s="17">
        <v>30104</v>
      </c>
      <c r="L3863" s="17">
        <v>6679.5903539999999</v>
      </c>
      <c r="M3863" s="17">
        <v>2025</v>
      </c>
      <c r="N3863" s="17" t="s">
        <v>117</v>
      </c>
    </row>
    <row r="3864" spans="1:14" ht="14.25" customHeight="1">
      <c r="A3864" s="17">
        <v>13863</v>
      </c>
      <c r="B3864" s="18">
        <v>45592</v>
      </c>
      <c r="C3864" s="17" t="s">
        <v>45</v>
      </c>
      <c r="D3864" s="17" t="s">
        <v>111</v>
      </c>
      <c r="E3864" s="17" t="s">
        <v>165</v>
      </c>
      <c r="F3864" s="17" t="s">
        <v>163</v>
      </c>
      <c r="G3864" s="17">
        <v>5</v>
      </c>
      <c r="H3864" s="17">
        <v>76102</v>
      </c>
      <c r="I3864" s="17">
        <v>380510</v>
      </c>
      <c r="J3864" s="17">
        <v>1636</v>
      </c>
      <c r="K3864" s="17">
        <v>378874</v>
      </c>
      <c r="L3864" s="17">
        <v>88790.277900000001</v>
      </c>
      <c r="M3864" s="17">
        <v>2024</v>
      </c>
      <c r="N3864" s="17" t="s">
        <v>174</v>
      </c>
    </row>
    <row r="3865" spans="1:14" ht="14.25" customHeight="1">
      <c r="A3865" s="17">
        <v>13864</v>
      </c>
      <c r="B3865" s="18">
        <v>45630</v>
      </c>
      <c r="C3865" s="17" t="s">
        <v>45</v>
      </c>
      <c r="D3865" s="17" t="s">
        <v>89</v>
      </c>
      <c r="E3865" s="17" t="s">
        <v>168</v>
      </c>
      <c r="F3865" s="17" t="s">
        <v>164</v>
      </c>
      <c r="G3865" s="17">
        <v>2</v>
      </c>
      <c r="H3865" s="17">
        <v>74427</v>
      </c>
      <c r="I3865" s="17">
        <v>148854</v>
      </c>
      <c r="J3865" s="17">
        <v>3860</v>
      </c>
      <c r="K3865" s="17">
        <v>144994</v>
      </c>
      <c r="L3865" s="17">
        <v>19733.338889999999</v>
      </c>
      <c r="M3865" s="17">
        <v>2024</v>
      </c>
      <c r="N3865" s="17" t="s">
        <v>169</v>
      </c>
    </row>
    <row r="3866" spans="1:14" ht="14.25" customHeight="1">
      <c r="A3866" s="17">
        <v>13865</v>
      </c>
      <c r="B3866" s="18">
        <v>45558</v>
      </c>
      <c r="C3866" s="17" t="s">
        <v>45</v>
      </c>
      <c r="D3866" s="17" t="s">
        <v>86</v>
      </c>
      <c r="E3866" s="17" t="s">
        <v>165</v>
      </c>
      <c r="F3866" s="17" t="s">
        <v>163</v>
      </c>
      <c r="G3866" s="17">
        <v>1</v>
      </c>
      <c r="H3866" s="17">
        <v>14046</v>
      </c>
      <c r="I3866" s="17">
        <v>14046</v>
      </c>
      <c r="J3866" s="17">
        <v>1144</v>
      </c>
      <c r="K3866" s="17">
        <v>12902</v>
      </c>
      <c r="L3866" s="17">
        <v>2767.3870449999999</v>
      </c>
      <c r="M3866" s="17">
        <v>2024</v>
      </c>
      <c r="N3866" s="17" t="s">
        <v>129</v>
      </c>
    </row>
    <row r="3867" spans="1:14" ht="14.25" customHeight="1">
      <c r="A3867" s="17">
        <v>13866</v>
      </c>
      <c r="B3867" s="18">
        <v>45752</v>
      </c>
      <c r="C3867" s="17" t="s">
        <v>50</v>
      </c>
      <c r="D3867" s="17" t="s">
        <v>89</v>
      </c>
      <c r="E3867" s="17" t="s">
        <v>165</v>
      </c>
      <c r="F3867" s="17" t="s">
        <v>163</v>
      </c>
      <c r="G3867" s="17">
        <v>5</v>
      </c>
      <c r="H3867" s="17">
        <v>34741</v>
      </c>
      <c r="I3867" s="17">
        <v>173705</v>
      </c>
      <c r="J3867" s="17">
        <v>3126</v>
      </c>
      <c r="K3867" s="17">
        <v>170579</v>
      </c>
      <c r="L3867" s="17">
        <v>30757.03182</v>
      </c>
      <c r="M3867" s="17">
        <v>2025</v>
      </c>
      <c r="N3867" s="17" t="s">
        <v>114</v>
      </c>
    </row>
    <row r="3868" spans="1:14" ht="14.25" customHeight="1">
      <c r="A3868" s="17">
        <v>13867</v>
      </c>
      <c r="B3868" s="18">
        <v>45984</v>
      </c>
      <c r="C3868" s="17" t="s">
        <v>39</v>
      </c>
      <c r="D3868" s="17" t="s">
        <v>86</v>
      </c>
      <c r="E3868" s="17" t="s">
        <v>165</v>
      </c>
      <c r="F3868" s="17" t="s">
        <v>163</v>
      </c>
      <c r="G3868" s="17">
        <v>5</v>
      </c>
      <c r="H3868" s="17">
        <v>64089</v>
      </c>
      <c r="I3868" s="17">
        <v>320445</v>
      </c>
      <c r="J3868" s="17">
        <v>17</v>
      </c>
      <c r="K3868" s="17">
        <v>320428</v>
      </c>
      <c r="L3868" s="17">
        <v>50882.382230000003</v>
      </c>
      <c r="M3868" s="17">
        <v>2025</v>
      </c>
      <c r="N3868" s="17" t="s">
        <v>173</v>
      </c>
    </row>
    <row r="3869" spans="1:14" ht="14.25" customHeight="1">
      <c r="A3869" s="17">
        <v>13868</v>
      </c>
      <c r="B3869" s="18">
        <v>45747</v>
      </c>
      <c r="C3869" s="17" t="s">
        <v>45</v>
      </c>
      <c r="D3869" s="17" t="s">
        <v>83</v>
      </c>
      <c r="E3869" s="17" t="s">
        <v>165</v>
      </c>
      <c r="F3869" s="17" t="s">
        <v>166</v>
      </c>
      <c r="G3869" s="17">
        <v>6</v>
      </c>
      <c r="H3869" s="17">
        <v>10724</v>
      </c>
      <c r="I3869" s="17">
        <v>64344</v>
      </c>
      <c r="J3869" s="17">
        <v>1656</v>
      </c>
      <c r="K3869" s="17">
        <v>62688</v>
      </c>
      <c r="L3869" s="17">
        <v>13667.05018</v>
      </c>
      <c r="M3869" s="17">
        <v>2025</v>
      </c>
      <c r="N3869" s="17" t="s">
        <v>112</v>
      </c>
    </row>
    <row r="3870" spans="1:14" ht="14.25" customHeight="1">
      <c r="A3870" s="17">
        <v>13869</v>
      </c>
      <c r="B3870" s="18">
        <v>45651</v>
      </c>
      <c r="C3870" s="17" t="s">
        <v>50</v>
      </c>
      <c r="D3870" s="17" t="s">
        <v>170</v>
      </c>
      <c r="E3870" s="17" t="s">
        <v>162</v>
      </c>
      <c r="F3870" s="17" t="s">
        <v>166</v>
      </c>
      <c r="G3870" s="17">
        <v>2</v>
      </c>
      <c r="H3870" s="17">
        <v>53347</v>
      </c>
      <c r="I3870" s="17">
        <v>106694</v>
      </c>
      <c r="J3870" s="17">
        <v>4205</v>
      </c>
      <c r="K3870" s="17">
        <v>102489</v>
      </c>
      <c r="L3870" s="17">
        <v>18933.67107</v>
      </c>
      <c r="M3870" s="17">
        <v>2024</v>
      </c>
      <c r="N3870" s="17" t="s">
        <v>169</v>
      </c>
    </row>
    <row r="3871" spans="1:14" ht="14.25" customHeight="1">
      <c r="A3871" s="17">
        <v>13870</v>
      </c>
      <c r="B3871" s="18">
        <v>45359</v>
      </c>
      <c r="C3871" s="17" t="s">
        <v>45</v>
      </c>
      <c r="D3871" s="17" t="s">
        <v>111</v>
      </c>
      <c r="E3871" s="17" t="s">
        <v>168</v>
      </c>
      <c r="F3871" s="17" t="s">
        <v>163</v>
      </c>
      <c r="G3871" s="17">
        <v>9</v>
      </c>
      <c r="H3871" s="17">
        <v>27664</v>
      </c>
      <c r="I3871" s="17">
        <v>248976</v>
      </c>
      <c r="J3871" s="17">
        <v>4426</v>
      </c>
      <c r="K3871" s="17">
        <v>244550</v>
      </c>
      <c r="L3871" s="17">
        <v>47758.807159999997</v>
      </c>
      <c r="M3871" s="17">
        <v>2024</v>
      </c>
      <c r="N3871" s="17" t="s">
        <v>112</v>
      </c>
    </row>
    <row r="3872" spans="1:14" ht="14.25" customHeight="1">
      <c r="A3872" s="17">
        <v>13871</v>
      </c>
      <c r="B3872" s="18">
        <v>45703</v>
      </c>
      <c r="C3872" s="17" t="s">
        <v>58</v>
      </c>
      <c r="D3872" s="17" t="s">
        <v>170</v>
      </c>
      <c r="E3872" s="17" t="s">
        <v>168</v>
      </c>
      <c r="F3872" s="17" t="s">
        <v>163</v>
      </c>
      <c r="G3872" s="17">
        <v>2</v>
      </c>
      <c r="H3872" s="17">
        <v>75886</v>
      </c>
      <c r="I3872" s="17">
        <v>151772</v>
      </c>
      <c r="J3872" s="17">
        <v>1596</v>
      </c>
      <c r="K3872" s="17">
        <v>150176</v>
      </c>
      <c r="L3872" s="17">
        <v>16419.959770000001</v>
      </c>
      <c r="M3872" s="17">
        <v>2025</v>
      </c>
      <c r="N3872" s="17" t="s">
        <v>175</v>
      </c>
    </row>
    <row r="3873" spans="1:14" ht="14.25" customHeight="1">
      <c r="A3873" s="17">
        <v>13872</v>
      </c>
      <c r="B3873" s="18">
        <v>45782</v>
      </c>
      <c r="C3873" s="17" t="s">
        <v>45</v>
      </c>
      <c r="D3873" s="17" t="s">
        <v>170</v>
      </c>
      <c r="E3873" s="17" t="s">
        <v>165</v>
      </c>
      <c r="F3873" s="17" t="s">
        <v>164</v>
      </c>
      <c r="G3873" s="17">
        <v>2</v>
      </c>
      <c r="H3873" s="17">
        <v>14164</v>
      </c>
      <c r="I3873" s="17">
        <v>28328</v>
      </c>
      <c r="J3873" s="17">
        <v>945</v>
      </c>
      <c r="K3873" s="17">
        <v>27383</v>
      </c>
      <c r="L3873" s="17">
        <v>5144.7714859999996</v>
      </c>
      <c r="M3873" s="17">
        <v>2025</v>
      </c>
      <c r="N3873" s="17" t="s">
        <v>117</v>
      </c>
    </row>
    <row r="3874" spans="1:14" ht="14.25" customHeight="1">
      <c r="A3874" s="17">
        <v>13873</v>
      </c>
      <c r="B3874" s="18">
        <v>45340</v>
      </c>
      <c r="C3874" s="17" t="s">
        <v>45</v>
      </c>
      <c r="D3874" s="17" t="s">
        <v>170</v>
      </c>
      <c r="E3874" s="17" t="s">
        <v>168</v>
      </c>
      <c r="F3874" s="17" t="s">
        <v>163</v>
      </c>
      <c r="G3874" s="17">
        <v>5</v>
      </c>
      <c r="H3874" s="17">
        <v>79906</v>
      </c>
      <c r="I3874" s="17">
        <v>399530</v>
      </c>
      <c r="J3874" s="17">
        <v>1287</v>
      </c>
      <c r="K3874" s="17">
        <v>398243</v>
      </c>
      <c r="L3874" s="17">
        <v>57787.723839999999</v>
      </c>
      <c r="M3874" s="17">
        <v>2024</v>
      </c>
      <c r="N3874" s="17" t="s">
        <v>175</v>
      </c>
    </row>
    <row r="3875" spans="1:14" ht="14.25" customHeight="1">
      <c r="A3875" s="17">
        <v>13874</v>
      </c>
      <c r="B3875" s="18">
        <v>45978</v>
      </c>
      <c r="C3875" s="17" t="s">
        <v>167</v>
      </c>
      <c r="D3875" s="17" t="s">
        <v>86</v>
      </c>
      <c r="E3875" s="17" t="s">
        <v>168</v>
      </c>
      <c r="F3875" s="17" t="s">
        <v>163</v>
      </c>
      <c r="G3875" s="17">
        <v>9</v>
      </c>
      <c r="H3875" s="17">
        <v>37872</v>
      </c>
      <c r="I3875" s="17">
        <v>340848</v>
      </c>
      <c r="J3875" s="17">
        <v>267</v>
      </c>
      <c r="K3875" s="17">
        <v>340581</v>
      </c>
      <c r="L3875" s="17">
        <v>59259.096089999999</v>
      </c>
      <c r="M3875" s="17">
        <v>2025</v>
      </c>
      <c r="N3875" s="17" t="s">
        <v>173</v>
      </c>
    </row>
    <row r="3876" spans="1:14" ht="14.25" customHeight="1">
      <c r="A3876" s="17">
        <v>13875</v>
      </c>
      <c r="B3876" s="18">
        <v>45855</v>
      </c>
      <c r="C3876" s="17" t="s">
        <v>58</v>
      </c>
      <c r="D3876" s="17" t="s">
        <v>86</v>
      </c>
      <c r="E3876" s="17" t="s">
        <v>162</v>
      </c>
      <c r="F3876" s="17" t="s">
        <v>163</v>
      </c>
      <c r="G3876" s="17">
        <v>4</v>
      </c>
      <c r="H3876" s="17">
        <v>64879</v>
      </c>
      <c r="I3876" s="17">
        <v>259516</v>
      </c>
      <c r="J3876" s="17">
        <v>434</v>
      </c>
      <c r="K3876" s="17">
        <v>259082</v>
      </c>
      <c r="L3876" s="17">
        <v>34536.060060000003</v>
      </c>
      <c r="M3876" s="17">
        <v>2025</v>
      </c>
      <c r="N3876" s="17" t="s">
        <v>123</v>
      </c>
    </row>
    <row r="3877" spans="1:14" ht="14.25" customHeight="1">
      <c r="A3877" s="17">
        <v>13876</v>
      </c>
      <c r="B3877" s="18">
        <v>45393</v>
      </c>
      <c r="C3877" s="17" t="s">
        <v>39</v>
      </c>
      <c r="D3877" s="17" t="s">
        <v>111</v>
      </c>
      <c r="E3877" s="17" t="s">
        <v>168</v>
      </c>
      <c r="F3877" s="17" t="s">
        <v>163</v>
      </c>
      <c r="G3877" s="17">
        <v>6</v>
      </c>
      <c r="H3877" s="17">
        <v>52037</v>
      </c>
      <c r="I3877" s="17">
        <v>312222</v>
      </c>
      <c r="J3877" s="17">
        <v>2035</v>
      </c>
      <c r="K3877" s="17">
        <v>310187</v>
      </c>
      <c r="L3877" s="17">
        <v>59609.053939999998</v>
      </c>
      <c r="M3877" s="17">
        <v>2024</v>
      </c>
      <c r="N3877" s="17" t="s">
        <v>114</v>
      </c>
    </row>
    <row r="3878" spans="1:14" ht="14.25" customHeight="1">
      <c r="A3878" s="17">
        <v>13877</v>
      </c>
      <c r="B3878" s="18">
        <v>45507</v>
      </c>
      <c r="C3878" s="17" t="s">
        <v>45</v>
      </c>
      <c r="D3878" s="17" t="s">
        <v>86</v>
      </c>
      <c r="E3878" s="17" t="s">
        <v>162</v>
      </c>
      <c r="F3878" s="17" t="s">
        <v>166</v>
      </c>
      <c r="G3878" s="17">
        <v>2</v>
      </c>
      <c r="H3878" s="17">
        <v>27985</v>
      </c>
      <c r="I3878" s="17">
        <v>55970</v>
      </c>
      <c r="J3878" s="17">
        <v>2497</v>
      </c>
      <c r="K3878" s="17">
        <v>53473</v>
      </c>
      <c r="L3878" s="17">
        <v>6530.1401729999998</v>
      </c>
      <c r="M3878" s="17">
        <v>2024</v>
      </c>
      <c r="N3878" s="17" t="s">
        <v>126</v>
      </c>
    </row>
    <row r="3879" spans="1:14" ht="14.25" customHeight="1">
      <c r="A3879" s="17">
        <v>13878</v>
      </c>
      <c r="B3879" s="18">
        <v>45729</v>
      </c>
      <c r="C3879" s="17" t="s">
        <v>39</v>
      </c>
      <c r="D3879" s="17" t="s">
        <v>86</v>
      </c>
      <c r="E3879" s="17" t="s">
        <v>168</v>
      </c>
      <c r="F3879" s="17" t="s">
        <v>163</v>
      </c>
      <c r="G3879" s="17">
        <v>4</v>
      </c>
      <c r="H3879" s="17">
        <v>62868</v>
      </c>
      <c r="I3879" s="17">
        <v>251472</v>
      </c>
      <c r="J3879" s="17">
        <v>3208</v>
      </c>
      <c r="K3879" s="17">
        <v>248264</v>
      </c>
      <c r="L3879" s="17">
        <v>29403.292700000002</v>
      </c>
      <c r="M3879" s="17">
        <v>2025</v>
      </c>
      <c r="N3879" s="17" t="s">
        <v>112</v>
      </c>
    </row>
    <row r="3880" spans="1:14" ht="14.25" customHeight="1">
      <c r="A3880" s="17">
        <v>13879</v>
      </c>
      <c r="B3880" s="18">
        <v>45991</v>
      </c>
      <c r="C3880" s="17" t="s">
        <v>58</v>
      </c>
      <c r="D3880" s="17" t="s">
        <v>86</v>
      </c>
      <c r="E3880" s="17" t="s">
        <v>162</v>
      </c>
      <c r="F3880" s="17" t="s">
        <v>172</v>
      </c>
      <c r="G3880" s="17">
        <v>9</v>
      </c>
      <c r="H3880" s="17">
        <v>24347</v>
      </c>
      <c r="I3880" s="17">
        <v>219123</v>
      </c>
      <c r="J3880" s="17">
        <v>1613</v>
      </c>
      <c r="K3880" s="17">
        <v>217510</v>
      </c>
      <c r="L3880" s="17">
        <v>27898.204430000002</v>
      </c>
      <c r="M3880" s="17">
        <v>2025</v>
      </c>
      <c r="N3880" s="17" t="s">
        <v>173</v>
      </c>
    </row>
    <row r="3881" spans="1:14" ht="14.25" customHeight="1">
      <c r="A3881" s="17">
        <v>13880</v>
      </c>
      <c r="B3881" s="18">
        <v>45860</v>
      </c>
      <c r="C3881" s="17" t="s">
        <v>45</v>
      </c>
      <c r="D3881" s="17" t="s">
        <v>86</v>
      </c>
      <c r="E3881" s="17" t="s">
        <v>162</v>
      </c>
      <c r="F3881" s="17" t="s">
        <v>163</v>
      </c>
      <c r="G3881" s="17">
        <v>2</v>
      </c>
      <c r="H3881" s="17">
        <v>46623</v>
      </c>
      <c r="I3881" s="17">
        <v>93246</v>
      </c>
      <c r="J3881" s="17">
        <v>718</v>
      </c>
      <c r="K3881" s="17">
        <v>92528</v>
      </c>
      <c r="L3881" s="17">
        <v>20598.55387</v>
      </c>
      <c r="M3881" s="17">
        <v>2025</v>
      </c>
      <c r="N3881" s="17" t="s">
        <v>123</v>
      </c>
    </row>
    <row r="3882" spans="1:14" ht="14.25" customHeight="1">
      <c r="A3882" s="17">
        <v>13881</v>
      </c>
      <c r="B3882" s="18">
        <v>45850</v>
      </c>
      <c r="C3882" s="17" t="s">
        <v>167</v>
      </c>
      <c r="D3882" s="17" t="s">
        <v>83</v>
      </c>
      <c r="E3882" s="17" t="s">
        <v>168</v>
      </c>
      <c r="F3882" s="17" t="s">
        <v>166</v>
      </c>
      <c r="G3882" s="17">
        <v>1</v>
      </c>
      <c r="H3882" s="17">
        <v>21360</v>
      </c>
      <c r="I3882" s="17">
        <v>21360</v>
      </c>
      <c r="J3882" s="17">
        <v>3978</v>
      </c>
      <c r="K3882" s="17">
        <v>17382</v>
      </c>
      <c r="L3882" s="17">
        <v>1825.6330390000001</v>
      </c>
      <c r="M3882" s="17">
        <v>2025</v>
      </c>
      <c r="N3882" s="17" t="s">
        <v>123</v>
      </c>
    </row>
    <row r="3883" spans="1:14" ht="14.25" customHeight="1">
      <c r="A3883" s="17">
        <v>13882</v>
      </c>
      <c r="B3883" s="18">
        <v>45450</v>
      </c>
      <c r="C3883" s="17" t="s">
        <v>50</v>
      </c>
      <c r="D3883" s="17" t="s">
        <v>111</v>
      </c>
      <c r="E3883" s="17" t="s">
        <v>162</v>
      </c>
      <c r="F3883" s="17" t="s">
        <v>172</v>
      </c>
      <c r="G3883" s="17">
        <v>4</v>
      </c>
      <c r="H3883" s="17">
        <v>19214</v>
      </c>
      <c r="I3883" s="17">
        <v>76856</v>
      </c>
      <c r="J3883" s="17">
        <v>2231</v>
      </c>
      <c r="K3883" s="17">
        <v>74625</v>
      </c>
      <c r="L3883" s="17">
        <v>15629.20514</v>
      </c>
      <c r="M3883" s="17">
        <v>2024</v>
      </c>
      <c r="N3883" s="17" t="s">
        <v>120</v>
      </c>
    </row>
    <row r="3884" spans="1:14" ht="14.25" customHeight="1">
      <c r="A3884" s="17">
        <v>13883</v>
      </c>
      <c r="B3884" s="18">
        <v>45780</v>
      </c>
      <c r="C3884" s="17" t="s">
        <v>167</v>
      </c>
      <c r="D3884" s="17" t="s">
        <v>86</v>
      </c>
      <c r="E3884" s="17" t="s">
        <v>162</v>
      </c>
      <c r="F3884" s="17" t="s">
        <v>172</v>
      </c>
      <c r="G3884" s="17">
        <v>4</v>
      </c>
      <c r="H3884" s="17">
        <v>32222</v>
      </c>
      <c r="I3884" s="17">
        <v>128888</v>
      </c>
      <c r="J3884" s="17">
        <v>3672</v>
      </c>
      <c r="K3884" s="17">
        <v>125216</v>
      </c>
      <c r="L3884" s="17">
        <v>13582.9481</v>
      </c>
      <c r="M3884" s="17">
        <v>2025</v>
      </c>
      <c r="N3884" s="17" t="s">
        <v>117</v>
      </c>
    </row>
    <row r="3885" spans="1:14" ht="14.25" customHeight="1">
      <c r="A3885" s="17">
        <v>13884</v>
      </c>
      <c r="B3885" s="18">
        <v>45977</v>
      </c>
      <c r="C3885" s="17" t="s">
        <v>167</v>
      </c>
      <c r="D3885" s="17" t="s">
        <v>111</v>
      </c>
      <c r="E3885" s="17" t="s">
        <v>168</v>
      </c>
      <c r="F3885" s="17" t="s">
        <v>163</v>
      </c>
      <c r="G3885" s="17">
        <v>1</v>
      </c>
      <c r="H3885" s="17">
        <v>77279</v>
      </c>
      <c r="I3885" s="17">
        <v>77279</v>
      </c>
      <c r="J3885" s="17">
        <v>740</v>
      </c>
      <c r="K3885" s="17">
        <v>76539</v>
      </c>
      <c r="L3885" s="17">
        <v>14448.92418</v>
      </c>
      <c r="M3885" s="17">
        <v>2025</v>
      </c>
      <c r="N3885" s="17" t="s">
        <v>173</v>
      </c>
    </row>
    <row r="3886" spans="1:14" ht="14.25" customHeight="1">
      <c r="A3886" s="17">
        <v>13885</v>
      </c>
      <c r="B3886" s="18">
        <v>45533</v>
      </c>
      <c r="C3886" s="17" t="s">
        <v>50</v>
      </c>
      <c r="D3886" s="17" t="s">
        <v>89</v>
      </c>
      <c r="E3886" s="17" t="s">
        <v>162</v>
      </c>
      <c r="F3886" s="17" t="s">
        <v>163</v>
      </c>
      <c r="G3886" s="17">
        <v>4</v>
      </c>
      <c r="H3886" s="17">
        <v>39303</v>
      </c>
      <c r="I3886" s="17">
        <v>157212</v>
      </c>
      <c r="J3886" s="17">
        <v>804</v>
      </c>
      <c r="K3886" s="17">
        <v>156408</v>
      </c>
      <c r="L3886" s="17">
        <v>33789.410020000003</v>
      </c>
      <c r="M3886" s="17">
        <v>2024</v>
      </c>
      <c r="N3886" s="17" t="s">
        <v>126</v>
      </c>
    </row>
    <row r="3887" spans="1:14" ht="14.25" customHeight="1">
      <c r="A3887" s="17">
        <v>13886</v>
      </c>
      <c r="B3887" s="18">
        <v>45296</v>
      </c>
      <c r="C3887" s="17" t="s">
        <v>50</v>
      </c>
      <c r="D3887" s="17" t="s">
        <v>83</v>
      </c>
      <c r="E3887" s="17" t="s">
        <v>162</v>
      </c>
      <c r="F3887" s="17" t="s">
        <v>166</v>
      </c>
      <c r="G3887" s="17">
        <v>3</v>
      </c>
      <c r="H3887" s="17">
        <v>19698</v>
      </c>
      <c r="I3887" s="17">
        <v>59094</v>
      </c>
      <c r="J3887" s="17">
        <v>4512</v>
      </c>
      <c r="K3887" s="17">
        <v>54582</v>
      </c>
      <c r="L3887" s="17">
        <v>7350.0633939999998</v>
      </c>
      <c r="M3887" s="17">
        <v>2024</v>
      </c>
      <c r="N3887" s="17" t="s">
        <v>171</v>
      </c>
    </row>
    <row r="3888" spans="1:14" ht="14.25" customHeight="1">
      <c r="A3888" s="17">
        <v>13887</v>
      </c>
      <c r="B3888" s="18">
        <v>45887</v>
      </c>
      <c r="C3888" s="17" t="s">
        <v>50</v>
      </c>
      <c r="D3888" s="17" t="s">
        <v>86</v>
      </c>
      <c r="E3888" s="17" t="s">
        <v>162</v>
      </c>
      <c r="F3888" s="17" t="s">
        <v>172</v>
      </c>
      <c r="G3888" s="17">
        <v>2</v>
      </c>
      <c r="H3888" s="17">
        <v>34602</v>
      </c>
      <c r="I3888" s="17">
        <v>69204</v>
      </c>
      <c r="J3888" s="17">
        <v>4977</v>
      </c>
      <c r="K3888" s="17">
        <v>64227</v>
      </c>
      <c r="L3888" s="17">
        <v>8310.4626900000003</v>
      </c>
      <c r="M3888" s="17">
        <v>2025</v>
      </c>
      <c r="N3888" s="17" t="s">
        <v>126</v>
      </c>
    </row>
    <row r="3889" spans="1:14" ht="14.25" customHeight="1">
      <c r="A3889" s="17">
        <v>13888</v>
      </c>
      <c r="B3889" s="18">
        <v>45652</v>
      </c>
      <c r="C3889" s="17" t="s">
        <v>45</v>
      </c>
      <c r="D3889" s="17" t="s">
        <v>83</v>
      </c>
      <c r="E3889" s="17" t="s">
        <v>162</v>
      </c>
      <c r="F3889" s="17" t="s">
        <v>172</v>
      </c>
      <c r="G3889" s="17">
        <v>4</v>
      </c>
      <c r="H3889" s="17">
        <v>19947</v>
      </c>
      <c r="I3889" s="17">
        <v>79788</v>
      </c>
      <c r="J3889" s="17">
        <v>4886</v>
      </c>
      <c r="K3889" s="17">
        <v>74902</v>
      </c>
      <c r="L3889" s="17">
        <v>10739.203009999999</v>
      </c>
      <c r="M3889" s="17">
        <v>2024</v>
      </c>
      <c r="N3889" s="17" t="s">
        <v>169</v>
      </c>
    </row>
    <row r="3890" spans="1:14" ht="14.25" customHeight="1">
      <c r="A3890" s="17">
        <v>13889</v>
      </c>
      <c r="B3890" s="18">
        <v>45750</v>
      </c>
      <c r="C3890" s="17" t="s">
        <v>39</v>
      </c>
      <c r="D3890" s="17" t="s">
        <v>83</v>
      </c>
      <c r="E3890" s="17" t="s">
        <v>162</v>
      </c>
      <c r="F3890" s="17" t="s">
        <v>166</v>
      </c>
      <c r="G3890" s="17">
        <v>8</v>
      </c>
      <c r="H3890" s="17">
        <v>57338</v>
      </c>
      <c r="I3890" s="17">
        <v>458704</v>
      </c>
      <c r="J3890" s="17">
        <v>3771</v>
      </c>
      <c r="K3890" s="17">
        <v>454933</v>
      </c>
      <c r="L3890" s="17">
        <v>93234.874909999999</v>
      </c>
      <c r="M3890" s="17">
        <v>2025</v>
      </c>
      <c r="N3890" s="17" t="s">
        <v>114</v>
      </c>
    </row>
    <row r="3891" spans="1:14" ht="14.25" customHeight="1">
      <c r="A3891" s="17">
        <v>13890</v>
      </c>
      <c r="B3891" s="18">
        <v>45539</v>
      </c>
      <c r="C3891" s="17" t="s">
        <v>39</v>
      </c>
      <c r="D3891" s="17" t="s">
        <v>89</v>
      </c>
      <c r="E3891" s="17" t="s">
        <v>165</v>
      </c>
      <c r="F3891" s="17" t="s">
        <v>163</v>
      </c>
      <c r="G3891" s="17">
        <v>7</v>
      </c>
      <c r="H3891" s="17">
        <v>40537</v>
      </c>
      <c r="I3891" s="17">
        <v>283759</v>
      </c>
      <c r="J3891" s="17">
        <v>1726</v>
      </c>
      <c r="K3891" s="17">
        <v>282033</v>
      </c>
      <c r="L3891" s="17">
        <v>38983.726009999998</v>
      </c>
      <c r="M3891" s="17">
        <v>2024</v>
      </c>
      <c r="N3891" s="17" t="s">
        <v>129</v>
      </c>
    </row>
    <row r="3892" spans="1:14" ht="14.25" customHeight="1">
      <c r="A3892" s="17">
        <v>13891</v>
      </c>
      <c r="B3892" s="18">
        <v>45857</v>
      </c>
      <c r="C3892" s="17" t="s">
        <v>50</v>
      </c>
      <c r="D3892" s="17" t="s">
        <v>111</v>
      </c>
      <c r="E3892" s="17" t="s">
        <v>162</v>
      </c>
      <c r="F3892" s="17" t="s">
        <v>164</v>
      </c>
      <c r="G3892" s="17">
        <v>9</v>
      </c>
      <c r="H3892" s="17">
        <v>27469</v>
      </c>
      <c r="I3892" s="17">
        <v>247221</v>
      </c>
      <c r="J3892" s="17">
        <v>3512</v>
      </c>
      <c r="K3892" s="17">
        <v>243709</v>
      </c>
      <c r="L3892" s="17">
        <v>42713.779560000003</v>
      </c>
      <c r="M3892" s="17">
        <v>2025</v>
      </c>
      <c r="N3892" s="17" t="s">
        <v>123</v>
      </c>
    </row>
    <row r="3893" spans="1:14" ht="14.25" customHeight="1">
      <c r="A3893" s="17">
        <v>13892</v>
      </c>
      <c r="B3893" s="18">
        <v>45964</v>
      </c>
      <c r="C3893" s="17" t="s">
        <v>167</v>
      </c>
      <c r="D3893" s="17" t="s">
        <v>83</v>
      </c>
      <c r="E3893" s="17" t="s">
        <v>162</v>
      </c>
      <c r="F3893" s="17" t="s">
        <v>164</v>
      </c>
      <c r="G3893" s="17">
        <v>8</v>
      </c>
      <c r="H3893" s="17">
        <v>11486</v>
      </c>
      <c r="I3893" s="17">
        <v>91888</v>
      </c>
      <c r="J3893" s="17">
        <v>1098</v>
      </c>
      <c r="K3893" s="17">
        <v>90790</v>
      </c>
      <c r="L3893" s="17">
        <v>10910.22659</v>
      </c>
      <c r="M3893" s="17">
        <v>2025</v>
      </c>
      <c r="N3893" s="17" t="s">
        <v>173</v>
      </c>
    </row>
    <row r="3894" spans="1:14" ht="14.25" customHeight="1">
      <c r="A3894" s="17">
        <v>13893</v>
      </c>
      <c r="B3894" s="18">
        <v>45713</v>
      </c>
      <c r="C3894" s="17" t="s">
        <v>58</v>
      </c>
      <c r="D3894" s="17" t="s">
        <v>170</v>
      </c>
      <c r="E3894" s="17" t="s">
        <v>162</v>
      </c>
      <c r="F3894" s="17" t="s">
        <v>172</v>
      </c>
      <c r="G3894" s="17">
        <v>1</v>
      </c>
      <c r="H3894" s="17">
        <v>77777</v>
      </c>
      <c r="I3894" s="17">
        <v>77777</v>
      </c>
      <c r="J3894" s="17">
        <v>2621</v>
      </c>
      <c r="K3894" s="17">
        <v>75156</v>
      </c>
      <c r="L3894" s="17">
        <v>12714.84252</v>
      </c>
      <c r="M3894" s="17">
        <v>2025</v>
      </c>
      <c r="N3894" s="17" t="s">
        <v>175</v>
      </c>
    </row>
    <row r="3895" spans="1:14" ht="14.25" customHeight="1">
      <c r="A3895" s="17">
        <v>13894</v>
      </c>
      <c r="B3895" s="18">
        <v>45306</v>
      </c>
      <c r="C3895" s="17" t="s">
        <v>50</v>
      </c>
      <c r="D3895" s="17" t="s">
        <v>89</v>
      </c>
      <c r="E3895" s="17" t="s">
        <v>162</v>
      </c>
      <c r="F3895" s="17" t="s">
        <v>172</v>
      </c>
      <c r="G3895" s="17">
        <v>2</v>
      </c>
      <c r="H3895" s="17">
        <v>24371</v>
      </c>
      <c r="I3895" s="17">
        <v>48742</v>
      </c>
      <c r="J3895" s="17">
        <v>3805</v>
      </c>
      <c r="K3895" s="17">
        <v>44937</v>
      </c>
      <c r="L3895" s="17">
        <v>8704.7135180000005</v>
      </c>
      <c r="M3895" s="17">
        <v>2024</v>
      </c>
      <c r="N3895" s="17" t="s">
        <v>171</v>
      </c>
    </row>
    <row r="3896" spans="1:14" ht="14.25" customHeight="1">
      <c r="A3896" s="17">
        <v>13895</v>
      </c>
      <c r="B3896" s="18">
        <v>45864</v>
      </c>
      <c r="C3896" s="17" t="s">
        <v>167</v>
      </c>
      <c r="D3896" s="17" t="s">
        <v>170</v>
      </c>
      <c r="E3896" s="17" t="s">
        <v>168</v>
      </c>
      <c r="F3896" s="17" t="s">
        <v>163</v>
      </c>
      <c r="G3896" s="17">
        <v>2</v>
      </c>
      <c r="H3896" s="17">
        <v>37524</v>
      </c>
      <c r="I3896" s="17">
        <v>75048</v>
      </c>
      <c r="J3896" s="17">
        <v>3010</v>
      </c>
      <c r="K3896" s="17">
        <v>72038</v>
      </c>
      <c r="L3896" s="17">
        <v>7979.8537759999999</v>
      </c>
      <c r="M3896" s="17">
        <v>2025</v>
      </c>
      <c r="N3896" s="17" t="s">
        <v>123</v>
      </c>
    </row>
    <row r="3897" spans="1:14" ht="14.25" customHeight="1">
      <c r="A3897" s="17">
        <v>13896</v>
      </c>
      <c r="B3897" s="18">
        <v>45413</v>
      </c>
      <c r="C3897" s="17" t="s">
        <v>167</v>
      </c>
      <c r="D3897" s="17" t="s">
        <v>89</v>
      </c>
      <c r="E3897" s="17" t="s">
        <v>165</v>
      </c>
      <c r="F3897" s="17" t="s">
        <v>164</v>
      </c>
      <c r="G3897" s="17">
        <v>8</v>
      </c>
      <c r="H3897" s="17">
        <v>70101</v>
      </c>
      <c r="I3897" s="17">
        <v>560808</v>
      </c>
      <c r="J3897" s="17">
        <v>2983</v>
      </c>
      <c r="K3897" s="17">
        <v>557825</v>
      </c>
      <c r="L3897" s="17">
        <v>124012.0248</v>
      </c>
      <c r="M3897" s="17">
        <v>2024</v>
      </c>
      <c r="N3897" s="17" t="s">
        <v>117</v>
      </c>
    </row>
    <row r="3898" spans="1:14" ht="14.25" customHeight="1">
      <c r="A3898" s="17">
        <v>13897</v>
      </c>
      <c r="B3898" s="18">
        <v>45568</v>
      </c>
      <c r="C3898" s="17" t="s">
        <v>45</v>
      </c>
      <c r="D3898" s="17" t="s">
        <v>170</v>
      </c>
      <c r="E3898" s="17" t="s">
        <v>168</v>
      </c>
      <c r="F3898" s="17" t="s">
        <v>172</v>
      </c>
      <c r="G3898" s="17">
        <v>4</v>
      </c>
      <c r="H3898" s="17">
        <v>27474</v>
      </c>
      <c r="I3898" s="17">
        <v>109896</v>
      </c>
      <c r="J3898" s="17">
        <v>3704</v>
      </c>
      <c r="K3898" s="17">
        <v>106192</v>
      </c>
      <c r="L3898" s="17">
        <v>25551.429260000001</v>
      </c>
      <c r="M3898" s="17">
        <v>2024</v>
      </c>
      <c r="N3898" s="17" t="s">
        <v>174</v>
      </c>
    </row>
    <row r="3899" spans="1:14" ht="14.25" customHeight="1">
      <c r="A3899" s="17">
        <v>13898</v>
      </c>
      <c r="B3899" s="18">
        <v>45849</v>
      </c>
      <c r="C3899" s="17" t="s">
        <v>45</v>
      </c>
      <c r="D3899" s="17" t="s">
        <v>170</v>
      </c>
      <c r="E3899" s="17" t="s">
        <v>165</v>
      </c>
      <c r="F3899" s="17" t="s">
        <v>163</v>
      </c>
      <c r="G3899" s="17">
        <v>9</v>
      </c>
      <c r="H3899" s="17">
        <v>52141</v>
      </c>
      <c r="I3899" s="17">
        <v>469269</v>
      </c>
      <c r="J3899" s="17">
        <v>3383</v>
      </c>
      <c r="K3899" s="17">
        <v>465886</v>
      </c>
      <c r="L3899" s="17">
        <v>60114.278689999999</v>
      </c>
      <c r="M3899" s="17">
        <v>2025</v>
      </c>
      <c r="N3899" s="17" t="s">
        <v>123</v>
      </c>
    </row>
    <row r="3900" spans="1:14" ht="14.25" customHeight="1">
      <c r="A3900" s="17">
        <v>13899</v>
      </c>
      <c r="B3900" s="18">
        <v>45744</v>
      </c>
      <c r="C3900" s="17" t="s">
        <v>39</v>
      </c>
      <c r="D3900" s="17" t="s">
        <v>83</v>
      </c>
      <c r="E3900" s="17" t="s">
        <v>162</v>
      </c>
      <c r="F3900" s="17" t="s">
        <v>164</v>
      </c>
      <c r="G3900" s="17">
        <v>2</v>
      </c>
      <c r="H3900" s="17">
        <v>9405</v>
      </c>
      <c r="I3900" s="17">
        <v>18810</v>
      </c>
      <c r="J3900" s="17">
        <v>1844</v>
      </c>
      <c r="K3900" s="17">
        <v>16966</v>
      </c>
      <c r="L3900" s="17">
        <v>3629.2803939999999</v>
      </c>
      <c r="M3900" s="17">
        <v>2025</v>
      </c>
      <c r="N3900" s="17" t="s">
        <v>112</v>
      </c>
    </row>
    <row r="3901" spans="1:14" ht="14.25" customHeight="1">
      <c r="A3901" s="17">
        <v>13900</v>
      </c>
      <c r="B3901" s="18">
        <v>45681</v>
      </c>
      <c r="C3901" s="17" t="s">
        <v>39</v>
      </c>
      <c r="D3901" s="17" t="s">
        <v>83</v>
      </c>
      <c r="E3901" s="17" t="s">
        <v>162</v>
      </c>
      <c r="F3901" s="17" t="s">
        <v>166</v>
      </c>
      <c r="G3901" s="17">
        <v>4</v>
      </c>
      <c r="H3901" s="17">
        <v>7153</v>
      </c>
      <c r="I3901" s="17">
        <v>28612</v>
      </c>
      <c r="J3901" s="17">
        <v>3924</v>
      </c>
      <c r="K3901" s="17">
        <v>24688</v>
      </c>
      <c r="L3901" s="17">
        <v>3629.6297439999998</v>
      </c>
      <c r="M3901" s="17">
        <v>2025</v>
      </c>
      <c r="N3901" s="17" t="s">
        <v>171</v>
      </c>
    </row>
    <row r="3902" spans="1:14" ht="14.25" customHeight="1">
      <c r="A3902" s="17">
        <v>13901</v>
      </c>
      <c r="B3902" s="18">
        <v>45585</v>
      </c>
      <c r="C3902" s="17" t="s">
        <v>58</v>
      </c>
      <c r="D3902" s="17" t="s">
        <v>89</v>
      </c>
      <c r="E3902" s="17" t="s">
        <v>165</v>
      </c>
      <c r="F3902" s="17" t="s">
        <v>172</v>
      </c>
      <c r="G3902" s="17">
        <v>1</v>
      </c>
      <c r="H3902" s="17">
        <v>30131</v>
      </c>
      <c r="I3902" s="17">
        <v>30131</v>
      </c>
      <c r="J3902" s="17">
        <v>3099</v>
      </c>
      <c r="K3902" s="17">
        <v>27032</v>
      </c>
      <c r="L3902" s="17">
        <v>5447.182992</v>
      </c>
      <c r="M3902" s="17">
        <v>2024</v>
      </c>
      <c r="N3902" s="17" t="s">
        <v>174</v>
      </c>
    </row>
    <row r="3903" spans="1:14" ht="14.25" customHeight="1">
      <c r="A3903" s="17">
        <v>13902</v>
      </c>
      <c r="B3903" s="18">
        <v>45865</v>
      </c>
      <c r="C3903" s="17" t="s">
        <v>58</v>
      </c>
      <c r="D3903" s="17" t="s">
        <v>111</v>
      </c>
      <c r="E3903" s="17" t="s">
        <v>165</v>
      </c>
      <c r="F3903" s="17" t="s">
        <v>166</v>
      </c>
      <c r="G3903" s="17">
        <v>3</v>
      </c>
      <c r="H3903" s="17">
        <v>24680</v>
      </c>
      <c r="I3903" s="17">
        <v>74040</v>
      </c>
      <c r="J3903" s="17">
        <v>4521</v>
      </c>
      <c r="K3903" s="17">
        <v>69519</v>
      </c>
      <c r="L3903" s="17">
        <v>10149.885979999999</v>
      </c>
      <c r="M3903" s="17">
        <v>2025</v>
      </c>
      <c r="N3903" s="17" t="s">
        <v>123</v>
      </c>
    </row>
    <row r="3904" spans="1:14" ht="14.25" customHeight="1">
      <c r="A3904" s="17">
        <v>13903</v>
      </c>
      <c r="B3904" s="18">
        <v>45889</v>
      </c>
      <c r="C3904" s="17" t="s">
        <v>58</v>
      </c>
      <c r="D3904" s="17" t="s">
        <v>83</v>
      </c>
      <c r="E3904" s="17" t="s">
        <v>168</v>
      </c>
      <c r="F3904" s="17" t="s">
        <v>164</v>
      </c>
      <c r="G3904" s="17">
        <v>6</v>
      </c>
      <c r="H3904" s="17">
        <v>58644</v>
      </c>
      <c r="I3904" s="17">
        <v>351864</v>
      </c>
      <c r="J3904" s="17">
        <v>4978</v>
      </c>
      <c r="K3904" s="17">
        <v>346886</v>
      </c>
      <c r="L3904" s="17">
        <v>79558.813999999998</v>
      </c>
      <c r="M3904" s="17">
        <v>2025</v>
      </c>
      <c r="N3904" s="17" t="s">
        <v>126</v>
      </c>
    </row>
    <row r="3905" spans="1:14" ht="14.25" customHeight="1">
      <c r="A3905" s="17">
        <v>13904</v>
      </c>
      <c r="B3905" s="18">
        <v>45737</v>
      </c>
      <c r="C3905" s="17" t="s">
        <v>58</v>
      </c>
      <c r="D3905" s="17" t="s">
        <v>83</v>
      </c>
      <c r="E3905" s="17" t="s">
        <v>165</v>
      </c>
      <c r="F3905" s="17" t="s">
        <v>163</v>
      </c>
      <c r="G3905" s="17">
        <v>9</v>
      </c>
      <c r="H3905" s="17">
        <v>33283</v>
      </c>
      <c r="I3905" s="17">
        <v>299547</v>
      </c>
      <c r="J3905" s="17">
        <v>4881</v>
      </c>
      <c r="K3905" s="17">
        <v>294666</v>
      </c>
      <c r="L3905" s="17">
        <v>44808.742660000004</v>
      </c>
      <c r="M3905" s="17">
        <v>2025</v>
      </c>
      <c r="N3905" s="17" t="s">
        <v>112</v>
      </c>
    </row>
    <row r="3906" spans="1:14" ht="14.25" customHeight="1">
      <c r="A3906" s="17">
        <v>13905</v>
      </c>
      <c r="B3906" s="18">
        <v>45501</v>
      </c>
      <c r="C3906" s="17" t="s">
        <v>167</v>
      </c>
      <c r="D3906" s="17" t="s">
        <v>86</v>
      </c>
      <c r="E3906" s="17" t="s">
        <v>162</v>
      </c>
      <c r="F3906" s="17" t="s">
        <v>163</v>
      </c>
      <c r="G3906" s="17">
        <v>1</v>
      </c>
      <c r="H3906" s="17">
        <v>65357</v>
      </c>
      <c r="I3906" s="17">
        <v>65357</v>
      </c>
      <c r="J3906" s="17">
        <v>534</v>
      </c>
      <c r="K3906" s="17">
        <v>64823</v>
      </c>
      <c r="L3906" s="17">
        <v>14735.86285</v>
      </c>
      <c r="M3906" s="17">
        <v>2024</v>
      </c>
      <c r="N3906" s="17" t="s">
        <v>123</v>
      </c>
    </row>
    <row r="3907" spans="1:14" ht="14.25" customHeight="1">
      <c r="A3907" s="17">
        <v>13906</v>
      </c>
      <c r="B3907" s="18">
        <v>45881</v>
      </c>
      <c r="C3907" s="17" t="s">
        <v>167</v>
      </c>
      <c r="D3907" s="17" t="s">
        <v>83</v>
      </c>
      <c r="E3907" s="17" t="s">
        <v>168</v>
      </c>
      <c r="F3907" s="17" t="s">
        <v>164</v>
      </c>
      <c r="G3907" s="17">
        <v>5</v>
      </c>
      <c r="H3907" s="17">
        <v>24646</v>
      </c>
      <c r="I3907" s="17">
        <v>123230</v>
      </c>
      <c r="J3907" s="17">
        <v>284</v>
      </c>
      <c r="K3907" s="17">
        <v>122946</v>
      </c>
      <c r="L3907" s="17">
        <v>26423.724699999999</v>
      </c>
      <c r="M3907" s="17">
        <v>2025</v>
      </c>
      <c r="N3907" s="17" t="s">
        <v>126</v>
      </c>
    </row>
    <row r="3908" spans="1:14" ht="14.25" customHeight="1">
      <c r="A3908" s="17">
        <v>13907</v>
      </c>
      <c r="B3908" s="18">
        <v>46005</v>
      </c>
      <c r="C3908" s="17" t="s">
        <v>39</v>
      </c>
      <c r="D3908" s="17" t="s">
        <v>111</v>
      </c>
      <c r="E3908" s="17" t="s">
        <v>165</v>
      </c>
      <c r="F3908" s="17" t="s">
        <v>166</v>
      </c>
      <c r="G3908" s="17">
        <v>2</v>
      </c>
      <c r="H3908" s="17">
        <v>44804</v>
      </c>
      <c r="I3908" s="17">
        <v>89608</v>
      </c>
      <c r="J3908" s="17">
        <v>2669</v>
      </c>
      <c r="K3908" s="17">
        <v>86939</v>
      </c>
      <c r="L3908" s="17">
        <v>11254.13069</v>
      </c>
      <c r="M3908" s="17">
        <v>2025</v>
      </c>
      <c r="N3908" s="17" t="s">
        <v>169</v>
      </c>
    </row>
    <row r="3909" spans="1:14" ht="14.25" customHeight="1">
      <c r="A3909" s="17">
        <v>13908</v>
      </c>
      <c r="B3909" s="18">
        <v>45593</v>
      </c>
      <c r="C3909" s="17" t="s">
        <v>45</v>
      </c>
      <c r="D3909" s="17" t="s">
        <v>86</v>
      </c>
      <c r="E3909" s="17" t="s">
        <v>165</v>
      </c>
      <c r="F3909" s="17" t="s">
        <v>163</v>
      </c>
      <c r="G3909" s="17">
        <v>7</v>
      </c>
      <c r="H3909" s="17">
        <v>21036</v>
      </c>
      <c r="I3909" s="17">
        <v>147252</v>
      </c>
      <c r="J3909" s="17">
        <v>3786</v>
      </c>
      <c r="K3909" s="17">
        <v>143466</v>
      </c>
      <c r="L3909" s="17">
        <v>17724.214609999999</v>
      </c>
      <c r="M3909" s="17">
        <v>2024</v>
      </c>
      <c r="N3909" s="17" t="s">
        <v>174</v>
      </c>
    </row>
    <row r="3910" spans="1:14" ht="14.25" customHeight="1">
      <c r="A3910" s="17">
        <v>13909</v>
      </c>
      <c r="B3910" s="18">
        <v>45514</v>
      </c>
      <c r="C3910" s="17" t="s">
        <v>45</v>
      </c>
      <c r="D3910" s="17" t="s">
        <v>170</v>
      </c>
      <c r="E3910" s="17" t="s">
        <v>168</v>
      </c>
      <c r="F3910" s="17" t="s">
        <v>172</v>
      </c>
      <c r="G3910" s="17">
        <v>4</v>
      </c>
      <c r="H3910" s="17">
        <v>11726</v>
      </c>
      <c r="I3910" s="17">
        <v>46904</v>
      </c>
      <c r="J3910" s="17">
        <v>1129</v>
      </c>
      <c r="K3910" s="17">
        <v>45775</v>
      </c>
      <c r="L3910" s="17">
        <v>9930.8122189999995</v>
      </c>
      <c r="M3910" s="17">
        <v>2024</v>
      </c>
      <c r="N3910" s="17" t="s">
        <v>126</v>
      </c>
    </row>
    <row r="3911" spans="1:14" ht="14.25" customHeight="1">
      <c r="A3911" s="17">
        <v>13910</v>
      </c>
      <c r="B3911" s="18">
        <v>45294</v>
      </c>
      <c r="C3911" s="17" t="s">
        <v>50</v>
      </c>
      <c r="D3911" s="17" t="s">
        <v>170</v>
      </c>
      <c r="E3911" s="17" t="s">
        <v>165</v>
      </c>
      <c r="F3911" s="17" t="s">
        <v>166</v>
      </c>
      <c r="G3911" s="17">
        <v>5</v>
      </c>
      <c r="H3911" s="17">
        <v>46160</v>
      </c>
      <c r="I3911" s="17">
        <v>230800</v>
      </c>
      <c r="J3911" s="17">
        <v>503</v>
      </c>
      <c r="K3911" s="17">
        <v>230297</v>
      </c>
      <c r="L3911" s="17">
        <v>36512.550280000003</v>
      </c>
      <c r="M3911" s="17">
        <v>2024</v>
      </c>
      <c r="N3911" s="17" t="s">
        <v>171</v>
      </c>
    </row>
    <row r="3912" spans="1:14" ht="14.25" customHeight="1">
      <c r="A3912" s="17">
        <v>13911</v>
      </c>
      <c r="B3912" s="18">
        <v>45809</v>
      </c>
      <c r="C3912" s="17" t="s">
        <v>167</v>
      </c>
      <c r="D3912" s="17" t="s">
        <v>86</v>
      </c>
      <c r="E3912" s="17" t="s">
        <v>162</v>
      </c>
      <c r="F3912" s="17" t="s">
        <v>166</v>
      </c>
      <c r="G3912" s="17">
        <v>8</v>
      </c>
      <c r="H3912" s="17">
        <v>23274</v>
      </c>
      <c r="I3912" s="17">
        <v>186192</v>
      </c>
      <c r="J3912" s="17">
        <v>4141</v>
      </c>
      <c r="K3912" s="17">
        <v>182051</v>
      </c>
      <c r="L3912" s="17">
        <v>44130.79638</v>
      </c>
      <c r="M3912" s="17">
        <v>2025</v>
      </c>
      <c r="N3912" s="17" t="s">
        <v>120</v>
      </c>
    </row>
    <row r="3913" spans="1:14" ht="14.25" customHeight="1">
      <c r="A3913" s="17">
        <v>13912</v>
      </c>
      <c r="B3913" s="18">
        <v>45384</v>
      </c>
      <c r="C3913" s="17" t="s">
        <v>58</v>
      </c>
      <c r="D3913" s="17" t="s">
        <v>86</v>
      </c>
      <c r="E3913" s="17" t="s">
        <v>168</v>
      </c>
      <c r="F3913" s="17" t="s">
        <v>172</v>
      </c>
      <c r="G3913" s="17">
        <v>2</v>
      </c>
      <c r="H3913" s="17">
        <v>15168</v>
      </c>
      <c r="I3913" s="17">
        <v>30336</v>
      </c>
      <c r="J3913" s="17">
        <v>536</v>
      </c>
      <c r="K3913" s="17">
        <v>29800</v>
      </c>
      <c r="L3913" s="17">
        <v>7194.9787429999997</v>
      </c>
      <c r="M3913" s="17">
        <v>2024</v>
      </c>
      <c r="N3913" s="17" t="s">
        <v>114</v>
      </c>
    </row>
    <row r="3914" spans="1:14" ht="14.25" customHeight="1">
      <c r="A3914" s="17">
        <v>13913</v>
      </c>
      <c r="B3914" s="18">
        <v>45811</v>
      </c>
      <c r="C3914" s="17" t="s">
        <v>58</v>
      </c>
      <c r="D3914" s="17" t="s">
        <v>86</v>
      </c>
      <c r="E3914" s="17" t="s">
        <v>165</v>
      </c>
      <c r="F3914" s="17" t="s">
        <v>164</v>
      </c>
      <c r="G3914" s="17">
        <v>3</v>
      </c>
      <c r="H3914" s="17">
        <v>20103</v>
      </c>
      <c r="I3914" s="17">
        <v>60309</v>
      </c>
      <c r="J3914" s="17">
        <v>61</v>
      </c>
      <c r="K3914" s="17">
        <v>60248</v>
      </c>
      <c r="L3914" s="17">
        <v>12291.923150000001</v>
      </c>
      <c r="M3914" s="17">
        <v>2025</v>
      </c>
      <c r="N3914" s="17" t="s">
        <v>120</v>
      </c>
    </row>
    <row r="3915" spans="1:14" ht="14.25" customHeight="1">
      <c r="A3915" s="17">
        <v>13914</v>
      </c>
      <c r="B3915" s="18">
        <v>45719</v>
      </c>
      <c r="C3915" s="17" t="s">
        <v>50</v>
      </c>
      <c r="D3915" s="17" t="s">
        <v>89</v>
      </c>
      <c r="E3915" s="17" t="s">
        <v>162</v>
      </c>
      <c r="F3915" s="17" t="s">
        <v>163</v>
      </c>
      <c r="G3915" s="17">
        <v>5</v>
      </c>
      <c r="H3915" s="17">
        <v>35567</v>
      </c>
      <c r="I3915" s="17">
        <v>177835</v>
      </c>
      <c r="J3915" s="17">
        <v>2383</v>
      </c>
      <c r="K3915" s="17">
        <v>175452</v>
      </c>
      <c r="L3915" s="17">
        <v>30719.37326</v>
      </c>
      <c r="M3915" s="17">
        <v>2025</v>
      </c>
      <c r="N3915" s="17" t="s">
        <v>112</v>
      </c>
    </row>
    <row r="3916" spans="1:14" ht="14.25" customHeight="1">
      <c r="A3916" s="17">
        <v>13915</v>
      </c>
      <c r="B3916" s="18">
        <v>45784</v>
      </c>
      <c r="C3916" s="17" t="s">
        <v>45</v>
      </c>
      <c r="D3916" s="17" t="s">
        <v>111</v>
      </c>
      <c r="E3916" s="17" t="s">
        <v>165</v>
      </c>
      <c r="F3916" s="17" t="s">
        <v>166</v>
      </c>
      <c r="G3916" s="17">
        <v>4</v>
      </c>
      <c r="H3916" s="17">
        <v>28691</v>
      </c>
      <c r="I3916" s="17">
        <v>114764</v>
      </c>
      <c r="J3916" s="17">
        <v>210</v>
      </c>
      <c r="K3916" s="17">
        <v>114554</v>
      </c>
      <c r="L3916" s="17">
        <v>14805.542750000001</v>
      </c>
      <c r="M3916" s="17">
        <v>2025</v>
      </c>
      <c r="N3916" s="17" t="s">
        <v>117</v>
      </c>
    </row>
    <row r="3917" spans="1:14" ht="14.25" customHeight="1">
      <c r="A3917" s="17">
        <v>13916</v>
      </c>
      <c r="B3917" s="18">
        <v>45526</v>
      </c>
      <c r="C3917" s="17" t="s">
        <v>58</v>
      </c>
      <c r="D3917" s="17" t="s">
        <v>111</v>
      </c>
      <c r="E3917" s="17" t="s">
        <v>168</v>
      </c>
      <c r="F3917" s="17" t="s">
        <v>163</v>
      </c>
      <c r="G3917" s="17">
        <v>5</v>
      </c>
      <c r="H3917" s="17">
        <v>74092</v>
      </c>
      <c r="I3917" s="17">
        <v>370460</v>
      </c>
      <c r="J3917" s="17">
        <v>2447</v>
      </c>
      <c r="K3917" s="17">
        <v>368013</v>
      </c>
      <c r="L3917" s="17">
        <v>85511.099709999995</v>
      </c>
      <c r="M3917" s="17">
        <v>2024</v>
      </c>
      <c r="N3917" s="17" t="s">
        <v>126</v>
      </c>
    </row>
    <row r="3918" spans="1:14" ht="14.25" customHeight="1">
      <c r="A3918" s="17">
        <v>13917</v>
      </c>
      <c r="B3918" s="18">
        <v>45911</v>
      </c>
      <c r="C3918" s="17" t="s">
        <v>45</v>
      </c>
      <c r="D3918" s="17" t="s">
        <v>170</v>
      </c>
      <c r="E3918" s="17" t="s">
        <v>165</v>
      </c>
      <c r="F3918" s="17" t="s">
        <v>163</v>
      </c>
      <c r="G3918" s="17">
        <v>3</v>
      </c>
      <c r="H3918" s="17">
        <v>45072</v>
      </c>
      <c r="I3918" s="17">
        <v>135216</v>
      </c>
      <c r="J3918" s="17">
        <v>4804</v>
      </c>
      <c r="K3918" s="17">
        <v>130412</v>
      </c>
      <c r="L3918" s="17">
        <v>14645.227580000001</v>
      </c>
      <c r="M3918" s="17">
        <v>2025</v>
      </c>
      <c r="N3918" s="17" t="s">
        <v>129</v>
      </c>
    </row>
    <row r="3919" spans="1:14" ht="14.25" customHeight="1">
      <c r="A3919" s="17">
        <v>13918</v>
      </c>
      <c r="B3919" s="18">
        <v>45452</v>
      </c>
      <c r="C3919" s="17" t="s">
        <v>50</v>
      </c>
      <c r="D3919" s="17" t="s">
        <v>170</v>
      </c>
      <c r="E3919" s="17" t="s">
        <v>165</v>
      </c>
      <c r="F3919" s="17" t="s">
        <v>166</v>
      </c>
      <c r="G3919" s="17">
        <v>9</v>
      </c>
      <c r="H3919" s="17">
        <v>59118</v>
      </c>
      <c r="I3919" s="17">
        <v>532062</v>
      </c>
      <c r="J3919" s="17">
        <v>2394</v>
      </c>
      <c r="K3919" s="17">
        <v>529668</v>
      </c>
      <c r="L3919" s="17">
        <v>82391.283009999999</v>
      </c>
      <c r="M3919" s="17">
        <v>2024</v>
      </c>
      <c r="N3919" s="17" t="s">
        <v>120</v>
      </c>
    </row>
    <row r="3920" spans="1:14" ht="14.25" customHeight="1">
      <c r="A3920" s="17">
        <v>13919</v>
      </c>
      <c r="B3920" s="18">
        <v>46012</v>
      </c>
      <c r="C3920" s="17" t="s">
        <v>45</v>
      </c>
      <c r="D3920" s="17" t="s">
        <v>170</v>
      </c>
      <c r="E3920" s="17" t="s">
        <v>165</v>
      </c>
      <c r="F3920" s="17" t="s">
        <v>164</v>
      </c>
      <c r="G3920" s="17">
        <v>8</v>
      </c>
      <c r="H3920" s="17">
        <v>38133</v>
      </c>
      <c r="I3920" s="17">
        <v>305064</v>
      </c>
      <c r="J3920" s="17">
        <v>3269</v>
      </c>
      <c r="K3920" s="17">
        <v>301795</v>
      </c>
      <c r="L3920" s="17">
        <v>44630.327819999999</v>
      </c>
      <c r="M3920" s="17">
        <v>2025</v>
      </c>
      <c r="N3920" s="17" t="s">
        <v>169</v>
      </c>
    </row>
    <row r="3921" spans="1:14" ht="14.25" customHeight="1">
      <c r="A3921" s="17">
        <v>13920</v>
      </c>
      <c r="B3921" s="18">
        <v>45622</v>
      </c>
      <c r="C3921" s="17" t="s">
        <v>45</v>
      </c>
      <c r="D3921" s="17" t="s">
        <v>83</v>
      </c>
      <c r="E3921" s="17" t="s">
        <v>162</v>
      </c>
      <c r="F3921" s="17" t="s">
        <v>166</v>
      </c>
      <c r="G3921" s="17">
        <v>6</v>
      </c>
      <c r="H3921" s="17">
        <v>20893</v>
      </c>
      <c r="I3921" s="17">
        <v>125358</v>
      </c>
      <c r="J3921" s="17">
        <v>376</v>
      </c>
      <c r="K3921" s="17">
        <v>124982</v>
      </c>
      <c r="L3921" s="17">
        <v>30466.15279</v>
      </c>
      <c r="M3921" s="17">
        <v>2024</v>
      </c>
      <c r="N3921" s="17" t="s">
        <v>173</v>
      </c>
    </row>
    <row r="3922" spans="1:14" ht="14.25" customHeight="1">
      <c r="A3922" s="17">
        <v>13921</v>
      </c>
      <c r="B3922" s="18">
        <v>45624</v>
      </c>
      <c r="C3922" s="17" t="s">
        <v>45</v>
      </c>
      <c r="D3922" s="17" t="s">
        <v>170</v>
      </c>
      <c r="E3922" s="17" t="s">
        <v>162</v>
      </c>
      <c r="F3922" s="17" t="s">
        <v>164</v>
      </c>
      <c r="G3922" s="17">
        <v>1</v>
      </c>
      <c r="H3922" s="17">
        <v>5656</v>
      </c>
      <c r="I3922" s="17">
        <v>5656</v>
      </c>
      <c r="J3922" s="17">
        <v>1185</v>
      </c>
      <c r="K3922" s="17">
        <v>4471</v>
      </c>
      <c r="L3922" s="17">
        <v>526.31444610000005</v>
      </c>
      <c r="M3922" s="17">
        <v>2024</v>
      </c>
      <c r="N3922" s="17" t="s">
        <v>173</v>
      </c>
    </row>
    <row r="3923" spans="1:14" ht="14.25" customHeight="1">
      <c r="A3923" s="17">
        <v>13922</v>
      </c>
      <c r="B3923" s="18">
        <v>45341</v>
      </c>
      <c r="C3923" s="17" t="s">
        <v>58</v>
      </c>
      <c r="D3923" s="17" t="s">
        <v>86</v>
      </c>
      <c r="E3923" s="17" t="s">
        <v>165</v>
      </c>
      <c r="F3923" s="17" t="s">
        <v>172</v>
      </c>
      <c r="G3923" s="17">
        <v>4</v>
      </c>
      <c r="H3923" s="17">
        <v>46120</v>
      </c>
      <c r="I3923" s="17">
        <v>184480</v>
      </c>
      <c r="J3923" s="17">
        <v>3279</v>
      </c>
      <c r="K3923" s="17">
        <v>181201</v>
      </c>
      <c r="L3923" s="17">
        <v>42314.510430000002</v>
      </c>
      <c r="M3923" s="17">
        <v>2024</v>
      </c>
      <c r="N3923" s="17" t="s">
        <v>175</v>
      </c>
    </row>
    <row r="3924" spans="1:14" ht="14.25" customHeight="1">
      <c r="A3924" s="17">
        <v>13923</v>
      </c>
      <c r="B3924" s="18">
        <v>45814</v>
      </c>
      <c r="C3924" s="17" t="s">
        <v>39</v>
      </c>
      <c r="D3924" s="17" t="s">
        <v>170</v>
      </c>
      <c r="E3924" s="17" t="s">
        <v>165</v>
      </c>
      <c r="F3924" s="17" t="s">
        <v>164</v>
      </c>
      <c r="G3924" s="17">
        <v>7</v>
      </c>
      <c r="H3924" s="17">
        <v>62518</v>
      </c>
      <c r="I3924" s="17">
        <v>437626</v>
      </c>
      <c r="J3924" s="17">
        <v>3498</v>
      </c>
      <c r="K3924" s="17">
        <v>434128</v>
      </c>
      <c r="L3924" s="17">
        <v>73135.45809</v>
      </c>
      <c r="M3924" s="17">
        <v>2025</v>
      </c>
      <c r="N3924" s="17" t="s">
        <v>120</v>
      </c>
    </row>
    <row r="3925" spans="1:14" ht="14.25" customHeight="1">
      <c r="A3925" s="17">
        <v>13924</v>
      </c>
      <c r="B3925" s="18">
        <v>45959</v>
      </c>
      <c r="C3925" s="17" t="s">
        <v>167</v>
      </c>
      <c r="D3925" s="17" t="s">
        <v>86</v>
      </c>
      <c r="E3925" s="17" t="s">
        <v>168</v>
      </c>
      <c r="F3925" s="17" t="s">
        <v>164</v>
      </c>
      <c r="G3925" s="17">
        <v>5</v>
      </c>
      <c r="H3925" s="17">
        <v>24854</v>
      </c>
      <c r="I3925" s="17">
        <v>124270</v>
      </c>
      <c r="J3925" s="17">
        <v>2847</v>
      </c>
      <c r="K3925" s="17">
        <v>121423</v>
      </c>
      <c r="L3925" s="17">
        <v>13007.419</v>
      </c>
      <c r="M3925" s="17">
        <v>2025</v>
      </c>
      <c r="N3925" s="17" t="s">
        <v>174</v>
      </c>
    </row>
    <row r="3926" spans="1:14" ht="14.25" customHeight="1">
      <c r="A3926" s="17">
        <v>13925</v>
      </c>
      <c r="B3926" s="18">
        <v>45783</v>
      </c>
      <c r="C3926" s="17" t="s">
        <v>45</v>
      </c>
      <c r="D3926" s="17" t="s">
        <v>89</v>
      </c>
      <c r="E3926" s="17" t="s">
        <v>165</v>
      </c>
      <c r="F3926" s="17" t="s">
        <v>166</v>
      </c>
      <c r="G3926" s="17">
        <v>4</v>
      </c>
      <c r="H3926" s="17">
        <v>58212</v>
      </c>
      <c r="I3926" s="17">
        <v>232848</v>
      </c>
      <c r="J3926" s="17">
        <v>786</v>
      </c>
      <c r="K3926" s="17">
        <v>232062</v>
      </c>
      <c r="L3926" s="17">
        <v>48577.527520000003</v>
      </c>
      <c r="M3926" s="17">
        <v>2025</v>
      </c>
      <c r="N3926" s="17" t="s">
        <v>117</v>
      </c>
    </row>
    <row r="3927" spans="1:14" ht="14.25" customHeight="1">
      <c r="A3927" s="17">
        <v>13926</v>
      </c>
      <c r="B3927" s="18">
        <v>45873</v>
      </c>
      <c r="C3927" s="17" t="s">
        <v>45</v>
      </c>
      <c r="D3927" s="17" t="s">
        <v>83</v>
      </c>
      <c r="E3927" s="17" t="s">
        <v>168</v>
      </c>
      <c r="F3927" s="17" t="s">
        <v>163</v>
      </c>
      <c r="G3927" s="17">
        <v>9</v>
      </c>
      <c r="H3927" s="17">
        <v>54696</v>
      </c>
      <c r="I3927" s="17">
        <v>492264</v>
      </c>
      <c r="J3927" s="17">
        <v>732</v>
      </c>
      <c r="K3927" s="17">
        <v>491532</v>
      </c>
      <c r="L3927" s="17">
        <v>56591.007830000002</v>
      </c>
      <c r="M3927" s="17">
        <v>2025</v>
      </c>
      <c r="N3927" s="17" t="s">
        <v>126</v>
      </c>
    </row>
    <row r="3928" spans="1:14" ht="14.25" customHeight="1">
      <c r="A3928" s="17">
        <v>13927</v>
      </c>
      <c r="B3928" s="18">
        <v>45972</v>
      </c>
      <c r="C3928" s="17" t="s">
        <v>45</v>
      </c>
      <c r="D3928" s="17" t="s">
        <v>83</v>
      </c>
      <c r="E3928" s="17" t="s">
        <v>162</v>
      </c>
      <c r="F3928" s="17" t="s">
        <v>163</v>
      </c>
      <c r="G3928" s="17">
        <v>8</v>
      </c>
      <c r="H3928" s="17">
        <v>71492</v>
      </c>
      <c r="I3928" s="17">
        <v>571936</v>
      </c>
      <c r="J3928" s="17">
        <v>3868</v>
      </c>
      <c r="K3928" s="17">
        <v>568068</v>
      </c>
      <c r="L3928" s="17">
        <v>77001.964909999995</v>
      </c>
      <c r="M3928" s="17">
        <v>2025</v>
      </c>
      <c r="N3928" s="17" t="s">
        <v>173</v>
      </c>
    </row>
    <row r="3929" spans="1:14" ht="14.25" customHeight="1">
      <c r="A3929" s="17">
        <v>13928</v>
      </c>
      <c r="B3929" s="18">
        <v>45563</v>
      </c>
      <c r="C3929" s="17" t="s">
        <v>39</v>
      </c>
      <c r="D3929" s="17" t="s">
        <v>111</v>
      </c>
      <c r="E3929" s="17" t="s">
        <v>165</v>
      </c>
      <c r="F3929" s="17" t="s">
        <v>164</v>
      </c>
      <c r="G3929" s="17">
        <v>3</v>
      </c>
      <c r="H3929" s="17">
        <v>62795</v>
      </c>
      <c r="I3929" s="17">
        <v>188385</v>
      </c>
      <c r="J3929" s="17">
        <v>2699</v>
      </c>
      <c r="K3929" s="17">
        <v>185686</v>
      </c>
      <c r="L3929" s="17">
        <v>40843.367270000002</v>
      </c>
      <c r="M3929" s="17">
        <v>2024</v>
      </c>
      <c r="N3929" s="17" t="s">
        <v>129</v>
      </c>
    </row>
    <row r="3930" spans="1:14" ht="14.25" customHeight="1">
      <c r="A3930" s="17">
        <v>13929</v>
      </c>
      <c r="B3930" s="18">
        <v>45871</v>
      </c>
      <c r="C3930" s="17" t="s">
        <v>50</v>
      </c>
      <c r="D3930" s="17" t="s">
        <v>89</v>
      </c>
      <c r="E3930" s="17" t="s">
        <v>168</v>
      </c>
      <c r="F3930" s="17" t="s">
        <v>164</v>
      </c>
      <c r="G3930" s="17">
        <v>6</v>
      </c>
      <c r="H3930" s="17">
        <v>29560</v>
      </c>
      <c r="I3930" s="17">
        <v>177360</v>
      </c>
      <c r="J3930" s="17">
        <v>4617</v>
      </c>
      <c r="K3930" s="17">
        <v>172743</v>
      </c>
      <c r="L3930" s="17">
        <v>21283.630710000001</v>
      </c>
      <c r="M3930" s="17">
        <v>2025</v>
      </c>
      <c r="N3930" s="17" t="s">
        <v>126</v>
      </c>
    </row>
    <row r="3931" spans="1:14" ht="14.25" customHeight="1">
      <c r="A3931" s="17">
        <v>13930</v>
      </c>
      <c r="B3931" s="18">
        <v>45543</v>
      </c>
      <c r="C3931" s="17" t="s">
        <v>58</v>
      </c>
      <c r="D3931" s="17" t="s">
        <v>86</v>
      </c>
      <c r="E3931" s="17" t="s">
        <v>162</v>
      </c>
      <c r="F3931" s="17" t="s">
        <v>166</v>
      </c>
      <c r="G3931" s="17">
        <v>4</v>
      </c>
      <c r="H3931" s="17">
        <v>56317</v>
      </c>
      <c r="I3931" s="17">
        <v>225268</v>
      </c>
      <c r="J3931" s="17">
        <v>2158</v>
      </c>
      <c r="K3931" s="17">
        <v>223110</v>
      </c>
      <c r="L3931" s="17">
        <v>33203.343200000003</v>
      </c>
      <c r="M3931" s="17">
        <v>2024</v>
      </c>
      <c r="N3931" s="17" t="s">
        <v>129</v>
      </c>
    </row>
    <row r="3932" spans="1:14" ht="14.25" customHeight="1">
      <c r="A3932" s="17">
        <v>13931</v>
      </c>
      <c r="B3932" s="18">
        <v>45851</v>
      </c>
      <c r="C3932" s="17" t="s">
        <v>39</v>
      </c>
      <c r="D3932" s="17" t="s">
        <v>89</v>
      </c>
      <c r="E3932" s="17" t="s">
        <v>168</v>
      </c>
      <c r="F3932" s="17" t="s">
        <v>164</v>
      </c>
      <c r="G3932" s="17">
        <v>7</v>
      </c>
      <c r="H3932" s="17">
        <v>5645</v>
      </c>
      <c r="I3932" s="17">
        <v>39515</v>
      </c>
      <c r="J3932" s="17">
        <v>3620</v>
      </c>
      <c r="K3932" s="17">
        <v>35895</v>
      </c>
      <c r="L3932" s="17">
        <v>5533.2050419999996</v>
      </c>
      <c r="M3932" s="17">
        <v>2025</v>
      </c>
      <c r="N3932" s="17" t="s">
        <v>123</v>
      </c>
    </row>
    <row r="3933" spans="1:14" ht="14.25" customHeight="1">
      <c r="A3933" s="17">
        <v>13932</v>
      </c>
      <c r="B3933" s="18">
        <v>45987</v>
      </c>
      <c r="C3933" s="17" t="s">
        <v>45</v>
      </c>
      <c r="D3933" s="17" t="s">
        <v>83</v>
      </c>
      <c r="E3933" s="17" t="s">
        <v>162</v>
      </c>
      <c r="F3933" s="17" t="s">
        <v>166</v>
      </c>
      <c r="G3933" s="17">
        <v>1</v>
      </c>
      <c r="H3933" s="17">
        <v>38146</v>
      </c>
      <c r="I3933" s="17">
        <v>38146</v>
      </c>
      <c r="J3933" s="17">
        <v>3664</v>
      </c>
      <c r="K3933" s="17">
        <v>34482</v>
      </c>
      <c r="L3933" s="17">
        <v>6493.6635269999997</v>
      </c>
      <c r="M3933" s="17">
        <v>2025</v>
      </c>
      <c r="N3933" s="17" t="s">
        <v>173</v>
      </c>
    </row>
    <row r="3934" spans="1:14" ht="14.25" customHeight="1">
      <c r="A3934" s="17">
        <v>13933</v>
      </c>
      <c r="B3934" s="18">
        <v>45990</v>
      </c>
      <c r="C3934" s="17" t="s">
        <v>39</v>
      </c>
      <c r="D3934" s="17" t="s">
        <v>86</v>
      </c>
      <c r="E3934" s="17" t="s">
        <v>165</v>
      </c>
      <c r="F3934" s="17" t="s">
        <v>172</v>
      </c>
      <c r="G3934" s="17">
        <v>1</v>
      </c>
      <c r="H3934" s="17">
        <v>44877</v>
      </c>
      <c r="I3934" s="17">
        <v>44877</v>
      </c>
      <c r="J3934" s="17">
        <v>2655</v>
      </c>
      <c r="K3934" s="17">
        <v>42222</v>
      </c>
      <c r="L3934" s="17">
        <v>9225.0845480000007</v>
      </c>
      <c r="M3934" s="17">
        <v>2025</v>
      </c>
      <c r="N3934" s="17" t="s">
        <v>173</v>
      </c>
    </row>
    <row r="3935" spans="1:14" ht="14.25" customHeight="1">
      <c r="A3935" s="17">
        <v>13934</v>
      </c>
      <c r="B3935" s="18">
        <v>45381</v>
      </c>
      <c r="C3935" s="17" t="s">
        <v>39</v>
      </c>
      <c r="D3935" s="17" t="s">
        <v>89</v>
      </c>
      <c r="E3935" s="17" t="s">
        <v>168</v>
      </c>
      <c r="F3935" s="17" t="s">
        <v>164</v>
      </c>
      <c r="G3935" s="17">
        <v>6</v>
      </c>
      <c r="H3935" s="17">
        <v>57736</v>
      </c>
      <c r="I3935" s="17">
        <v>346416</v>
      </c>
      <c r="J3935" s="17">
        <v>1078</v>
      </c>
      <c r="K3935" s="17">
        <v>345338</v>
      </c>
      <c r="L3935" s="17">
        <v>46489.98489</v>
      </c>
      <c r="M3935" s="17">
        <v>2024</v>
      </c>
      <c r="N3935" s="17" t="s">
        <v>112</v>
      </c>
    </row>
    <row r="3936" spans="1:14" ht="14.25" customHeight="1">
      <c r="A3936" s="17">
        <v>13935</v>
      </c>
      <c r="B3936" s="18">
        <v>45737</v>
      </c>
      <c r="C3936" s="17" t="s">
        <v>39</v>
      </c>
      <c r="D3936" s="17" t="s">
        <v>83</v>
      </c>
      <c r="E3936" s="17" t="s">
        <v>165</v>
      </c>
      <c r="F3936" s="17" t="s">
        <v>172</v>
      </c>
      <c r="G3936" s="17">
        <v>7</v>
      </c>
      <c r="H3936" s="17">
        <v>49693</v>
      </c>
      <c r="I3936" s="17">
        <v>347851</v>
      </c>
      <c r="J3936" s="17">
        <v>3294</v>
      </c>
      <c r="K3936" s="17">
        <v>344557</v>
      </c>
      <c r="L3936" s="17">
        <v>45091.291799999999</v>
      </c>
      <c r="M3936" s="17">
        <v>2025</v>
      </c>
      <c r="N3936" s="17" t="s">
        <v>112</v>
      </c>
    </row>
    <row r="3937" spans="1:14" ht="14.25" customHeight="1">
      <c r="A3937" s="17">
        <v>13936</v>
      </c>
      <c r="B3937" s="18">
        <v>45623</v>
      </c>
      <c r="C3937" s="17" t="s">
        <v>50</v>
      </c>
      <c r="D3937" s="17" t="s">
        <v>86</v>
      </c>
      <c r="E3937" s="17" t="s">
        <v>168</v>
      </c>
      <c r="F3937" s="17" t="s">
        <v>164</v>
      </c>
      <c r="G3937" s="17">
        <v>9</v>
      </c>
      <c r="H3937" s="17">
        <v>25119</v>
      </c>
      <c r="I3937" s="17">
        <v>226071</v>
      </c>
      <c r="J3937" s="17">
        <v>3646</v>
      </c>
      <c r="K3937" s="17">
        <v>222425</v>
      </c>
      <c r="L3937" s="17">
        <v>29646.002659999998</v>
      </c>
      <c r="M3937" s="17">
        <v>2024</v>
      </c>
      <c r="N3937" s="17" t="s">
        <v>173</v>
      </c>
    </row>
    <row r="3938" spans="1:14" ht="14.25" customHeight="1">
      <c r="A3938" s="17">
        <v>13937</v>
      </c>
      <c r="B3938" s="18">
        <v>45430</v>
      </c>
      <c r="C3938" s="17" t="s">
        <v>167</v>
      </c>
      <c r="D3938" s="17" t="s">
        <v>86</v>
      </c>
      <c r="E3938" s="17" t="s">
        <v>162</v>
      </c>
      <c r="F3938" s="17" t="s">
        <v>164</v>
      </c>
      <c r="G3938" s="17">
        <v>7</v>
      </c>
      <c r="H3938" s="17">
        <v>52679</v>
      </c>
      <c r="I3938" s="17">
        <v>368753</v>
      </c>
      <c r="J3938" s="17">
        <v>4619</v>
      </c>
      <c r="K3938" s="17">
        <v>364134</v>
      </c>
      <c r="L3938" s="17">
        <v>57257.078730000001</v>
      </c>
      <c r="M3938" s="17">
        <v>2024</v>
      </c>
      <c r="N3938" s="17" t="s">
        <v>117</v>
      </c>
    </row>
    <row r="3939" spans="1:14" ht="14.25" customHeight="1">
      <c r="A3939" s="17">
        <v>13938</v>
      </c>
      <c r="B3939" s="18">
        <v>45648</v>
      </c>
      <c r="C3939" s="17" t="s">
        <v>58</v>
      </c>
      <c r="D3939" s="17" t="s">
        <v>83</v>
      </c>
      <c r="E3939" s="17" t="s">
        <v>168</v>
      </c>
      <c r="F3939" s="17" t="s">
        <v>172</v>
      </c>
      <c r="G3939" s="17">
        <v>9</v>
      </c>
      <c r="H3939" s="17">
        <v>18163</v>
      </c>
      <c r="I3939" s="17">
        <v>163467</v>
      </c>
      <c r="J3939" s="17">
        <v>2193</v>
      </c>
      <c r="K3939" s="17">
        <v>161274</v>
      </c>
      <c r="L3939" s="17">
        <v>29072.134119999999</v>
      </c>
      <c r="M3939" s="17">
        <v>2024</v>
      </c>
      <c r="N3939" s="17" t="s">
        <v>169</v>
      </c>
    </row>
    <row r="3940" spans="1:14" ht="14.25" customHeight="1">
      <c r="A3940" s="17">
        <v>13939</v>
      </c>
      <c r="B3940" s="18">
        <v>45892</v>
      </c>
      <c r="C3940" s="17" t="s">
        <v>50</v>
      </c>
      <c r="D3940" s="17" t="s">
        <v>86</v>
      </c>
      <c r="E3940" s="17" t="s">
        <v>168</v>
      </c>
      <c r="F3940" s="17" t="s">
        <v>172</v>
      </c>
      <c r="G3940" s="17">
        <v>9</v>
      </c>
      <c r="H3940" s="17">
        <v>35802</v>
      </c>
      <c r="I3940" s="17">
        <v>322218</v>
      </c>
      <c r="J3940" s="17">
        <v>2311</v>
      </c>
      <c r="K3940" s="17">
        <v>319907</v>
      </c>
      <c r="L3940" s="17">
        <v>32635.87026</v>
      </c>
      <c r="M3940" s="17">
        <v>2025</v>
      </c>
      <c r="N3940" s="17" t="s">
        <v>126</v>
      </c>
    </row>
    <row r="3941" spans="1:14" ht="14.25" customHeight="1">
      <c r="A3941" s="17">
        <v>13940</v>
      </c>
      <c r="B3941" s="18">
        <v>45565</v>
      </c>
      <c r="C3941" s="17" t="s">
        <v>50</v>
      </c>
      <c r="D3941" s="17" t="s">
        <v>83</v>
      </c>
      <c r="E3941" s="17" t="s">
        <v>165</v>
      </c>
      <c r="F3941" s="17" t="s">
        <v>166</v>
      </c>
      <c r="G3941" s="17">
        <v>8</v>
      </c>
      <c r="H3941" s="17">
        <v>57175</v>
      </c>
      <c r="I3941" s="17">
        <v>457400</v>
      </c>
      <c r="J3941" s="17">
        <v>4563</v>
      </c>
      <c r="K3941" s="17">
        <v>452837</v>
      </c>
      <c r="L3941" s="17">
        <v>98285.842650000006</v>
      </c>
      <c r="M3941" s="17">
        <v>2024</v>
      </c>
      <c r="N3941" s="17" t="s">
        <v>129</v>
      </c>
    </row>
    <row r="3942" spans="1:14" ht="14.25" customHeight="1">
      <c r="A3942" s="17">
        <v>13941</v>
      </c>
      <c r="B3942" s="18">
        <v>45310</v>
      </c>
      <c r="C3942" s="17" t="s">
        <v>167</v>
      </c>
      <c r="D3942" s="17" t="s">
        <v>170</v>
      </c>
      <c r="E3942" s="17" t="s">
        <v>165</v>
      </c>
      <c r="F3942" s="17" t="s">
        <v>166</v>
      </c>
      <c r="G3942" s="17">
        <v>7</v>
      </c>
      <c r="H3942" s="17">
        <v>15111</v>
      </c>
      <c r="I3942" s="17">
        <v>105777</v>
      </c>
      <c r="J3942" s="17">
        <v>1584</v>
      </c>
      <c r="K3942" s="17">
        <v>104193</v>
      </c>
      <c r="L3942" s="17">
        <v>24902.90091</v>
      </c>
      <c r="M3942" s="17">
        <v>2024</v>
      </c>
      <c r="N3942" s="17" t="s">
        <v>171</v>
      </c>
    </row>
    <row r="3943" spans="1:14" ht="14.25" customHeight="1">
      <c r="A3943" s="17">
        <v>13942</v>
      </c>
      <c r="B3943" s="18">
        <v>45602</v>
      </c>
      <c r="C3943" s="17" t="s">
        <v>50</v>
      </c>
      <c r="D3943" s="17" t="s">
        <v>170</v>
      </c>
      <c r="E3943" s="17" t="s">
        <v>165</v>
      </c>
      <c r="F3943" s="17" t="s">
        <v>172</v>
      </c>
      <c r="G3943" s="17">
        <v>3</v>
      </c>
      <c r="H3943" s="17">
        <v>64936</v>
      </c>
      <c r="I3943" s="17">
        <v>194808</v>
      </c>
      <c r="J3943" s="17">
        <v>3006</v>
      </c>
      <c r="K3943" s="17">
        <v>191802</v>
      </c>
      <c r="L3943" s="17">
        <v>43448.510730000002</v>
      </c>
      <c r="M3943" s="17">
        <v>2024</v>
      </c>
      <c r="N3943" s="17" t="s">
        <v>173</v>
      </c>
    </row>
    <row r="3944" spans="1:14" ht="14.25" customHeight="1">
      <c r="A3944" s="17">
        <v>13943</v>
      </c>
      <c r="B3944" s="18">
        <v>45445</v>
      </c>
      <c r="C3944" s="17" t="s">
        <v>39</v>
      </c>
      <c r="D3944" s="17" t="s">
        <v>86</v>
      </c>
      <c r="E3944" s="17" t="s">
        <v>162</v>
      </c>
      <c r="F3944" s="17" t="s">
        <v>164</v>
      </c>
      <c r="G3944" s="17">
        <v>3</v>
      </c>
      <c r="H3944" s="17">
        <v>70526</v>
      </c>
      <c r="I3944" s="17">
        <v>211578</v>
      </c>
      <c r="J3944" s="17">
        <v>4044</v>
      </c>
      <c r="K3944" s="17">
        <v>207534</v>
      </c>
      <c r="L3944" s="17">
        <v>21910.957569999999</v>
      </c>
      <c r="M3944" s="17">
        <v>2024</v>
      </c>
      <c r="N3944" s="17" t="s">
        <v>120</v>
      </c>
    </row>
    <row r="3945" spans="1:14" ht="14.25" customHeight="1">
      <c r="A3945" s="17">
        <v>13944</v>
      </c>
      <c r="B3945" s="18">
        <v>45681</v>
      </c>
      <c r="C3945" s="17" t="s">
        <v>39</v>
      </c>
      <c r="D3945" s="17" t="s">
        <v>86</v>
      </c>
      <c r="E3945" s="17" t="s">
        <v>165</v>
      </c>
      <c r="F3945" s="17" t="s">
        <v>166</v>
      </c>
      <c r="G3945" s="17">
        <v>5</v>
      </c>
      <c r="H3945" s="17">
        <v>26119</v>
      </c>
      <c r="I3945" s="17">
        <v>130595</v>
      </c>
      <c r="J3945" s="17">
        <v>1210</v>
      </c>
      <c r="K3945" s="17">
        <v>129385</v>
      </c>
      <c r="L3945" s="17">
        <v>23117.955890000001</v>
      </c>
      <c r="M3945" s="17">
        <v>2025</v>
      </c>
      <c r="N3945" s="17" t="s">
        <v>171</v>
      </c>
    </row>
    <row r="3946" spans="1:14" ht="14.25" customHeight="1">
      <c r="A3946" s="17">
        <v>13945</v>
      </c>
      <c r="B3946" s="18">
        <v>45551</v>
      </c>
      <c r="C3946" s="17" t="s">
        <v>45</v>
      </c>
      <c r="D3946" s="17" t="s">
        <v>83</v>
      </c>
      <c r="E3946" s="17" t="s">
        <v>168</v>
      </c>
      <c r="F3946" s="17" t="s">
        <v>164</v>
      </c>
      <c r="G3946" s="17">
        <v>7</v>
      </c>
      <c r="H3946" s="17">
        <v>66896</v>
      </c>
      <c r="I3946" s="17">
        <v>468272</v>
      </c>
      <c r="J3946" s="17">
        <v>3414</v>
      </c>
      <c r="K3946" s="17">
        <v>464858</v>
      </c>
      <c r="L3946" s="17">
        <v>103246.85219999999</v>
      </c>
      <c r="M3946" s="17">
        <v>2024</v>
      </c>
      <c r="N3946" s="17" t="s">
        <v>129</v>
      </c>
    </row>
    <row r="3947" spans="1:14" ht="14.25" customHeight="1">
      <c r="A3947" s="17">
        <v>13946</v>
      </c>
      <c r="B3947" s="18">
        <v>45911</v>
      </c>
      <c r="C3947" s="17" t="s">
        <v>50</v>
      </c>
      <c r="D3947" s="17" t="s">
        <v>86</v>
      </c>
      <c r="E3947" s="17" t="s">
        <v>162</v>
      </c>
      <c r="F3947" s="17" t="s">
        <v>163</v>
      </c>
      <c r="G3947" s="17">
        <v>7</v>
      </c>
      <c r="H3947" s="17">
        <v>40539</v>
      </c>
      <c r="I3947" s="17">
        <v>283773</v>
      </c>
      <c r="J3947" s="17">
        <v>1986</v>
      </c>
      <c r="K3947" s="17">
        <v>281787</v>
      </c>
      <c r="L3947" s="17">
        <v>42723.747560000003</v>
      </c>
      <c r="M3947" s="17">
        <v>2025</v>
      </c>
      <c r="N3947" s="17" t="s">
        <v>129</v>
      </c>
    </row>
    <row r="3948" spans="1:14" ht="14.25" customHeight="1">
      <c r="A3948" s="17">
        <v>13947</v>
      </c>
      <c r="B3948" s="18">
        <v>45862</v>
      </c>
      <c r="C3948" s="17" t="s">
        <v>45</v>
      </c>
      <c r="D3948" s="17" t="s">
        <v>111</v>
      </c>
      <c r="E3948" s="17" t="s">
        <v>165</v>
      </c>
      <c r="F3948" s="17" t="s">
        <v>166</v>
      </c>
      <c r="G3948" s="17">
        <v>1</v>
      </c>
      <c r="H3948" s="17">
        <v>60387</v>
      </c>
      <c r="I3948" s="17">
        <v>60387</v>
      </c>
      <c r="J3948" s="17">
        <v>3170</v>
      </c>
      <c r="K3948" s="17">
        <v>57217</v>
      </c>
      <c r="L3948" s="17">
        <v>13420.568149999999</v>
      </c>
      <c r="M3948" s="17">
        <v>2025</v>
      </c>
      <c r="N3948" s="17" t="s">
        <v>123</v>
      </c>
    </row>
    <row r="3949" spans="1:14" ht="14.25" customHeight="1">
      <c r="A3949" s="17">
        <v>13948</v>
      </c>
      <c r="B3949" s="18">
        <v>45416</v>
      </c>
      <c r="C3949" s="17" t="s">
        <v>58</v>
      </c>
      <c r="D3949" s="17" t="s">
        <v>170</v>
      </c>
      <c r="E3949" s="17" t="s">
        <v>168</v>
      </c>
      <c r="F3949" s="17" t="s">
        <v>166</v>
      </c>
      <c r="G3949" s="17">
        <v>8</v>
      </c>
      <c r="H3949" s="17">
        <v>47823</v>
      </c>
      <c r="I3949" s="17">
        <v>382584</v>
      </c>
      <c r="J3949" s="17">
        <v>2726</v>
      </c>
      <c r="K3949" s="17">
        <v>379858</v>
      </c>
      <c r="L3949" s="17">
        <v>88519.051139999996</v>
      </c>
      <c r="M3949" s="17">
        <v>2024</v>
      </c>
      <c r="N3949" s="17" t="s">
        <v>117</v>
      </c>
    </row>
    <row r="3950" spans="1:14" ht="14.25" customHeight="1">
      <c r="A3950" s="17">
        <v>13949</v>
      </c>
      <c r="B3950" s="18">
        <v>45645</v>
      </c>
      <c r="C3950" s="17" t="s">
        <v>39</v>
      </c>
      <c r="D3950" s="17" t="s">
        <v>86</v>
      </c>
      <c r="E3950" s="17" t="s">
        <v>168</v>
      </c>
      <c r="F3950" s="17" t="s">
        <v>166</v>
      </c>
      <c r="G3950" s="17">
        <v>1</v>
      </c>
      <c r="H3950" s="17">
        <v>74555</v>
      </c>
      <c r="I3950" s="17">
        <v>74555</v>
      </c>
      <c r="J3950" s="17">
        <v>1748</v>
      </c>
      <c r="K3950" s="17">
        <v>72807</v>
      </c>
      <c r="L3950" s="17">
        <v>8828.2621569999992</v>
      </c>
      <c r="M3950" s="17">
        <v>2024</v>
      </c>
      <c r="N3950" s="17" t="s">
        <v>169</v>
      </c>
    </row>
    <row r="3951" spans="1:14" ht="14.25" customHeight="1">
      <c r="A3951" s="17">
        <v>13950</v>
      </c>
      <c r="B3951" s="18">
        <v>45564</v>
      </c>
      <c r="C3951" s="17" t="s">
        <v>58</v>
      </c>
      <c r="D3951" s="17" t="s">
        <v>86</v>
      </c>
      <c r="E3951" s="17" t="s">
        <v>162</v>
      </c>
      <c r="F3951" s="17" t="s">
        <v>163</v>
      </c>
      <c r="G3951" s="17">
        <v>4</v>
      </c>
      <c r="H3951" s="17">
        <v>52418</v>
      </c>
      <c r="I3951" s="17">
        <v>209672</v>
      </c>
      <c r="J3951" s="17">
        <v>757</v>
      </c>
      <c r="K3951" s="17">
        <v>208915</v>
      </c>
      <c r="L3951" s="17">
        <v>36360.530850000003</v>
      </c>
      <c r="M3951" s="17">
        <v>2024</v>
      </c>
      <c r="N3951" s="17" t="s">
        <v>129</v>
      </c>
    </row>
    <row r="3952" spans="1:14" ht="14.25" customHeight="1">
      <c r="A3952" s="17">
        <v>13951</v>
      </c>
      <c r="B3952" s="18">
        <v>45910</v>
      </c>
      <c r="C3952" s="17" t="s">
        <v>167</v>
      </c>
      <c r="D3952" s="17" t="s">
        <v>89</v>
      </c>
      <c r="E3952" s="17" t="s">
        <v>168</v>
      </c>
      <c r="F3952" s="17" t="s">
        <v>172</v>
      </c>
      <c r="G3952" s="17">
        <v>2</v>
      </c>
      <c r="H3952" s="17">
        <v>53695</v>
      </c>
      <c r="I3952" s="17">
        <v>107390</v>
      </c>
      <c r="J3952" s="17">
        <v>1177</v>
      </c>
      <c r="K3952" s="17">
        <v>106213</v>
      </c>
      <c r="L3952" s="17">
        <v>11030.233050000001</v>
      </c>
      <c r="M3952" s="17">
        <v>2025</v>
      </c>
      <c r="N3952" s="17" t="s">
        <v>129</v>
      </c>
    </row>
    <row r="3953" spans="1:14" ht="14.25" customHeight="1">
      <c r="A3953" s="17">
        <v>13952</v>
      </c>
      <c r="B3953" s="18">
        <v>45536</v>
      </c>
      <c r="C3953" s="17" t="s">
        <v>39</v>
      </c>
      <c r="D3953" s="17" t="s">
        <v>86</v>
      </c>
      <c r="E3953" s="17" t="s">
        <v>165</v>
      </c>
      <c r="F3953" s="17" t="s">
        <v>164</v>
      </c>
      <c r="G3953" s="17">
        <v>5</v>
      </c>
      <c r="H3953" s="17">
        <v>66936</v>
      </c>
      <c r="I3953" s="17">
        <v>334680</v>
      </c>
      <c r="J3953" s="17">
        <v>918</v>
      </c>
      <c r="K3953" s="17">
        <v>333762</v>
      </c>
      <c r="L3953" s="17">
        <v>47487.303959999997</v>
      </c>
      <c r="M3953" s="17">
        <v>2024</v>
      </c>
      <c r="N3953" s="17" t="s">
        <v>129</v>
      </c>
    </row>
    <row r="3954" spans="1:14" ht="14.25" customHeight="1">
      <c r="A3954" s="17">
        <v>13953</v>
      </c>
      <c r="B3954" s="18">
        <v>45741</v>
      </c>
      <c r="C3954" s="17" t="s">
        <v>58</v>
      </c>
      <c r="D3954" s="17" t="s">
        <v>111</v>
      </c>
      <c r="E3954" s="17" t="s">
        <v>168</v>
      </c>
      <c r="F3954" s="17" t="s">
        <v>163</v>
      </c>
      <c r="G3954" s="17">
        <v>6</v>
      </c>
      <c r="H3954" s="17">
        <v>21418</v>
      </c>
      <c r="I3954" s="17">
        <v>128508</v>
      </c>
      <c r="J3954" s="17">
        <v>1119</v>
      </c>
      <c r="K3954" s="17">
        <v>127389</v>
      </c>
      <c r="L3954" s="17">
        <v>28252.450339999999</v>
      </c>
      <c r="M3954" s="17">
        <v>2025</v>
      </c>
      <c r="N3954" s="17" t="s">
        <v>112</v>
      </c>
    </row>
    <row r="3955" spans="1:14" ht="14.25" customHeight="1">
      <c r="A3955" s="17">
        <v>13954</v>
      </c>
      <c r="B3955" s="18">
        <v>45538</v>
      </c>
      <c r="C3955" s="17" t="s">
        <v>167</v>
      </c>
      <c r="D3955" s="17" t="s">
        <v>170</v>
      </c>
      <c r="E3955" s="17" t="s">
        <v>165</v>
      </c>
      <c r="F3955" s="17" t="s">
        <v>172</v>
      </c>
      <c r="G3955" s="17">
        <v>4</v>
      </c>
      <c r="H3955" s="17">
        <v>31742</v>
      </c>
      <c r="I3955" s="17">
        <v>126968</v>
      </c>
      <c r="J3955" s="17">
        <v>705</v>
      </c>
      <c r="K3955" s="17">
        <v>126263</v>
      </c>
      <c r="L3955" s="17">
        <v>31094.926739999999</v>
      </c>
      <c r="M3955" s="17">
        <v>2024</v>
      </c>
      <c r="N3955" s="17" t="s">
        <v>129</v>
      </c>
    </row>
    <row r="3956" spans="1:14" ht="14.25" customHeight="1">
      <c r="A3956" s="17">
        <v>13955</v>
      </c>
      <c r="B3956" s="18">
        <v>45811</v>
      </c>
      <c r="C3956" s="17" t="s">
        <v>58</v>
      </c>
      <c r="D3956" s="17" t="s">
        <v>89</v>
      </c>
      <c r="E3956" s="17" t="s">
        <v>165</v>
      </c>
      <c r="F3956" s="17" t="s">
        <v>166</v>
      </c>
      <c r="G3956" s="17">
        <v>4</v>
      </c>
      <c r="H3956" s="17">
        <v>53028</v>
      </c>
      <c r="I3956" s="17">
        <v>212112</v>
      </c>
      <c r="J3956" s="17">
        <v>4929</v>
      </c>
      <c r="K3956" s="17">
        <v>207183</v>
      </c>
      <c r="L3956" s="17">
        <v>49102.057829999998</v>
      </c>
      <c r="M3956" s="17">
        <v>2025</v>
      </c>
      <c r="N3956" s="17" t="s">
        <v>120</v>
      </c>
    </row>
    <row r="3957" spans="1:14" ht="14.25" customHeight="1">
      <c r="A3957" s="17">
        <v>13956</v>
      </c>
      <c r="B3957" s="18">
        <v>45432</v>
      </c>
      <c r="C3957" s="17" t="s">
        <v>167</v>
      </c>
      <c r="D3957" s="17" t="s">
        <v>83</v>
      </c>
      <c r="E3957" s="17" t="s">
        <v>162</v>
      </c>
      <c r="F3957" s="17" t="s">
        <v>172</v>
      </c>
      <c r="G3957" s="17">
        <v>7</v>
      </c>
      <c r="H3957" s="17">
        <v>12618</v>
      </c>
      <c r="I3957" s="17">
        <v>88326</v>
      </c>
      <c r="J3957" s="17">
        <v>3430</v>
      </c>
      <c r="K3957" s="17">
        <v>84896</v>
      </c>
      <c r="L3957" s="17">
        <v>9031.8354610000006</v>
      </c>
      <c r="M3957" s="17">
        <v>2024</v>
      </c>
      <c r="N3957" s="17" t="s">
        <v>117</v>
      </c>
    </row>
    <row r="3958" spans="1:14" ht="14.25" customHeight="1">
      <c r="A3958" s="17">
        <v>13957</v>
      </c>
      <c r="B3958" s="18">
        <v>45653</v>
      </c>
      <c r="C3958" s="17" t="s">
        <v>167</v>
      </c>
      <c r="D3958" s="17" t="s">
        <v>83</v>
      </c>
      <c r="E3958" s="17" t="s">
        <v>168</v>
      </c>
      <c r="F3958" s="17" t="s">
        <v>172</v>
      </c>
      <c r="G3958" s="17">
        <v>4</v>
      </c>
      <c r="H3958" s="17">
        <v>73916</v>
      </c>
      <c r="I3958" s="17">
        <v>295664</v>
      </c>
      <c r="J3958" s="17">
        <v>2861</v>
      </c>
      <c r="K3958" s="17">
        <v>292803</v>
      </c>
      <c r="L3958" s="17">
        <v>69982.721690000006</v>
      </c>
      <c r="M3958" s="17">
        <v>2024</v>
      </c>
      <c r="N3958" s="17" t="s">
        <v>169</v>
      </c>
    </row>
    <row r="3959" spans="1:14" ht="14.25" customHeight="1">
      <c r="A3959" s="17">
        <v>13958</v>
      </c>
      <c r="B3959" s="18">
        <v>45299</v>
      </c>
      <c r="C3959" s="17" t="s">
        <v>39</v>
      </c>
      <c r="D3959" s="17" t="s">
        <v>170</v>
      </c>
      <c r="E3959" s="17" t="s">
        <v>162</v>
      </c>
      <c r="F3959" s="17" t="s">
        <v>172</v>
      </c>
      <c r="G3959" s="17">
        <v>2</v>
      </c>
      <c r="H3959" s="17">
        <v>59628</v>
      </c>
      <c r="I3959" s="17">
        <v>119256</v>
      </c>
      <c r="J3959" s="17">
        <v>4494</v>
      </c>
      <c r="K3959" s="17">
        <v>114762</v>
      </c>
      <c r="L3959" s="17">
        <v>25637.51251</v>
      </c>
      <c r="M3959" s="17">
        <v>2024</v>
      </c>
      <c r="N3959" s="17" t="s">
        <v>171</v>
      </c>
    </row>
    <row r="3960" spans="1:14" ht="14.25" customHeight="1">
      <c r="A3960" s="17">
        <v>13959</v>
      </c>
      <c r="B3960" s="18">
        <v>45769</v>
      </c>
      <c r="C3960" s="17" t="s">
        <v>45</v>
      </c>
      <c r="D3960" s="17" t="s">
        <v>83</v>
      </c>
      <c r="E3960" s="17" t="s">
        <v>162</v>
      </c>
      <c r="F3960" s="17" t="s">
        <v>164</v>
      </c>
      <c r="G3960" s="17">
        <v>4</v>
      </c>
      <c r="H3960" s="17">
        <v>19725</v>
      </c>
      <c r="I3960" s="17">
        <v>78900</v>
      </c>
      <c r="J3960" s="17">
        <v>1807</v>
      </c>
      <c r="K3960" s="17">
        <v>77093</v>
      </c>
      <c r="L3960" s="17">
        <v>17743.36852</v>
      </c>
      <c r="M3960" s="17">
        <v>2025</v>
      </c>
      <c r="N3960" s="17" t="s">
        <v>114</v>
      </c>
    </row>
    <row r="3961" spans="1:14" ht="14.25" customHeight="1">
      <c r="A3961" s="17">
        <v>13960</v>
      </c>
      <c r="B3961" s="18">
        <v>45643</v>
      </c>
      <c r="C3961" s="17" t="s">
        <v>167</v>
      </c>
      <c r="D3961" s="17" t="s">
        <v>111</v>
      </c>
      <c r="E3961" s="17" t="s">
        <v>162</v>
      </c>
      <c r="F3961" s="17" t="s">
        <v>172</v>
      </c>
      <c r="G3961" s="17">
        <v>7</v>
      </c>
      <c r="H3961" s="17">
        <v>46135</v>
      </c>
      <c r="I3961" s="17">
        <v>322945</v>
      </c>
      <c r="J3961" s="17">
        <v>1399</v>
      </c>
      <c r="K3961" s="17">
        <v>321546</v>
      </c>
      <c r="L3961" s="17">
        <v>76278.433539999998</v>
      </c>
      <c r="M3961" s="17">
        <v>2024</v>
      </c>
      <c r="N3961" s="17" t="s">
        <v>169</v>
      </c>
    </row>
    <row r="3962" spans="1:14" ht="14.25" customHeight="1">
      <c r="A3962" s="17">
        <v>13961</v>
      </c>
      <c r="B3962" s="18">
        <v>45786</v>
      </c>
      <c r="C3962" s="17" t="s">
        <v>167</v>
      </c>
      <c r="D3962" s="17" t="s">
        <v>86</v>
      </c>
      <c r="E3962" s="17" t="s">
        <v>165</v>
      </c>
      <c r="F3962" s="17" t="s">
        <v>172</v>
      </c>
      <c r="G3962" s="17">
        <v>1</v>
      </c>
      <c r="H3962" s="17">
        <v>75223</v>
      </c>
      <c r="I3962" s="17">
        <v>75223</v>
      </c>
      <c r="J3962" s="17">
        <v>2649</v>
      </c>
      <c r="K3962" s="17">
        <v>72574</v>
      </c>
      <c r="L3962" s="17">
        <v>12571.7754</v>
      </c>
      <c r="M3962" s="17">
        <v>2025</v>
      </c>
      <c r="N3962" s="17" t="s">
        <v>117</v>
      </c>
    </row>
    <row r="3963" spans="1:14" ht="14.25" customHeight="1">
      <c r="A3963" s="17">
        <v>13962</v>
      </c>
      <c r="B3963" s="18">
        <v>45897</v>
      </c>
      <c r="C3963" s="17" t="s">
        <v>39</v>
      </c>
      <c r="D3963" s="17" t="s">
        <v>170</v>
      </c>
      <c r="E3963" s="17" t="s">
        <v>165</v>
      </c>
      <c r="F3963" s="17" t="s">
        <v>172</v>
      </c>
      <c r="G3963" s="17">
        <v>4</v>
      </c>
      <c r="H3963" s="17">
        <v>50969</v>
      </c>
      <c r="I3963" s="17">
        <v>203876</v>
      </c>
      <c r="J3963" s="17">
        <v>4423</v>
      </c>
      <c r="K3963" s="17">
        <v>199453</v>
      </c>
      <c r="L3963" s="17">
        <v>26264.518349999998</v>
      </c>
      <c r="M3963" s="17">
        <v>2025</v>
      </c>
      <c r="N3963" s="17" t="s">
        <v>126</v>
      </c>
    </row>
    <row r="3964" spans="1:14" ht="14.25" customHeight="1">
      <c r="A3964" s="17">
        <v>13963</v>
      </c>
      <c r="B3964" s="18">
        <v>45718</v>
      </c>
      <c r="C3964" s="17" t="s">
        <v>45</v>
      </c>
      <c r="D3964" s="17" t="s">
        <v>89</v>
      </c>
      <c r="E3964" s="17" t="s">
        <v>165</v>
      </c>
      <c r="F3964" s="17" t="s">
        <v>172</v>
      </c>
      <c r="G3964" s="17">
        <v>6</v>
      </c>
      <c r="H3964" s="17">
        <v>72122</v>
      </c>
      <c r="I3964" s="17">
        <v>432732</v>
      </c>
      <c r="J3964" s="17">
        <v>1295</v>
      </c>
      <c r="K3964" s="17">
        <v>431437</v>
      </c>
      <c r="L3964" s="17">
        <v>44504.285349999998</v>
      </c>
      <c r="M3964" s="17">
        <v>2025</v>
      </c>
      <c r="N3964" s="17" t="s">
        <v>112</v>
      </c>
    </row>
    <row r="3965" spans="1:14" ht="14.25" customHeight="1">
      <c r="A3965" s="17">
        <v>13964</v>
      </c>
      <c r="B3965" s="18">
        <v>45330</v>
      </c>
      <c r="C3965" s="17" t="s">
        <v>50</v>
      </c>
      <c r="D3965" s="17" t="s">
        <v>86</v>
      </c>
      <c r="E3965" s="17" t="s">
        <v>165</v>
      </c>
      <c r="F3965" s="17" t="s">
        <v>163</v>
      </c>
      <c r="G3965" s="17">
        <v>8</v>
      </c>
      <c r="H3965" s="17">
        <v>13056</v>
      </c>
      <c r="I3965" s="17">
        <v>104448</v>
      </c>
      <c r="J3965" s="17">
        <v>1620</v>
      </c>
      <c r="K3965" s="17">
        <v>102828</v>
      </c>
      <c r="L3965" s="17">
        <v>10646.01324</v>
      </c>
      <c r="M3965" s="17">
        <v>2024</v>
      </c>
      <c r="N3965" s="17" t="s">
        <v>175</v>
      </c>
    </row>
    <row r="3966" spans="1:14" ht="14.25" customHeight="1">
      <c r="A3966" s="17">
        <v>13965</v>
      </c>
      <c r="B3966" s="18">
        <v>45884</v>
      </c>
      <c r="C3966" s="17" t="s">
        <v>50</v>
      </c>
      <c r="D3966" s="17" t="s">
        <v>83</v>
      </c>
      <c r="E3966" s="17" t="s">
        <v>168</v>
      </c>
      <c r="F3966" s="17" t="s">
        <v>163</v>
      </c>
      <c r="G3966" s="17">
        <v>8</v>
      </c>
      <c r="H3966" s="17">
        <v>75958</v>
      </c>
      <c r="I3966" s="17">
        <v>607664</v>
      </c>
      <c r="J3966" s="17">
        <v>2442</v>
      </c>
      <c r="K3966" s="17">
        <v>605222</v>
      </c>
      <c r="L3966" s="17">
        <v>118851.5073</v>
      </c>
      <c r="M3966" s="17">
        <v>2025</v>
      </c>
      <c r="N3966" s="17" t="s">
        <v>126</v>
      </c>
    </row>
    <row r="3967" spans="1:14" ht="14.25" customHeight="1">
      <c r="A3967" s="17">
        <v>13966</v>
      </c>
      <c r="B3967" s="18">
        <v>45478</v>
      </c>
      <c r="C3967" s="17" t="s">
        <v>45</v>
      </c>
      <c r="D3967" s="17" t="s">
        <v>83</v>
      </c>
      <c r="E3967" s="17" t="s">
        <v>168</v>
      </c>
      <c r="F3967" s="17" t="s">
        <v>172</v>
      </c>
      <c r="G3967" s="17">
        <v>9</v>
      </c>
      <c r="H3967" s="17">
        <v>65346</v>
      </c>
      <c r="I3967" s="17">
        <v>588114</v>
      </c>
      <c r="J3967" s="17">
        <v>2595</v>
      </c>
      <c r="K3967" s="17">
        <v>585519</v>
      </c>
      <c r="L3967" s="17">
        <v>88174.485090000002</v>
      </c>
      <c r="M3967" s="17">
        <v>2024</v>
      </c>
      <c r="N3967" s="17" t="s">
        <v>123</v>
      </c>
    </row>
    <row r="3968" spans="1:14" ht="14.25" customHeight="1">
      <c r="A3968" s="17">
        <v>13967</v>
      </c>
      <c r="B3968" s="18">
        <v>45887</v>
      </c>
      <c r="C3968" s="17" t="s">
        <v>58</v>
      </c>
      <c r="D3968" s="17" t="s">
        <v>89</v>
      </c>
      <c r="E3968" s="17" t="s">
        <v>165</v>
      </c>
      <c r="F3968" s="17" t="s">
        <v>172</v>
      </c>
      <c r="G3968" s="17">
        <v>5</v>
      </c>
      <c r="H3968" s="17">
        <v>5952</v>
      </c>
      <c r="I3968" s="17">
        <v>29760</v>
      </c>
      <c r="J3968" s="17">
        <v>4172</v>
      </c>
      <c r="K3968" s="17">
        <v>25588</v>
      </c>
      <c r="L3968" s="17">
        <v>4462.1505310000002</v>
      </c>
      <c r="M3968" s="17">
        <v>2025</v>
      </c>
      <c r="N3968" s="17" t="s">
        <v>126</v>
      </c>
    </row>
    <row r="3969" spans="1:14" ht="14.25" customHeight="1">
      <c r="A3969" s="17">
        <v>13968</v>
      </c>
      <c r="B3969" s="18">
        <v>45891</v>
      </c>
      <c r="C3969" s="17" t="s">
        <v>39</v>
      </c>
      <c r="D3969" s="17" t="s">
        <v>111</v>
      </c>
      <c r="E3969" s="17" t="s">
        <v>165</v>
      </c>
      <c r="F3969" s="17" t="s">
        <v>172</v>
      </c>
      <c r="G3969" s="17">
        <v>2</v>
      </c>
      <c r="H3969" s="17">
        <v>17521</v>
      </c>
      <c r="I3969" s="17">
        <v>35042</v>
      </c>
      <c r="J3969" s="17">
        <v>1072</v>
      </c>
      <c r="K3969" s="17">
        <v>33970</v>
      </c>
      <c r="L3969" s="17">
        <v>4066.2183949999999</v>
      </c>
      <c r="M3969" s="17">
        <v>2025</v>
      </c>
      <c r="N3969" s="17" t="s">
        <v>126</v>
      </c>
    </row>
    <row r="3970" spans="1:14" ht="14.25" customHeight="1">
      <c r="A3970" s="17">
        <v>13969</v>
      </c>
      <c r="B3970" s="18">
        <v>45384</v>
      </c>
      <c r="C3970" s="17" t="s">
        <v>45</v>
      </c>
      <c r="D3970" s="17" t="s">
        <v>89</v>
      </c>
      <c r="E3970" s="17" t="s">
        <v>168</v>
      </c>
      <c r="F3970" s="17" t="s">
        <v>166</v>
      </c>
      <c r="G3970" s="17">
        <v>3</v>
      </c>
      <c r="H3970" s="17">
        <v>15906</v>
      </c>
      <c r="I3970" s="17">
        <v>47718</v>
      </c>
      <c r="J3970" s="17">
        <v>4075</v>
      </c>
      <c r="K3970" s="17">
        <v>43643</v>
      </c>
      <c r="L3970" s="17">
        <v>10750.449479999999</v>
      </c>
      <c r="M3970" s="17">
        <v>2024</v>
      </c>
      <c r="N3970" s="17" t="s">
        <v>114</v>
      </c>
    </row>
    <row r="3971" spans="1:14" ht="14.25" customHeight="1">
      <c r="A3971" s="17">
        <v>13970</v>
      </c>
      <c r="B3971" s="18">
        <v>45377</v>
      </c>
      <c r="C3971" s="17" t="s">
        <v>50</v>
      </c>
      <c r="D3971" s="17" t="s">
        <v>170</v>
      </c>
      <c r="E3971" s="17" t="s">
        <v>162</v>
      </c>
      <c r="F3971" s="17" t="s">
        <v>172</v>
      </c>
      <c r="G3971" s="17">
        <v>2</v>
      </c>
      <c r="H3971" s="17">
        <v>73514</v>
      </c>
      <c r="I3971" s="17">
        <v>147028</v>
      </c>
      <c r="J3971" s="17">
        <v>1449</v>
      </c>
      <c r="K3971" s="17">
        <v>145579</v>
      </c>
      <c r="L3971" s="17">
        <v>17395.445790000002</v>
      </c>
      <c r="M3971" s="17">
        <v>2024</v>
      </c>
      <c r="N3971" s="17" t="s">
        <v>112</v>
      </c>
    </row>
    <row r="3972" spans="1:14" ht="14.25" customHeight="1">
      <c r="A3972" s="17">
        <v>13971</v>
      </c>
      <c r="B3972" s="18">
        <v>45335</v>
      </c>
      <c r="C3972" s="17" t="s">
        <v>167</v>
      </c>
      <c r="D3972" s="17" t="s">
        <v>89</v>
      </c>
      <c r="E3972" s="17" t="s">
        <v>162</v>
      </c>
      <c r="F3972" s="17" t="s">
        <v>172</v>
      </c>
      <c r="G3972" s="17">
        <v>9</v>
      </c>
      <c r="H3972" s="17">
        <v>47769</v>
      </c>
      <c r="I3972" s="17">
        <v>429921</v>
      </c>
      <c r="J3972" s="17">
        <v>3942</v>
      </c>
      <c r="K3972" s="17">
        <v>425979</v>
      </c>
      <c r="L3972" s="17">
        <v>71019.624219999998</v>
      </c>
      <c r="M3972" s="17">
        <v>2024</v>
      </c>
      <c r="N3972" s="17" t="s">
        <v>175</v>
      </c>
    </row>
    <row r="3973" spans="1:14" ht="14.25" customHeight="1">
      <c r="A3973" s="17">
        <v>13972</v>
      </c>
      <c r="B3973" s="18">
        <v>45428</v>
      </c>
      <c r="C3973" s="17" t="s">
        <v>50</v>
      </c>
      <c r="D3973" s="17" t="s">
        <v>83</v>
      </c>
      <c r="E3973" s="17" t="s">
        <v>165</v>
      </c>
      <c r="F3973" s="17" t="s">
        <v>163</v>
      </c>
      <c r="G3973" s="17">
        <v>6</v>
      </c>
      <c r="H3973" s="17">
        <v>36275</v>
      </c>
      <c r="I3973" s="17">
        <v>217650</v>
      </c>
      <c r="J3973" s="17">
        <v>1771</v>
      </c>
      <c r="K3973" s="17">
        <v>215879</v>
      </c>
      <c r="L3973" s="17">
        <v>35944.507610000001</v>
      </c>
      <c r="M3973" s="17">
        <v>2024</v>
      </c>
      <c r="N3973" s="17" t="s">
        <v>117</v>
      </c>
    </row>
    <row r="3974" spans="1:14" ht="14.25" customHeight="1">
      <c r="A3974" s="17">
        <v>13973</v>
      </c>
      <c r="B3974" s="18">
        <v>45712</v>
      </c>
      <c r="C3974" s="17" t="s">
        <v>167</v>
      </c>
      <c r="D3974" s="17" t="s">
        <v>111</v>
      </c>
      <c r="E3974" s="17" t="s">
        <v>162</v>
      </c>
      <c r="F3974" s="17" t="s">
        <v>163</v>
      </c>
      <c r="G3974" s="17">
        <v>1</v>
      </c>
      <c r="H3974" s="17">
        <v>48766</v>
      </c>
      <c r="I3974" s="17">
        <v>48766</v>
      </c>
      <c r="J3974" s="17">
        <v>1017</v>
      </c>
      <c r="K3974" s="17">
        <v>47749</v>
      </c>
      <c r="L3974" s="17">
        <v>4836.7723640000004</v>
      </c>
      <c r="M3974" s="17">
        <v>2025</v>
      </c>
      <c r="N3974" s="17" t="s">
        <v>175</v>
      </c>
    </row>
    <row r="3975" spans="1:14" ht="14.25" customHeight="1">
      <c r="A3975" s="17">
        <v>13974</v>
      </c>
      <c r="B3975" s="18">
        <v>45365</v>
      </c>
      <c r="C3975" s="17" t="s">
        <v>39</v>
      </c>
      <c r="D3975" s="17" t="s">
        <v>111</v>
      </c>
      <c r="E3975" s="17" t="s">
        <v>165</v>
      </c>
      <c r="F3975" s="17" t="s">
        <v>163</v>
      </c>
      <c r="G3975" s="17">
        <v>3</v>
      </c>
      <c r="H3975" s="17">
        <v>17343</v>
      </c>
      <c r="I3975" s="17">
        <v>52029</v>
      </c>
      <c r="J3975" s="17">
        <v>3692</v>
      </c>
      <c r="K3975" s="17">
        <v>48337</v>
      </c>
      <c r="L3975" s="17">
        <v>9675.6026000000002</v>
      </c>
      <c r="M3975" s="17">
        <v>2024</v>
      </c>
      <c r="N3975" s="17" t="s">
        <v>112</v>
      </c>
    </row>
    <row r="3976" spans="1:14" ht="14.25" customHeight="1">
      <c r="A3976" s="17">
        <v>13975</v>
      </c>
      <c r="B3976" s="18">
        <v>45839</v>
      </c>
      <c r="C3976" s="17" t="s">
        <v>167</v>
      </c>
      <c r="D3976" s="17" t="s">
        <v>89</v>
      </c>
      <c r="E3976" s="17" t="s">
        <v>165</v>
      </c>
      <c r="F3976" s="17" t="s">
        <v>164</v>
      </c>
      <c r="G3976" s="17">
        <v>7</v>
      </c>
      <c r="H3976" s="17">
        <v>35521</v>
      </c>
      <c r="I3976" s="17">
        <v>248647</v>
      </c>
      <c r="J3976" s="17">
        <v>4224</v>
      </c>
      <c r="K3976" s="17">
        <v>244423</v>
      </c>
      <c r="L3976" s="17">
        <v>44174.956420000002</v>
      </c>
      <c r="M3976" s="17">
        <v>2025</v>
      </c>
      <c r="N3976" s="17" t="s">
        <v>123</v>
      </c>
    </row>
    <row r="3977" spans="1:14" ht="14.25" customHeight="1">
      <c r="A3977" s="17">
        <v>13976</v>
      </c>
      <c r="B3977" s="18">
        <v>45904</v>
      </c>
      <c r="C3977" s="17" t="s">
        <v>45</v>
      </c>
      <c r="D3977" s="17" t="s">
        <v>170</v>
      </c>
      <c r="E3977" s="17" t="s">
        <v>165</v>
      </c>
      <c r="F3977" s="17" t="s">
        <v>166</v>
      </c>
      <c r="G3977" s="17">
        <v>7</v>
      </c>
      <c r="H3977" s="17">
        <v>5805</v>
      </c>
      <c r="I3977" s="17">
        <v>40635</v>
      </c>
      <c r="J3977" s="17">
        <v>518</v>
      </c>
      <c r="K3977" s="17">
        <v>40117</v>
      </c>
      <c r="L3977" s="17">
        <v>7005.4081900000001</v>
      </c>
      <c r="M3977" s="17">
        <v>2025</v>
      </c>
      <c r="N3977" s="17" t="s">
        <v>129</v>
      </c>
    </row>
    <row r="3978" spans="1:14" ht="14.25" customHeight="1">
      <c r="A3978" s="17">
        <v>13977</v>
      </c>
      <c r="B3978" s="18">
        <v>45803</v>
      </c>
      <c r="C3978" s="17" t="s">
        <v>167</v>
      </c>
      <c r="D3978" s="17" t="s">
        <v>83</v>
      </c>
      <c r="E3978" s="17" t="s">
        <v>168</v>
      </c>
      <c r="F3978" s="17" t="s">
        <v>172</v>
      </c>
      <c r="G3978" s="17">
        <v>5</v>
      </c>
      <c r="H3978" s="17">
        <v>40868</v>
      </c>
      <c r="I3978" s="17">
        <v>204340</v>
      </c>
      <c r="J3978" s="17">
        <v>2351</v>
      </c>
      <c r="K3978" s="17">
        <v>201989</v>
      </c>
      <c r="L3978" s="17">
        <v>44985.520759999999</v>
      </c>
      <c r="M3978" s="17">
        <v>2025</v>
      </c>
      <c r="N3978" s="17" t="s">
        <v>117</v>
      </c>
    </row>
    <row r="3979" spans="1:14" ht="14.25" customHeight="1">
      <c r="A3979" s="17">
        <v>13978</v>
      </c>
      <c r="B3979" s="18">
        <v>45447</v>
      </c>
      <c r="C3979" s="17" t="s">
        <v>58</v>
      </c>
      <c r="D3979" s="17" t="s">
        <v>86</v>
      </c>
      <c r="E3979" s="17" t="s">
        <v>162</v>
      </c>
      <c r="F3979" s="17" t="s">
        <v>163</v>
      </c>
      <c r="G3979" s="17">
        <v>3</v>
      </c>
      <c r="H3979" s="17">
        <v>39343</v>
      </c>
      <c r="I3979" s="17">
        <v>118029</v>
      </c>
      <c r="J3979" s="17">
        <v>1135</v>
      </c>
      <c r="K3979" s="17">
        <v>116894</v>
      </c>
      <c r="L3979" s="17">
        <v>15917.52355</v>
      </c>
      <c r="M3979" s="17">
        <v>2024</v>
      </c>
      <c r="N3979" s="17" t="s">
        <v>120</v>
      </c>
    </row>
    <row r="3980" spans="1:14" ht="14.25" customHeight="1">
      <c r="A3980" s="17">
        <v>13979</v>
      </c>
      <c r="B3980" s="18">
        <v>45546</v>
      </c>
      <c r="C3980" s="17" t="s">
        <v>45</v>
      </c>
      <c r="D3980" s="17" t="s">
        <v>111</v>
      </c>
      <c r="E3980" s="17" t="s">
        <v>168</v>
      </c>
      <c r="F3980" s="17" t="s">
        <v>164</v>
      </c>
      <c r="G3980" s="17">
        <v>7</v>
      </c>
      <c r="H3980" s="17">
        <v>79327</v>
      </c>
      <c r="I3980" s="17">
        <v>555289</v>
      </c>
      <c r="J3980" s="17">
        <v>2772</v>
      </c>
      <c r="K3980" s="17">
        <v>552517</v>
      </c>
      <c r="L3980" s="17">
        <v>126617.2939</v>
      </c>
      <c r="M3980" s="17">
        <v>2024</v>
      </c>
      <c r="N3980" s="17" t="s">
        <v>129</v>
      </c>
    </row>
    <row r="3981" spans="1:14" ht="14.25" customHeight="1">
      <c r="A3981" s="17">
        <v>13980</v>
      </c>
      <c r="B3981" s="18">
        <v>45462</v>
      </c>
      <c r="C3981" s="17" t="s">
        <v>39</v>
      </c>
      <c r="D3981" s="17" t="s">
        <v>89</v>
      </c>
      <c r="E3981" s="17" t="s">
        <v>162</v>
      </c>
      <c r="F3981" s="17" t="s">
        <v>172</v>
      </c>
      <c r="G3981" s="17">
        <v>5</v>
      </c>
      <c r="H3981" s="17">
        <v>40383</v>
      </c>
      <c r="I3981" s="17">
        <v>201915</v>
      </c>
      <c r="J3981" s="17">
        <v>911</v>
      </c>
      <c r="K3981" s="17">
        <v>201004</v>
      </c>
      <c r="L3981" s="17">
        <v>46173.995560000003</v>
      </c>
      <c r="M3981" s="17">
        <v>2024</v>
      </c>
      <c r="N3981" s="17" t="s">
        <v>120</v>
      </c>
    </row>
    <row r="3982" spans="1:14" ht="14.25" customHeight="1">
      <c r="A3982" s="17">
        <v>13981</v>
      </c>
      <c r="B3982" s="18">
        <v>46019</v>
      </c>
      <c r="C3982" s="17" t="s">
        <v>45</v>
      </c>
      <c r="D3982" s="17" t="s">
        <v>170</v>
      </c>
      <c r="E3982" s="17" t="s">
        <v>168</v>
      </c>
      <c r="F3982" s="17" t="s">
        <v>172</v>
      </c>
      <c r="G3982" s="17">
        <v>6</v>
      </c>
      <c r="H3982" s="17">
        <v>20040</v>
      </c>
      <c r="I3982" s="17">
        <v>120240</v>
      </c>
      <c r="J3982" s="17">
        <v>815</v>
      </c>
      <c r="K3982" s="17">
        <v>119425</v>
      </c>
      <c r="L3982" s="17">
        <v>26754.704809999999</v>
      </c>
      <c r="M3982" s="17">
        <v>2025</v>
      </c>
      <c r="N3982" s="17" t="s">
        <v>169</v>
      </c>
    </row>
    <row r="3983" spans="1:14" ht="14.25" customHeight="1">
      <c r="A3983" s="17">
        <v>13982</v>
      </c>
      <c r="B3983" s="18">
        <v>45461</v>
      </c>
      <c r="C3983" s="17" t="s">
        <v>58</v>
      </c>
      <c r="D3983" s="17" t="s">
        <v>170</v>
      </c>
      <c r="E3983" s="17" t="s">
        <v>168</v>
      </c>
      <c r="F3983" s="17" t="s">
        <v>163</v>
      </c>
      <c r="G3983" s="17">
        <v>3</v>
      </c>
      <c r="H3983" s="17">
        <v>30187</v>
      </c>
      <c r="I3983" s="17">
        <v>90561</v>
      </c>
      <c r="J3983" s="17">
        <v>973</v>
      </c>
      <c r="K3983" s="17">
        <v>89588</v>
      </c>
      <c r="L3983" s="17">
        <v>13546.57158</v>
      </c>
      <c r="M3983" s="17">
        <v>2024</v>
      </c>
      <c r="N3983" s="17" t="s">
        <v>120</v>
      </c>
    </row>
    <row r="3984" spans="1:14" ht="14.25" customHeight="1">
      <c r="A3984" s="17">
        <v>13983</v>
      </c>
      <c r="B3984" s="18">
        <v>45613</v>
      </c>
      <c r="C3984" s="17" t="s">
        <v>39</v>
      </c>
      <c r="D3984" s="17" t="s">
        <v>83</v>
      </c>
      <c r="E3984" s="17" t="s">
        <v>165</v>
      </c>
      <c r="F3984" s="17" t="s">
        <v>172</v>
      </c>
      <c r="G3984" s="17">
        <v>6</v>
      </c>
      <c r="H3984" s="17">
        <v>67678</v>
      </c>
      <c r="I3984" s="17">
        <v>406068</v>
      </c>
      <c r="J3984" s="17">
        <v>1962</v>
      </c>
      <c r="K3984" s="17">
        <v>404106</v>
      </c>
      <c r="L3984" s="17">
        <v>50264.165520000002</v>
      </c>
      <c r="M3984" s="17">
        <v>2024</v>
      </c>
      <c r="N3984" s="17" t="s">
        <v>173</v>
      </c>
    </row>
    <row r="3985" spans="1:14" ht="14.25" customHeight="1">
      <c r="A3985" s="17">
        <v>13984</v>
      </c>
      <c r="B3985" s="18">
        <v>45858</v>
      </c>
      <c r="C3985" s="17" t="s">
        <v>50</v>
      </c>
      <c r="D3985" s="17" t="s">
        <v>111</v>
      </c>
      <c r="E3985" s="17" t="s">
        <v>165</v>
      </c>
      <c r="F3985" s="17" t="s">
        <v>172</v>
      </c>
      <c r="G3985" s="17">
        <v>7</v>
      </c>
      <c r="H3985" s="17">
        <v>31525</v>
      </c>
      <c r="I3985" s="17">
        <v>220675</v>
      </c>
      <c r="J3985" s="17">
        <v>2866</v>
      </c>
      <c r="K3985" s="17">
        <v>217809</v>
      </c>
      <c r="L3985" s="17">
        <v>37305.577649999999</v>
      </c>
      <c r="M3985" s="17">
        <v>2025</v>
      </c>
      <c r="N3985" s="17" t="s">
        <v>123</v>
      </c>
    </row>
    <row r="3986" spans="1:14" ht="14.25" customHeight="1">
      <c r="A3986" s="17">
        <v>13985</v>
      </c>
      <c r="B3986" s="18">
        <v>45747</v>
      </c>
      <c r="C3986" s="17" t="s">
        <v>58</v>
      </c>
      <c r="D3986" s="17" t="s">
        <v>83</v>
      </c>
      <c r="E3986" s="17" t="s">
        <v>168</v>
      </c>
      <c r="F3986" s="17" t="s">
        <v>172</v>
      </c>
      <c r="G3986" s="17">
        <v>8</v>
      </c>
      <c r="H3986" s="17">
        <v>43394</v>
      </c>
      <c r="I3986" s="17">
        <v>347152</v>
      </c>
      <c r="J3986" s="17">
        <v>2410</v>
      </c>
      <c r="K3986" s="17">
        <v>344742</v>
      </c>
      <c r="L3986" s="17">
        <v>47910.918919999996</v>
      </c>
      <c r="M3986" s="17">
        <v>2025</v>
      </c>
      <c r="N3986" s="17" t="s">
        <v>112</v>
      </c>
    </row>
    <row r="3987" spans="1:14" ht="14.25" customHeight="1">
      <c r="A3987" s="17">
        <v>13986</v>
      </c>
      <c r="B3987" s="18">
        <v>45894</v>
      </c>
      <c r="C3987" s="17" t="s">
        <v>39</v>
      </c>
      <c r="D3987" s="17" t="s">
        <v>86</v>
      </c>
      <c r="E3987" s="17" t="s">
        <v>162</v>
      </c>
      <c r="F3987" s="17" t="s">
        <v>163</v>
      </c>
      <c r="G3987" s="17">
        <v>2</v>
      </c>
      <c r="H3987" s="17">
        <v>68989</v>
      </c>
      <c r="I3987" s="17">
        <v>137978</v>
      </c>
      <c r="J3987" s="17">
        <v>3102</v>
      </c>
      <c r="K3987" s="17">
        <v>134876</v>
      </c>
      <c r="L3987" s="17">
        <v>14543.305710000001</v>
      </c>
      <c r="M3987" s="17">
        <v>2025</v>
      </c>
      <c r="N3987" s="17" t="s">
        <v>126</v>
      </c>
    </row>
    <row r="3988" spans="1:14" ht="14.25" customHeight="1">
      <c r="A3988" s="17">
        <v>13987</v>
      </c>
      <c r="B3988" s="18">
        <v>45904</v>
      </c>
      <c r="C3988" s="17" t="s">
        <v>167</v>
      </c>
      <c r="D3988" s="17" t="s">
        <v>86</v>
      </c>
      <c r="E3988" s="17" t="s">
        <v>162</v>
      </c>
      <c r="F3988" s="17" t="s">
        <v>164</v>
      </c>
      <c r="G3988" s="17">
        <v>2</v>
      </c>
      <c r="H3988" s="17">
        <v>44652</v>
      </c>
      <c r="I3988" s="17">
        <v>89304</v>
      </c>
      <c r="J3988" s="17">
        <v>1800</v>
      </c>
      <c r="K3988" s="17">
        <v>87504</v>
      </c>
      <c r="L3988" s="17">
        <v>12418.61159</v>
      </c>
      <c r="M3988" s="17">
        <v>2025</v>
      </c>
      <c r="N3988" s="17" t="s">
        <v>129</v>
      </c>
    </row>
    <row r="3989" spans="1:14" ht="14.25" customHeight="1">
      <c r="A3989" s="17">
        <v>13988</v>
      </c>
      <c r="B3989" s="18">
        <v>45446</v>
      </c>
      <c r="C3989" s="17" t="s">
        <v>45</v>
      </c>
      <c r="D3989" s="17" t="s">
        <v>86</v>
      </c>
      <c r="E3989" s="17" t="s">
        <v>165</v>
      </c>
      <c r="F3989" s="17" t="s">
        <v>172</v>
      </c>
      <c r="G3989" s="17">
        <v>6</v>
      </c>
      <c r="H3989" s="17">
        <v>79402</v>
      </c>
      <c r="I3989" s="17">
        <v>476412</v>
      </c>
      <c r="J3989" s="17">
        <v>808</v>
      </c>
      <c r="K3989" s="17">
        <v>475604</v>
      </c>
      <c r="L3989" s="17">
        <v>81028.295230000003</v>
      </c>
      <c r="M3989" s="17">
        <v>2024</v>
      </c>
      <c r="N3989" s="17" t="s">
        <v>120</v>
      </c>
    </row>
    <row r="3990" spans="1:14" ht="14.25" customHeight="1">
      <c r="A3990" s="17">
        <v>13989</v>
      </c>
      <c r="B3990" s="18">
        <v>45640</v>
      </c>
      <c r="C3990" s="17" t="s">
        <v>39</v>
      </c>
      <c r="D3990" s="17" t="s">
        <v>170</v>
      </c>
      <c r="E3990" s="17" t="s">
        <v>165</v>
      </c>
      <c r="F3990" s="17" t="s">
        <v>164</v>
      </c>
      <c r="G3990" s="17">
        <v>8</v>
      </c>
      <c r="H3990" s="17">
        <v>54200</v>
      </c>
      <c r="I3990" s="17">
        <v>433600</v>
      </c>
      <c r="J3990" s="17">
        <v>569</v>
      </c>
      <c r="K3990" s="17">
        <v>433031</v>
      </c>
      <c r="L3990" s="17">
        <v>50625.797769999997</v>
      </c>
      <c r="M3990" s="17">
        <v>2024</v>
      </c>
      <c r="N3990" s="17" t="s">
        <v>169</v>
      </c>
    </row>
    <row r="3991" spans="1:14" ht="14.25" customHeight="1">
      <c r="A3991" s="17">
        <v>13990</v>
      </c>
      <c r="B3991" s="18">
        <v>45742</v>
      </c>
      <c r="C3991" s="17" t="s">
        <v>45</v>
      </c>
      <c r="D3991" s="17" t="s">
        <v>111</v>
      </c>
      <c r="E3991" s="17" t="s">
        <v>162</v>
      </c>
      <c r="F3991" s="17" t="s">
        <v>172</v>
      </c>
      <c r="G3991" s="17">
        <v>5</v>
      </c>
      <c r="H3991" s="17">
        <v>20015</v>
      </c>
      <c r="I3991" s="17">
        <v>100075</v>
      </c>
      <c r="J3991" s="17">
        <v>969</v>
      </c>
      <c r="K3991" s="17">
        <v>99106</v>
      </c>
      <c r="L3991" s="17">
        <v>23948.970850000002</v>
      </c>
      <c r="M3991" s="17">
        <v>2025</v>
      </c>
      <c r="N3991" s="17" t="s">
        <v>112</v>
      </c>
    </row>
    <row r="3992" spans="1:14" ht="14.25" customHeight="1">
      <c r="A3992" s="17">
        <v>13991</v>
      </c>
      <c r="B3992" s="18">
        <v>45944</v>
      </c>
      <c r="C3992" s="17" t="s">
        <v>167</v>
      </c>
      <c r="D3992" s="17" t="s">
        <v>83</v>
      </c>
      <c r="E3992" s="17" t="s">
        <v>162</v>
      </c>
      <c r="F3992" s="17" t="s">
        <v>163</v>
      </c>
      <c r="G3992" s="17">
        <v>1</v>
      </c>
      <c r="H3992" s="17">
        <v>65911</v>
      </c>
      <c r="I3992" s="17">
        <v>65911</v>
      </c>
      <c r="J3992" s="17">
        <v>4079</v>
      </c>
      <c r="K3992" s="17">
        <v>61832</v>
      </c>
      <c r="L3992" s="17">
        <v>12268.40724</v>
      </c>
      <c r="M3992" s="17">
        <v>2025</v>
      </c>
      <c r="N3992" s="17" t="s">
        <v>174</v>
      </c>
    </row>
    <row r="3993" spans="1:14" ht="14.25" customHeight="1">
      <c r="A3993" s="17">
        <v>13992</v>
      </c>
      <c r="B3993" s="18">
        <v>45464</v>
      </c>
      <c r="C3993" s="17" t="s">
        <v>39</v>
      </c>
      <c r="D3993" s="17" t="s">
        <v>83</v>
      </c>
      <c r="E3993" s="17" t="s">
        <v>162</v>
      </c>
      <c r="F3993" s="17" t="s">
        <v>164</v>
      </c>
      <c r="G3993" s="17">
        <v>1</v>
      </c>
      <c r="H3993" s="17">
        <v>61221</v>
      </c>
      <c r="I3993" s="17">
        <v>61221</v>
      </c>
      <c r="J3993" s="17">
        <v>1879</v>
      </c>
      <c r="K3993" s="17">
        <v>59342</v>
      </c>
      <c r="L3993" s="17">
        <v>7147.8097500000003</v>
      </c>
      <c r="M3993" s="17">
        <v>2024</v>
      </c>
      <c r="N3993" s="17" t="s">
        <v>120</v>
      </c>
    </row>
    <row r="3994" spans="1:14" ht="14.25" customHeight="1">
      <c r="A3994" s="17">
        <v>13993</v>
      </c>
      <c r="B3994" s="18">
        <v>45301</v>
      </c>
      <c r="C3994" s="17" t="s">
        <v>50</v>
      </c>
      <c r="D3994" s="17" t="s">
        <v>86</v>
      </c>
      <c r="E3994" s="17" t="s">
        <v>165</v>
      </c>
      <c r="F3994" s="17" t="s">
        <v>163</v>
      </c>
      <c r="G3994" s="17">
        <v>9</v>
      </c>
      <c r="H3994" s="17">
        <v>25695</v>
      </c>
      <c r="I3994" s="17">
        <v>231255</v>
      </c>
      <c r="J3994" s="17">
        <v>3319</v>
      </c>
      <c r="K3994" s="17">
        <v>227936</v>
      </c>
      <c r="L3994" s="17">
        <v>50558.399850000002</v>
      </c>
      <c r="M3994" s="17">
        <v>2024</v>
      </c>
      <c r="N3994" s="17" t="s">
        <v>171</v>
      </c>
    </row>
    <row r="3995" spans="1:14" ht="14.25" customHeight="1">
      <c r="A3995" s="17">
        <v>13994</v>
      </c>
      <c r="B3995" s="18">
        <v>45556</v>
      </c>
      <c r="C3995" s="17" t="s">
        <v>58</v>
      </c>
      <c r="D3995" s="17" t="s">
        <v>111</v>
      </c>
      <c r="E3995" s="17" t="s">
        <v>162</v>
      </c>
      <c r="F3995" s="17" t="s">
        <v>166</v>
      </c>
      <c r="G3995" s="17">
        <v>4</v>
      </c>
      <c r="H3995" s="17">
        <v>29805</v>
      </c>
      <c r="I3995" s="17">
        <v>119220</v>
      </c>
      <c r="J3995" s="17">
        <v>4705</v>
      </c>
      <c r="K3995" s="17">
        <v>114515</v>
      </c>
      <c r="L3995" s="17">
        <v>27393.504679999998</v>
      </c>
      <c r="M3995" s="17">
        <v>2024</v>
      </c>
      <c r="N3995" s="17" t="s">
        <v>129</v>
      </c>
    </row>
    <row r="3996" spans="1:14" ht="14.25" customHeight="1">
      <c r="A3996" s="17">
        <v>13995</v>
      </c>
      <c r="B3996" s="18">
        <v>45729</v>
      </c>
      <c r="C3996" s="17" t="s">
        <v>39</v>
      </c>
      <c r="D3996" s="17" t="s">
        <v>111</v>
      </c>
      <c r="E3996" s="17" t="s">
        <v>165</v>
      </c>
      <c r="F3996" s="17" t="s">
        <v>172</v>
      </c>
      <c r="G3996" s="17">
        <v>1</v>
      </c>
      <c r="H3996" s="17">
        <v>29190</v>
      </c>
      <c r="I3996" s="17">
        <v>29190</v>
      </c>
      <c r="J3996" s="17">
        <v>387</v>
      </c>
      <c r="K3996" s="17">
        <v>28803</v>
      </c>
      <c r="L3996" s="17">
        <v>4015.6454399999998</v>
      </c>
      <c r="M3996" s="17">
        <v>2025</v>
      </c>
      <c r="N3996" s="17" t="s">
        <v>112</v>
      </c>
    </row>
    <row r="3997" spans="1:14" ht="14.25" customHeight="1">
      <c r="A3997" s="17">
        <v>13996</v>
      </c>
      <c r="B3997" s="18">
        <v>45538</v>
      </c>
      <c r="C3997" s="17" t="s">
        <v>167</v>
      </c>
      <c r="D3997" s="17" t="s">
        <v>89</v>
      </c>
      <c r="E3997" s="17" t="s">
        <v>168</v>
      </c>
      <c r="F3997" s="17" t="s">
        <v>166</v>
      </c>
      <c r="G3997" s="17">
        <v>8</v>
      </c>
      <c r="H3997" s="17">
        <v>12997</v>
      </c>
      <c r="I3997" s="17">
        <v>103976</v>
      </c>
      <c r="J3997" s="17">
        <v>4854</v>
      </c>
      <c r="K3997" s="17">
        <v>99122</v>
      </c>
      <c r="L3997" s="17">
        <v>12042.124970000001</v>
      </c>
      <c r="M3997" s="17">
        <v>2024</v>
      </c>
      <c r="N3997" s="17" t="s">
        <v>129</v>
      </c>
    </row>
    <row r="3998" spans="1:14" ht="14.25" customHeight="1">
      <c r="A3998" s="17">
        <v>13997</v>
      </c>
      <c r="B3998" s="18">
        <v>45958</v>
      </c>
      <c r="C3998" s="17" t="s">
        <v>39</v>
      </c>
      <c r="D3998" s="17" t="s">
        <v>111</v>
      </c>
      <c r="E3998" s="17" t="s">
        <v>168</v>
      </c>
      <c r="F3998" s="17" t="s">
        <v>166</v>
      </c>
      <c r="G3998" s="17">
        <v>2</v>
      </c>
      <c r="H3998" s="17">
        <v>27752</v>
      </c>
      <c r="I3998" s="17">
        <v>55504</v>
      </c>
      <c r="J3998" s="17">
        <v>2489</v>
      </c>
      <c r="K3998" s="17">
        <v>53015</v>
      </c>
      <c r="L3998" s="17">
        <v>7865.9058189999996</v>
      </c>
      <c r="M3998" s="17">
        <v>2025</v>
      </c>
      <c r="N3998" s="17" t="s">
        <v>174</v>
      </c>
    </row>
    <row r="3999" spans="1:14" ht="14.25" customHeight="1">
      <c r="A3999" s="17">
        <v>13998</v>
      </c>
      <c r="B3999" s="18">
        <v>45837</v>
      </c>
      <c r="C3999" s="17" t="s">
        <v>45</v>
      </c>
      <c r="D3999" s="17" t="s">
        <v>111</v>
      </c>
      <c r="E3999" s="17" t="s">
        <v>168</v>
      </c>
      <c r="F3999" s="17" t="s">
        <v>166</v>
      </c>
      <c r="G3999" s="17">
        <v>2</v>
      </c>
      <c r="H3999" s="17">
        <v>23069</v>
      </c>
      <c r="I3999" s="17">
        <v>46138</v>
      </c>
      <c r="J3999" s="17">
        <v>515</v>
      </c>
      <c r="K3999" s="17">
        <v>45623</v>
      </c>
      <c r="L3999" s="17">
        <v>10257.753049999999</v>
      </c>
      <c r="M3999" s="17">
        <v>2025</v>
      </c>
      <c r="N3999" s="17" t="s">
        <v>120</v>
      </c>
    </row>
    <row r="4000" spans="1:14" ht="14.25" customHeight="1">
      <c r="A4000" s="17">
        <v>13999</v>
      </c>
      <c r="B4000" s="18">
        <v>45790</v>
      </c>
      <c r="C4000" s="17" t="s">
        <v>39</v>
      </c>
      <c r="D4000" s="17" t="s">
        <v>83</v>
      </c>
      <c r="E4000" s="17" t="s">
        <v>162</v>
      </c>
      <c r="F4000" s="17" t="s">
        <v>172</v>
      </c>
      <c r="G4000" s="17">
        <v>1</v>
      </c>
      <c r="H4000" s="17">
        <v>66485</v>
      </c>
      <c r="I4000" s="17">
        <v>66485</v>
      </c>
      <c r="J4000" s="17">
        <v>3844</v>
      </c>
      <c r="K4000" s="17">
        <v>62641</v>
      </c>
      <c r="L4000" s="17">
        <v>7909.308481</v>
      </c>
      <c r="M4000" s="17">
        <v>2025</v>
      </c>
      <c r="N4000" s="17" t="s">
        <v>117</v>
      </c>
    </row>
    <row r="4001" spans="1:14" ht="14.25" customHeight="1">
      <c r="A4001" s="17">
        <v>14000</v>
      </c>
      <c r="B4001" s="18">
        <v>45420</v>
      </c>
      <c r="C4001" s="17" t="s">
        <v>50</v>
      </c>
      <c r="D4001" s="17" t="s">
        <v>111</v>
      </c>
      <c r="E4001" s="17" t="s">
        <v>165</v>
      </c>
      <c r="F4001" s="17" t="s">
        <v>163</v>
      </c>
      <c r="G4001" s="17">
        <v>1</v>
      </c>
      <c r="H4001" s="17">
        <v>62291</v>
      </c>
      <c r="I4001" s="17">
        <v>62291</v>
      </c>
      <c r="J4001" s="17">
        <v>2890</v>
      </c>
      <c r="K4001" s="17">
        <v>59401</v>
      </c>
      <c r="L4001" s="17">
        <v>12884.19499</v>
      </c>
      <c r="M4001" s="17">
        <v>2024</v>
      </c>
      <c r="N4001" s="17" t="s">
        <v>117</v>
      </c>
    </row>
    <row r="4002" spans="1:14" ht="14.25" customHeight="1">
      <c r="A4002" s="17">
        <v>14001</v>
      </c>
      <c r="B4002" s="18">
        <v>45963</v>
      </c>
      <c r="C4002" s="17" t="s">
        <v>39</v>
      </c>
      <c r="D4002" s="17" t="s">
        <v>111</v>
      </c>
      <c r="E4002" s="17" t="s">
        <v>162</v>
      </c>
      <c r="F4002" s="17" t="s">
        <v>166</v>
      </c>
      <c r="G4002" s="17">
        <v>9</v>
      </c>
      <c r="H4002" s="17">
        <v>35508</v>
      </c>
      <c r="I4002" s="17">
        <v>319572</v>
      </c>
      <c r="J4002" s="17">
        <v>4140</v>
      </c>
      <c r="K4002" s="17">
        <v>315432</v>
      </c>
      <c r="L4002" s="17">
        <v>65433.05298</v>
      </c>
      <c r="M4002" s="17">
        <v>2025</v>
      </c>
      <c r="N4002" s="17" t="s">
        <v>173</v>
      </c>
    </row>
    <row r="4003" spans="1:14" ht="14.25" customHeight="1">
      <c r="A4003" s="17">
        <v>14002</v>
      </c>
      <c r="B4003" s="18">
        <v>45892</v>
      </c>
      <c r="C4003" s="17" t="s">
        <v>58</v>
      </c>
      <c r="D4003" s="17" t="s">
        <v>83</v>
      </c>
      <c r="E4003" s="17" t="s">
        <v>165</v>
      </c>
      <c r="F4003" s="17" t="s">
        <v>164</v>
      </c>
      <c r="G4003" s="17">
        <v>1</v>
      </c>
      <c r="H4003" s="17">
        <v>56574</v>
      </c>
      <c r="I4003" s="17">
        <v>56574</v>
      </c>
      <c r="J4003" s="17">
        <v>1442</v>
      </c>
      <c r="K4003" s="17">
        <v>55132</v>
      </c>
      <c r="L4003" s="17">
        <v>10899.8724</v>
      </c>
      <c r="M4003" s="17">
        <v>2025</v>
      </c>
      <c r="N4003" s="17" t="s">
        <v>126</v>
      </c>
    </row>
    <row r="4004" spans="1:14" ht="14.25" customHeight="1">
      <c r="A4004" s="17">
        <v>14003</v>
      </c>
      <c r="B4004" s="18">
        <v>45896</v>
      </c>
      <c r="C4004" s="17" t="s">
        <v>39</v>
      </c>
      <c r="D4004" s="17" t="s">
        <v>111</v>
      </c>
      <c r="E4004" s="17" t="s">
        <v>162</v>
      </c>
      <c r="F4004" s="17" t="s">
        <v>172</v>
      </c>
      <c r="G4004" s="17">
        <v>6</v>
      </c>
      <c r="H4004" s="17">
        <v>56902</v>
      </c>
      <c r="I4004" s="17">
        <v>341412</v>
      </c>
      <c r="J4004" s="17">
        <v>722</v>
      </c>
      <c r="K4004" s="17">
        <v>340690</v>
      </c>
      <c r="L4004" s="17">
        <v>56213.040829999998</v>
      </c>
      <c r="M4004" s="17">
        <v>2025</v>
      </c>
      <c r="N4004" s="17" t="s">
        <v>126</v>
      </c>
    </row>
    <row r="4005" spans="1:14" ht="14.25" customHeight="1">
      <c r="A4005" s="17">
        <v>14004</v>
      </c>
      <c r="B4005" s="18">
        <v>45618</v>
      </c>
      <c r="C4005" s="17" t="s">
        <v>45</v>
      </c>
      <c r="D4005" s="17" t="s">
        <v>83</v>
      </c>
      <c r="E4005" s="17" t="s">
        <v>168</v>
      </c>
      <c r="F4005" s="17" t="s">
        <v>163</v>
      </c>
      <c r="G4005" s="17">
        <v>7</v>
      </c>
      <c r="H4005" s="17">
        <v>67426</v>
      </c>
      <c r="I4005" s="17">
        <v>471982</v>
      </c>
      <c r="J4005" s="17">
        <v>755</v>
      </c>
      <c r="K4005" s="17">
        <v>471227</v>
      </c>
      <c r="L4005" s="17">
        <v>73047.509019999998</v>
      </c>
      <c r="M4005" s="17">
        <v>2024</v>
      </c>
      <c r="N4005" s="17" t="s">
        <v>173</v>
      </c>
    </row>
    <row r="4006" spans="1:14" ht="14.25" customHeight="1">
      <c r="A4006" s="17">
        <v>14005</v>
      </c>
      <c r="B4006" s="18">
        <v>45695</v>
      </c>
      <c r="C4006" s="17" t="s">
        <v>39</v>
      </c>
      <c r="D4006" s="17" t="s">
        <v>89</v>
      </c>
      <c r="E4006" s="17" t="s">
        <v>165</v>
      </c>
      <c r="F4006" s="17" t="s">
        <v>163</v>
      </c>
      <c r="G4006" s="17">
        <v>4</v>
      </c>
      <c r="H4006" s="17">
        <v>13524</v>
      </c>
      <c r="I4006" s="17">
        <v>54096</v>
      </c>
      <c r="J4006" s="17">
        <v>2250</v>
      </c>
      <c r="K4006" s="17">
        <v>51846</v>
      </c>
      <c r="L4006" s="17">
        <v>5847.6427489999996</v>
      </c>
      <c r="M4006" s="17">
        <v>2025</v>
      </c>
      <c r="N4006" s="17" t="s">
        <v>175</v>
      </c>
    </row>
    <row r="4007" spans="1:14" ht="14.25" customHeight="1">
      <c r="A4007" s="17">
        <v>14006</v>
      </c>
      <c r="B4007" s="18">
        <v>45920</v>
      </c>
      <c r="C4007" s="17" t="s">
        <v>50</v>
      </c>
      <c r="D4007" s="17" t="s">
        <v>170</v>
      </c>
      <c r="E4007" s="17" t="s">
        <v>162</v>
      </c>
      <c r="F4007" s="17" t="s">
        <v>166</v>
      </c>
      <c r="G4007" s="17">
        <v>5</v>
      </c>
      <c r="H4007" s="17">
        <v>15071</v>
      </c>
      <c r="I4007" s="17">
        <v>75355</v>
      </c>
      <c r="J4007" s="17">
        <v>1908</v>
      </c>
      <c r="K4007" s="17">
        <v>73447</v>
      </c>
      <c r="L4007" s="17">
        <v>11281.706550000001</v>
      </c>
      <c r="M4007" s="17">
        <v>2025</v>
      </c>
      <c r="N4007" s="17" t="s">
        <v>129</v>
      </c>
    </row>
    <row r="4008" spans="1:14" ht="14.25" customHeight="1">
      <c r="A4008" s="17">
        <v>14007</v>
      </c>
      <c r="B4008" s="18">
        <v>45897</v>
      </c>
      <c r="C4008" s="17" t="s">
        <v>167</v>
      </c>
      <c r="D4008" s="17" t="s">
        <v>83</v>
      </c>
      <c r="E4008" s="17" t="s">
        <v>165</v>
      </c>
      <c r="F4008" s="17" t="s">
        <v>172</v>
      </c>
      <c r="G4008" s="17">
        <v>4</v>
      </c>
      <c r="H4008" s="17">
        <v>46466</v>
      </c>
      <c r="I4008" s="17">
        <v>185864</v>
      </c>
      <c r="J4008" s="17">
        <v>2586</v>
      </c>
      <c r="K4008" s="17">
        <v>183278</v>
      </c>
      <c r="L4008" s="17">
        <v>34873.454380000003</v>
      </c>
      <c r="M4008" s="17">
        <v>2025</v>
      </c>
      <c r="N4008" s="17" t="s">
        <v>126</v>
      </c>
    </row>
    <row r="4009" spans="1:14" ht="14.25" customHeight="1">
      <c r="A4009" s="17">
        <v>14008</v>
      </c>
      <c r="B4009" s="18">
        <v>45966</v>
      </c>
      <c r="C4009" s="17" t="s">
        <v>39</v>
      </c>
      <c r="D4009" s="17" t="s">
        <v>83</v>
      </c>
      <c r="E4009" s="17" t="s">
        <v>165</v>
      </c>
      <c r="F4009" s="17" t="s">
        <v>166</v>
      </c>
      <c r="G4009" s="17">
        <v>4</v>
      </c>
      <c r="H4009" s="17">
        <v>55094</v>
      </c>
      <c r="I4009" s="17">
        <v>220376</v>
      </c>
      <c r="J4009" s="17">
        <v>385</v>
      </c>
      <c r="K4009" s="17">
        <v>219991</v>
      </c>
      <c r="L4009" s="17">
        <v>51638.791550000002</v>
      </c>
      <c r="M4009" s="17">
        <v>2025</v>
      </c>
      <c r="N4009" s="17" t="s">
        <v>173</v>
      </c>
    </row>
    <row r="4010" spans="1:14" ht="14.25" customHeight="1">
      <c r="A4010" s="17">
        <v>14009</v>
      </c>
      <c r="B4010" s="18">
        <v>45902</v>
      </c>
      <c r="C4010" s="17" t="s">
        <v>39</v>
      </c>
      <c r="D4010" s="17" t="s">
        <v>111</v>
      </c>
      <c r="E4010" s="17" t="s">
        <v>162</v>
      </c>
      <c r="F4010" s="17" t="s">
        <v>164</v>
      </c>
      <c r="G4010" s="17">
        <v>1</v>
      </c>
      <c r="H4010" s="17">
        <v>45239</v>
      </c>
      <c r="I4010" s="17">
        <v>45239</v>
      </c>
      <c r="J4010" s="17">
        <v>3015</v>
      </c>
      <c r="K4010" s="17">
        <v>42224</v>
      </c>
      <c r="L4010" s="17">
        <v>9499.0775749999993</v>
      </c>
      <c r="M4010" s="17">
        <v>2025</v>
      </c>
      <c r="N4010" s="17" t="s">
        <v>129</v>
      </c>
    </row>
    <row r="4011" spans="1:14" ht="14.25" customHeight="1">
      <c r="A4011" s="17">
        <v>14010</v>
      </c>
      <c r="B4011" s="18">
        <v>45916</v>
      </c>
      <c r="C4011" s="17" t="s">
        <v>58</v>
      </c>
      <c r="D4011" s="17" t="s">
        <v>83</v>
      </c>
      <c r="E4011" s="17" t="s">
        <v>162</v>
      </c>
      <c r="F4011" s="17" t="s">
        <v>163</v>
      </c>
      <c r="G4011" s="17">
        <v>6</v>
      </c>
      <c r="H4011" s="17">
        <v>52560</v>
      </c>
      <c r="I4011" s="17">
        <v>315360</v>
      </c>
      <c r="J4011" s="17">
        <v>4455</v>
      </c>
      <c r="K4011" s="17">
        <v>310905</v>
      </c>
      <c r="L4011" s="17">
        <v>32592.904740000002</v>
      </c>
      <c r="M4011" s="17">
        <v>2025</v>
      </c>
      <c r="N4011" s="17" t="s">
        <v>129</v>
      </c>
    </row>
    <row r="4012" spans="1:14" ht="14.25" customHeight="1">
      <c r="A4012" s="17">
        <v>14011</v>
      </c>
      <c r="B4012" s="18">
        <v>45650</v>
      </c>
      <c r="C4012" s="17" t="s">
        <v>50</v>
      </c>
      <c r="D4012" s="17" t="s">
        <v>86</v>
      </c>
      <c r="E4012" s="17" t="s">
        <v>165</v>
      </c>
      <c r="F4012" s="17" t="s">
        <v>163</v>
      </c>
      <c r="G4012" s="17">
        <v>7</v>
      </c>
      <c r="H4012" s="17">
        <v>50924</v>
      </c>
      <c r="I4012" s="17">
        <v>356468</v>
      </c>
      <c r="J4012" s="17">
        <v>4087</v>
      </c>
      <c r="K4012" s="17">
        <v>352381</v>
      </c>
      <c r="L4012" s="17">
        <v>42577.996879999999</v>
      </c>
      <c r="M4012" s="17">
        <v>2024</v>
      </c>
      <c r="N4012" s="17" t="s">
        <v>169</v>
      </c>
    </row>
    <row r="4013" spans="1:14" ht="14.25" customHeight="1">
      <c r="A4013" s="17">
        <v>14012</v>
      </c>
      <c r="B4013" s="18">
        <v>45894</v>
      </c>
      <c r="C4013" s="17" t="s">
        <v>167</v>
      </c>
      <c r="D4013" s="17" t="s">
        <v>86</v>
      </c>
      <c r="E4013" s="17" t="s">
        <v>165</v>
      </c>
      <c r="F4013" s="17" t="s">
        <v>172</v>
      </c>
      <c r="G4013" s="17">
        <v>7</v>
      </c>
      <c r="H4013" s="17">
        <v>59542</v>
      </c>
      <c r="I4013" s="17">
        <v>416794</v>
      </c>
      <c r="J4013" s="17">
        <v>1491</v>
      </c>
      <c r="K4013" s="17">
        <v>415303</v>
      </c>
      <c r="L4013" s="17">
        <v>94387.240420000002</v>
      </c>
      <c r="M4013" s="17">
        <v>2025</v>
      </c>
      <c r="N4013" s="17" t="s">
        <v>126</v>
      </c>
    </row>
    <row r="4014" spans="1:14" ht="14.25" customHeight="1">
      <c r="A4014" s="17">
        <v>14013</v>
      </c>
      <c r="B4014" s="18">
        <v>46009</v>
      </c>
      <c r="C4014" s="17" t="s">
        <v>45</v>
      </c>
      <c r="D4014" s="17" t="s">
        <v>89</v>
      </c>
      <c r="E4014" s="17" t="s">
        <v>168</v>
      </c>
      <c r="F4014" s="17" t="s">
        <v>163</v>
      </c>
      <c r="G4014" s="17">
        <v>8</v>
      </c>
      <c r="H4014" s="17">
        <v>54264</v>
      </c>
      <c r="I4014" s="17">
        <v>434112</v>
      </c>
      <c r="J4014" s="17">
        <v>1967</v>
      </c>
      <c r="K4014" s="17">
        <v>432145</v>
      </c>
      <c r="L4014" s="17">
        <v>104102.7602</v>
      </c>
      <c r="M4014" s="17">
        <v>2025</v>
      </c>
      <c r="N4014" s="17" t="s">
        <v>169</v>
      </c>
    </row>
    <row r="4015" spans="1:14" ht="14.25" customHeight="1">
      <c r="A4015" s="17">
        <v>14014</v>
      </c>
      <c r="B4015" s="18">
        <v>45308</v>
      </c>
      <c r="C4015" s="17" t="s">
        <v>39</v>
      </c>
      <c r="D4015" s="17" t="s">
        <v>83</v>
      </c>
      <c r="E4015" s="17" t="s">
        <v>165</v>
      </c>
      <c r="F4015" s="17" t="s">
        <v>172</v>
      </c>
      <c r="G4015" s="17">
        <v>7</v>
      </c>
      <c r="H4015" s="17">
        <v>72799</v>
      </c>
      <c r="I4015" s="17">
        <v>509593</v>
      </c>
      <c r="J4015" s="17">
        <v>4300</v>
      </c>
      <c r="K4015" s="17">
        <v>505293</v>
      </c>
      <c r="L4015" s="17">
        <v>54759.272779999999</v>
      </c>
      <c r="M4015" s="17">
        <v>2024</v>
      </c>
      <c r="N4015" s="17" t="s">
        <v>171</v>
      </c>
    </row>
    <row r="4016" spans="1:14" ht="14.25" customHeight="1">
      <c r="A4016" s="17">
        <v>14015</v>
      </c>
      <c r="B4016" s="18">
        <v>45565</v>
      </c>
      <c r="C4016" s="17" t="s">
        <v>167</v>
      </c>
      <c r="D4016" s="17" t="s">
        <v>111</v>
      </c>
      <c r="E4016" s="17" t="s">
        <v>168</v>
      </c>
      <c r="F4016" s="17" t="s">
        <v>166</v>
      </c>
      <c r="G4016" s="17">
        <v>6</v>
      </c>
      <c r="H4016" s="17">
        <v>43022</v>
      </c>
      <c r="I4016" s="17">
        <v>258132</v>
      </c>
      <c r="J4016" s="17">
        <v>3318</v>
      </c>
      <c r="K4016" s="17">
        <v>254814</v>
      </c>
      <c r="L4016" s="17">
        <v>52284.726519999997</v>
      </c>
      <c r="M4016" s="17">
        <v>2024</v>
      </c>
      <c r="N4016" s="17" t="s">
        <v>129</v>
      </c>
    </row>
    <row r="4017" spans="1:14" ht="14.25" customHeight="1">
      <c r="A4017" s="17">
        <v>14016</v>
      </c>
      <c r="B4017" s="18">
        <v>45976</v>
      </c>
      <c r="C4017" s="17" t="s">
        <v>45</v>
      </c>
      <c r="D4017" s="17" t="s">
        <v>111</v>
      </c>
      <c r="E4017" s="17" t="s">
        <v>168</v>
      </c>
      <c r="F4017" s="17" t="s">
        <v>164</v>
      </c>
      <c r="G4017" s="17">
        <v>8</v>
      </c>
      <c r="H4017" s="17">
        <v>40579</v>
      </c>
      <c r="I4017" s="17">
        <v>324632</v>
      </c>
      <c r="J4017" s="17">
        <v>3038</v>
      </c>
      <c r="K4017" s="17">
        <v>321594</v>
      </c>
      <c r="L4017" s="17">
        <v>49802.03628</v>
      </c>
      <c r="M4017" s="17">
        <v>2025</v>
      </c>
      <c r="N4017" s="17" t="s">
        <v>173</v>
      </c>
    </row>
    <row r="4018" spans="1:14" ht="14.25" customHeight="1">
      <c r="A4018" s="17">
        <v>14017</v>
      </c>
      <c r="B4018" s="18">
        <v>45407</v>
      </c>
      <c r="C4018" s="17" t="s">
        <v>50</v>
      </c>
      <c r="D4018" s="17" t="s">
        <v>170</v>
      </c>
      <c r="E4018" s="17" t="s">
        <v>168</v>
      </c>
      <c r="F4018" s="17" t="s">
        <v>172</v>
      </c>
      <c r="G4018" s="17">
        <v>3</v>
      </c>
      <c r="H4018" s="17">
        <v>17571</v>
      </c>
      <c r="I4018" s="17">
        <v>52713</v>
      </c>
      <c r="J4018" s="17">
        <v>1072</v>
      </c>
      <c r="K4018" s="17">
        <v>51641</v>
      </c>
      <c r="L4018" s="17">
        <v>7985.9468999999999</v>
      </c>
      <c r="M4018" s="17">
        <v>2024</v>
      </c>
      <c r="N4018" s="17" t="s">
        <v>114</v>
      </c>
    </row>
    <row r="4019" spans="1:14" ht="14.25" customHeight="1">
      <c r="A4019" s="17">
        <v>14018</v>
      </c>
      <c r="B4019" s="18">
        <v>45984</v>
      </c>
      <c r="C4019" s="17" t="s">
        <v>50</v>
      </c>
      <c r="D4019" s="17" t="s">
        <v>89</v>
      </c>
      <c r="E4019" s="17" t="s">
        <v>165</v>
      </c>
      <c r="F4019" s="17" t="s">
        <v>166</v>
      </c>
      <c r="G4019" s="17">
        <v>9</v>
      </c>
      <c r="H4019" s="17">
        <v>53225</v>
      </c>
      <c r="I4019" s="17">
        <v>479025</v>
      </c>
      <c r="J4019" s="17">
        <v>4461</v>
      </c>
      <c r="K4019" s="17">
        <v>474564</v>
      </c>
      <c r="L4019" s="17">
        <v>93204.549400000004</v>
      </c>
      <c r="M4019" s="17">
        <v>2025</v>
      </c>
      <c r="N4019" s="17" t="s">
        <v>173</v>
      </c>
    </row>
    <row r="4020" spans="1:14" ht="14.25" customHeight="1">
      <c r="A4020" s="17">
        <v>14019</v>
      </c>
      <c r="B4020" s="18">
        <v>45382</v>
      </c>
      <c r="C4020" s="17" t="s">
        <v>167</v>
      </c>
      <c r="D4020" s="17" t="s">
        <v>111</v>
      </c>
      <c r="E4020" s="17" t="s">
        <v>168</v>
      </c>
      <c r="F4020" s="17" t="s">
        <v>164</v>
      </c>
      <c r="G4020" s="17">
        <v>3</v>
      </c>
      <c r="H4020" s="17">
        <v>12227</v>
      </c>
      <c r="I4020" s="17">
        <v>36681</v>
      </c>
      <c r="J4020" s="17">
        <v>2300</v>
      </c>
      <c r="K4020" s="17">
        <v>34381</v>
      </c>
      <c r="L4020" s="17">
        <v>7616.5058980000003</v>
      </c>
      <c r="M4020" s="17">
        <v>2024</v>
      </c>
      <c r="N4020" s="17" t="s">
        <v>112</v>
      </c>
    </row>
    <row r="4021" spans="1:14" ht="14.25" customHeight="1">
      <c r="A4021" s="17">
        <v>14020</v>
      </c>
      <c r="B4021" s="18">
        <v>45373</v>
      </c>
      <c r="C4021" s="17" t="s">
        <v>45</v>
      </c>
      <c r="D4021" s="17" t="s">
        <v>170</v>
      </c>
      <c r="E4021" s="17" t="s">
        <v>165</v>
      </c>
      <c r="F4021" s="17" t="s">
        <v>163</v>
      </c>
      <c r="G4021" s="17">
        <v>4</v>
      </c>
      <c r="H4021" s="17">
        <v>46189</v>
      </c>
      <c r="I4021" s="17">
        <v>184756</v>
      </c>
      <c r="J4021" s="17">
        <v>768</v>
      </c>
      <c r="K4021" s="17">
        <v>183988</v>
      </c>
      <c r="L4021" s="17">
        <v>25983.8217</v>
      </c>
      <c r="M4021" s="17">
        <v>2024</v>
      </c>
      <c r="N4021" s="17" t="s">
        <v>112</v>
      </c>
    </row>
    <row r="4022" spans="1:14" ht="14.25" customHeight="1">
      <c r="A4022" s="17">
        <v>14021</v>
      </c>
      <c r="B4022" s="18">
        <v>45615</v>
      </c>
      <c r="C4022" s="17" t="s">
        <v>50</v>
      </c>
      <c r="D4022" s="17" t="s">
        <v>111</v>
      </c>
      <c r="E4022" s="17" t="s">
        <v>165</v>
      </c>
      <c r="F4022" s="17" t="s">
        <v>164</v>
      </c>
      <c r="G4022" s="17">
        <v>6</v>
      </c>
      <c r="H4022" s="17">
        <v>19207</v>
      </c>
      <c r="I4022" s="17">
        <v>115242</v>
      </c>
      <c r="J4022" s="17">
        <v>2679</v>
      </c>
      <c r="K4022" s="17">
        <v>112563</v>
      </c>
      <c r="L4022" s="17">
        <v>23165.82015</v>
      </c>
      <c r="M4022" s="17">
        <v>2024</v>
      </c>
      <c r="N4022" s="17" t="s">
        <v>173</v>
      </c>
    </row>
    <row r="4023" spans="1:14" ht="14.25" customHeight="1">
      <c r="A4023" s="17">
        <v>14022</v>
      </c>
      <c r="B4023" s="18">
        <v>45405</v>
      </c>
      <c r="C4023" s="17" t="s">
        <v>167</v>
      </c>
      <c r="D4023" s="17" t="s">
        <v>170</v>
      </c>
      <c r="E4023" s="17" t="s">
        <v>162</v>
      </c>
      <c r="F4023" s="17" t="s">
        <v>164</v>
      </c>
      <c r="G4023" s="17">
        <v>8</v>
      </c>
      <c r="H4023" s="17">
        <v>58406</v>
      </c>
      <c r="I4023" s="17">
        <v>467248</v>
      </c>
      <c r="J4023" s="17">
        <v>986</v>
      </c>
      <c r="K4023" s="17">
        <v>466262</v>
      </c>
      <c r="L4023" s="17">
        <v>91098.943920000005</v>
      </c>
      <c r="M4023" s="17">
        <v>2024</v>
      </c>
      <c r="N4023" s="17" t="s">
        <v>114</v>
      </c>
    </row>
    <row r="4024" spans="1:14" ht="14.25" customHeight="1">
      <c r="A4024" s="17">
        <v>14023</v>
      </c>
      <c r="B4024" s="18">
        <v>45349</v>
      </c>
      <c r="C4024" s="17" t="s">
        <v>50</v>
      </c>
      <c r="D4024" s="17" t="s">
        <v>86</v>
      </c>
      <c r="E4024" s="17" t="s">
        <v>165</v>
      </c>
      <c r="F4024" s="17" t="s">
        <v>164</v>
      </c>
      <c r="G4024" s="17">
        <v>3</v>
      </c>
      <c r="H4024" s="17">
        <v>46783</v>
      </c>
      <c r="I4024" s="17">
        <v>140349</v>
      </c>
      <c r="J4024" s="17">
        <v>4512</v>
      </c>
      <c r="K4024" s="17">
        <v>135837</v>
      </c>
      <c r="L4024" s="17">
        <v>24124.39301</v>
      </c>
      <c r="M4024" s="17">
        <v>2024</v>
      </c>
      <c r="N4024" s="17" t="s">
        <v>175</v>
      </c>
    </row>
    <row r="4025" spans="1:14" ht="14.25" customHeight="1">
      <c r="A4025" s="17">
        <v>14024</v>
      </c>
      <c r="B4025" s="18">
        <v>45445</v>
      </c>
      <c r="C4025" s="17" t="s">
        <v>50</v>
      </c>
      <c r="D4025" s="17" t="s">
        <v>86</v>
      </c>
      <c r="E4025" s="17" t="s">
        <v>165</v>
      </c>
      <c r="F4025" s="17" t="s">
        <v>163</v>
      </c>
      <c r="G4025" s="17">
        <v>6</v>
      </c>
      <c r="H4025" s="17">
        <v>33879</v>
      </c>
      <c r="I4025" s="17">
        <v>203274</v>
      </c>
      <c r="J4025" s="17">
        <v>3106</v>
      </c>
      <c r="K4025" s="17">
        <v>200168</v>
      </c>
      <c r="L4025" s="17">
        <v>38104.75359</v>
      </c>
      <c r="M4025" s="17">
        <v>2024</v>
      </c>
      <c r="N4025" s="17" t="s">
        <v>120</v>
      </c>
    </row>
    <row r="4026" spans="1:14" ht="14.25" customHeight="1">
      <c r="A4026" s="17">
        <v>14025</v>
      </c>
      <c r="B4026" s="18">
        <v>45695</v>
      </c>
      <c r="C4026" s="17" t="s">
        <v>50</v>
      </c>
      <c r="D4026" s="17" t="s">
        <v>111</v>
      </c>
      <c r="E4026" s="17" t="s">
        <v>168</v>
      </c>
      <c r="F4026" s="17" t="s">
        <v>172</v>
      </c>
      <c r="G4026" s="17">
        <v>5</v>
      </c>
      <c r="H4026" s="17">
        <v>33845</v>
      </c>
      <c r="I4026" s="17">
        <v>169225</v>
      </c>
      <c r="J4026" s="17">
        <v>2359</v>
      </c>
      <c r="K4026" s="17">
        <v>166866</v>
      </c>
      <c r="L4026" s="17">
        <v>17138.47437</v>
      </c>
      <c r="M4026" s="17">
        <v>2025</v>
      </c>
      <c r="N4026" s="17" t="s">
        <v>175</v>
      </c>
    </row>
    <row r="4027" spans="1:14" ht="14.25" customHeight="1">
      <c r="A4027" s="17">
        <v>14026</v>
      </c>
      <c r="B4027" s="18">
        <v>45919</v>
      </c>
      <c r="C4027" s="17" t="s">
        <v>58</v>
      </c>
      <c r="D4027" s="17" t="s">
        <v>89</v>
      </c>
      <c r="E4027" s="17" t="s">
        <v>165</v>
      </c>
      <c r="F4027" s="17" t="s">
        <v>172</v>
      </c>
      <c r="G4027" s="17">
        <v>5</v>
      </c>
      <c r="H4027" s="17">
        <v>15015</v>
      </c>
      <c r="I4027" s="17">
        <v>75075</v>
      </c>
      <c r="J4027" s="17">
        <v>196</v>
      </c>
      <c r="K4027" s="17">
        <v>74879</v>
      </c>
      <c r="L4027" s="17">
        <v>7533.5679149999996</v>
      </c>
      <c r="M4027" s="17">
        <v>2025</v>
      </c>
      <c r="N4027" s="17" t="s">
        <v>129</v>
      </c>
    </row>
    <row r="4028" spans="1:14" ht="14.25" customHeight="1">
      <c r="A4028" s="17">
        <v>14027</v>
      </c>
      <c r="B4028" s="18">
        <v>45557</v>
      </c>
      <c r="C4028" s="17" t="s">
        <v>45</v>
      </c>
      <c r="D4028" s="17" t="s">
        <v>83</v>
      </c>
      <c r="E4028" s="17" t="s">
        <v>165</v>
      </c>
      <c r="F4028" s="17" t="s">
        <v>164</v>
      </c>
      <c r="G4028" s="17">
        <v>5</v>
      </c>
      <c r="H4028" s="17">
        <v>26496</v>
      </c>
      <c r="I4028" s="17">
        <v>132480</v>
      </c>
      <c r="J4028" s="17">
        <v>3044</v>
      </c>
      <c r="K4028" s="17">
        <v>129436</v>
      </c>
      <c r="L4028" s="17">
        <v>23630.58495</v>
      </c>
      <c r="M4028" s="17">
        <v>2024</v>
      </c>
      <c r="N4028" s="17" t="s">
        <v>129</v>
      </c>
    </row>
    <row r="4029" spans="1:14" ht="14.25" customHeight="1">
      <c r="A4029" s="17">
        <v>14028</v>
      </c>
      <c r="B4029" s="18">
        <v>45606</v>
      </c>
      <c r="C4029" s="17" t="s">
        <v>167</v>
      </c>
      <c r="D4029" s="17" t="s">
        <v>89</v>
      </c>
      <c r="E4029" s="17" t="s">
        <v>162</v>
      </c>
      <c r="F4029" s="17" t="s">
        <v>166</v>
      </c>
      <c r="G4029" s="17">
        <v>9</v>
      </c>
      <c r="H4029" s="17">
        <v>5707</v>
      </c>
      <c r="I4029" s="17">
        <v>51363</v>
      </c>
      <c r="J4029" s="17">
        <v>2307</v>
      </c>
      <c r="K4029" s="17">
        <v>49056</v>
      </c>
      <c r="L4029" s="17">
        <v>8762.1997269999993</v>
      </c>
      <c r="M4029" s="17">
        <v>2024</v>
      </c>
      <c r="N4029" s="17" t="s">
        <v>173</v>
      </c>
    </row>
    <row r="4030" spans="1:14" ht="14.25" customHeight="1">
      <c r="A4030" s="17">
        <v>14029</v>
      </c>
      <c r="B4030" s="18">
        <v>46006</v>
      </c>
      <c r="C4030" s="17" t="s">
        <v>167</v>
      </c>
      <c r="D4030" s="17" t="s">
        <v>89</v>
      </c>
      <c r="E4030" s="17" t="s">
        <v>162</v>
      </c>
      <c r="F4030" s="17" t="s">
        <v>166</v>
      </c>
      <c r="G4030" s="17">
        <v>7</v>
      </c>
      <c r="H4030" s="17">
        <v>22767</v>
      </c>
      <c r="I4030" s="17">
        <v>159369</v>
      </c>
      <c r="J4030" s="17">
        <v>1389</v>
      </c>
      <c r="K4030" s="17">
        <v>157980</v>
      </c>
      <c r="L4030" s="17">
        <v>17488.430359999998</v>
      </c>
      <c r="M4030" s="17">
        <v>2025</v>
      </c>
      <c r="N4030" s="17" t="s">
        <v>169</v>
      </c>
    </row>
    <row r="4031" spans="1:14" ht="14.25" customHeight="1">
      <c r="A4031" s="17">
        <v>14030</v>
      </c>
      <c r="B4031" s="18">
        <v>45332</v>
      </c>
      <c r="C4031" s="17" t="s">
        <v>45</v>
      </c>
      <c r="D4031" s="17" t="s">
        <v>83</v>
      </c>
      <c r="E4031" s="17" t="s">
        <v>168</v>
      </c>
      <c r="F4031" s="17" t="s">
        <v>164</v>
      </c>
      <c r="G4031" s="17">
        <v>9</v>
      </c>
      <c r="H4031" s="17">
        <v>31467</v>
      </c>
      <c r="I4031" s="17">
        <v>283203</v>
      </c>
      <c r="J4031" s="17">
        <v>3558</v>
      </c>
      <c r="K4031" s="17">
        <v>279645</v>
      </c>
      <c r="L4031" s="17">
        <v>48603.405319999998</v>
      </c>
      <c r="M4031" s="17">
        <v>2024</v>
      </c>
      <c r="N4031" s="17" t="s">
        <v>175</v>
      </c>
    </row>
    <row r="4032" spans="1:14" ht="14.25" customHeight="1">
      <c r="A4032" s="17">
        <v>14031</v>
      </c>
      <c r="B4032" s="18">
        <v>45396</v>
      </c>
      <c r="C4032" s="17" t="s">
        <v>45</v>
      </c>
      <c r="D4032" s="17" t="s">
        <v>86</v>
      </c>
      <c r="E4032" s="17" t="s">
        <v>168</v>
      </c>
      <c r="F4032" s="17" t="s">
        <v>164</v>
      </c>
      <c r="G4032" s="17">
        <v>9</v>
      </c>
      <c r="H4032" s="17">
        <v>12118</v>
      </c>
      <c r="I4032" s="17">
        <v>109062</v>
      </c>
      <c r="J4032" s="17">
        <v>2581</v>
      </c>
      <c r="K4032" s="17">
        <v>106481</v>
      </c>
      <c r="L4032" s="17">
        <v>22747.463220000001</v>
      </c>
      <c r="M4032" s="17">
        <v>2024</v>
      </c>
      <c r="N4032" s="17" t="s">
        <v>114</v>
      </c>
    </row>
    <row r="4033" spans="1:14" ht="14.25" customHeight="1">
      <c r="A4033" s="17">
        <v>14032</v>
      </c>
      <c r="B4033" s="18">
        <v>45484</v>
      </c>
      <c r="C4033" s="17" t="s">
        <v>45</v>
      </c>
      <c r="D4033" s="17" t="s">
        <v>86</v>
      </c>
      <c r="E4033" s="17" t="s">
        <v>162</v>
      </c>
      <c r="F4033" s="17" t="s">
        <v>166</v>
      </c>
      <c r="G4033" s="17">
        <v>6</v>
      </c>
      <c r="H4033" s="17">
        <v>68884</v>
      </c>
      <c r="I4033" s="17">
        <v>413304</v>
      </c>
      <c r="J4033" s="17">
        <v>2071</v>
      </c>
      <c r="K4033" s="17">
        <v>411233</v>
      </c>
      <c r="L4033" s="17">
        <v>74507.345700000005</v>
      </c>
      <c r="M4033" s="17">
        <v>2024</v>
      </c>
      <c r="N4033" s="17" t="s">
        <v>123</v>
      </c>
    </row>
    <row r="4034" spans="1:14" ht="14.25" customHeight="1">
      <c r="A4034" s="17">
        <v>14033</v>
      </c>
      <c r="B4034" s="18">
        <v>45692</v>
      </c>
      <c r="C4034" s="17" t="s">
        <v>45</v>
      </c>
      <c r="D4034" s="17" t="s">
        <v>83</v>
      </c>
      <c r="E4034" s="17" t="s">
        <v>162</v>
      </c>
      <c r="F4034" s="17" t="s">
        <v>164</v>
      </c>
      <c r="G4034" s="17">
        <v>6</v>
      </c>
      <c r="H4034" s="17">
        <v>16213</v>
      </c>
      <c r="I4034" s="17">
        <v>97278</v>
      </c>
      <c r="J4034" s="17">
        <v>2990</v>
      </c>
      <c r="K4034" s="17">
        <v>94288</v>
      </c>
      <c r="L4034" s="17">
        <v>16749.522440000001</v>
      </c>
      <c r="M4034" s="17">
        <v>2025</v>
      </c>
      <c r="N4034" s="17" t="s">
        <v>175</v>
      </c>
    </row>
    <row r="4035" spans="1:14" ht="14.25" customHeight="1">
      <c r="A4035" s="17">
        <v>14034</v>
      </c>
      <c r="B4035" s="18">
        <v>45569</v>
      </c>
      <c r="C4035" s="17" t="s">
        <v>39</v>
      </c>
      <c r="D4035" s="17" t="s">
        <v>170</v>
      </c>
      <c r="E4035" s="17" t="s">
        <v>165</v>
      </c>
      <c r="F4035" s="17" t="s">
        <v>164</v>
      </c>
      <c r="G4035" s="17">
        <v>4</v>
      </c>
      <c r="H4035" s="17">
        <v>13868</v>
      </c>
      <c r="I4035" s="17">
        <v>55472</v>
      </c>
      <c r="J4035" s="17">
        <v>1669</v>
      </c>
      <c r="K4035" s="17">
        <v>53803</v>
      </c>
      <c r="L4035" s="17">
        <v>11174.14428</v>
      </c>
      <c r="M4035" s="17">
        <v>2024</v>
      </c>
      <c r="N4035" s="17" t="s">
        <v>174</v>
      </c>
    </row>
    <row r="4036" spans="1:14" ht="14.25" customHeight="1">
      <c r="A4036" s="17">
        <v>14035</v>
      </c>
      <c r="B4036" s="18">
        <v>45645</v>
      </c>
      <c r="C4036" s="17" t="s">
        <v>167</v>
      </c>
      <c r="D4036" s="17" t="s">
        <v>89</v>
      </c>
      <c r="E4036" s="17" t="s">
        <v>168</v>
      </c>
      <c r="F4036" s="17" t="s">
        <v>172</v>
      </c>
      <c r="G4036" s="17">
        <v>8</v>
      </c>
      <c r="H4036" s="17">
        <v>56716</v>
      </c>
      <c r="I4036" s="17">
        <v>453728</v>
      </c>
      <c r="J4036" s="17">
        <v>1417</v>
      </c>
      <c r="K4036" s="17">
        <v>452311</v>
      </c>
      <c r="L4036" s="17">
        <v>56890.153760000001</v>
      </c>
      <c r="M4036" s="17">
        <v>2024</v>
      </c>
      <c r="N4036" s="17" t="s">
        <v>169</v>
      </c>
    </row>
    <row r="4037" spans="1:14" ht="14.25" customHeight="1">
      <c r="A4037" s="17">
        <v>14036</v>
      </c>
      <c r="B4037" s="18">
        <v>45871</v>
      </c>
      <c r="C4037" s="17" t="s">
        <v>39</v>
      </c>
      <c r="D4037" s="17" t="s">
        <v>111</v>
      </c>
      <c r="E4037" s="17" t="s">
        <v>168</v>
      </c>
      <c r="F4037" s="17" t="s">
        <v>172</v>
      </c>
      <c r="G4037" s="17">
        <v>2</v>
      </c>
      <c r="H4037" s="17">
        <v>47523</v>
      </c>
      <c r="I4037" s="17">
        <v>95046</v>
      </c>
      <c r="J4037" s="17">
        <v>2726</v>
      </c>
      <c r="K4037" s="17">
        <v>92320</v>
      </c>
      <c r="L4037" s="17">
        <v>15567.190409999999</v>
      </c>
      <c r="M4037" s="17">
        <v>2025</v>
      </c>
      <c r="N4037" s="17" t="s">
        <v>126</v>
      </c>
    </row>
    <row r="4038" spans="1:14" ht="14.25" customHeight="1">
      <c r="A4038" s="17">
        <v>14037</v>
      </c>
      <c r="B4038" s="18">
        <v>46000</v>
      </c>
      <c r="C4038" s="17" t="s">
        <v>50</v>
      </c>
      <c r="D4038" s="17" t="s">
        <v>86</v>
      </c>
      <c r="E4038" s="17" t="s">
        <v>165</v>
      </c>
      <c r="F4038" s="17" t="s">
        <v>164</v>
      </c>
      <c r="G4038" s="17">
        <v>5</v>
      </c>
      <c r="H4038" s="17">
        <v>39028</v>
      </c>
      <c r="I4038" s="17">
        <v>195140</v>
      </c>
      <c r="J4038" s="17">
        <v>4132</v>
      </c>
      <c r="K4038" s="17">
        <v>191008</v>
      </c>
      <c r="L4038" s="17">
        <v>23342.549330000002</v>
      </c>
      <c r="M4038" s="17">
        <v>2025</v>
      </c>
      <c r="N4038" s="17" t="s">
        <v>169</v>
      </c>
    </row>
    <row r="4039" spans="1:14" ht="14.25" customHeight="1">
      <c r="A4039" s="17">
        <v>14038</v>
      </c>
      <c r="B4039" s="18">
        <v>45547</v>
      </c>
      <c r="C4039" s="17" t="s">
        <v>50</v>
      </c>
      <c r="D4039" s="17" t="s">
        <v>111</v>
      </c>
      <c r="E4039" s="17" t="s">
        <v>165</v>
      </c>
      <c r="F4039" s="17" t="s">
        <v>164</v>
      </c>
      <c r="G4039" s="17">
        <v>1</v>
      </c>
      <c r="H4039" s="17">
        <v>15545</v>
      </c>
      <c r="I4039" s="17">
        <v>15545</v>
      </c>
      <c r="J4039" s="17">
        <v>2869</v>
      </c>
      <c r="K4039" s="17">
        <v>12676</v>
      </c>
      <c r="L4039" s="17">
        <v>2263.6299410000001</v>
      </c>
      <c r="M4039" s="17">
        <v>2024</v>
      </c>
      <c r="N4039" s="17" t="s">
        <v>129</v>
      </c>
    </row>
    <row r="4040" spans="1:14" ht="14.25" customHeight="1">
      <c r="A4040" s="17">
        <v>14039</v>
      </c>
      <c r="B4040" s="18">
        <v>45942</v>
      </c>
      <c r="C4040" s="17" t="s">
        <v>167</v>
      </c>
      <c r="D4040" s="17" t="s">
        <v>83</v>
      </c>
      <c r="E4040" s="17" t="s">
        <v>168</v>
      </c>
      <c r="F4040" s="17" t="s">
        <v>163</v>
      </c>
      <c r="G4040" s="17">
        <v>2</v>
      </c>
      <c r="H4040" s="17">
        <v>5357</v>
      </c>
      <c r="I4040" s="17">
        <v>10714</v>
      </c>
      <c r="J4040" s="17">
        <v>1586</v>
      </c>
      <c r="K4040" s="17">
        <v>9128</v>
      </c>
      <c r="L4040" s="17">
        <v>1723.2862090000001</v>
      </c>
      <c r="M4040" s="17">
        <v>2025</v>
      </c>
      <c r="N4040" s="17" t="s">
        <v>174</v>
      </c>
    </row>
    <row r="4041" spans="1:14" ht="14.25" customHeight="1">
      <c r="A4041" s="17">
        <v>14040</v>
      </c>
      <c r="B4041" s="18">
        <v>45952</v>
      </c>
      <c r="C4041" s="17" t="s">
        <v>50</v>
      </c>
      <c r="D4041" s="17" t="s">
        <v>111</v>
      </c>
      <c r="E4041" s="17" t="s">
        <v>162</v>
      </c>
      <c r="F4041" s="17" t="s">
        <v>172</v>
      </c>
      <c r="G4041" s="17">
        <v>1</v>
      </c>
      <c r="H4041" s="17">
        <v>26788</v>
      </c>
      <c r="I4041" s="17">
        <v>26788</v>
      </c>
      <c r="J4041" s="17">
        <v>4667</v>
      </c>
      <c r="K4041" s="17">
        <v>22121</v>
      </c>
      <c r="L4041" s="17">
        <v>2615.8302659999999</v>
      </c>
      <c r="M4041" s="17">
        <v>2025</v>
      </c>
      <c r="N4041" s="17" t="s">
        <v>174</v>
      </c>
    </row>
    <row r="4042" spans="1:14" ht="14.25" customHeight="1">
      <c r="A4042" s="17">
        <v>14041</v>
      </c>
      <c r="B4042" s="18">
        <v>45390</v>
      </c>
      <c r="C4042" s="17" t="s">
        <v>45</v>
      </c>
      <c r="D4042" s="17" t="s">
        <v>111</v>
      </c>
      <c r="E4042" s="17" t="s">
        <v>162</v>
      </c>
      <c r="F4042" s="17" t="s">
        <v>164</v>
      </c>
      <c r="G4042" s="17">
        <v>6</v>
      </c>
      <c r="H4042" s="17">
        <v>21802</v>
      </c>
      <c r="I4042" s="17">
        <v>130812</v>
      </c>
      <c r="J4042" s="17">
        <v>4402</v>
      </c>
      <c r="K4042" s="17">
        <v>126410</v>
      </c>
      <c r="L4042" s="17">
        <v>14072.881429999999</v>
      </c>
      <c r="M4042" s="17">
        <v>2024</v>
      </c>
      <c r="N4042" s="17" t="s">
        <v>114</v>
      </c>
    </row>
    <row r="4043" spans="1:14" ht="14.25" customHeight="1">
      <c r="A4043" s="17">
        <v>14042</v>
      </c>
      <c r="B4043" s="18">
        <v>45879</v>
      </c>
      <c r="C4043" s="17" t="s">
        <v>39</v>
      </c>
      <c r="D4043" s="17" t="s">
        <v>89</v>
      </c>
      <c r="E4043" s="17" t="s">
        <v>165</v>
      </c>
      <c r="F4043" s="17" t="s">
        <v>163</v>
      </c>
      <c r="G4043" s="17">
        <v>2</v>
      </c>
      <c r="H4043" s="17">
        <v>59739</v>
      </c>
      <c r="I4043" s="17">
        <v>119478</v>
      </c>
      <c r="J4043" s="17">
        <v>4400</v>
      </c>
      <c r="K4043" s="17">
        <v>115078</v>
      </c>
      <c r="L4043" s="17">
        <v>14385.905570000001</v>
      </c>
      <c r="M4043" s="17">
        <v>2025</v>
      </c>
      <c r="N4043" s="17" t="s">
        <v>126</v>
      </c>
    </row>
    <row r="4044" spans="1:14" ht="14.25" customHeight="1">
      <c r="A4044" s="17">
        <v>14043</v>
      </c>
      <c r="B4044" s="18">
        <v>45573</v>
      </c>
      <c r="C4044" s="17" t="s">
        <v>45</v>
      </c>
      <c r="D4044" s="17" t="s">
        <v>83</v>
      </c>
      <c r="E4044" s="17" t="s">
        <v>168</v>
      </c>
      <c r="F4044" s="17" t="s">
        <v>163</v>
      </c>
      <c r="G4044" s="17">
        <v>4</v>
      </c>
      <c r="H4044" s="17">
        <v>6593</v>
      </c>
      <c r="I4044" s="17">
        <v>26372</v>
      </c>
      <c r="J4044" s="17">
        <v>2226</v>
      </c>
      <c r="K4044" s="17">
        <v>24146</v>
      </c>
      <c r="L4044" s="17">
        <v>4538.2562379999999</v>
      </c>
      <c r="M4044" s="17">
        <v>2024</v>
      </c>
      <c r="N4044" s="17" t="s">
        <v>174</v>
      </c>
    </row>
    <row r="4045" spans="1:14" ht="14.25" customHeight="1">
      <c r="A4045" s="17">
        <v>14044</v>
      </c>
      <c r="B4045" s="18">
        <v>45694</v>
      </c>
      <c r="C4045" s="17" t="s">
        <v>50</v>
      </c>
      <c r="D4045" s="17" t="s">
        <v>111</v>
      </c>
      <c r="E4045" s="17" t="s">
        <v>165</v>
      </c>
      <c r="F4045" s="17" t="s">
        <v>163</v>
      </c>
      <c r="G4045" s="17">
        <v>5</v>
      </c>
      <c r="H4045" s="17">
        <v>9602</v>
      </c>
      <c r="I4045" s="17">
        <v>48010</v>
      </c>
      <c r="J4045" s="17">
        <v>3736</v>
      </c>
      <c r="K4045" s="17">
        <v>44274</v>
      </c>
      <c r="L4045" s="17">
        <v>5686.679811</v>
      </c>
      <c r="M4045" s="17">
        <v>2025</v>
      </c>
      <c r="N4045" s="17" t="s">
        <v>175</v>
      </c>
    </row>
    <row r="4046" spans="1:14" ht="14.25" customHeight="1">
      <c r="A4046" s="17">
        <v>14045</v>
      </c>
      <c r="B4046" s="18">
        <v>45400</v>
      </c>
      <c r="C4046" s="17" t="s">
        <v>39</v>
      </c>
      <c r="D4046" s="17" t="s">
        <v>86</v>
      </c>
      <c r="E4046" s="17" t="s">
        <v>162</v>
      </c>
      <c r="F4046" s="17" t="s">
        <v>163</v>
      </c>
      <c r="G4046" s="17">
        <v>7</v>
      </c>
      <c r="H4046" s="17">
        <v>15943</v>
      </c>
      <c r="I4046" s="17">
        <v>111601</v>
      </c>
      <c r="J4046" s="17">
        <v>931</v>
      </c>
      <c r="K4046" s="17">
        <v>110670</v>
      </c>
      <c r="L4046" s="17">
        <v>15636.17657</v>
      </c>
      <c r="M4046" s="17">
        <v>2024</v>
      </c>
      <c r="N4046" s="17" t="s">
        <v>114</v>
      </c>
    </row>
    <row r="4047" spans="1:14" ht="14.25" customHeight="1">
      <c r="A4047" s="17">
        <v>14046</v>
      </c>
      <c r="B4047" s="18">
        <v>45991</v>
      </c>
      <c r="C4047" s="17" t="s">
        <v>45</v>
      </c>
      <c r="D4047" s="17" t="s">
        <v>83</v>
      </c>
      <c r="E4047" s="17" t="s">
        <v>162</v>
      </c>
      <c r="F4047" s="17" t="s">
        <v>172</v>
      </c>
      <c r="G4047" s="17">
        <v>1</v>
      </c>
      <c r="H4047" s="17">
        <v>38012</v>
      </c>
      <c r="I4047" s="17">
        <v>38012</v>
      </c>
      <c r="J4047" s="17">
        <v>1542</v>
      </c>
      <c r="K4047" s="17">
        <v>36470</v>
      </c>
      <c r="L4047" s="17">
        <v>7490.277599</v>
      </c>
      <c r="M4047" s="17">
        <v>2025</v>
      </c>
      <c r="N4047" s="17" t="s">
        <v>173</v>
      </c>
    </row>
    <row r="4048" spans="1:14" ht="14.25" customHeight="1">
      <c r="A4048" s="17">
        <v>14047</v>
      </c>
      <c r="B4048" s="18">
        <v>45490</v>
      </c>
      <c r="C4048" s="17" t="s">
        <v>167</v>
      </c>
      <c r="D4048" s="17" t="s">
        <v>86</v>
      </c>
      <c r="E4048" s="17" t="s">
        <v>165</v>
      </c>
      <c r="F4048" s="17" t="s">
        <v>163</v>
      </c>
      <c r="G4048" s="17">
        <v>5</v>
      </c>
      <c r="H4048" s="17">
        <v>75108</v>
      </c>
      <c r="I4048" s="17">
        <v>375540</v>
      </c>
      <c r="J4048" s="17">
        <v>1992</v>
      </c>
      <c r="K4048" s="17">
        <v>373548</v>
      </c>
      <c r="L4048" s="17">
        <v>51270.107020000003</v>
      </c>
      <c r="M4048" s="17">
        <v>2024</v>
      </c>
      <c r="N4048" s="17" t="s">
        <v>123</v>
      </c>
    </row>
    <row r="4049" spans="1:14" ht="14.25" customHeight="1">
      <c r="A4049" s="17">
        <v>14048</v>
      </c>
      <c r="B4049" s="18">
        <v>45594</v>
      </c>
      <c r="C4049" s="17" t="s">
        <v>45</v>
      </c>
      <c r="D4049" s="17" t="s">
        <v>170</v>
      </c>
      <c r="E4049" s="17" t="s">
        <v>162</v>
      </c>
      <c r="F4049" s="17" t="s">
        <v>172</v>
      </c>
      <c r="G4049" s="17">
        <v>4</v>
      </c>
      <c r="H4049" s="17">
        <v>21250</v>
      </c>
      <c r="I4049" s="17">
        <v>85000</v>
      </c>
      <c r="J4049" s="17">
        <v>3706</v>
      </c>
      <c r="K4049" s="17">
        <v>81294</v>
      </c>
      <c r="L4049" s="17">
        <v>12976.88386</v>
      </c>
      <c r="M4049" s="17">
        <v>2024</v>
      </c>
      <c r="N4049" s="17" t="s">
        <v>174</v>
      </c>
    </row>
    <row r="4050" spans="1:14" ht="14.25" customHeight="1">
      <c r="A4050" s="17">
        <v>14049</v>
      </c>
      <c r="B4050" s="18">
        <v>45618</v>
      </c>
      <c r="C4050" s="17" t="s">
        <v>50</v>
      </c>
      <c r="D4050" s="17" t="s">
        <v>111</v>
      </c>
      <c r="E4050" s="17" t="s">
        <v>168</v>
      </c>
      <c r="F4050" s="17" t="s">
        <v>163</v>
      </c>
      <c r="G4050" s="17">
        <v>7</v>
      </c>
      <c r="H4050" s="17">
        <v>49053</v>
      </c>
      <c r="I4050" s="17">
        <v>343371</v>
      </c>
      <c r="J4050" s="17">
        <v>4059</v>
      </c>
      <c r="K4050" s="17">
        <v>339312</v>
      </c>
      <c r="L4050" s="17">
        <v>81206.4565</v>
      </c>
      <c r="M4050" s="17">
        <v>2024</v>
      </c>
      <c r="N4050" s="17" t="s">
        <v>173</v>
      </c>
    </row>
    <row r="4051" spans="1:14" ht="14.25" customHeight="1">
      <c r="A4051" s="17">
        <v>14050</v>
      </c>
      <c r="B4051" s="18">
        <v>45445</v>
      </c>
      <c r="C4051" s="17" t="s">
        <v>39</v>
      </c>
      <c r="D4051" s="17" t="s">
        <v>83</v>
      </c>
      <c r="E4051" s="17" t="s">
        <v>165</v>
      </c>
      <c r="F4051" s="17" t="s">
        <v>163</v>
      </c>
      <c r="G4051" s="17">
        <v>7</v>
      </c>
      <c r="H4051" s="17">
        <v>44388</v>
      </c>
      <c r="I4051" s="17">
        <v>310716</v>
      </c>
      <c r="J4051" s="17">
        <v>3549</v>
      </c>
      <c r="K4051" s="17">
        <v>307167</v>
      </c>
      <c r="L4051" s="17">
        <v>68728.460120000003</v>
      </c>
      <c r="M4051" s="17">
        <v>2024</v>
      </c>
      <c r="N4051" s="17" t="s">
        <v>120</v>
      </c>
    </row>
    <row r="4052" spans="1:14" ht="14.25" customHeight="1">
      <c r="A4052" s="17">
        <v>14051</v>
      </c>
      <c r="B4052" s="18">
        <v>45843</v>
      </c>
      <c r="C4052" s="17" t="s">
        <v>167</v>
      </c>
      <c r="D4052" s="17" t="s">
        <v>86</v>
      </c>
      <c r="E4052" s="17" t="s">
        <v>165</v>
      </c>
      <c r="F4052" s="17" t="s">
        <v>166</v>
      </c>
      <c r="G4052" s="17">
        <v>8</v>
      </c>
      <c r="H4052" s="17">
        <v>76405</v>
      </c>
      <c r="I4052" s="17">
        <v>611240</v>
      </c>
      <c r="J4052" s="17">
        <v>3144</v>
      </c>
      <c r="K4052" s="17">
        <v>608096</v>
      </c>
      <c r="L4052" s="17">
        <v>84112.348010000002</v>
      </c>
      <c r="M4052" s="17">
        <v>2025</v>
      </c>
      <c r="N4052" s="17" t="s">
        <v>123</v>
      </c>
    </row>
    <row r="4053" spans="1:14" ht="14.25" customHeight="1">
      <c r="A4053" s="17">
        <v>14052</v>
      </c>
      <c r="B4053" s="18">
        <v>45936</v>
      </c>
      <c r="C4053" s="17" t="s">
        <v>39</v>
      </c>
      <c r="D4053" s="17" t="s">
        <v>111</v>
      </c>
      <c r="E4053" s="17" t="s">
        <v>165</v>
      </c>
      <c r="F4053" s="17" t="s">
        <v>172</v>
      </c>
      <c r="G4053" s="17">
        <v>4</v>
      </c>
      <c r="H4053" s="17">
        <v>76507</v>
      </c>
      <c r="I4053" s="17">
        <v>306028</v>
      </c>
      <c r="J4053" s="17">
        <v>4892</v>
      </c>
      <c r="K4053" s="17">
        <v>301136</v>
      </c>
      <c r="L4053" s="17">
        <v>57106.337979999997</v>
      </c>
      <c r="M4053" s="17">
        <v>2025</v>
      </c>
      <c r="N4053" s="17" t="s">
        <v>174</v>
      </c>
    </row>
    <row r="4054" spans="1:14" ht="14.25" customHeight="1">
      <c r="A4054" s="17">
        <v>14053</v>
      </c>
      <c r="B4054" s="18">
        <v>45696</v>
      </c>
      <c r="C4054" s="17" t="s">
        <v>167</v>
      </c>
      <c r="D4054" s="17" t="s">
        <v>89</v>
      </c>
      <c r="E4054" s="17" t="s">
        <v>162</v>
      </c>
      <c r="F4054" s="17" t="s">
        <v>166</v>
      </c>
      <c r="G4054" s="17">
        <v>4</v>
      </c>
      <c r="H4054" s="17">
        <v>54662</v>
      </c>
      <c r="I4054" s="17">
        <v>218648</v>
      </c>
      <c r="J4054" s="17">
        <v>1534</v>
      </c>
      <c r="K4054" s="17">
        <v>217114</v>
      </c>
      <c r="L4054" s="17">
        <v>43394.719210000003</v>
      </c>
      <c r="M4054" s="17">
        <v>2025</v>
      </c>
      <c r="N4054" s="17" t="s">
        <v>175</v>
      </c>
    </row>
    <row r="4055" spans="1:14" ht="14.25" customHeight="1">
      <c r="A4055" s="17">
        <v>14054</v>
      </c>
      <c r="B4055" s="18">
        <v>45753</v>
      </c>
      <c r="C4055" s="17" t="s">
        <v>39</v>
      </c>
      <c r="D4055" s="17" t="s">
        <v>86</v>
      </c>
      <c r="E4055" s="17" t="s">
        <v>168</v>
      </c>
      <c r="F4055" s="17" t="s">
        <v>166</v>
      </c>
      <c r="G4055" s="17">
        <v>5</v>
      </c>
      <c r="H4055" s="17">
        <v>66311</v>
      </c>
      <c r="I4055" s="17">
        <v>331555</v>
      </c>
      <c r="J4055" s="17">
        <v>3136</v>
      </c>
      <c r="K4055" s="17">
        <v>328419</v>
      </c>
      <c r="L4055" s="17">
        <v>77190.362460000004</v>
      </c>
      <c r="M4055" s="17">
        <v>2025</v>
      </c>
      <c r="N4055" s="17" t="s">
        <v>114</v>
      </c>
    </row>
    <row r="4056" spans="1:14" ht="14.25" customHeight="1">
      <c r="A4056" s="17">
        <v>14055</v>
      </c>
      <c r="B4056" s="18">
        <v>45423</v>
      </c>
      <c r="C4056" s="17" t="s">
        <v>50</v>
      </c>
      <c r="D4056" s="17" t="s">
        <v>86</v>
      </c>
      <c r="E4056" s="17" t="s">
        <v>165</v>
      </c>
      <c r="F4056" s="17" t="s">
        <v>163</v>
      </c>
      <c r="G4056" s="17">
        <v>5</v>
      </c>
      <c r="H4056" s="17">
        <v>76504</v>
      </c>
      <c r="I4056" s="17">
        <v>382520</v>
      </c>
      <c r="J4056" s="17">
        <v>4842</v>
      </c>
      <c r="K4056" s="17">
        <v>377678</v>
      </c>
      <c r="L4056" s="17">
        <v>68782.754190000007</v>
      </c>
      <c r="M4056" s="17">
        <v>2024</v>
      </c>
      <c r="N4056" s="17" t="s">
        <v>117</v>
      </c>
    </row>
    <row r="4057" spans="1:14" ht="14.25" customHeight="1">
      <c r="A4057" s="17">
        <v>14056</v>
      </c>
      <c r="B4057" s="18">
        <v>45375</v>
      </c>
      <c r="C4057" s="17" t="s">
        <v>167</v>
      </c>
      <c r="D4057" s="17" t="s">
        <v>170</v>
      </c>
      <c r="E4057" s="17" t="s">
        <v>165</v>
      </c>
      <c r="F4057" s="17" t="s">
        <v>172</v>
      </c>
      <c r="G4057" s="17">
        <v>3</v>
      </c>
      <c r="H4057" s="17">
        <v>61657</v>
      </c>
      <c r="I4057" s="17">
        <v>184971</v>
      </c>
      <c r="J4057" s="17">
        <v>2674</v>
      </c>
      <c r="K4057" s="17">
        <v>182297</v>
      </c>
      <c r="L4057" s="17">
        <v>33577.837090000001</v>
      </c>
      <c r="M4057" s="17">
        <v>2024</v>
      </c>
      <c r="N4057" s="17" t="s">
        <v>112</v>
      </c>
    </row>
    <row r="4058" spans="1:14" ht="14.25" customHeight="1">
      <c r="A4058" s="17">
        <v>14057</v>
      </c>
      <c r="B4058" s="18">
        <v>45690</v>
      </c>
      <c r="C4058" s="17" t="s">
        <v>58</v>
      </c>
      <c r="D4058" s="17" t="s">
        <v>89</v>
      </c>
      <c r="E4058" s="17" t="s">
        <v>162</v>
      </c>
      <c r="F4058" s="17" t="s">
        <v>164</v>
      </c>
      <c r="G4058" s="17">
        <v>5</v>
      </c>
      <c r="H4058" s="17">
        <v>78183</v>
      </c>
      <c r="I4058" s="17">
        <v>390915</v>
      </c>
      <c r="J4058" s="17">
        <v>4548</v>
      </c>
      <c r="K4058" s="17">
        <v>386367</v>
      </c>
      <c r="L4058" s="17">
        <v>90126.702680000002</v>
      </c>
      <c r="M4058" s="17">
        <v>2025</v>
      </c>
      <c r="N4058" s="17" t="s">
        <v>175</v>
      </c>
    </row>
    <row r="4059" spans="1:14" ht="14.25" customHeight="1">
      <c r="A4059" s="17">
        <v>14058</v>
      </c>
      <c r="B4059" s="18">
        <v>45919</v>
      </c>
      <c r="C4059" s="17" t="s">
        <v>39</v>
      </c>
      <c r="D4059" s="17" t="s">
        <v>170</v>
      </c>
      <c r="E4059" s="17" t="s">
        <v>168</v>
      </c>
      <c r="F4059" s="17" t="s">
        <v>163</v>
      </c>
      <c r="G4059" s="17">
        <v>5</v>
      </c>
      <c r="H4059" s="17">
        <v>30499</v>
      </c>
      <c r="I4059" s="17">
        <v>152495</v>
      </c>
      <c r="J4059" s="17">
        <v>4926</v>
      </c>
      <c r="K4059" s="17">
        <v>147569</v>
      </c>
      <c r="L4059" s="17">
        <v>15960.659180000001</v>
      </c>
      <c r="M4059" s="17">
        <v>2025</v>
      </c>
      <c r="N4059" s="17" t="s">
        <v>129</v>
      </c>
    </row>
    <row r="4060" spans="1:14" ht="14.25" customHeight="1">
      <c r="A4060" s="17">
        <v>14059</v>
      </c>
      <c r="B4060" s="18">
        <v>45400</v>
      </c>
      <c r="C4060" s="17" t="s">
        <v>39</v>
      </c>
      <c r="D4060" s="17" t="s">
        <v>89</v>
      </c>
      <c r="E4060" s="17" t="s">
        <v>165</v>
      </c>
      <c r="F4060" s="17" t="s">
        <v>172</v>
      </c>
      <c r="G4060" s="17">
        <v>8</v>
      </c>
      <c r="H4060" s="17">
        <v>36785</v>
      </c>
      <c r="I4060" s="17">
        <v>294280</v>
      </c>
      <c r="J4060" s="17">
        <v>4853</v>
      </c>
      <c r="K4060" s="17">
        <v>289427</v>
      </c>
      <c r="L4060" s="17">
        <v>56212.858780000002</v>
      </c>
      <c r="M4060" s="17">
        <v>2024</v>
      </c>
      <c r="N4060" s="17" t="s">
        <v>114</v>
      </c>
    </row>
    <row r="4061" spans="1:14" ht="14.25" customHeight="1">
      <c r="A4061" s="17">
        <v>14060</v>
      </c>
      <c r="B4061" s="18">
        <v>45512</v>
      </c>
      <c r="C4061" s="17" t="s">
        <v>45</v>
      </c>
      <c r="D4061" s="17" t="s">
        <v>86</v>
      </c>
      <c r="E4061" s="17" t="s">
        <v>162</v>
      </c>
      <c r="F4061" s="17" t="s">
        <v>166</v>
      </c>
      <c r="G4061" s="17">
        <v>7</v>
      </c>
      <c r="H4061" s="17">
        <v>79536</v>
      </c>
      <c r="I4061" s="17">
        <v>556752</v>
      </c>
      <c r="J4061" s="17">
        <v>860</v>
      </c>
      <c r="K4061" s="17">
        <v>555892</v>
      </c>
      <c r="L4061" s="17">
        <v>90330.994099999996</v>
      </c>
      <c r="M4061" s="17">
        <v>2024</v>
      </c>
      <c r="N4061" s="17" t="s">
        <v>126</v>
      </c>
    </row>
    <row r="4062" spans="1:14" ht="14.25" customHeight="1">
      <c r="A4062" s="17">
        <v>14061</v>
      </c>
      <c r="B4062" s="18">
        <v>45844</v>
      </c>
      <c r="C4062" s="17" t="s">
        <v>167</v>
      </c>
      <c r="D4062" s="17" t="s">
        <v>170</v>
      </c>
      <c r="E4062" s="17" t="s">
        <v>165</v>
      </c>
      <c r="F4062" s="17" t="s">
        <v>172</v>
      </c>
      <c r="G4062" s="17">
        <v>8</v>
      </c>
      <c r="H4062" s="17">
        <v>57030</v>
      </c>
      <c r="I4062" s="17">
        <v>456240</v>
      </c>
      <c r="J4062" s="17">
        <v>1552</v>
      </c>
      <c r="K4062" s="17">
        <v>454688</v>
      </c>
      <c r="L4062" s="17">
        <v>107517.5741</v>
      </c>
      <c r="M4062" s="17">
        <v>2025</v>
      </c>
      <c r="N4062" s="17" t="s">
        <v>123</v>
      </c>
    </row>
    <row r="4063" spans="1:14" ht="14.25" customHeight="1">
      <c r="A4063" s="17">
        <v>14062</v>
      </c>
      <c r="B4063" s="18">
        <v>45659</v>
      </c>
      <c r="C4063" s="17" t="s">
        <v>58</v>
      </c>
      <c r="D4063" s="17" t="s">
        <v>111</v>
      </c>
      <c r="E4063" s="17" t="s">
        <v>162</v>
      </c>
      <c r="F4063" s="17" t="s">
        <v>163</v>
      </c>
      <c r="G4063" s="17">
        <v>5</v>
      </c>
      <c r="H4063" s="17">
        <v>42909</v>
      </c>
      <c r="I4063" s="17">
        <v>214545</v>
      </c>
      <c r="J4063" s="17">
        <v>4914</v>
      </c>
      <c r="K4063" s="17">
        <v>209631</v>
      </c>
      <c r="L4063" s="17">
        <v>51166.952649999999</v>
      </c>
      <c r="M4063" s="17">
        <v>2025</v>
      </c>
      <c r="N4063" s="17" t="s">
        <v>171</v>
      </c>
    </row>
    <row r="4064" spans="1:14" ht="14.25" customHeight="1">
      <c r="A4064" s="17">
        <v>14063</v>
      </c>
      <c r="B4064" s="18">
        <v>45438</v>
      </c>
      <c r="C4064" s="17" t="s">
        <v>50</v>
      </c>
      <c r="D4064" s="17" t="s">
        <v>89</v>
      </c>
      <c r="E4064" s="17" t="s">
        <v>168</v>
      </c>
      <c r="F4064" s="17" t="s">
        <v>172</v>
      </c>
      <c r="G4064" s="17">
        <v>2</v>
      </c>
      <c r="H4064" s="17">
        <v>39894</v>
      </c>
      <c r="I4064" s="17">
        <v>79788</v>
      </c>
      <c r="J4064" s="17">
        <v>1392</v>
      </c>
      <c r="K4064" s="17">
        <v>78396</v>
      </c>
      <c r="L4064" s="17">
        <v>9841.6056790000002</v>
      </c>
      <c r="M4064" s="17">
        <v>2024</v>
      </c>
      <c r="N4064" s="17" t="s">
        <v>117</v>
      </c>
    </row>
    <row r="4065" spans="1:14" ht="14.25" customHeight="1">
      <c r="A4065" s="17">
        <v>14064</v>
      </c>
      <c r="B4065" s="18">
        <v>45403</v>
      </c>
      <c r="C4065" s="17" t="s">
        <v>45</v>
      </c>
      <c r="D4065" s="17" t="s">
        <v>86</v>
      </c>
      <c r="E4065" s="17" t="s">
        <v>162</v>
      </c>
      <c r="F4065" s="17" t="s">
        <v>166</v>
      </c>
      <c r="G4065" s="17">
        <v>8</v>
      </c>
      <c r="H4065" s="17">
        <v>77006</v>
      </c>
      <c r="I4065" s="17">
        <v>616048</v>
      </c>
      <c r="J4065" s="17">
        <v>1879</v>
      </c>
      <c r="K4065" s="17">
        <v>614169</v>
      </c>
      <c r="L4065" s="17">
        <v>87347.281369999997</v>
      </c>
      <c r="M4065" s="17">
        <v>2024</v>
      </c>
      <c r="N4065" s="17" t="s">
        <v>114</v>
      </c>
    </row>
    <row r="4066" spans="1:14" ht="14.25" customHeight="1">
      <c r="A4066" s="17">
        <v>14065</v>
      </c>
      <c r="B4066" s="18">
        <v>45906</v>
      </c>
      <c r="C4066" s="17" t="s">
        <v>58</v>
      </c>
      <c r="D4066" s="17" t="s">
        <v>83</v>
      </c>
      <c r="E4066" s="17" t="s">
        <v>165</v>
      </c>
      <c r="F4066" s="17" t="s">
        <v>172</v>
      </c>
      <c r="G4066" s="17">
        <v>9</v>
      </c>
      <c r="H4066" s="17">
        <v>20473</v>
      </c>
      <c r="I4066" s="17">
        <v>184257</v>
      </c>
      <c r="J4066" s="17">
        <v>380</v>
      </c>
      <c r="K4066" s="17">
        <v>183877</v>
      </c>
      <c r="L4066" s="17">
        <v>25930.092820000002</v>
      </c>
      <c r="M4066" s="17">
        <v>2025</v>
      </c>
      <c r="N4066" s="17" t="s">
        <v>129</v>
      </c>
    </row>
    <row r="4067" spans="1:14" ht="14.25" customHeight="1">
      <c r="A4067" s="17">
        <v>14066</v>
      </c>
      <c r="B4067" s="18">
        <v>45849</v>
      </c>
      <c r="C4067" s="17" t="s">
        <v>167</v>
      </c>
      <c r="D4067" s="17" t="s">
        <v>89</v>
      </c>
      <c r="E4067" s="17" t="s">
        <v>165</v>
      </c>
      <c r="F4067" s="17" t="s">
        <v>172</v>
      </c>
      <c r="G4067" s="17">
        <v>2</v>
      </c>
      <c r="H4067" s="17">
        <v>25063</v>
      </c>
      <c r="I4067" s="17">
        <v>50126</v>
      </c>
      <c r="J4067" s="17">
        <v>648</v>
      </c>
      <c r="K4067" s="17">
        <v>49478</v>
      </c>
      <c r="L4067" s="17">
        <v>5694.6280610000003</v>
      </c>
      <c r="M4067" s="17">
        <v>2025</v>
      </c>
      <c r="N4067" s="17" t="s">
        <v>123</v>
      </c>
    </row>
    <row r="4068" spans="1:14" ht="14.25" customHeight="1">
      <c r="A4068" s="17">
        <v>14067</v>
      </c>
      <c r="B4068" s="18">
        <v>45785</v>
      </c>
      <c r="C4068" s="17" t="s">
        <v>58</v>
      </c>
      <c r="D4068" s="17" t="s">
        <v>89</v>
      </c>
      <c r="E4068" s="17" t="s">
        <v>162</v>
      </c>
      <c r="F4068" s="17" t="s">
        <v>166</v>
      </c>
      <c r="G4068" s="17">
        <v>1</v>
      </c>
      <c r="H4068" s="17">
        <v>16850</v>
      </c>
      <c r="I4068" s="17">
        <v>16850</v>
      </c>
      <c r="J4068" s="17">
        <v>4341</v>
      </c>
      <c r="K4068" s="17">
        <v>12509</v>
      </c>
      <c r="L4068" s="17">
        <v>2157.0717970000001</v>
      </c>
      <c r="M4068" s="17">
        <v>2025</v>
      </c>
      <c r="N4068" s="17" t="s">
        <v>117</v>
      </c>
    </row>
    <row r="4069" spans="1:14" ht="14.25" customHeight="1">
      <c r="A4069" s="17">
        <v>14068</v>
      </c>
      <c r="B4069" s="18">
        <v>45796</v>
      </c>
      <c r="C4069" s="17" t="s">
        <v>39</v>
      </c>
      <c r="D4069" s="17" t="s">
        <v>111</v>
      </c>
      <c r="E4069" s="17" t="s">
        <v>168</v>
      </c>
      <c r="F4069" s="17" t="s">
        <v>163</v>
      </c>
      <c r="G4069" s="17">
        <v>6</v>
      </c>
      <c r="H4069" s="17">
        <v>5984</v>
      </c>
      <c r="I4069" s="17">
        <v>35904</v>
      </c>
      <c r="J4069" s="17">
        <v>3621</v>
      </c>
      <c r="K4069" s="17">
        <v>32283</v>
      </c>
      <c r="L4069" s="17">
        <v>5712.8710769999998</v>
      </c>
      <c r="M4069" s="17">
        <v>2025</v>
      </c>
      <c r="N4069" s="17" t="s">
        <v>117</v>
      </c>
    </row>
    <row r="4070" spans="1:14" ht="14.25" customHeight="1">
      <c r="A4070" s="17">
        <v>14069</v>
      </c>
      <c r="B4070" s="18">
        <v>45766</v>
      </c>
      <c r="C4070" s="17" t="s">
        <v>39</v>
      </c>
      <c r="D4070" s="17" t="s">
        <v>89</v>
      </c>
      <c r="E4070" s="17" t="s">
        <v>168</v>
      </c>
      <c r="F4070" s="17" t="s">
        <v>164</v>
      </c>
      <c r="G4070" s="17">
        <v>3</v>
      </c>
      <c r="H4070" s="17">
        <v>55450</v>
      </c>
      <c r="I4070" s="17">
        <v>166350</v>
      </c>
      <c r="J4070" s="17">
        <v>4660</v>
      </c>
      <c r="K4070" s="17">
        <v>161690</v>
      </c>
      <c r="L4070" s="17">
        <v>30065.728220000001</v>
      </c>
      <c r="M4070" s="17">
        <v>2025</v>
      </c>
      <c r="N4070" s="17" t="s">
        <v>114</v>
      </c>
    </row>
    <row r="4071" spans="1:14" ht="14.25" customHeight="1">
      <c r="A4071" s="17">
        <v>14070</v>
      </c>
      <c r="B4071" s="18">
        <v>45562</v>
      </c>
      <c r="C4071" s="17" t="s">
        <v>45</v>
      </c>
      <c r="D4071" s="17" t="s">
        <v>89</v>
      </c>
      <c r="E4071" s="17" t="s">
        <v>165</v>
      </c>
      <c r="F4071" s="17" t="s">
        <v>166</v>
      </c>
      <c r="G4071" s="17">
        <v>1</v>
      </c>
      <c r="H4071" s="17">
        <v>61700</v>
      </c>
      <c r="I4071" s="17">
        <v>61700</v>
      </c>
      <c r="J4071" s="17">
        <v>3417</v>
      </c>
      <c r="K4071" s="17">
        <v>58283</v>
      </c>
      <c r="L4071" s="17">
        <v>11624.18037</v>
      </c>
      <c r="M4071" s="17">
        <v>2024</v>
      </c>
      <c r="N4071" s="17" t="s">
        <v>129</v>
      </c>
    </row>
    <row r="4072" spans="1:14" ht="14.25" customHeight="1">
      <c r="A4072" s="17">
        <v>14071</v>
      </c>
      <c r="B4072" s="18">
        <v>45712</v>
      </c>
      <c r="C4072" s="17" t="s">
        <v>167</v>
      </c>
      <c r="D4072" s="17" t="s">
        <v>111</v>
      </c>
      <c r="E4072" s="17" t="s">
        <v>165</v>
      </c>
      <c r="F4072" s="17" t="s">
        <v>166</v>
      </c>
      <c r="G4072" s="17">
        <v>6</v>
      </c>
      <c r="H4072" s="17">
        <v>77723</v>
      </c>
      <c r="I4072" s="17">
        <v>466338</v>
      </c>
      <c r="J4072" s="17">
        <v>820</v>
      </c>
      <c r="K4072" s="17">
        <v>465518</v>
      </c>
      <c r="L4072" s="17">
        <v>50945.180999999997</v>
      </c>
      <c r="M4072" s="17">
        <v>2025</v>
      </c>
      <c r="N4072" s="17" t="s">
        <v>175</v>
      </c>
    </row>
    <row r="4073" spans="1:14" ht="14.25" customHeight="1">
      <c r="A4073" s="17">
        <v>14072</v>
      </c>
      <c r="B4073" s="18">
        <v>45998</v>
      </c>
      <c r="C4073" s="17" t="s">
        <v>167</v>
      </c>
      <c r="D4073" s="17" t="s">
        <v>111</v>
      </c>
      <c r="E4073" s="17" t="s">
        <v>162</v>
      </c>
      <c r="F4073" s="17" t="s">
        <v>163</v>
      </c>
      <c r="G4073" s="17">
        <v>8</v>
      </c>
      <c r="H4073" s="17">
        <v>25339</v>
      </c>
      <c r="I4073" s="17">
        <v>202712</v>
      </c>
      <c r="J4073" s="17">
        <v>471</v>
      </c>
      <c r="K4073" s="17">
        <v>202241</v>
      </c>
      <c r="L4073" s="17">
        <v>39107.854220000001</v>
      </c>
      <c r="M4073" s="17">
        <v>2025</v>
      </c>
      <c r="N4073" s="17" t="s">
        <v>169</v>
      </c>
    </row>
    <row r="4074" spans="1:14" ht="14.25" customHeight="1">
      <c r="A4074" s="17">
        <v>14073</v>
      </c>
      <c r="B4074" s="18">
        <v>45658</v>
      </c>
      <c r="C4074" s="17" t="s">
        <v>58</v>
      </c>
      <c r="D4074" s="17" t="s">
        <v>170</v>
      </c>
      <c r="E4074" s="17" t="s">
        <v>162</v>
      </c>
      <c r="F4074" s="17" t="s">
        <v>163</v>
      </c>
      <c r="G4074" s="17">
        <v>9</v>
      </c>
      <c r="H4074" s="17">
        <v>43481</v>
      </c>
      <c r="I4074" s="17">
        <v>391329</v>
      </c>
      <c r="J4074" s="17">
        <v>2016</v>
      </c>
      <c r="K4074" s="17">
        <v>389313</v>
      </c>
      <c r="L4074" s="17">
        <v>92294.975309999994</v>
      </c>
      <c r="M4074" s="17">
        <v>2025</v>
      </c>
      <c r="N4074" s="17" t="s">
        <v>171</v>
      </c>
    </row>
    <row r="4075" spans="1:14" ht="14.25" customHeight="1">
      <c r="A4075" s="17">
        <v>14074</v>
      </c>
      <c r="B4075" s="18">
        <v>45571</v>
      </c>
      <c r="C4075" s="17" t="s">
        <v>45</v>
      </c>
      <c r="D4075" s="17" t="s">
        <v>86</v>
      </c>
      <c r="E4075" s="17" t="s">
        <v>162</v>
      </c>
      <c r="F4075" s="17" t="s">
        <v>172</v>
      </c>
      <c r="G4075" s="17">
        <v>6</v>
      </c>
      <c r="H4075" s="17">
        <v>69351</v>
      </c>
      <c r="I4075" s="17">
        <v>416106</v>
      </c>
      <c r="J4075" s="17">
        <v>121</v>
      </c>
      <c r="K4075" s="17">
        <v>415985</v>
      </c>
      <c r="L4075" s="17">
        <v>69988.913360000006</v>
      </c>
      <c r="M4075" s="17">
        <v>2024</v>
      </c>
      <c r="N4075" s="17" t="s">
        <v>174</v>
      </c>
    </row>
    <row r="4076" spans="1:14" ht="14.25" customHeight="1">
      <c r="A4076" s="17">
        <v>14075</v>
      </c>
      <c r="B4076" s="18">
        <v>45574</v>
      </c>
      <c r="C4076" s="17" t="s">
        <v>167</v>
      </c>
      <c r="D4076" s="17" t="s">
        <v>86</v>
      </c>
      <c r="E4076" s="17" t="s">
        <v>168</v>
      </c>
      <c r="F4076" s="17" t="s">
        <v>166</v>
      </c>
      <c r="G4076" s="17">
        <v>6</v>
      </c>
      <c r="H4076" s="17">
        <v>57839</v>
      </c>
      <c r="I4076" s="17">
        <v>347034</v>
      </c>
      <c r="J4076" s="17">
        <v>4876</v>
      </c>
      <c r="K4076" s="17">
        <v>342158</v>
      </c>
      <c r="L4076" s="17">
        <v>39692.677430000003</v>
      </c>
      <c r="M4076" s="17">
        <v>2024</v>
      </c>
      <c r="N4076" s="17" t="s">
        <v>174</v>
      </c>
    </row>
    <row r="4077" spans="1:14" ht="14.25" customHeight="1">
      <c r="A4077" s="17">
        <v>14076</v>
      </c>
      <c r="B4077" s="18">
        <v>45331</v>
      </c>
      <c r="C4077" s="17" t="s">
        <v>39</v>
      </c>
      <c r="D4077" s="17" t="s">
        <v>170</v>
      </c>
      <c r="E4077" s="17" t="s">
        <v>168</v>
      </c>
      <c r="F4077" s="17" t="s">
        <v>172</v>
      </c>
      <c r="G4077" s="17">
        <v>1</v>
      </c>
      <c r="H4077" s="17">
        <v>69236</v>
      </c>
      <c r="I4077" s="17">
        <v>69236</v>
      </c>
      <c r="J4077" s="17">
        <v>2795</v>
      </c>
      <c r="K4077" s="17">
        <v>66441</v>
      </c>
      <c r="L4077" s="17">
        <v>7500.6310620000004</v>
      </c>
      <c r="M4077" s="17">
        <v>2024</v>
      </c>
      <c r="N4077" s="17" t="s">
        <v>175</v>
      </c>
    </row>
    <row r="4078" spans="1:14" ht="14.25" customHeight="1">
      <c r="A4078" s="17">
        <v>14077</v>
      </c>
      <c r="B4078" s="18">
        <v>45480</v>
      </c>
      <c r="C4078" s="17" t="s">
        <v>58</v>
      </c>
      <c r="D4078" s="17" t="s">
        <v>86</v>
      </c>
      <c r="E4078" s="17" t="s">
        <v>165</v>
      </c>
      <c r="F4078" s="17" t="s">
        <v>172</v>
      </c>
      <c r="G4078" s="17">
        <v>5</v>
      </c>
      <c r="H4078" s="17">
        <v>53287</v>
      </c>
      <c r="I4078" s="17">
        <v>266435</v>
      </c>
      <c r="J4078" s="17">
        <v>4216</v>
      </c>
      <c r="K4078" s="17">
        <v>262219</v>
      </c>
      <c r="L4078" s="17">
        <v>37304.019489999999</v>
      </c>
      <c r="M4078" s="17">
        <v>2024</v>
      </c>
      <c r="N4078" s="17" t="s">
        <v>123</v>
      </c>
    </row>
    <row r="4079" spans="1:14" ht="14.25" customHeight="1">
      <c r="A4079" s="17">
        <v>14078</v>
      </c>
      <c r="B4079" s="18">
        <v>45455</v>
      </c>
      <c r="C4079" s="17" t="s">
        <v>50</v>
      </c>
      <c r="D4079" s="17" t="s">
        <v>89</v>
      </c>
      <c r="E4079" s="17" t="s">
        <v>165</v>
      </c>
      <c r="F4079" s="17" t="s">
        <v>163</v>
      </c>
      <c r="G4079" s="17">
        <v>3</v>
      </c>
      <c r="H4079" s="17">
        <v>65306</v>
      </c>
      <c r="I4079" s="17">
        <v>195918</v>
      </c>
      <c r="J4079" s="17">
        <v>2186</v>
      </c>
      <c r="K4079" s="17">
        <v>193732</v>
      </c>
      <c r="L4079" s="17">
        <v>41241.415139999997</v>
      </c>
      <c r="M4079" s="17">
        <v>2024</v>
      </c>
      <c r="N4079" s="17" t="s">
        <v>120</v>
      </c>
    </row>
    <row r="4080" spans="1:14" ht="14.25" customHeight="1">
      <c r="A4080" s="17">
        <v>14079</v>
      </c>
      <c r="B4080" s="18">
        <v>45827</v>
      </c>
      <c r="C4080" s="17" t="s">
        <v>39</v>
      </c>
      <c r="D4080" s="17" t="s">
        <v>170</v>
      </c>
      <c r="E4080" s="17" t="s">
        <v>165</v>
      </c>
      <c r="F4080" s="17" t="s">
        <v>163</v>
      </c>
      <c r="G4080" s="17">
        <v>7</v>
      </c>
      <c r="H4080" s="17">
        <v>57197</v>
      </c>
      <c r="I4080" s="17">
        <v>400379</v>
      </c>
      <c r="J4080" s="17">
        <v>2134</v>
      </c>
      <c r="K4080" s="17">
        <v>398245</v>
      </c>
      <c r="L4080" s="17">
        <v>55415.771159999997</v>
      </c>
      <c r="M4080" s="17">
        <v>2025</v>
      </c>
      <c r="N4080" s="17" t="s">
        <v>120</v>
      </c>
    </row>
    <row r="4081" spans="1:14" ht="14.25" customHeight="1">
      <c r="A4081" s="17">
        <v>14080</v>
      </c>
      <c r="B4081" s="18">
        <v>45827</v>
      </c>
      <c r="C4081" s="17" t="s">
        <v>45</v>
      </c>
      <c r="D4081" s="17" t="s">
        <v>170</v>
      </c>
      <c r="E4081" s="17" t="s">
        <v>162</v>
      </c>
      <c r="F4081" s="17" t="s">
        <v>172</v>
      </c>
      <c r="G4081" s="17">
        <v>9</v>
      </c>
      <c r="H4081" s="17">
        <v>30435</v>
      </c>
      <c r="I4081" s="17">
        <v>273915</v>
      </c>
      <c r="J4081" s="17">
        <v>2177</v>
      </c>
      <c r="K4081" s="17">
        <v>271738</v>
      </c>
      <c r="L4081" s="17">
        <v>60366.498019999999</v>
      </c>
      <c r="M4081" s="17">
        <v>2025</v>
      </c>
      <c r="N4081" s="17" t="s">
        <v>120</v>
      </c>
    </row>
    <row r="4082" spans="1:14" ht="14.25" customHeight="1">
      <c r="A4082" s="17">
        <v>14081</v>
      </c>
      <c r="B4082" s="18">
        <v>45295</v>
      </c>
      <c r="C4082" s="17" t="s">
        <v>167</v>
      </c>
      <c r="D4082" s="17" t="s">
        <v>86</v>
      </c>
      <c r="E4082" s="17" t="s">
        <v>168</v>
      </c>
      <c r="F4082" s="17" t="s">
        <v>166</v>
      </c>
      <c r="G4082" s="17">
        <v>6</v>
      </c>
      <c r="H4082" s="17">
        <v>72621</v>
      </c>
      <c r="I4082" s="17">
        <v>435726</v>
      </c>
      <c r="J4082" s="17">
        <v>2299</v>
      </c>
      <c r="K4082" s="17">
        <v>433427</v>
      </c>
      <c r="L4082" s="17">
        <v>96632.060759999993</v>
      </c>
      <c r="M4082" s="17">
        <v>2024</v>
      </c>
      <c r="N4082" s="17" t="s">
        <v>171</v>
      </c>
    </row>
    <row r="4083" spans="1:14" ht="14.25" customHeight="1">
      <c r="A4083" s="17">
        <v>14082</v>
      </c>
      <c r="B4083" s="18">
        <v>45581</v>
      </c>
      <c r="C4083" s="17" t="s">
        <v>39</v>
      </c>
      <c r="D4083" s="17" t="s">
        <v>83</v>
      </c>
      <c r="E4083" s="17" t="s">
        <v>165</v>
      </c>
      <c r="F4083" s="17" t="s">
        <v>166</v>
      </c>
      <c r="G4083" s="17">
        <v>5</v>
      </c>
      <c r="H4083" s="17">
        <v>35837</v>
      </c>
      <c r="I4083" s="17">
        <v>179185</v>
      </c>
      <c r="J4083" s="17">
        <v>1383</v>
      </c>
      <c r="K4083" s="17">
        <v>177802</v>
      </c>
      <c r="L4083" s="17">
        <v>29971.509849999999</v>
      </c>
      <c r="M4083" s="17">
        <v>2024</v>
      </c>
      <c r="N4083" s="17" t="s">
        <v>174</v>
      </c>
    </row>
    <row r="4084" spans="1:14" ht="14.25" customHeight="1">
      <c r="A4084" s="17">
        <v>14083</v>
      </c>
      <c r="B4084" s="18">
        <v>45724</v>
      </c>
      <c r="C4084" s="17" t="s">
        <v>50</v>
      </c>
      <c r="D4084" s="17" t="s">
        <v>86</v>
      </c>
      <c r="E4084" s="17" t="s">
        <v>165</v>
      </c>
      <c r="F4084" s="17" t="s">
        <v>172</v>
      </c>
      <c r="G4084" s="17">
        <v>7</v>
      </c>
      <c r="H4084" s="17">
        <v>40495</v>
      </c>
      <c r="I4084" s="17">
        <v>283465</v>
      </c>
      <c r="J4084" s="17">
        <v>3501</v>
      </c>
      <c r="K4084" s="17">
        <v>279964</v>
      </c>
      <c r="L4084" s="17">
        <v>40627.907140000003</v>
      </c>
      <c r="M4084" s="17">
        <v>2025</v>
      </c>
      <c r="N4084" s="17" t="s">
        <v>112</v>
      </c>
    </row>
    <row r="4085" spans="1:14" ht="14.25" customHeight="1">
      <c r="A4085" s="17">
        <v>14084</v>
      </c>
      <c r="B4085" s="18">
        <v>45762</v>
      </c>
      <c r="C4085" s="17" t="s">
        <v>50</v>
      </c>
      <c r="D4085" s="17" t="s">
        <v>83</v>
      </c>
      <c r="E4085" s="17" t="s">
        <v>165</v>
      </c>
      <c r="F4085" s="17" t="s">
        <v>164</v>
      </c>
      <c r="G4085" s="17">
        <v>9</v>
      </c>
      <c r="H4085" s="17">
        <v>44760</v>
      </c>
      <c r="I4085" s="17">
        <v>402840</v>
      </c>
      <c r="J4085" s="17">
        <v>4142</v>
      </c>
      <c r="K4085" s="17">
        <v>398698</v>
      </c>
      <c r="L4085" s="17">
        <v>75613.104770000005</v>
      </c>
      <c r="M4085" s="17">
        <v>2025</v>
      </c>
      <c r="N4085" s="17" t="s">
        <v>114</v>
      </c>
    </row>
    <row r="4086" spans="1:14" ht="14.25" customHeight="1">
      <c r="A4086" s="17">
        <v>14085</v>
      </c>
      <c r="B4086" s="18">
        <v>45472</v>
      </c>
      <c r="C4086" s="17" t="s">
        <v>45</v>
      </c>
      <c r="D4086" s="17" t="s">
        <v>170</v>
      </c>
      <c r="E4086" s="17" t="s">
        <v>165</v>
      </c>
      <c r="F4086" s="17" t="s">
        <v>164</v>
      </c>
      <c r="G4086" s="17">
        <v>5</v>
      </c>
      <c r="H4086" s="17">
        <v>27084</v>
      </c>
      <c r="I4086" s="17">
        <v>135420</v>
      </c>
      <c r="J4086" s="17">
        <v>1968</v>
      </c>
      <c r="K4086" s="17">
        <v>133452</v>
      </c>
      <c r="L4086" s="17">
        <v>29570.23042</v>
      </c>
      <c r="M4086" s="17">
        <v>2024</v>
      </c>
      <c r="N4086" s="17" t="s">
        <v>120</v>
      </c>
    </row>
    <row r="4087" spans="1:14" ht="14.25" customHeight="1">
      <c r="A4087" s="17">
        <v>14086</v>
      </c>
      <c r="B4087" s="18">
        <v>45539</v>
      </c>
      <c r="C4087" s="17" t="s">
        <v>39</v>
      </c>
      <c r="D4087" s="17" t="s">
        <v>83</v>
      </c>
      <c r="E4087" s="17" t="s">
        <v>165</v>
      </c>
      <c r="F4087" s="17" t="s">
        <v>163</v>
      </c>
      <c r="G4087" s="17">
        <v>5</v>
      </c>
      <c r="H4087" s="17">
        <v>42458</v>
      </c>
      <c r="I4087" s="17">
        <v>212290</v>
      </c>
      <c r="J4087" s="17">
        <v>3662</v>
      </c>
      <c r="K4087" s="17">
        <v>208628</v>
      </c>
      <c r="L4087" s="17">
        <v>22883.491470000001</v>
      </c>
      <c r="M4087" s="17">
        <v>2024</v>
      </c>
      <c r="N4087" s="17" t="s">
        <v>129</v>
      </c>
    </row>
    <row r="4088" spans="1:14" ht="14.25" customHeight="1">
      <c r="A4088" s="17">
        <v>14087</v>
      </c>
      <c r="B4088" s="18">
        <v>45919</v>
      </c>
      <c r="C4088" s="17" t="s">
        <v>58</v>
      </c>
      <c r="D4088" s="17" t="s">
        <v>89</v>
      </c>
      <c r="E4088" s="17" t="s">
        <v>165</v>
      </c>
      <c r="F4088" s="17" t="s">
        <v>166</v>
      </c>
      <c r="G4088" s="17">
        <v>4</v>
      </c>
      <c r="H4088" s="17">
        <v>56946</v>
      </c>
      <c r="I4088" s="17">
        <v>227784</v>
      </c>
      <c r="J4088" s="17">
        <v>1833</v>
      </c>
      <c r="K4088" s="17">
        <v>225951</v>
      </c>
      <c r="L4088" s="17">
        <v>54909.150459999997</v>
      </c>
      <c r="M4088" s="17">
        <v>2025</v>
      </c>
      <c r="N4088" s="17" t="s">
        <v>129</v>
      </c>
    </row>
    <row r="4089" spans="1:14" ht="14.25" customHeight="1">
      <c r="A4089" s="17">
        <v>14088</v>
      </c>
      <c r="B4089" s="18">
        <v>45570</v>
      </c>
      <c r="C4089" s="17" t="s">
        <v>39</v>
      </c>
      <c r="D4089" s="17" t="s">
        <v>111</v>
      </c>
      <c r="E4089" s="17" t="s">
        <v>168</v>
      </c>
      <c r="F4089" s="17" t="s">
        <v>172</v>
      </c>
      <c r="G4089" s="17">
        <v>5</v>
      </c>
      <c r="H4089" s="17">
        <v>71601</v>
      </c>
      <c r="I4089" s="17">
        <v>358005</v>
      </c>
      <c r="J4089" s="17">
        <v>3947</v>
      </c>
      <c r="K4089" s="17">
        <v>354058</v>
      </c>
      <c r="L4089" s="17">
        <v>69708.723929999993</v>
      </c>
      <c r="M4089" s="17">
        <v>2024</v>
      </c>
      <c r="N4089" s="17" t="s">
        <v>174</v>
      </c>
    </row>
    <row r="4090" spans="1:14" ht="14.25" customHeight="1">
      <c r="A4090" s="17">
        <v>14089</v>
      </c>
      <c r="B4090" s="18">
        <v>45872</v>
      </c>
      <c r="C4090" s="17" t="s">
        <v>50</v>
      </c>
      <c r="D4090" s="17" t="s">
        <v>83</v>
      </c>
      <c r="E4090" s="17" t="s">
        <v>165</v>
      </c>
      <c r="F4090" s="17" t="s">
        <v>172</v>
      </c>
      <c r="G4090" s="17">
        <v>7</v>
      </c>
      <c r="H4090" s="17">
        <v>74218</v>
      </c>
      <c r="I4090" s="17">
        <v>519526</v>
      </c>
      <c r="J4090" s="17">
        <v>2472</v>
      </c>
      <c r="K4090" s="17">
        <v>517054</v>
      </c>
      <c r="L4090" s="17">
        <v>82584.983500000002</v>
      </c>
      <c r="M4090" s="17">
        <v>2025</v>
      </c>
      <c r="N4090" s="17" t="s">
        <v>126</v>
      </c>
    </row>
    <row r="4091" spans="1:14" ht="14.25" customHeight="1">
      <c r="A4091" s="17">
        <v>14090</v>
      </c>
      <c r="B4091" s="18">
        <v>45545</v>
      </c>
      <c r="C4091" s="17" t="s">
        <v>45</v>
      </c>
      <c r="D4091" s="17" t="s">
        <v>111</v>
      </c>
      <c r="E4091" s="17" t="s">
        <v>168</v>
      </c>
      <c r="F4091" s="17" t="s">
        <v>166</v>
      </c>
      <c r="G4091" s="17">
        <v>3</v>
      </c>
      <c r="H4091" s="17">
        <v>64351</v>
      </c>
      <c r="I4091" s="17">
        <v>193053</v>
      </c>
      <c r="J4091" s="17">
        <v>4826</v>
      </c>
      <c r="K4091" s="17">
        <v>188227</v>
      </c>
      <c r="L4091" s="17">
        <v>33109.672400000003</v>
      </c>
      <c r="M4091" s="17">
        <v>2024</v>
      </c>
      <c r="N4091" s="17" t="s">
        <v>129</v>
      </c>
    </row>
    <row r="4092" spans="1:14" ht="14.25" customHeight="1">
      <c r="A4092" s="17">
        <v>14091</v>
      </c>
      <c r="B4092" s="18">
        <v>45472</v>
      </c>
      <c r="C4092" s="17" t="s">
        <v>45</v>
      </c>
      <c r="D4092" s="17" t="s">
        <v>89</v>
      </c>
      <c r="E4092" s="17" t="s">
        <v>162</v>
      </c>
      <c r="F4092" s="17" t="s">
        <v>163</v>
      </c>
      <c r="G4092" s="17">
        <v>4</v>
      </c>
      <c r="H4092" s="17">
        <v>52561</v>
      </c>
      <c r="I4092" s="17">
        <v>210244</v>
      </c>
      <c r="J4092" s="17">
        <v>4206</v>
      </c>
      <c r="K4092" s="17">
        <v>206038</v>
      </c>
      <c r="L4092" s="17">
        <v>32520.80603</v>
      </c>
      <c r="M4092" s="17">
        <v>2024</v>
      </c>
      <c r="N4092" s="17" t="s">
        <v>120</v>
      </c>
    </row>
    <row r="4093" spans="1:14" ht="14.25" customHeight="1">
      <c r="A4093" s="17">
        <v>14092</v>
      </c>
      <c r="B4093" s="18">
        <v>45972</v>
      </c>
      <c r="C4093" s="17" t="s">
        <v>58</v>
      </c>
      <c r="D4093" s="17" t="s">
        <v>111</v>
      </c>
      <c r="E4093" s="17" t="s">
        <v>168</v>
      </c>
      <c r="F4093" s="17" t="s">
        <v>163</v>
      </c>
      <c r="G4093" s="17">
        <v>9</v>
      </c>
      <c r="H4093" s="17">
        <v>55203</v>
      </c>
      <c r="I4093" s="17">
        <v>496827</v>
      </c>
      <c r="J4093" s="17">
        <v>1250</v>
      </c>
      <c r="K4093" s="17">
        <v>495577</v>
      </c>
      <c r="L4093" s="17">
        <v>80229.780400000003</v>
      </c>
      <c r="M4093" s="17">
        <v>2025</v>
      </c>
      <c r="N4093" s="17" t="s">
        <v>173</v>
      </c>
    </row>
    <row r="4094" spans="1:14" ht="14.25" customHeight="1">
      <c r="A4094" s="17">
        <v>14093</v>
      </c>
      <c r="B4094" s="18">
        <v>45800</v>
      </c>
      <c r="C4094" s="17" t="s">
        <v>45</v>
      </c>
      <c r="D4094" s="17" t="s">
        <v>89</v>
      </c>
      <c r="E4094" s="17" t="s">
        <v>162</v>
      </c>
      <c r="F4094" s="17" t="s">
        <v>164</v>
      </c>
      <c r="G4094" s="17">
        <v>2</v>
      </c>
      <c r="H4094" s="17">
        <v>13820</v>
      </c>
      <c r="I4094" s="17">
        <v>27640</v>
      </c>
      <c r="J4094" s="17">
        <v>3110</v>
      </c>
      <c r="K4094" s="17">
        <v>24530</v>
      </c>
      <c r="L4094" s="17">
        <v>4644.57132</v>
      </c>
      <c r="M4094" s="17">
        <v>2025</v>
      </c>
      <c r="N4094" s="17" t="s">
        <v>117</v>
      </c>
    </row>
    <row r="4095" spans="1:14" ht="14.25" customHeight="1">
      <c r="A4095" s="17">
        <v>14094</v>
      </c>
      <c r="B4095" s="18">
        <v>45991</v>
      </c>
      <c r="C4095" s="17" t="s">
        <v>45</v>
      </c>
      <c r="D4095" s="17" t="s">
        <v>111</v>
      </c>
      <c r="E4095" s="17" t="s">
        <v>168</v>
      </c>
      <c r="F4095" s="17" t="s">
        <v>166</v>
      </c>
      <c r="G4095" s="17">
        <v>8</v>
      </c>
      <c r="H4095" s="17">
        <v>62232</v>
      </c>
      <c r="I4095" s="17">
        <v>497856</v>
      </c>
      <c r="J4095" s="17">
        <v>134</v>
      </c>
      <c r="K4095" s="17">
        <v>497722</v>
      </c>
      <c r="L4095" s="17">
        <v>54269.65309</v>
      </c>
      <c r="M4095" s="17">
        <v>2025</v>
      </c>
      <c r="N4095" s="17" t="s">
        <v>173</v>
      </c>
    </row>
    <row r="4096" spans="1:14" ht="14.25" customHeight="1">
      <c r="A4096" s="17">
        <v>14095</v>
      </c>
      <c r="B4096" s="18">
        <v>45857</v>
      </c>
      <c r="C4096" s="17" t="s">
        <v>45</v>
      </c>
      <c r="D4096" s="17" t="s">
        <v>111</v>
      </c>
      <c r="E4096" s="17" t="s">
        <v>168</v>
      </c>
      <c r="F4096" s="17" t="s">
        <v>166</v>
      </c>
      <c r="G4096" s="17">
        <v>9</v>
      </c>
      <c r="H4096" s="17">
        <v>23757</v>
      </c>
      <c r="I4096" s="17">
        <v>213813</v>
      </c>
      <c r="J4096" s="17">
        <v>609</v>
      </c>
      <c r="K4096" s="17">
        <v>213204</v>
      </c>
      <c r="L4096" s="17">
        <v>26929.06568</v>
      </c>
      <c r="M4096" s="17">
        <v>2025</v>
      </c>
      <c r="N4096" s="17" t="s">
        <v>123</v>
      </c>
    </row>
    <row r="4097" spans="1:14" ht="14.25" customHeight="1">
      <c r="A4097" s="17">
        <v>14096</v>
      </c>
      <c r="B4097" s="18">
        <v>45617</v>
      </c>
      <c r="C4097" s="17" t="s">
        <v>45</v>
      </c>
      <c r="D4097" s="17" t="s">
        <v>86</v>
      </c>
      <c r="E4097" s="17" t="s">
        <v>165</v>
      </c>
      <c r="F4097" s="17" t="s">
        <v>172</v>
      </c>
      <c r="G4097" s="17">
        <v>5</v>
      </c>
      <c r="H4097" s="17">
        <v>51588</v>
      </c>
      <c r="I4097" s="17">
        <v>257940</v>
      </c>
      <c r="J4097" s="17">
        <v>1057</v>
      </c>
      <c r="K4097" s="17">
        <v>256883</v>
      </c>
      <c r="L4097" s="17">
        <v>34436.690869999999</v>
      </c>
      <c r="M4097" s="17">
        <v>2024</v>
      </c>
      <c r="N4097" s="17" t="s">
        <v>173</v>
      </c>
    </row>
    <row r="4098" spans="1:14" ht="14.25" customHeight="1">
      <c r="A4098" s="17">
        <v>14097</v>
      </c>
      <c r="B4098" s="18">
        <v>45648</v>
      </c>
      <c r="C4098" s="17" t="s">
        <v>45</v>
      </c>
      <c r="D4098" s="17" t="s">
        <v>83</v>
      </c>
      <c r="E4098" s="17" t="s">
        <v>168</v>
      </c>
      <c r="F4098" s="17" t="s">
        <v>166</v>
      </c>
      <c r="G4098" s="17">
        <v>7</v>
      </c>
      <c r="H4098" s="17">
        <v>13058</v>
      </c>
      <c r="I4098" s="17">
        <v>91406</v>
      </c>
      <c r="J4098" s="17">
        <v>3034</v>
      </c>
      <c r="K4098" s="17">
        <v>88372</v>
      </c>
      <c r="L4098" s="17">
        <v>14239.12772</v>
      </c>
      <c r="M4098" s="17">
        <v>2024</v>
      </c>
      <c r="N4098" s="17" t="s">
        <v>169</v>
      </c>
    </row>
    <row r="4099" spans="1:14" ht="14.25" customHeight="1">
      <c r="A4099" s="17">
        <v>14098</v>
      </c>
      <c r="B4099" s="18">
        <v>45941</v>
      </c>
      <c r="C4099" s="17" t="s">
        <v>50</v>
      </c>
      <c r="D4099" s="17" t="s">
        <v>111</v>
      </c>
      <c r="E4099" s="17" t="s">
        <v>168</v>
      </c>
      <c r="F4099" s="17" t="s">
        <v>164</v>
      </c>
      <c r="G4099" s="17">
        <v>6</v>
      </c>
      <c r="H4099" s="17">
        <v>41742</v>
      </c>
      <c r="I4099" s="17">
        <v>250452</v>
      </c>
      <c r="J4099" s="17">
        <v>1988</v>
      </c>
      <c r="K4099" s="17">
        <v>248464</v>
      </c>
      <c r="L4099" s="17">
        <v>38675.565699999999</v>
      </c>
      <c r="M4099" s="17">
        <v>2025</v>
      </c>
      <c r="N4099" s="17" t="s">
        <v>174</v>
      </c>
    </row>
    <row r="4100" spans="1:14" ht="14.25" customHeight="1">
      <c r="A4100" s="17">
        <v>14099</v>
      </c>
      <c r="B4100" s="18">
        <v>45971</v>
      </c>
      <c r="C4100" s="17" t="s">
        <v>39</v>
      </c>
      <c r="D4100" s="17" t="s">
        <v>170</v>
      </c>
      <c r="E4100" s="17" t="s">
        <v>165</v>
      </c>
      <c r="F4100" s="17" t="s">
        <v>166</v>
      </c>
      <c r="G4100" s="17">
        <v>1</v>
      </c>
      <c r="H4100" s="17">
        <v>77195</v>
      </c>
      <c r="I4100" s="17">
        <v>77195</v>
      </c>
      <c r="J4100" s="17">
        <v>3774</v>
      </c>
      <c r="K4100" s="17">
        <v>73421</v>
      </c>
      <c r="L4100" s="17">
        <v>15295.84715</v>
      </c>
      <c r="M4100" s="17">
        <v>2025</v>
      </c>
      <c r="N4100" s="17" t="s">
        <v>173</v>
      </c>
    </row>
    <row r="4101" spans="1:14" ht="14.25" customHeight="1">
      <c r="A4101" s="17">
        <v>14100</v>
      </c>
      <c r="B4101" s="18">
        <v>45682</v>
      </c>
      <c r="C4101" s="17" t="s">
        <v>167</v>
      </c>
      <c r="D4101" s="17" t="s">
        <v>86</v>
      </c>
      <c r="E4101" s="17" t="s">
        <v>162</v>
      </c>
      <c r="F4101" s="17" t="s">
        <v>172</v>
      </c>
      <c r="G4101" s="17">
        <v>8</v>
      </c>
      <c r="H4101" s="17">
        <v>61980</v>
      </c>
      <c r="I4101" s="17">
        <v>495840</v>
      </c>
      <c r="J4101" s="17">
        <v>2246</v>
      </c>
      <c r="K4101" s="17">
        <v>493594</v>
      </c>
      <c r="L4101" s="17">
        <v>68548.807199999996</v>
      </c>
      <c r="M4101" s="17">
        <v>2025</v>
      </c>
      <c r="N4101" s="17" t="s">
        <v>171</v>
      </c>
    </row>
    <row r="4102" spans="1:14" ht="14.25" customHeight="1">
      <c r="A4102" s="17">
        <v>14101</v>
      </c>
      <c r="B4102" s="18">
        <v>45906</v>
      </c>
      <c r="C4102" s="17" t="s">
        <v>45</v>
      </c>
      <c r="D4102" s="17" t="s">
        <v>83</v>
      </c>
      <c r="E4102" s="17" t="s">
        <v>165</v>
      </c>
      <c r="F4102" s="17" t="s">
        <v>164</v>
      </c>
      <c r="G4102" s="17">
        <v>9</v>
      </c>
      <c r="H4102" s="17">
        <v>75377</v>
      </c>
      <c r="I4102" s="17">
        <v>678393</v>
      </c>
      <c r="J4102" s="17">
        <v>4655</v>
      </c>
      <c r="K4102" s="17">
        <v>673738</v>
      </c>
      <c r="L4102" s="17">
        <v>73141.549769999998</v>
      </c>
      <c r="M4102" s="17">
        <v>2025</v>
      </c>
      <c r="N4102" s="17" t="s">
        <v>129</v>
      </c>
    </row>
    <row r="4103" spans="1:14" ht="14.25" customHeight="1">
      <c r="A4103" s="17">
        <v>14102</v>
      </c>
      <c r="B4103" s="18">
        <v>45376</v>
      </c>
      <c r="C4103" s="17" t="s">
        <v>167</v>
      </c>
      <c r="D4103" s="17" t="s">
        <v>86</v>
      </c>
      <c r="E4103" s="17" t="s">
        <v>165</v>
      </c>
      <c r="F4103" s="17" t="s">
        <v>172</v>
      </c>
      <c r="G4103" s="17">
        <v>1</v>
      </c>
      <c r="H4103" s="17">
        <v>23335</v>
      </c>
      <c r="I4103" s="17">
        <v>23335</v>
      </c>
      <c r="J4103" s="17">
        <v>258</v>
      </c>
      <c r="K4103" s="17">
        <v>23077</v>
      </c>
      <c r="L4103" s="17">
        <v>2499.6161069999998</v>
      </c>
      <c r="M4103" s="17">
        <v>2024</v>
      </c>
      <c r="N4103" s="17" t="s">
        <v>112</v>
      </c>
    </row>
    <row r="4104" spans="1:14" ht="14.25" customHeight="1">
      <c r="A4104" s="17">
        <v>14103</v>
      </c>
      <c r="B4104" s="18">
        <v>45608</v>
      </c>
      <c r="C4104" s="17" t="s">
        <v>167</v>
      </c>
      <c r="D4104" s="17" t="s">
        <v>83</v>
      </c>
      <c r="E4104" s="17" t="s">
        <v>165</v>
      </c>
      <c r="F4104" s="17" t="s">
        <v>166</v>
      </c>
      <c r="G4104" s="17">
        <v>8</v>
      </c>
      <c r="H4104" s="17">
        <v>52351</v>
      </c>
      <c r="I4104" s="17">
        <v>418808</v>
      </c>
      <c r="J4104" s="17">
        <v>3900</v>
      </c>
      <c r="K4104" s="17">
        <v>414908</v>
      </c>
      <c r="L4104" s="17">
        <v>42194.883470000001</v>
      </c>
      <c r="M4104" s="17">
        <v>2024</v>
      </c>
      <c r="N4104" s="17" t="s">
        <v>173</v>
      </c>
    </row>
    <row r="4105" spans="1:14" ht="14.25" customHeight="1">
      <c r="A4105" s="17">
        <v>14104</v>
      </c>
      <c r="B4105" s="18">
        <v>45503</v>
      </c>
      <c r="C4105" s="17" t="s">
        <v>50</v>
      </c>
      <c r="D4105" s="17" t="s">
        <v>89</v>
      </c>
      <c r="E4105" s="17" t="s">
        <v>162</v>
      </c>
      <c r="F4105" s="17" t="s">
        <v>163</v>
      </c>
      <c r="G4105" s="17">
        <v>3</v>
      </c>
      <c r="H4105" s="17">
        <v>73960</v>
      </c>
      <c r="I4105" s="17">
        <v>221880</v>
      </c>
      <c r="J4105" s="17">
        <v>915</v>
      </c>
      <c r="K4105" s="17">
        <v>220965</v>
      </c>
      <c r="L4105" s="17">
        <v>23356.86248</v>
      </c>
      <c r="M4105" s="17">
        <v>2024</v>
      </c>
      <c r="N4105" s="17" t="s">
        <v>123</v>
      </c>
    </row>
    <row r="4106" spans="1:14" ht="14.25" customHeight="1">
      <c r="A4106" s="17">
        <v>14105</v>
      </c>
      <c r="B4106" s="18">
        <v>45806</v>
      </c>
      <c r="C4106" s="17" t="s">
        <v>45</v>
      </c>
      <c r="D4106" s="17" t="s">
        <v>111</v>
      </c>
      <c r="E4106" s="17" t="s">
        <v>168</v>
      </c>
      <c r="F4106" s="17" t="s">
        <v>166</v>
      </c>
      <c r="G4106" s="17">
        <v>6</v>
      </c>
      <c r="H4106" s="17">
        <v>52501</v>
      </c>
      <c r="I4106" s="17">
        <v>315006</v>
      </c>
      <c r="J4106" s="17">
        <v>3942</v>
      </c>
      <c r="K4106" s="17">
        <v>311064</v>
      </c>
      <c r="L4106" s="17">
        <v>71171.163620000007</v>
      </c>
      <c r="M4106" s="17">
        <v>2025</v>
      </c>
      <c r="N4106" s="17" t="s">
        <v>117</v>
      </c>
    </row>
    <row r="4107" spans="1:14" ht="14.25" customHeight="1">
      <c r="A4107" s="17">
        <v>14106</v>
      </c>
      <c r="B4107" s="18">
        <v>45675</v>
      </c>
      <c r="C4107" s="17" t="s">
        <v>167</v>
      </c>
      <c r="D4107" s="17" t="s">
        <v>170</v>
      </c>
      <c r="E4107" s="17" t="s">
        <v>168</v>
      </c>
      <c r="F4107" s="17" t="s">
        <v>166</v>
      </c>
      <c r="G4107" s="17">
        <v>8</v>
      </c>
      <c r="H4107" s="17">
        <v>60877</v>
      </c>
      <c r="I4107" s="17">
        <v>487016</v>
      </c>
      <c r="J4107" s="17">
        <v>237</v>
      </c>
      <c r="K4107" s="17">
        <v>486779</v>
      </c>
      <c r="L4107" s="17">
        <v>99588.381540000002</v>
      </c>
      <c r="M4107" s="17">
        <v>2025</v>
      </c>
      <c r="N4107" s="17" t="s">
        <v>171</v>
      </c>
    </row>
    <row r="4108" spans="1:14" ht="14.25" customHeight="1">
      <c r="A4108" s="17">
        <v>14107</v>
      </c>
      <c r="B4108" s="18">
        <v>45982</v>
      </c>
      <c r="C4108" s="17" t="s">
        <v>45</v>
      </c>
      <c r="D4108" s="17" t="s">
        <v>86</v>
      </c>
      <c r="E4108" s="17" t="s">
        <v>165</v>
      </c>
      <c r="F4108" s="17" t="s">
        <v>172</v>
      </c>
      <c r="G4108" s="17">
        <v>5</v>
      </c>
      <c r="H4108" s="17">
        <v>19538</v>
      </c>
      <c r="I4108" s="17">
        <v>97690</v>
      </c>
      <c r="J4108" s="17">
        <v>3355</v>
      </c>
      <c r="K4108" s="17">
        <v>94335</v>
      </c>
      <c r="L4108" s="17">
        <v>23526.17498</v>
      </c>
      <c r="M4108" s="17">
        <v>2025</v>
      </c>
      <c r="N4108" s="17" t="s">
        <v>173</v>
      </c>
    </row>
    <row r="4109" spans="1:14" ht="14.25" customHeight="1">
      <c r="A4109" s="17">
        <v>14108</v>
      </c>
      <c r="B4109" s="18">
        <v>45633</v>
      </c>
      <c r="C4109" s="17" t="s">
        <v>58</v>
      </c>
      <c r="D4109" s="17" t="s">
        <v>86</v>
      </c>
      <c r="E4109" s="17" t="s">
        <v>165</v>
      </c>
      <c r="F4109" s="17" t="s">
        <v>163</v>
      </c>
      <c r="G4109" s="17">
        <v>8</v>
      </c>
      <c r="H4109" s="17">
        <v>8769</v>
      </c>
      <c r="I4109" s="17">
        <v>70152</v>
      </c>
      <c r="J4109" s="17">
        <v>687</v>
      </c>
      <c r="K4109" s="17">
        <v>69465</v>
      </c>
      <c r="L4109" s="17">
        <v>7158.1535489999997</v>
      </c>
      <c r="M4109" s="17">
        <v>2024</v>
      </c>
      <c r="N4109" s="17" t="s">
        <v>169</v>
      </c>
    </row>
    <row r="4110" spans="1:14" ht="14.25" customHeight="1">
      <c r="A4110" s="17">
        <v>14109</v>
      </c>
      <c r="B4110" s="18">
        <v>45329</v>
      </c>
      <c r="C4110" s="17" t="s">
        <v>58</v>
      </c>
      <c r="D4110" s="17" t="s">
        <v>86</v>
      </c>
      <c r="E4110" s="17" t="s">
        <v>168</v>
      </c>
      <c r="F4110" s="17" t="s">
        <v>166</v>
      </c>
      <c r="G4110" s="17">
        <v>7</v>
      </c>
      <c r="H4110" s="17">
        <v>36586</v>
      </c>
      <c r="I4110" s="17">
        <v>256102</v>
      </c>
      <c r="J4110" s="17">
        <v>1158</v>
      </c>
      <c r="K4110" s="17">
        <v>254944</v>
      </c>
      <c r="L4110" s="17">
        <v>57961.577720000001</v>
      </c>
      <c r="M4110" s="17">
        <v>2024</v>
      </c>
      <c r="N4110" s="17" t="s">
        <v>175</v>
      </c>
    </row>
    <row r="4111" spans="1:14" ht="14.25" customHeight="1">
      <c r="A4111" s="17">
        <v>14110</v>
      </c>
      <c r="B4111" s="18">
        <v>45802</v>
      </c>
      <c r="C4111" s="17" t="s">
        <v>58</v>
      </c>
      <c r="D4111" s="17" t="s">
        <v>86</v>
      </c>
      <c r="E4111" s="17" t="s">
        <v>168</v>
      </c>
      <c r="F4111" s="17" t="s">
        <v>164</v>
      </c>
      <c r="G4111" s="17">
        <v>7</v>
      </c>
      <c r="H4111" s="17">
        <v>72879</v>
      </c>
      <c r="I4111" s="17">
        <v>510153</v>
      </c>
      <c r="J4111" s="17">
        <v>2129</v>
      </c>
      <c r="K4111" s="17">
        <v>508024</v>
      </c>
      <c r="L4111" s="17">
        <v>103844.39810000001</v>
      </c>
      <c r="M4111" s="17">
        <v>2025</v>
      </c>
      <c r="N4111" s="17" t="s">
        <v>117</v>
      </c>
    </row>
    <row r="4112" spans="1:14" ht="14.25" customHeight="1">
      <c r="A4112" s="17">
        <v>14111</v>
      </c>
      <c r="B4112" s="18">
        <v>45711</v>
      </c>
      <c r="C4112" s="17" t="s">
        <v>167</v>
      </c>
      <c r="D4112" s="17" t="s">
        <v>111</v>
      </c>
      <c r="E4112" s="17" t="s">
        <v>168</v>
      </c>
      <c r="F4112" s="17" t="s">
        <v>164</v>
      </c>
      <c r="G4112" s="17">
        <v>7</v>
      </c>
      <c r="H4112" s="17">
        <v>73922</v>
      </c>
      <c r="I4112" s="17">
        <v>517454</v>
      </c>
      <c r="J4112" s="17">
        <v>594</v>
      </c>
      <c r="K4112" s="17">
        <v>516860</v>
      </c>
      <c r="L4112" s="17">
        <v>101331.1084</v>
      </c>
      <c r="M4112" s="17">
        <v>2025</v>
      </c>
      <c r="N4112" s="17" t="s">
        <v>175</v>
      </c>
    </row>
    <row r="4113" spans="1:14" ht="14.25" customHeight="1">
      <c r="A4113" s="17">
        <v>14112</v>
      </c>
      <c r="B4113" s="18">
        <v>45460</v>
      </c>
      <c r="C4113" s="17" t="s">
        <v>58</v>
      </c>
      <c r="D4113" s="17" t="s">
        <v>83</v>
      </c>
      <c r="E4113" s="17" t="s">
        <v>162</v>
      </c>
      <c r="F4113" s="17" t="s">
        <v>172</v>
      </c>
      <c r="G4113" s="17">
        <v>9</v>
      </c>
      <c r="H4113" s="17">
        <v>57219</v>
      </c>
      <c r="I4113" s="17">
        <v>514971</v>
      </c>
      <c r="J4113" s="17">
        <v>2701</v>
      </c>
      <c r="K4113" s="17">
        <v>512270</v>
      </c>
      <c r="L4113" s="17">
        <v>78623.106799999994</v>
      </c>
      <c r="M4113" s="17">
        <v>2024</v>
      </c>
      <c r="N4113" s="17" t="s">
        <v>120</v>
      </c>
    </row>
    <row r="4114" spans="1:14" ht="14.25" customHeight="1">
      <c r="A4114" s="17">
        <v>14113</v>
      </c>
      <c r="B4114" s="18">
        <v>45634</v>
      </c>
      <c r="C4114" s="17" t="s">
        <v>50</v>
      </c>
      <c r="D4114" s="17" t="s">
        <v>111</v>
      </c>
      <c r="E4114" s="17" t="s">
        <v>162</v>
      </c>
      <c r="F4114" s="17" t="s">
        <v>172</v>
      </c>
      <c r="G4114" s="17">
        <v>6</v>
      </c>
      <c r="H4114" s="17">
        <v>40107</v>
      </c>
      <c r="I4114" s="17">
        <v>240642</v>
      </c>
      <c r="J4114" s="17">
        <v>1750</v>
      </c>
      <c r="K4114" s="17">
        <v>238892</v>
      </c>
      <c r="L4114" s="17">
        <v>37388.774839999998</v>
      </c>
      <c r="M4114" s="17">
        <v>2024</v>
      </c>
      <c r="N4114" s="17" t="s">
        <v>169</v>
      </c>
    </row>
    <row r="4115" spans="1:14" ht="14.25" customHeight="1">
      <c r="A4115" s="17">
        <v>14114</v>
      </c>
      <c r="B4115" s="18">
        <v>45597</v>
      </c>
      <c r="C4115" s="17" t="s">
        <v>50</v>
      </c>
      <c r="D4115" s="17" t="s">
        <v>89</v>
      </c>
      <c r="E4115" s="17" t="s">
        <v>165</v>
      </c>
      <c r="F4115" s="17" t="s">
        <v>163</v>
      </c>
      <c r="G4115" s="17">
        <v>6</v>
      </c>
      <c r="H4115" s="17">
        <v>5683</v>
      </c>
      <c r="I4115" s="17">
        <v>34098</v>
      </c>
      <c r="J4115" s="17">
        <v>402</v>
      </c>
      <c r="K4115" s="17">
        <v>33696</v>
      </c>
      <c r="L4115" s="17">
        <v>7643.4044809999996</v>
      </c>
      <c r="M4115" s="17">
        <v>2024</v>
      </c>
      <c r="N4115" s="17" t="s">
        <v>173</v>
      </c>
    </row>
    <row r="4116" spans="1:14" ht="14.25" customHeight="1">
      <c r="A4116" s="17">
        <v>14115</v>
      </c>
      <c r="B4116" s="18">
        <v>45833</v>
      </c>
      <c r="C4116" s="17" t="s">
        <v>167</v>
      </c>
      <c r="D4116" s="17" t="s">
        <v>111</v>
      </c>
      <c r="E4116" s="17" t="s">
        <v>162</v>
      </c>
      <c r="F4116" s="17" t="s">
        <v>172</v>
      </c>
      <c r="G4116" s="17">
        <v>9</v>
      </c>
      <c r="H4116" s="17">
        <v>71590</v>
      </c>
      <c r="I4116" s="17">
        <v>644310</v>
      </c>
      <c r="J4116" s="17">
        <v>821</v>
      </c>
      <c r="K4116" s="17">
        <v>643489</v>
      </c>
      <c r="L4116" s="17">
        <v>133216.75409999999</v>
      </c>
      <c r="M4116" s="17">
        <v>2025</v>
      </c>
      <c r="N4116" s="17" t="s">
        <v>120</v>
      </c>
    </row>
    <row r="4117" spans="1:14" ht="14.25" customHeight="1">
      <c r="A4117" s="17">
        <v>14116</v>
      </c>
      <c r="B4117" s="18">
        <v>45993</v>
      </c>
      <c r="C4117" s="17" t="s">
        <v>45</v>
      </c>
      <c r="D4117" s="17" t="s">
        <v>111</v>
      </c>
      <c r="E4117" s="17" t="s">
        <v>165</v>
      </c>
      <c r="F4117" s="17" t="s">
        <v>163</v>
      </c>
      <c r="G4117" s="17">
        <v>6</v>
      </c>
      <c r="H4117" s="17">
        <v>66097</v>
      </c>
      <c r="I4117" s="17">
        <v>396582</v>
      </c>
      <c r="J4117" s="17">
        <v>3838</v>
      </c>
      <c r="K4117" s="17">
        <v>392744</v>
      </c>
      <c r="L4117" s="17">
        <v>78763.822260000001</v>
      </c>
      <c r="M4117" s="17">
        <v>2025</v>
      </c>
      <c r="N4117" s="17" t="s">
        <v>169</v>
      </c>
    </row>
    <row r="4118" spans="1:14" ht="14.25" customHeight="1">
      <c r="A4118" s="17">
        <v>14117</v>
      </c>
      <c r="B4118" s="18">
        <v>45828</v>
      </c>
      <c r="C4118" s="17" t="s">
        <v>39</v>
      </c>
      <c r="D4118" s="17" t="s">
        <v>89</v>
      </c>
      <c r="E4118" s="17" t="s">
        <v>168</v>
      </c>
      <c r="F4118" s="17" t="s">
        <v>166</v>
      </c>
      <c r="G4118" s="17">
        <v>7</v>
      </c>
      <c r="H4118" s="17">
        <v>68402</v>
      </c>
      <c r="I4118" s="17">
        <v>478814</v>
      </c>
      <c r="J4118" s="17">
        <v>2235</v>
      </c>
      <c r="K4118" s="17">
        <v>476579</v>
      </c>
      <c r="L4118" s="17">
        <v>49848.923949999997</v>
      </c>
      <c r="M4118" s="17">
        <v>2025</v>
      </c>
      <c r="N4118" s="17" t="s">
        <v>120</v>
      </c>
    </row>
    <row r="4119" spans="1:14" ht="14.25" customHeight="1">
      <c r="A4119" s="17">
        <v>14118</v>
      </c>
      <c r="B4119" s="18">
        <v>45403</v>
      </c>
      <c r="C4119" s="17" t="s">
        <v>45</v>
      </c>
      <c r="D4119" s="17" t="s">
        <v>111</v>
      </c>
      <c r="E4119" s="17" t="s">
        <v>168</v>
      </c>
      <c r="F4119" s="17" t="s">
        <v>164</v>
      </c>
      <c r="G4119" s="17">
        <v>7</v>
      </c>
      <c r="H4119" s="17">
        <v>28685</v>
      </c>
      <c r="I4119" s="17">
        <v>200795</v>
      </c>
      <c r="J4119" s="17">
        <v>2540</v>
      </c>
      <c r="K4119" s="17">
        <v>198255</v>
      </c>
      <c r="L4119" s="17">
        <v>25306.843400000002</v>
      </c>
      <c r="M4119" s="17">
        <v>2024</v>
      </c>
      <c r="N4119" s="17" t="s">
        <v>114</v>
      </c>
    </row>
    <row r="4120" spans="1:14" ht="14.25" customHeight="1">
      <c r="A4120" s="17">
        <v>14119</v>
      </c>
      <c r="B4120" s="18">
        <v>45702</v>
      </c>
      <c r="C4120" s="17" t="s">
        <v>45</v>
      </c>
      <c r="D4120" s="17" t="s">
        <v>83</v>
      </c>
      <c r="E4120" s="17" t="s">
        <v>165</v>
      </c>
      <c r="F4120" s="17" t="s">
        <v>164</v>
      </c>
      <c r="G4120" s="17">
        <v>2</v>
      </c>
      <c r="H4120" s="17">
        <v>70884</v>
      </c>
      <c r="I4120" s="17">
        <v>141768</v>
      </c>
      <c r="J4120" s="17">
        <v>2302</v>
      </c>
      <c r="K4120" s="17">
        <v>139466</v>
      </c>
      <c r="L4120" s="17">
        <v>34084.607450000003</v>
      </c>
      <c r="M4120" s="17">
        <v>2025</v>
      </c>
      <c r="N4120" s="17" t="s">
        <v>175</v>
      </c>
    </row>
    <row r="4121" spans="1:14" ht="14.25" customHeight="1">
      <c r="A4121" s="17">
        <v>14120</v>
      </c>
      <c r="B4121" s="18">
        <v>45497</v>
      </c>
      <c r="C4121" s="17" t="s">
        <v>45</v>
      </c>
      <c r="D4121" s="17" t="s">
        <v>170</v>
      </c>
      <c r="E4121" s="17" t="s">
        <v>168</v>
      </c>
      <c r="F4121" s="17" t="s">
        <v>164</v>
      </c>
      <c r="G4121" s="17">
        <v>8</v>
      </c>
      <c r="H4121" s="17">
        <v>21362</v>
      </c>
      <c r="I4121" s="17">
        <v>170896</v>
      </c>
      <c r="J4121" s="17">
        <v>1697</v>
      </c>
      <c r="K4121" s="17">
        <v>169199</v>
      </c>
      <c r="L4121" s="17">
        <v>28451.774160000001</v>
      </c>
      <c r="M4121" s="17">
        <v>2024</v>
      </c>
      <c r="N4121" s="17" t="s">
        <v>123</v>
      </c>
    </row>
    <row r="4122" spans="1:14" ht="14.25" customHeight="1">
      <c r="A4122" s="17">
        <v>14121</v>
      </c>
      <c r="B4122" s="18">
        <v>45476</v>
      </c>
      <c r="C4122" s="17" t="s">
        <v>45</v>
      </c>
      <c r="D4122" s="17" t="s">
        <v>89</v>
      </c>
      <c r="E4122" s="17" t="s">
        <v>165</v>
      </c>
      <c r="F4122" s="17" t="s">
        <v>172</v>
      </c>
      <c r="G4122" s="17">
        <v>6</v>
      </c>
      <c r="H4122" s="17">
        <v>5503</v>
      </c>
      <c r="I4122" s="17">
        <v>33018</v>
      </c>
      <c r="J4122" s="17">
        <v>3928</v>
      </c>
      <c r="K4122" s="17">
        <v>29090</v>
      </c>
      <c r="L4122" s="17">
        <v>6318.6093600000004</v>
      </c>
      <c r="M4122" s="17">
        <v>2024</v>
      </c>
      <c r="N4122" s="17" t="s">
        <v>123</v>
      </c>
    </row>
    <row r="4123" spans="1:14" ht="14.25" customHeight="1">
      <c r="A4123" s="17">
        <v>14122</v>
      </c>
      <c r="B4123" s="18">
        <v>45673</v>
      </c>
      <c r="C4123" s="17" t="s">
        <v>39</v>
      </c>
      <c r="D4123" s="17" t="s">
        <v>86</v>
      </c>
      <c r="E4123" s="17" t="s">
        <v>165</v>
      </c>
      <c r="F4123" s="17" t="s">
        <v>172</v>
      </c>
      <c r="G4123" s="17">
        <v>4</v>
      </c>
      <c r="H4123" s="17">
        <v>46045</v>
      </c>
      <c r="I4123" s="17">
        <v>184180</v>
      </c>
      <c r="J4123" s="17">
        <v>1613</v>
      </c>
      <c r="K4123" s="17">
        <v>182567</v>
      </c>
      <c r="L4123" s="17">
        <v>28918.390790000001</v>
      </c>
      <c r="M4123" s="17">
        <v>2025</v>
      </c>
      <c r="N4123" s="17" t="s">
        <v>171</v>
      </c>
    </row>
    <row r="4124" spans="1:14" ht="14.25" customHeight="1">
      <c r="A4124" s="17">
        <v>14123</v>
      </c>
      <c r="B4124" s="18">
        <v>45787</v>
      </c>
      <c r="C4124" s="17" t="s">
        <v>58</v>
      </c>
      <c r="D4124" s="17" t="s">
        <v>83</v>
      </c>
      <c r="E4124" s="17" t="s">
        <v>165</v>
      </c>
      <c r="F4124" s="17" t="s">
        <v>166</v>
      </c>
      <c r="G4124" s="17">
        <v>7</v>
      </c>
      <c r="H4124" s="17">
        <v>18576</v>
      </c>
      <c r="I4124" s="17">
        <v>130032</v>
      </c>
      <c r="J4124" s="17">
        <v>4580</v>
      </c>
      <c r="K4124" s="17">
        <v>125452</v>
      </c>
      <c r="L4124" s="17">
        <v>26928.07504</v>
      </c>
      <c r="M4124" s="17">
        <v>2025</v>
      </c>
      <c r="N4124" s="17" t="s">
        <v>117</v>
      </c>
    </row>
    <row r="4125" spans="1:14" ht="14.25" customHeight="1">
      <c r="A4125" s="17">
        <v>14124</v>
      </c>
      <c r="B4125" s="18">
        <v>45670</v>
      </c>
      <c r="C4125" s="17" t="s">
        <v>45</v>
      </c>
      <c r="D4125" s="17" t="s">
        <v>170</v>
      </c>
      <c r="E4125" s="17" t="s">
        <v>162</v>
      </c>
      <c r="F4125" s="17" t="s">
        <v>172</v>
      </c>
      <c r="G4125" s="17">
        <v>8</v>
      </c>
      <c r="H4125" s="17">
        <v>38290</v>
      </c>
      <c r="I4125" s="17">
        <v>306320</v>
      </c>
      <c r="J4125" s="17">
        <v>3679</v>
      </c>
      <c r="K4125" s="17">
        <v>302641</v>
      </c>
      <c r="L4125" s="17">
        <v>35675.891620000002</v>
      </c>
      <c r="M4125" s="17">
        <v>2025</v>
      </c>
      <c r="N4125" s="17" t="s">
        <v>171</v>
      </c>
    </row>
    <row r="4126" spans="1:14" ht="14.25" customHeight="1">
      <c r="A4126" s="17">
        <v>14125</v>
      </c>
      <c r="B4126" s="18">
        <v>45338</v>
      </c>
      <c r="C4126" s="17" t="s">
        <v>50</v>
      </c>
      <c r="D4126" s="17" t="s">
        <v>83</v>
      </c>
      <c r="E4126" s="17" t="s">
        <v>165</v>
      </c>
      <c r="F4126" s="17" t="s">
        <v>163</v>
      </c>
      <c r="G4126" s="17">
        <v>1</v>
      </c>
      <c r="H4126" s="17">
        <v>65495</v>
      </c>
      <c r="I4126" s="17">
        <v>65495</v>
      </c>
      <c r="J4126" s="17">
        <v>3552</v>
      </c>
      <c r="K4126" s="17">
        <v>61943</v>
      </c>
      <c r="L4126" s="17">
        <v>6585.7303879999999</v>
      </c>
      <c r="M4126" s="17">
        <v>2024</v>
      </c>
      <c r="N4126" s="17" t="s">
        <v>175</v>
      </c>
    </row>
    <row r="4127" spans="1:14" ht="14.25" customHeight="1">
      <c r="A4127" s="17">
        <v>14126</v>
      </c>
      <c r="B4127" s="18">
        <v>45842</v>
      </c>
      <c r="C4127" s="17" t="s">
        <v>167</v>
      </c>
      <c r="D4127" s="17" t="s">
        <v>83</v>
      </c>
      <c r="E4127" s="17" t="s">
        <v>165</v>
      </c>
      <c r="F4127" s="17" t="s">
        <v>164</v>
      </c>
      <c r="G4127" s="17">
        <v>4</v>
      </c>
      <c r="H4127" s="17">
        <v>16884</v>
      </c>
      <c r="I4127" s="17">
        <v>67536</v>
      </c>
      <c r="J4127" s="17">
        <v>2227</v>
      </c>
      <c r="K4127" s="17">
        <v>65309</v>
      </c>
      <c r="L4127" s="17">
        <v>11097.728859999999</v>
      </c>
      <c r="M4127" s="17">
        <v>2025</v>
      </c>
      <c r="N4127" s="17" t="s">
        <v>123</v>
      </c>
    </row>
    <row r="4128" spans="1:14" ht="14.25" customHeight="1">
      <c r="A4128" s="17">
        <v>14127</v>
      </c>
      <c r="B4128" s="18">
        <v>45819</v>
      </c>
      <c r="C4128" s="17" t="s">
        <v>167</v>
      </c>
      <c r="D4128" s="17" t="s">
        <v>86</v>
      </c>
      <c r="E4128" s="17" t="s">
        <v>165</v>
      </c>
      <c r="F4128" s="17" t="s">
        <v>166</v>
      </c>
      <c r="G4128" s="17">
        <v>4</v>
      </c>
      <c r="H4128" s="17">
        <v>56660</v>
      </c>
      <c r="I4128" s="17">
        <v>226640</v>
      </c>
      <c r="J4128" s="17">
        <v>3678</v>
      </c>
      <c r="K4128" s="17">
        <v>222962</v>
      </c>
      <c r="L4128" s="17">
        <v>42083.392899999999</v>
      </c>
      <c r="M4128" s="17">
        <v>2025</v>
      </c>
      <c r="N4128" s="17" t="s">
        <v>120</v>
      </c>
    </row>
    <row r="4129" spans="1:14" ht="14.25" customHeight="1">
      <c r="A4129" s="17">
        <v>14128</v>
      </c>
      <c r="B4129" s="18">
        <v>45795</v>
      </c>
      <c r="C4129" s="17" t="s">
        <v>50</v>
      </c>
      <c r="D4129" s="17" t="s">
        <v>170</v>
      </c>
      <c r="E4129" s="17" t="s">
        <v>162</v>
      </c>
      <c r="F4129" s="17" t="s">
        <v>163</v>
      </c>
      <c r="G4129" s="17">
        <v>9</v>
      </c>
      <c r="H4129" s="17">
        <v>30205</v>
      </c>
      <c r="I4129" s="17">
        <v>271845</v>
      </c>
      <c r="J4129" s="17">
        <v>4996</v>
      </c>
      <c r="K4129" s="17">
        <v>266849</v>
      </c>
      <c r="L4129" s="17">
        <v>39641.8289</v>
      </c>
      <c r="M4129" s="17">
        <v>2025</v>
      </c>
      <c r="N4129" s="17" t="s">
        <v>117</v>
      </c>
    </row>
    <row r="4130" spans="1:14" ht="14.25" customHeight="1">
      <c r="A4130" s="17">
        <v>14129</v>
      </c>
      <c r="B4130" s="18">
        <v>45313</v>
      </c>
      <c r="C4130" s="17" t="s">
        <v>45</v>
      </c>
      <c r="D4130" s="17" t="s">
        <v>83</v>
      </c>
      <c r="E4130" s="17" t="s">
        <v>168</v>
      </c>
      <c r="F4130" s="17" t="s">
        <v>163</v>
      </c>
      <c r="G4130" s="17">
        <v>6</v>
      </c>
      <c r="H4130" s="17">
        <v>68739</v>
      </c>
      <c r="I4130" s="17">
        <v>412434</v>
      </c>
      <c r="J4130" s="17">
        <v>1464</v>
      </c>
      <c r="K4130" s="17">
        <v>410970</v>
      </c>
      <c r="L4130" s="17">
        <v>85235.46329</v>
      </c>
      <c r="M4130" s="17">
        <v>2024</v>
      </c>
      <c r="N4130" s="17" t="s">
        <v>171</v>
      </c>
    </row>
    <row r="4131" spans="1:14" ht="14.25" customHeight="1">
      <c r="A4131" s="17">
        <v>14130</v>
      </c>
      <c r="B4131" s="18">
        <v>45504</v>
      </c>
      <c r="C4131" s="17" t="s">
        <v>39</v>
      </c>
      <c r="D4131" s="17" t="s">
        <v>86</v>
      </c>
      <c r="E4131" s="17" t="s">
        <v>162</v>
      </c>
      <c r="F4131" s="17" t="s">
        <v>172</v>
      </c>
      <c r="G4131" s="17">
        <v>4</v>
      </c>
      <c r="H4131" s="17">
        <v>37785</v>
      </c>
      <c r="I4131" s="17">
        <v>151140</v>
      </c>
      <c r="J4131" s="17">
        <v>4739</v>
      </c>
      <c r="K4131" s="17">
        <v>146401</v>
      </c>
      <c r="L4131" s="17">
        <v>25528.37386</v>
      </c>
      <c r="M4131" s="17">
        <v>2024</v>
      </c>
      <c r="N4131" s="17" t="s">
        <v>123</v>
      </c>
    </row>
    <row r="4132" spans="1:14" ht="14.25" customHeight="1">
      <c r="A4132" s="17">
        <v>14131</v>
      </c>
      <c r="B4132" s="18">
        <v>45601</v>
      </c>
      <c r="C4132" s="17" t="s">
        <v>58</v>
      </c>
      <c r="D4132" s="17" t="s">
        <v>89</v>
      </c>
      <c r="E4132" s="17" t="s">
        <v>165</v>
      </c>
      <c r="F4132" s="17" t="s">
        <v>172</v>
      </c>
      <c r="G4132" s="17">
        <v>1</v>
      </c>
      <c r="H4132" s="17">
        <v>6268</v>
      </c>
      <c r="I4132" s="17">
        <v>6268</v>
      </c>
      <c r="J4132" s="17">
        <v>4882</v>
      </c>
      <c r="K4132" s="17">
        <v>1386</v>
      </c>
      <c r="L4132" s="17">
        <v>331.59707259999999</v>
      </c>
      <c r="M4132" s="17">
        <v>2024</v>
      </c>
      <c r="N4132" s="17" t="s">
        <v>173</v>
      </c>
    </row>
    <row r="4133" spans="1:14" ht="14.25" customHeight="1">
      <c r="A4133" s="17">
        <v>14132</v>
      </c>
      <c r="B4133" s="18">
        <v>45952</v>
      </c>
      <c r="C4133" s="17" t="s">
        <v>167</v>
      </c>
      <c r="D4133" s="17" t="s">
        <v>86</v>
      </c>
      <c r="E4133" s="17" t="s">
        <v>162</v>
      </c>
      <c r="F4133" s="17" t="s">
        <v>164</v>
      </c>
      <c r="G4133" s="17">
        <v>8</v>
      </c>
      <c r="H4133" s="17">
        <v>71712</v>
      </c>
      <c r="I4133" s="17">
        <v>573696</v>
      </c>
      <c r="J4133" s="17">
        <v>3100</v>
      </c>
      <c r="K4133" s="17">
        <v>570596</v>
      </c>
      <c r="L4133" s="17">
        <v>64333.8874</v>
      </c>
      <c r="M4133" s="17">
        <v>2025</v>
      </c>
      <c r="N4133" s="17" t="s">
        <v>174</v>
      </c>
    </row>
    <row r="4134" spans="1:14" ht="14.25" customHeight="1">
      <c r="A4134" s="17">
        <v>14133</v>
      </c>
      <c r="B4134" s="18">
        <v>45563</v>
      </c>
      <c r="C4134" s="17" t="s">
        <v>58</v>
      </c>
      <c r="D4134" s="17" t="s">
        <v>111</v>
      </c>
      <c r="E4134" s="17" t="s">
        <v>168</v>
      </c>
      <c r="F4134" s="17" t="s">
        <v>166</v>
      </c>
      <c r="G4134" s="17">
        <v>9</v>
      </c>
      <c r="H4134" s="17">
        <v>23016</v>
      </c>
      <c r="I4134" s="17">
        <v>207144</v>
      </c>
      <c r="J4134" s="17">
        <v>4113</v>
      </c>
      <c r="K4134" s="17">
        <v>203031</v>
      </c>
      <c r="L4134" s="17">
        <v>22330.416239999999</v>
      </c>
      <c r="M4134" s="17">
        <v>2024</v>
      </c>
      <c r="N4134" s="17" t="s">
        <v>129</v>
      </c>
    </row>
    <row r="4135" spans="1:14" ht="14.25" customHeight="1">
      <c r="A4135" s="17">
        <v>14134</v>
      </c>
      <c r="B4135" s="18">
        <v>45862</v>
      </c>
      <c r="C4135" s="17" t="s">
        <v>39</v>
      </c>
      <c r="D4135" s="17" t="s">
        <v>86</v>
      </c>
      <c r="E4135" s="17" t="s">
        <v>168</v>
      </c>
      <c r="F4135" s="17" t="s">
        <v>163</v>
      </c>
      <c r="G4135" s="17">
        <v>5</v>
      </c>
      <c r="H4135" s="17">
        <v>66939</v>
      </c>
      <c r="I4135" s="17">
        <v>334695</v>
      </c>
      <c r="J4135" s="17">
        <v>1956</v>
      </c>
      <c r="K4135" s="17">
        <v>332739</v>
      </c>
      <c r="L4135" s="17">
        <v>78449.301000000007</v>
      </c>
      <c r="M4135" s="17">
        <v>2025</v>
      </c>
      <c r="N4135" s="17" t="s">
        <v>123</v>
      </c>
    </row>
    <row r="4136" spans="1:14" ht="14.25" customHeight="1">
      <c r="A4136" s="17">
        <v>14135</v>
      </c>
      <c r="B4136" s="18">
        <v>45493</v>
      </c>
      <c r="C4136" s="17" t="s">
        <v>167</v>
      </c>
      <c r="D4136" s="17" t="s">
        <v>86</v>
      </c>
      <c r="E4136" s="17" t="s">
        <v>165</v>
      </c>
      <c r="F4136" s="17" t="s">
        <v>172</v>
      </c>
      <c r="G4136" s="17">
        <v>5</v>
      </c>
      <c r="H4136" s="17">
        <v>54266</v>
      </c>
      <c r="I4136" s="17">
        <v>271330</v>
      </c>
      <c r="J4136" s="17">
        <v>4093</v>
      </c>
      <c r="K4136" s="17">
        <v>267237</v>
      </c>
      <c r="L4136" s="17">
        <v>53545.227429999999</v>
      </c>
      <c r="M4136" s="17">
        <v>2024</v>
      </c>
      <c r="N4136" s="17" t="s">
        <v>123</v>
      </c>
    </row>
    <row r="4137" spans="1:14" ht="14.25" customHeight="1">
      <c r="A4137" s="17">
        <v>14136</v>
      </c>
      <c r="B4137" s="18">
        <v>45323</v>
      </c>
      <c r="C4137" s="17" t="s">
        <v>58</v>
      </c>
      <c r="D4137" s="17" t="s">
        <v>86</v>
      </c>
      <c r="E4137" s="17" t="s">
        <v>168</v>
      </c>
      <c r="F4137" s="17" t="s">
        <v>172</v>
      </c>
      <c r="G4137" s="17">
        <v>8</v>
      </c>
      <c r="H4137" s="17">
        <v>46712</v>
      </c>
      <c r="I4137" s="17">
        <v>373696</v>
      </c>
      <c r="J4137" s="17">
        <v>4851</v>
      </c>
      <c r="K4137" s="17">
        <v>368845</v>
      </c>
      <c r="L4137" s="17">
        <v>74015.293749999997</v>
      </c>
      <c r="M4137" s="17">
        <v>2024</v>
      </c>
      <c r="N4137" s="17" t="s">
        <v>175</v>
      </c>
    </row>
    <row r="4138" spans="1:14" ht="14.25" customHeight="1">
      <c r="A4138" s="17">
        <v>14137</v>
      </c>
      <c r="B4138" s="18">
        <v>45734</v>
      </c>
      <c r="C4138" s="17" t="s">
        <v>39</v>
      </c>
      <c r="D4138" s="17" t="s">
        <v>83</v>
      </c>
      <c r="E4138" s="17" t="s">
        <v>162</v>
      </c>
      <c r="F4138" s="17" t="s">
        <v>166</v>
      </c>
      <c r="G4138" s="17">
        <v>8</v>
      </c>
      <c r="H4138" s="17">
        <v>11768</v>
      </c>
      <c r="I4138" s="17">
        <v>94144</v>
      </c>
      <c r="J4138" s="17">
        <v>686</v>
      </c>
      <c r="K4138" s="17">
        <v>93458</v>
      </c>
      <c r="L4138" s="17">
        <v>9732.0883950000007</v>
      </c>
      <c r="M4138" s="17">
        <v>2025</v>
      </c>
      <c r="N4138" s="17" t="s">
        <v>112</v>
      </c>
    </row>
    <row r="4139" spans="1:14" ht="14.25" customHeight="1">
      <c r="A4139" s="17">
        <v>14138</v>
      </c>
      <c r="B4139" s="18">
        <v>45453</v>
      </c>
      <c r="C4139" s="17" t="s">
        <v>58</v>
      </c>
      <c r="D4139" s="17" t="s">
        <v>170</v>
      </c>
      <c r="E4139" s="17" t="s">
        <v>162</v>
      </c>
      <c r="F4139" s="17" t="s">
        <v>166</v>
      </c>
      <c r="G4139" s="17">
        <v>5</v>
      </c>
      <c r="H4139" s="17">
        <v>64214</v>
      </c>
      <c r="I4139" s="17">
        <v>321070</v>
      </c>
      <c r="J4139" s="17">
        <v>2036</v>
      </c>
      <c r="K4139" s="17">
        <v>319034</v>
      </c>
      <c r="L4139" s="17">
        <v>76775.941680000004</v>
      </c>
      <c r="M4139" s="17">
        <v>2024</v>
      </c>
      <c r="N4139" s="17" t="s">
        <v>120</v>
      </c>
    </row>
    <row r="4140" spans="1:14" ht="14.25" customHeight="1">
      <c r="A4140" s="17">
        <v>14139</v>
      </c>
      <c r="B4140" s="18">
        <v>45545</v>
      </c>
      <c r="C4140" s="17" t="s">
        <v>45</v>
      </c>
      <c r="D4140" s="17" t="s">
        <v>86</v>
      </c>
      <c r="E4140" s="17" t="s">
        <v>168</v>
      </c>
      <c r="F4140" s="17" t="s">
        <v>172</v>
      </c>
      <c r="G4140" s="17">
        <v>4</v>
      </c>
      <c r="H4140" s="17">
        <v>23972</v>
      </c>
      <c r="I4140" s="17">
        <v>95888</v>
      </c>
      <c r="J4140" s="17">
        <v>3579</v>
      </c>
      <c r="K4140" s="17">
        <v>92309</v>
      </c>
      <c r="L4140" s="17">
        <v>19917.85986</v>
      </c>
      <c r="M4140" s="17">
        <v>2024</v>
      </c>
      <c r="N4140" s="17" t="s">
        <v>129</v>
      </c>
    </row>
    <row r="4141" spans="1:14" ht="14.25" customHeight="1">
      <c r="A4141" s="17">
        <v>14140</v>
      </c>
      <c r="B4141" s="18">
        <v>45812</v>
      </c>
      <c r="C4141" s="17" t="s">
        <v>39</v>
      </c>
      <c r="D4141" s="17" t="s">
        <v>86</v>
      </c>
      <c r="E4141" s="17" t="s">
        <v>165</v>
      </c>
      <c r="F4141" s="17" t="s">
        <v>172</v>
      </c>
      <c r="G4141" s="17">
        <v>6</v>
      </c>
      <c r="H4141" s="17">
        <v>78162</v>
      </c>
      <c r="I4141" s="17">
        <v>468972</v>
      </c>
      <c r="J4141" s="17">
        <v>600</v>
      </c>
      <c r="K4141" s="17">
        <v>468372</v>
      </c>
      <c r="L4141" s="17">
        <v>100534.749</v>
      </c>
      <c r="M4141" s="17">
        <v>2025</v>
      </c>
      <c r="N4141" s="17" t="s">
        <v>120</v>
      </c>
    </row>
    <row r="4142" spans="1:14" ht="14.25" customHeight="1">
      <c r="A4142" s="17">
        <v>14141</v>
      </c>
      <c r="B4142" s="18">
        <v>45942</v>
      </c>
      <c r="C4142" s="17" t="s">
        <v>58</v>
      </c>
      <c r="D4142" s="17" t="s">
        <v>111</v>
      </c>
      <c r="E4142" s="17" t="s">
        <v>165</v>
      </c>
      <c r="F4142" s="17" t="s">
        <v>164</v>
      </c>
      <c r="G4142" s="17">
        <v>5</v>
      </c>
      <c r="H4142" s="17">
        <v>68412</v>
      </c>
      <c r="I4142" s="17">
        <v>342060</v>
      </c>
      <c r="J4142" s="17">
        <v>1043</v>
      </c>
      <c r="K4142" s="17">
        <v>341017</v>
      </c>
      <c r="L4142" s="17">
        <v>80749.226580000002</v>
      </c>
      <c r="M4142" s="17">
        <v>2025</v>
      </c>
      <c r="N4142" s="17" t="s">
        <v>174</v>
      </c>
    </row>
    <row r="4143" spans="1:14" ht="14.25" customHeight="1">
      <c r="A4143" s="17">
        <v>14142</v>
      </c>
      <c r="B4143" s="18">
        <v>45771</v>
      </c>
      <c r="C4143" s="17" t="s">
        <v>45</v>
      </c>
      <c r="D4143" s="17" t="s">
        <v>111</v>
      </c>
      <c r="E4143" s="17" t="s">
        <v>162</v>
      </c>
      <c r="F4143" s="17" t="s">
        <v>166</v>
      </c>
      <c r="G4143" s="17">
        <v>8</v>
      </c>
      <c r="H4143" s="17">
        <v>50281</v>
      </c>
      <c r="I4143" s="17">
        <v>402248</v>
      </c>
      <c r="J4143" s="17">
        <v>1379</v>
      </c>
      <c r="K4143" s="17">
        <v>400869</v>
      </c>
      <c r="L4143" s="17">
        <v>74851.452229999995</v>
      </c>
      <c r="M4143" s="17">
        <v>2025</v>
      </c>
      <c r="N4143" s="17" t="s">
        <v>114</v>
      </c>
    </row>
    <row r="4144" spans="1:14" ht="14.25" customHeight="1">
      <c r="A4144" s="17">
        <v>14143</v>
      </c>
      <c r="B4144" s="18">
        <v>45301</v>
      </c>
      <c r="C4144" s="17" t="s">
        <v>45</v>
      </c>
      <c r="D4144" s="17" t="s">
        <v>89</v>
      </c>
      <c r="E4144" s="17" t="s">
        <v>168</v>
      </c>
      <c r="F4144" s="17" t="s">
        <v>163</v>
      </c>
      <c r="G4144" s="17">
        <v>9</v>
      </c>
      <c r="H4144" s="17">
        <v>33403</v>
      </c>
      <c r="I4144" s="17">
        <v>300627</v>
      </c>
      <c r="J4144" s="17">
        <v>4528</v>
      </c>
      <c r="K4144" s="17">
        <v>296099</v>
      </c>
      <c r="L4144" s="17">
        <v>47138.948539999998</v>
      </c>
      <c r="M4144" s="17">
        <v>2024</v>
      </c>
      <c r="N4144" s="17" t="s">
        <v>171</v>
      </c>
    </row>
    <row r="4145" spans="1:14" ht="14.25" customHeight="1">
      <c r="A4145" s="17">
        <v>14144</v>
      </c>
      <c r="B4145" s="18">
        <v>46017</v>
      </c>
      <c r="C4145" s="17" t="s">
        <v>39</v>
      </c>
      <c r="D4145" s="17" t="s">
        <v>89</v>
      </c>
      <c r="E4145" s="17" t="s">
        <v>162</v>
      </c>
      <c r="F4145" s="17" t="s">
        <v>172</v>
      </c>
      <c r="G4145" s="17">
        <v>1</v>
      </c>
      <c r="H4145" s="17">
        <v>35226</v>
      </c>
      <c r="I4145" s="17">
        <v>35226</v>
      </c>
      <c r="J4145" s="17">
        <v>1041</v>
      </c>
      <c r="K4145" s="17">
        <v>34185</v>
      </c>
      <c r="L4145" s="17">
        <v>5883.3026069999996</v>
      </c>
      <c r="M4145" s="17">
        <v>2025</v>
      </c>
      <c r="N4145" s="17" t="s">
        <v>169</v>
      </c>
    </row>
    <row r="4146" spans="1:14" ht="14.25" customHeight="1">
      <c r="A4146" s="17">
        <v>14145</v>
      </c>
      <c r="B4146" s="18">
        <v>45796</v>
      </c>
      <c r="C4146" s="17" t="s">
        <v>50</v>
      </c>
      <c r="D4146" s="17" t="s">
        <v>111</v>
      </c>
      <c r="E4146" s="17" t="s">
        <v>162</v>
      </c>
      <c r="F4146" s="17" t="s">
        <v>172</v>
      </c>
      <c r="G4146" s="17">
        <v>9</v>
      </c>
      <c r="H4146" s="17">
        <v>54985</v>
      </c>
      <c r="I4146" s="17">
        <v>494865</v>
      </c>
      <c r="J4146" s="17">
        <v>1573</v>
      </c>
      <c r="K4146" s="17">
        <v>493292</v>
      </c>
      <c r="L4146" s="17">
        <v>106840.19319999999</v>
      </c>
      <c r="M4146" s="17">
        <v>2025</v>
      </c>
      <c r="N4146" s="17" t="s">
        <v>117</v>
      </c>
    </row>
    <row r="4147" spans="1:14" ht="14.25" customHeight="1">
      <c r="A4147" s="17">
        <v>14146</v>
      </c>
      <c r="B4147" s="18">
        <v>45851</v>
      </c>
      <c r="C4147" s="17" t="s">
        <v>167</v>
      </c>
      <c r="D4147" s="17" t="s">
        <v>170</v>
      </c>
      <c r="E4147" s="17" t="s">
        <v>162</v>
      </c>
      <c r="F4147" s="17" t="s">
        <v>172</v>
      </c>
      <c r="G4147" s="17">
        <v>9</v>
      </c>
      <c r="H4147" s="17">
        <v>33783</v>
      </c>
      <c r="I4147" s="17">
        <v>304047</v>
      </c>
      <c r="J4147" s="17">
        <v>4471</v>
      </c>
      <c r="K4147" s="17">
        <v>299576</v>
      </c>
      <c r="L4147" s="17">
        <v>64501.557990000001</v>
      </c>
      <c r="M4147" s="17">
        <v>2025</v>
      </c>
      <c r="N4147" s="17" t="s">
        <v>123</v>
      </c>
    </row>
    <row r="4148" spans="1:14" ht="14.25" customHeight="1">
      <c r="A4148" s="17">
        <v>14147</v>
      </c>
      <c r="B4148" s="18">
        <v>45727</v>
      </c>
      <c r="C4148" s="17" t="s">
        <v>39</v>
      </c>
      <c r="D4148" s="17" t="s">
        <v>89</v>
      </c>
      <c r="E4148" s="17" t="s">
        <v>165</v>
      </c>
      <c r="F4148" s="17" t="s">
        <v>172</v>
      </c>
      <c r="G4148" s="17">
        <v>6</v>
      </c>
      <c r="H4148" s="17">
        <v>78939</v>
      </c>
      <c r="I4148" s="17">
        <v>473634</v>
      </c>
      <c r="J4148" s="17">
        <v>1363</v>
      </c>
      <c r="K4148" s="17">
        <v>472271</v>
      </c>
      <c r="L4148" s="17">
        <v>90410.61249</v>
      </c>
      <c r="M4148" s="17">
        <v>2025</v>
      </c>
      <c r="N4148" s="17" t="s">
        <v>112</v>
      </c>
    </row>
    <row r="4149" spans="1:14" ht="14.25" customHeight="1">
      <c r="A4149" s="17">
        <v>14148</v>
      </c>
      <c r="B4149" s="18">
        <v>45402</v>
      </c>
      <c r="C4149" s="17" t="s">
        <v>45</v>
      </c>
      <c r="D4149" s="17" t="s">
        <v>170</v>
      </c>
      <c r="E4149" s="17" t="s">
        <v>168</v>
      </c>
      <c r="F4149" s="17" t="s">
        <v>164</v>
      </c>
      <c r="G4149" s="17">
        <v>5</v>
      </c>
      <c r="H4149" s="17">
        <v>73155</v>
      </c>
      <c r="I4149" s="17">
        <v>365775</v>
      </c>
      <c r="J4149" s="17">
        <v>1010</v>
      </c>
      <c r="K4149" s="17">
        <v>364765</v>
      </c>
      <c r="L4149" s="17">
        <v>48408.712379999997</v>
      </c>
      <c r="M4149" s="17">
        <v>2024</v>
      </c>
      <c r="N4149" s="17" t="s">
        <v>114</v>
      </c>
    </row>
    <row r="4150" spans="1:14" ht="14.25" customHeight="1">
      <c r="A4150" s="17">
        <v>14149</v>
      </c>
      <c r="B4150" s="18">
        <v>45444</v>
      </c>
      <c r="C4150" s="17" t="s">
        <v>45</v>
      </c>
      <c r="D4150" s="17" t="s">
        <v>111</v>
      </c>
      <c r="E4150" s="17" t="s">
        <v>168</v>
      </c>
      <c r="F4150" s="17" t="s">
        <v>166</v>
      </c>
      <c r="G4150" s="17">
        <v>7</v>
      </c>
      <c r="H4150" s="17">
        <v>71883</v>
      </c>
      <c r="I4150" s="17">
        <v>503181</v>
      </c>
      <c r="J4150" s="17">
        <v>4811</v>
      </c>
      <c r="K4150" s="17">
        <v>498370</v>
      </c>
      <c r="L4150" s="17">
        <v>111053.0897</v>
      </c>
      <c r="M4150" s="17">
        <v>2024</v>
      </c>
      <c r="N4150" s="17" t="s">
        <v>120</v>
      </c>
    </row>
    <row r="4151" spans="1:14" ht="14.25" customHeight="1">
      <c r="A4151" s="17">
        <v>14150</v>
      </c>
      <c r="B4151" s="18">
        <v>45926</v>
      </c>
      <c r="C4151" s="17" t="s">
        <v>39</v>
      </c>
      <c r="D4151" s="17" t="s">
        <v>89</v>
      </c>
      <c r="E4151" s="17" t="s">
        <v>165</v>
      </c>
      <c r="F4151" s="17" t="s">
        <v>172</v>
      </c>
      <c r="G4151" s="17">
        <v>8</v>
      </c>
      <c r="H4151" s="17">
        <v>73700</v>
      </c>
      <c r="I4151" s="17">
        <v>589600</v>
      </c>
      <c r="J4151" s="17">
        <v>1256</v>
      </c>
      <c r="K4151" s="17">
        <v>588344</v>
      </c>
      <c r="L4151" s="17">
        <v>115954.504</v>
      </c>
      <c r="M4151" s="17">
        <v>2025</v>
      </c>
      <c r="N4151" s="17" t="s">
        <v>129</v>
      </c>
    </row>
    <row r="4152" spans="1:14" ht="14.25" customHeight="1">
      <c r="A4152" s="17">
        <v>14151</v>
      </c>
      <c r="B4152" s="18">
        <v>45393</v>
      </c>
      <c r="C4152" s="17" t="s">
        <v>50</v>
      </c>
      <c r="D4152" s="17" t="s">
        <v>86</v>
      </c>
      <c r="E4152" s="17" t="s">
        <v>162</v>
      </c>
      <c r="F4152" s="17" t="s">
        <v>166</v>
      </c>
      <c r="G4152" s="17">
        <v>9</v>
      </c>
      <c r="H4152" s="17">
        <v>32788</v>
      </c>
      <c r="I4152" s="17">
        <v>295092</v>
      </c>
      <c r="J4152" s="17">
        <v>1127</v>
      </c>
      <c r="K4152" s="17">
        <v>293965</v>
      </c>
      <c r="L4152" s="17">
        <v>39152.993499999997</v>
      </c>
      <c r="M4152" s="17">
        <v>2024</v>
      </c>
      <c r="N4152" s="17" t="s">
        <v>114</v>
      </c>
    </row>
    <row r="4153" spans="1:14" ht="14.25" customHeight="1">
      <c r="A4153" s="17">
        <v>14152</v>
      </c>
      <c r="B4153" s="18">
        <v>45482</v>
      </c>
      <c r="C4153" s="17" t="s">
        <v>167</v>
      </c>
      <c r="D4153" s="17" t="s">
        <v>111</v>
      </c>
      <c r="E4153" s="17" t="s">
        <v>162</v>
      </c>
      <c r="F4153" s="17" t="s">
        <v>163</v>
      </c>
      <c r="G4153" s="17">
        <v>9</v>
      </c>
      <c r="H4153" s="17">
        <v>12166</v>
      </c>
      <c r="I4153" s="17">
        <v>109494</v>
      </c>
      <c r="J4153" s="17">
        <v>1023</v>
      </c>
      <c r="K4153" s="17">
        <v>108471</v>
      </c>
      <c r="L4153" s="17">
        <v>18667.497619999998</v>
      </c>
      <c r="M4153" s="17">
        <v>2024</v>
      </c>
      <c r="N4153" s="17" t="s">
        <v>123</v>
      </c>
    </row>
    <row r="4154" spans="1:14" ht="14.25" customHeight="1">
      <c r="A4154" s="17">
        <v>14153</v>
      </c>
      <c r="B4154" s="18">
        <v>46020</v>
      </c>
      <c r="C4154" s="17" t="s">
        <v>58</v>
      </c>
      <c r="D4154" s="17" t="s">
        <v>89</v>
      </c>
      <c r="E4154" s="17" t="s">
        <v>165</v>
      </c>
      <c r="F4154" s="17" t="s">
        <v>163</v>
      </c>
      <c r="G4154" s="17">
        <v>3</v>
      </c>
      <c r="H4154" s="17">
        <v>40219</v>
      </c>
      <c r="I4154" s="17">
        <v>120657</v>
      </c>
      <c r="J4154" s="17">
        <v>3694</v>
      </c>
      <c r="K4154" s="17">
        <v>116963</v>
      </c>
      <c r="L4154" s="17">
        <v>29191.73661</v>
      </c>
      <c r="M4154" s="17">
        <v>2025</v>
      </c>
      <c r="N4154" s="17" t="s">
        <v>169</v>
      </c>
    </row>
    <row r="4155" spans="1:14" ht="14.25" customHeight="1">
      <c r="A4155" s="17">
        <v>14154</v>
      </c>
      <c r="B4155" s="18">
        <v>45854</v>
      </c>
      <c r="C4155" s="17" t="s">
        <v>39</v>
      </c>
      <c r="D4155" s="17" t="s">
        <v>170</v>
      </c>
      <c r="E4155" s="17" t="s">
        <v>168</v>
      </c>
      <c r="F4155" s="17" t="s">
        <v>163</v>
      </c>
      <c r="G4155" s="17">
        <v>8</v>
      </c>
      <c r="H4155" s="17">
        <v>70441</v>
      </c>
      <c r="I4155" s="17">
        <v>563528</v>
      </c>
      <c r="J4155" s="17">
        <v>2784</v>
      </c>
      <c r="K4155" s="17">
        <v>560744</v>
      </c>
      <c r="L4155" s="17">
        <v>83694.953670000003</v>
      </c>
      <c r="M4155" s="17">
        <v>2025</v>
      </c>
      <c r="N4155" s="17" t="s">
        <v>123</v>
      </c>
    </row>
    <row r="4156" spans="1:14" ht="14.25" customHeight="1">
      <c r="A4156" s="17">
        <v>14155</v>
      </c>
      <c r="B4156" s="18">
        <v>45372</v>
      </c>
      <c r="C4156" s="17" t="s">
        <v>167</v>
      </c>
      <c r="D4156" s="17" t="s">
        <v>170</v>
      </c>
      <c r="E4156" s="17" t="s">
        <v>165</v>
      </c>
      <c r="F4156" s="17" t="s">
        <v>163</v>
      </c>
      <c r="G4156" s="17">
        <v>1</v>
      </c>
      <c r="H4156" s="17">
        <v>5403</v>
      </c>
      <c r="I4156" s="17">
        <v>5403</v>
      </c>
      <c r="J4156" s="17">
        <v>4316</v>
      </c>
      <c r="K4156" s="17">
        <v>1087</v>
      </c>
      <c r="L4156" s="17">
        <v>127.7052082</v>
      </c>
      <c r="M4156" s="17">
        <v>2024</v>
      </c>
      <c r="N4156" s="17" t="s">
        <v>112</v>
      </c>
    </row>
    <row r="4157" spans="1:14" ht="14.25" customHeight="1">
      <c r="A4157" s="17">
        <v>14156</v>
      </c>
      <c r="B4157" s="18">
        <v>45780</v>
      </c>
      <c r="C4157" s="17" t="s">
        <v>167</v>
      </c>
      <c r="D4157" s="17" t="s">
        <v>89</v>
      </c>
      <c r="E4157" s="17" t="s">
        <v>168</v>
      </c>
      <c r="F4157" s="17" t="s">
        <v>166</v>
      </c>
      <c r="G4157" s="17">
        <v>7</v>
      </c>
      <c r="H4157" s="17">
        <v>32224</v>
      </c>
      <c r="I4157" s="17">
        <v>225568</v>
      </c>
      <c r="J4157" s="17">
        <v>1049</v>
      </c>
      <c r="K4157" s="17">
        <v>224519</v>
      </c>
      <c r="L4157" s="17">
        <v>23181.61203</v>
      </c>
      <c r="M4157" s="17">
        <v>2025</v>
      </c>
      <c r="N4157" s="17" t="s">
        <v>117</v>
      </c>
    </row>
    <row r="4158" spans="1:14" ht="14.25" customHeight="1">
      <c r="A4158" s="17">
        <v>14157</v>
      </c>
      <c r="B4158" s="18">
        <v>45379</v>
      </c>
      <c r="C4158" s="17" t="s">
        <v>45</v>
      </c>
      <c r="D4158" s="17" t="s">
        <v>170</v>
      </c>
      <c r="E4158" s="17" t="s">
        <v>168</v>
      </c>
      <c r="F4158" s="17" t="s">
        <v>163</v>
      </c>
      <c r="G4158" s="17">
        <v>5</v>
      </c>
      <c r="H4158" s="17">
        <v>8485</v>
      </c>
      <c r="I4158" s="17">
        <v>42425</v>
      </c>
      <c r="J4158" s="17">
        <v>2301</v>
      </c>
      <c r="K4158" s="17">
        <v>40124</v>
      </c>
      <c r="L4158" s="17">
        <v>5123.6283050000002</v>
      </c>
      <c r="M4158" s="17">
        <v>2024</v>
      </c>
      <c r="N4158" s="17" t="s">
        <v>112</v>
      </c>
    </row>
    <row r="4159" spans="1:14" ht="14.25" customHeight="1">
      <c r="A4159" s="17">
        <v>14158</v>
      </c>
      <c r="B4159" s="18">
        <v>45485</v>
      </c>
      <c r="C4159" s="17" t="s">
        <v>58</v>
      </c>
      <c r="D4159" s="17" t="s">
        <v>89</v>
      </c>
      <c r="E4159" s="17" t="s">
        <v>168</v>
      </c>
      <c r="F4159" s="17" t="s">
        <v>163</v>
      </c>
      <c r="G4159" s="17">
        <v>2</v>
      </c>
      <c r="H4159" s="17">
        <v>79984</v>
      </c>
      <c r="I4159" s="17">
        <v>159968</v>
      </c>
      <c r="J4159" s="17">
        <v>4921</v>
      </c>
      <c r="K4159" s="17">
        <v>155047</v>
      </c>
      <c r="L4159" s="17">
        <v>19852.98473</v>
      </c>
      <c r="M4159" s="17">
        <v>2024</v>
      </c>
      <c r="N4159" s="17" t="s">
        <v>123</v>
      </c>
    </row>
    <row r="4160" spans="1:14" ht="14.25" customHeight="1">
      <c r="A4160" s="17">
        <v>14159</v>
      </c>
      <c r="B4160" s="18">
        <v>45395</v>
      </c>
      <c r="C4160" s="17" t="s">
        <v>39</v>
      </c>
      <c r="D4160" s="17" t="s">
        <v>89</v>
      </c>
      <c r="E4160" s="17" t="s">
        <v>162</v>
      </c>
      <c r="F4160" s="17" t="s">
        <v>172</v>
      </c>
      <c r="G4160" s="17">
        <v>2</v>
      </c>
      <c r="H4160" s="17">
        <v>70491</v>
      </c>
      <c r="I4160" s="17">
        <v>140982</v>
      </c>
      <c r="J4160" s="17">
        <v>1154</v>
      </c>
      <c r="K4160" s="17">
        <v>139828</v>
      </c>
      <c r="L4160" s="17">
        <v>31980.099180000001</v>
      </c>
      <c r="M4160" s="17">
        <v>2024</v>
      </c>
      <c r="N4160" s="17" t="s">
        <v>114</v>
      </c>
    </row>
    <row r="4161" spans="1:14" ht="14.25" customHeight="1">
      <c r="A4161" s="17">
        <v>14160</v>
      </c>
      <c r="B4161" s="18">
        <v>45387</v>
      </c>
      <c r="C4161" s="17" t="s">
        <v>45</v>
      </c>
      <c r="D4161" s="17" t="s">
        <v>170</v>
      </c>
      <c r="E4161" s="17" t="s">
        <v>162</v>
      </c>
      <c r="F4161" s="17" t="s">
        <v>172</v>
      </c>
      <c r="G4161" s="17">
        <v>8</v>
      </c>
      <c r="H4161" s="17">
        <v>19262</v>
      </c>
      <c r="I4161" s="17">
        <v>154096</v>
      </c>
      <c r="J4161" s="17">
        <v>29</v>
      </c>
      <c r="K4161" s="17">
        <v>154067</v>
      </c>
      <c r="L4161" s="17">
        <v>19015.444060000002</v>
      </c>
      <c r="M4161" s="17">
        <v>2024</v>
      </c>
      <c r="N4161" s="17" t="s">
        <v>114</v>
      </c>
    </row>
    <row r="4162" spans="1:14" ht="14.25" customHeight="1">
      <c r="A4162" s="17">
        <v>14161</v>
      </c>
      <c r="B4162" s="18">
        <v>45714</v>
      </c>
      <c r="C4162" s="17" t="s">
        <v>45</v>
      </c>
      <c r="D4162" s="17" t="s">
        <v>83</v>
      </c>
      <c r="E4162" s="17" t="s">
        <v>165</v>
      </c>
      <c r="F4162" s="17" t="s">
        <v>172</v>
      </c>
      <c r="G4162" s="17">
        <v>5</v>
      </c>
      <c r="H4162" s="17">
        <v>32928</v>
      </c>
      <c r="I4162" s="17">
        <v>164640</v>
      </c>
      <c r="J4162" s="17">
        <v>786</v>
      </c>
      <c r="K4162" s="17">
        <v>163854</v>
      </c>
      <c r="L4162" s="17">
        <v>37587.721109999999</v>
      </c>
      <c r="M4162" s="17">
        <v>2025</v>
      </c>
      <c r="N4162" s="17" t="s">
        <v>175</v>
      </c>
    </row>
    <row r="4163" spans="1:14" ht="14.25" customHeight="1">
      <c r="A4163" s="17">
        <v>14162</v>
      </c>
      <c r="B4163" s="18">
        <v>45489</v>
      </c>
      <c r="C4163" s="17" t="s">
        <v>50</v>
      </c>
      <c r="D4163" s="17" t="s">
        <v>86</v>
      </c>
      <c r="E4163" s="17" t="s">
        <v>165</v>
      </c>
      <c r="F4163" s="17" t="s">
        <v>164</v>
      </c>
      <c r="G4163" s="17">
        <v>3</v>
      </c>
      <c r="H4163" s="17">
        <v>68179</v>
      </c>
      <c r="I4163" s="17">
        <v>204537</v>
      </c>
      <c r="J4163" s="17">
        <v>4105</v>
      </c>
      <c r="K4163" s="17">
        <v>200432</v>
      </c>
      <c r="L4163" s="17">
        <v>22650.314480000001</v>
      </c>
      <c r="M4163" s="17">
        <v>2024</v>
      </c>
      <c r="N4163" s="17" t="s">
        <v>123</v>
      </c>
    </row>
    <row r="4164" spans="1:14" ht="14.25" customHeight="1">
      <c r="A4164" s="17">
        <v>14163</v>
      </c>
      <c r="B4164" s="18">
        <v>45292</v>
      </c>
      <c r="C4164" s="17" t="s">
        <v>167</v>
      </c>
      <c r="D4164" s="17" t="s">
        <v>111</v>
      </c>
      <c r="E4164" s="17" t="s">
        <v>162</v>
      </c>
      <c r="F4164" s="17" t="s">
        <v>172</v>
      </c>
      <c r="G4164" s="17">
        <v>1</v>
      </c>
      <c r="H4164" s="17">
        <v>39712</v>
      </c>
      <c r="I4164" s="17">
        <v>39712</v>
      </c>
      <c r="J4164" s="17">
        <v>3160</v>
      </c>
      <c r="K4164" s="17">
        <v>36552</v>
      </c>
      <c r="L4164" s="17">
        <v>8626.149367</v>
      </c>
      <c r="M4164" s="17">
        <v>2024</v>
      </c>
      <c r="N4164" s="17" t="s">
        <v>171</v>
      </c>
    </row>
    <row r="4165" spans="1:14" ht="14.25" customHeight="1">
      <c r="A4165" s="17">
        <v>14164</v>
      </c>
      <c r="B4165" s="18">
        <v>45698</v>
      </c>
      <c r="C4165" s="17" t="s">
        <v>39</v>
      </c>
      <c r="D4165" s="17" t="s">
        <v>86</v>
      </c>
      <c r="E4165" s="17" t="s">
        <v>165</v>
      </c>
      <c r="F4165" s="17" t="s">
        <v>163</v>
      </c>
      <c r="G4165" s="17">
        <v>7</v>
      </c>
      <c r="H4165" s="17">
        <v>39328</v>
      </c>
      <c r="I4165" s="17">
        <v>275296</v>
      </c>
      <c r="J4165" s="17">
        <v>1170</v>
      </c>
      <c r="K4165" s="17">
        <v>274126</v>
      </c>
      <c r="L4165" s="17">
        <v>37953.574009999997</v>
      </c>
      <c r="M4165" s="17">
        <v>2025</v>
      </c>
      <c r="N4165" s="17" t="s">
        <v>175</v>
      </c>
    </row>
    <row r="4166" spans="1:14" ht="14.25" customHeight="1">
      <c r="A4166" s="17">
        <v>14165</v>
      </c>
      <c r="B4166" s="18">
        <v>45669</v>
      </c>
      <c r="C4166" s="17" t="s">
        <v>39</v>
      </c>
      <c r="D4166" s="17" t="s">
        <v>111</v>
      </c>
      <c r="E4166" s="17" t="s">
        <v>162</v>
      </c>
      <c r="F4166" s="17" t="s">
        <v>166</v>
      </c>
      <c r="G4166" s="17">
        <v>3</v>
      </c>
      <c r="H4166" s="17">
        <v>36632</v>
      </c>
      <c r="I4166" s="17">
        <v>109896</v>
      </c>
      <c r="J4166" s="17">
        <v>3198</v>
      </c>
      <c r="K4166" s="17">
        <v>106698</v>
      </c>
      <c r="L4166" s="17">
        <v>20456.643029999999</v>
      </c>
      <c r="M4166" s="17">
        <v>2025</v>
      </c>
      <c r="N4166" s="17" t="s">
        <v>171</v>
      </c>
    </row>
    <row r="4167" spans="1:14" ht="14.25" customHeight="1">
      <c r="A4167" s="17">
        <v>14166</v>
      </c>
      <c r="B4167" s="18">
        <v>45458</v>
      </c>
      <c r="C4167" s="17" t="s">
        <v>39</v>
      </c>
      <c r="D4167" s="17" t="s">
        <v>111</v>
      </c>
      <c r="E4167" s="17" t="s">
        <v>162</v>
      </c>
      <c r="F4167" s="17" t="s">
        <v>163</v>
      </c>
      <c r="G4167" s="17">
        <v>7</v>
      </c>
      <c r="H4167" s="17">
        <v>42515</v>
      </c>
      <c r="I4167" s="17">
        <v>297605</v>
      </c>
      <c r="J4167" s="17">
        <v>2745</v>
      </c>
      <c r="K4167" s="17">
        <v>294860</v>
      </c>
      <c r="L4167" s="17">
        <v>36550.573660000002</v>
      </c>
      <c r="M4167" s="17">
        <v>2024</v>
      </c>
      <c r="N4167" s="17" t="s">
        <v>120</v>
      </c>
    </row>
    <row r="4168" spans="1:14" ht="14.25" customHeight="1">
      <c r="A4168" s="17">
        <v>14167</v>
      </c>
      <c r="B4168" s="18">
        <v>45800</v>
      </c>
      <c r="C4168" s="17" t="s">
        <v>45</v>
      </c>
      <c r="D4168" s="17" t="s">
        <v>86</v>
      </c>
      <c r="E4168" s="17" t="s">
        <v>168</v>
      </c>
      <c r="F4168" s="17" t="s">
        <v>166</v>
      </c>
      <c r="G4168" s="17">
        <v>2</v>
      </c>
      <c r="H4168" s="17">
        <v>67074</v>
      </c>
      <c r="I4168" s="17">
        <v>134148</v>
      </c>
      <c r="J4168" s="17">
        <v>1364</v>
      </c>
      <c r="K4168" s="17">
        <v>132784</v>
      </c>
      <c r="L4168" s="17">
        <v>21047.372050000002</v>
      </c>
      <c r="M4168" s="17">
        <v>2025</v>
      </c>
      <c r="N4168" s="17" t="s">
        <v>117</v>
      </c>
    </row>
    <row r="4169" spans="1:14" ht="14.25" customHeight="1">
      <c r="A4169" s="17">
        <v>14168</v>
      </c>
      <c r="B4169" s="18">
        <v>45929</v>
      </c>
      <c r="C4169" s="17" t="s">
        <v>50</v>
      </c>
      <c r="D4169" s="17" t="s">
        <v>89</v>
      </c>
      <c r="E4169" s="17" t="s">
        <v>168</v>
      </c>
      <c r="F4169" s="17" t="s">
        <v>163</v>
      </c>
      <c r="G4169" s="17">
        <v>4</v>
      </c>
      <c r="H4169" s="17">
        <v>77690</v>
      </c>
      <c r="I4169" s="17">
        <v>310760</v>
      </c>
      <c r="J4169" s="17">
        <v>1541</v>
      </c>
      <c r="K4169" s="17">
        <v>309219</v>
      </c>
      <c r="L4169" s="17">
        <v>34900.055220000002</v>
      </c>
      <c r="M4169" s="17">
        <v>2025</v>
      </c>
      <c r="N4169" s="17" t="s">
        <v>129</v>
      </c>
    </row>
    <row r="4170" spans="1:14" ht="14.25" customHeight="1">
      <c r="A4170" s="17">
        <v>14169</v>
      </c>
      <c r="B4170" s="18">
        <v>45604</v>
      </c>
      <c r="C4170" s="17" t="s">
        <v>58</v>
      </c>
      <c r="D4170" s="17" t="s">
        <v>170</v>
      </c>
      <c r="E4170" s="17" t="s">
        <v>162</v>
      </c>
      <c r="F4170" s="17" t="s">
        <v>164</v>
      </c>
      <c r="G4170" s="17">
        <v>2</v>
      </c>
      <c r="H4170" s="17">
        <v>69947</v>
      </c>
      <c r="I4170" s="17">
        <v>139894</v>
      </c>
      <c r="J4170" s="17">
        <v>4146</v>
      </c>
      <c r="K4170" s="17">
        <v>135748</v>
      </c>
      <c r="L4170" s="17">
        <v>25375.269199999999</v>
      </c>
      <c r="M4170" s="17">
        <v>2024</v>
      </c>
      <c r="N4170" s="17" t="s">
        <v>173</v>
      </c>
    </row>
    <row r="4171" spans="1:14" ht="14.25" customHeight="1">
      <c r="A4171" s="17">
        <v>14170</v>
      </c>
      <c r="B4171" s="18">
        <v>45884</v>
      </c>
      <c r="C4171" s="17" t="s">
        <v>45</v>
      </c>
      <c r="D4171" s="17" t="s">
        <v>83</v>
      </c>
      <c r="E4171" s="17" t="s">
        <v>168</v>
      </c>
      <c r="F4171" s="17" t="s">
        <v>172</v>
      </c>
      <c r="G4171" s="17">
        <v>4</v>
      </c>
      <c r="H4171" s="17">
        <v>33170</v>
      </c>
      <c r="I4171" s="17">
        <v>132680</v>
      </c>
      <c r="J4171" s="17">
        <v>4493</v>
      </c>
      <c r="K4171" s="17">
        <v>128187</v>
      </c>
      <c r="L4171" s="17">
        <v>19469.249599999999</v>
      </c>
      <c r="M4171" s="17">
        <v>2025</v>
      </c>
      <c r="N4171" s="17" t="s">
        <v>126</v>
      </c>
    </row>
    <row r="4172" spans="1:14" ht="14.25" customHeight="1">
      <c r="A4172" s="17">
        <v>14171</v>
      </c>
      <c r="B4172" s="18">
        <v>45709</v>
      </c>
      <c r="C4172" s="17" t="s">
        <v>58</v>
      </c>
      <c r="D4172" s="17" t="s">
        <v>83</v>
      </c>
      <c r="E4172" s="17" t="s">
        <v>162</v>
      </c>
      <c r="F4172" s="17" t="s">
        <v>163</v>
      </c>
      <c r="G4172" s="17">
        <v>5</v>
      </c>
      <c r="H4172" s="17">
        <v>51857</v>
      </c>
      <c r="I4172" s="17">
        <v>259285</v>
      </c>
      <c r="J4172" s="17">
        <v>313</v>
      </c>
      <c r="K4172" s="17">
        <v>258972</v>
      </c>
      <c r="L4172" s="17">
        <v>58999.651720000002</v>
      </c>
      <c r="M4172" s="17">
        <v>2025</v>
      </c>
      <c r="N4172" s="17" t="s">
        <v>175</v>
      </c>
    </row>
    <row r="4173" spans="1:14" ht="14.25" customHeight="1">
      <c r="A4173" s="17">
        <v>14172</v>
      </c>
      <c r="B4173" s="18">
        <v>45972</v>
      </c>
      <c r="C4173" s="17" t="s">
        <v>50</v>
      </c>
      <c r="D4173" s="17" t="s">
        <v>83</v>
      </c>
      <c r="E4173" s="17" t="s">
        <v>168</v>
      </c>
      <c r="F4173" s="17" t="s">
        <v>172</v>
      </c>
      <c r="G4173" s="17">
        <v>8</v>
      </c>
      <c r="H4173" s="17">
        <v>54744</v>
      </c>
      <c r="I4173" s="17">
        <v>437952</v>
      </c>
      <c r="J4173" s="17">
        <v>2695</v>
      </c>
      <c r="K4173" s="17">
        <v>435257</v>
      </c>
      <c r="L4173" s="17">
        <v>55396.234230000002</v>
      </c>
      <c r="M4173" s="17">
        <v>2025</v>
      </c>
      <c r="N4173" s="17" t="s">
        <v>173</v>
      </c>
    </row>
    <row r="4174" spans="1:14" ht="14.25" customHeight="1">
      <c r="A4174" s="17">
        <v>14173</v>
      </c>
      <c r="B4174" s="18">
        <v>45768</v>
      </c>
      <c r="C4174" s="17" t="s">
        <v>167</v>
      </c>
      <c r="D4174" s="17" t="s">
        <v>86</v>
      </c>
      <c r="E4174" s="17" t="s">
        <v>165</v>
      </c>
      <c r="F4174" s="17" t="s">
        <v>164</v>
      </c>
      <c r="G4174" s="17">
        <v>2</v>
      </c>
      <c r="H4174" s="17">
        <v>10327</v>
      </c>
      <c r="I4174" s="17">
        <v>20654</v>
      </c>
      <c r="J4174" s="17">
        <v>4609</v>
      </c>
      <c r="K4174" s="17">
        <v>16045</v>
      </c>
      <c r="L4174" s="17">
        <v>2278.3612739999999</v>
      </c>
      <c r="M4174" s="17">
        <v>2025</v>
      </c>
      <c r="N4174" s="17" t="s">
        <v>114</v>
      </c>
    </row>
    <row r="4175" spans="1:14" ht="14.25" customHeight="1">
      <c r="A4175" s="17">
        <v>14174</v>
      </c>
      <c r="B4175" s="18">
        <v>45364</v>
      </c>
      <c r="C4175" s="17" t="s">
        <v>39</v>
      </c>
      <c r="D4175" s="17" t="s">
        <v>86</v>
      </c>
      <c r="E4175" s="17" t="s">
        <v>165</v>
      </c>
      <c r="F4175" s="17" t="s">
        <v>164</v>
      </c>
      <c r="G4175" s="17">
        <v>3</v>
      </c>
      <c r="H4175" s="17">
        <v>66246</v>
      </c>
      <c r="I4175" s="17">
        <v>198738</v>
      </c>
      <c r="J4175" s="17">
        <v>529</v>
      </c>
      <c r="K4175" s="17">
        <v>198209</v>
      </c>
      <c r="L4175" s="17">
        <v>25090.920849999999</v>
      </c>
      <c r="M4175" s="17">
        <v>2024</v>
      </c>
      <c r="N4175" s="17" t="s">
        <v>112</v>
      </c>
    </row>
    <row r="4176" spans="1:14" ht="14.25" customHeight="1">
      <c r="A4176" s="17">
        <v>14175</v>
      </c>
      <c r="B4176" s="18">
        <v>45432</v>
      </c>
      <c r="C4176" s="17" t="s">
        <v>58</v>
      </c>
      <c r="D4176" s="17" t="s">
        <v>89</v>
      </c>
      <c r="E4176" s="17" t="s">
        <v>162</v>
      </c>
      <c r="F4176" s="17" t="s">
        <v>172</v>
      </c>
      <c r="G4176" s="17">
        <v>5</v>
      </c>
      <c r="H4176" s="17">
        <v>38264</v>
      </c>
      <c r="I4176" s="17">
        <v>191320</v>
      </c>
      <c r="J4176" s="17">
        <v>4955</v>
      </c>
      <c r="K4176" s="17">
        <v>186365</v>
      </c>
      <c r="L4176" s="17">
        <v>34398.024870000001</v>
      </c>
      <c r="M4176" s="17">
        <v>2024</v>
      </c>
      <c r="N4176" s="17" t="s">
        <v>117</v>
      </c>
    </row>
    <row r="4177" spans="1:14" ht="14.25" customHeight="1">
      <c r="A4177" s="17">
        <v>14176</v>
      </c>
      <c r="B4177" s="18">
        <v>45873</v>
      </c>
      <c r="C4177" s="17" t="s">
        <v>45</v>
      </c>
      <c r="D4177" s="17" t="s">
        <v>83</v>
      </c>
      <c r="E4177" s="17" t="s">
        <v>162</v>
      </c>
      <c r="F4177" s="17" t="s">
        <v>172</v>
      </c>
      <c r="G4177" s="17">
        <v>9</v>
      </c>
      <c r="H4177" s="17">
        <v>20656</v>
      </c>
      <c r="I4177" s="17">
        <v>185904</v>
      </c>
      <c r="J4177" s="17">
        <v>2466</v>
      </c>
      <c r="K4177" s="17">
        <v>183438</v>
      </c>
      <c r="L4177" s="17">
        <v>21418.601979999999</v>
      </c>
      <c r="M4177" s="17">
        <v>2025</v>
      </c>
      <c r="N4177" s="17" t="s">
        <v>126</v>
      </c>
    </row>
    <row r="4178" spans="1:14" ht="14.25" customHeight="1">
      <c r="A4178" s="17">
        <v>14177</v>
      </c>
      <c r="B4178" s="18">
        <v>45553</v>
      </c>
      <c r="C4178" s="17" t="s">
        <v>58</v>
      </c>
      <c r="D4178" s="17" t="s">
        <v>89</v>
      </c>
      <c r="E4178" s="17" t="s">
        <v>168</v>
      </c>
      <c r="F4178" s="17" t="s">
        <v>166</v>
      </c>
      <c r="G4178" s="17">
        <v>5</v>
      </c>
      <c r="H4178" s="17">
        <v>23805</v>
      </c>
      <c r="I4178" s="17">
        <v>119025</v>
      </c>
      <c r="J4178" s="17">
        <v>2241</v>
      </c>
      <c r="K4178" s="17">
        <v>116784</v>
      </c>
      <c r="L4178" s="17">
        <v>14995.48028</v>
      </c>
      <c r="M4178" s="17">
        <v>2024</v>
      </c>
      <c r="N4178" s="17" t="s">
        <v>129</v>
      </c>
    </row>
    <row r="4179" spans="1:14" ht="14.25" customHeight="1">
      <c r="A4179" s="17">
        <v>14178</v>
      </c>
      <c r="B4179" s="18">
        <v>45631</v>
      </c>
      <c r="C4179" s="17" t="s">
        <v>167</v>
      </c>
      <c r="D4179" s="17" t="s">
        <v>83</v>
      </c>
      <c r="E4179" s="17" t="s">
        <v>168</v>
      </c>
      <c r="F4179" s="17" t="s">
        <v>172</v>
      </c>
      <c r="G4179" s="17">
        <v>9</v>
      </c>
      <c r="H4179" s="17">
        <v>33855</v>
      </c>
      <c r="I4179" s="17">
        <v>304695</v>
      </c>
      <c r="J4179" s="17">
        <v>311</v>
      </c>
      <c r="K4179" s="17">
        <v>304384</v>
      </c>
      <c r="L4179" s="17">
        <v>61416.622439999999</v>
      </c>
      <c r="M4179" s="17">
        <v>2024</v>
      </c>
      <c r="N4179" s="17" t="s">
        <v>169</v>
      </c>
    </row>
    <row r="4180" spans="1:14" ht="14.25" customHeight="1">
      <c r="A4180" s="17">
        <v>14179</v>
      </c>
      <c r="B4180" s="18">
        <v>45599</v>
      </c>
      <c r="C4180" s="17" t="s">
        <v>39</v>
      </c>
      <c r="D4180" s="17" t="s">
        <v>86</v>
      </c>
      <c r="E4180" s="17" t="s">
        <v>162</v>
      </c>
      <c r="F4180" s="17" t="s">
        <v>172</v>
      </c>
      <c r="G4180" s="17">
        <v>4</v>
      </c>
      <c r="H4180" s="17">
        <v>9127</v>
      </c>
      <c r="I4180" s="17">
        <v>36508</v>
      </c>
      <c r="J4180" s="17">
        <v>995</v>
      </c>
      <c r="K4180" s="17">
        <v>35513</v>
      </c>
      <c r="L4180" s="17">
        <v>3947.7024620000002</v>
      </c>
      <c r="M4180" s="17">
        <v>2024</v>
      </c>
      <c r="N4180" s="17" t="s">
        <v>173</v>
      </c>
    </row>
    <row r="4181" spans="1:14" ht="14.25" customHeight="1">
      <c r="A4181" s="17">
        <v>14180</v>
      </c>
      <c r="B4181" s="18">
        <v>45536</v>
      </c>
      <c r="C4181" s="17" t="s">
        <v>58</v>
      </c>
      <c r="D4181" s="17" t="s">
        <v>170</v>
      </c>
      <c r="E4181" s="17" t="s">
        <v>165</v>
      </c>
      <c r="F4181" s="17" t="s">
        <v>166</v>
      </c>
      <c r="G4181" s="17">
        <v>5</v>
      </c>
      <c r="H4181" s="17">
        <v>66722</v>
      </c>
      <c r="I4181" s="17">
        <v>333610</v>
      </c>
      <c r="J4181" s="17">
        <v>2523</v>
      </c>
      <c r="K4181" s="17">
        <v>331087</v>
      </c>
      <c r="L4181" s="17">
        <v>70016.474610000005</v>
      </c>
      <c r="M4181" s="17">
        <v>2024</v>
      </c>
      <c r="N4181" s="17" t="s">
        <v>129</v>
      </c>
    </row>
    <row r="4182" spans="1:14" ht="14.25" customHeight="1">
      <c r="A4182" s="17">
        <v>14181</v>
      </c>
      <c r="B4182" s="18">
        <v>45806</v>
      </c>
      <c r="C4182" s="17" t="s">
        <v>167</v>
      </c>
      <c r="D4182" s="17" t="s">
        <v>170</v>
      </c>
      <c r="E4182" s="17" t="s">
        <v>165</v>
      </c>
      <c r="F4182" s="17" t="s">
        <v>163</v>
      </c>
      <c r="G4182" s="17">
        <v>9</v>
      </c>
      <c r="H4182" s="17">
        <v>43319</v>
      </c>
      <c r="I4182" s="17">
        <v>389871</v>
      </c>
      <c r="J4182" s="17">
        <v>2631</v>
      </c>
      <c r="K4182" s="17">
        <v>387240</v>
      </c>
      <c r="L4182" s="17">
        <v>44784.315049999997</v>
      </c>
      <c r="M4182" s="17">
        <v>2025</v>
      </c>
      <c r="N4182" s="17" t="s">
        <v>117</v>
      </c>
    </row>
    <row r="4183" spans="1:14" ht="14.25" customHeight="1">
      <c r="A4183" s="17">
        <v>14182</v>
      </c>
      <c r="B4183" s="18">
        <v>45628</v>
      </c>
      <c r="C4183" s="17" t="s">
        <v>45</v>
      </c>
      <c r="D4183" s="17" t="s">
        <v>170</v>
      </c>
      <c r="E4183" s="17" t="s">
        <v>162</v>
      </c>
      <c r="F4183" s="17" t="s">
        <v>166</v>
      </c>
      <c r="G4183" s="17">
        <v>4</v>
      </c>
      <c r="H4183" s="17">
        <v>74126</v>
      </c>
      <c r="I4183" s="17">
        <v>296504</v>
      </c>
      <c r="J4183" s="17">
        <v>263</v>
      </c>
      <c r="K4183" s="17">
        <v>296241</v>
      </c>
      <c r="L4183" s="17">
        <v>55640.966339999999</v>
      </c>
      <c r="M4183" s="17">
        <v>2024</v>
      </c>
      <c r="N4183" s="17" t="s">
        <v>169</v>
      </c>
    </row>
    <row r="4184" spans="1:14" ht="14.25" customHeight="1">
      <c r="A4184" s="17">
        <v>14183</v>
      </c>
      <c r="B4184" s="18">
        <v>45866</v>
      </c>
      <c r="C4184" s="17" t="s">
        <v>50</v>
      </c>
      <c r="D4184" s="17" t="s">
        <v>170</v>
      </c>
      <c r="E4184" s="17" t="s">
        <v>165</v>
      </c>
      <c r="F4184" s="17" t="s">
        <v>163</v>
      </c>
      <c r="G4184" s="17">
        <v>5</v>
      </c>
      <c r="H4184" s="17">
        <v>17973</v>
      </c>
      <c r="I4184" s="17">
        <v>89865</v>
      </c>
      <c r="J4184" s="17">
        <v>3852</v>
      </c>
      <c r="K4184" s="17">
        <v>86013</v>
      </c>
      <c r="L4184" s="17">
        <v>21474.987710000001</v>
      </c>
      <c r="M4184" s="17">
        <v>2025</v>
      </c>
      <c r="N4184" s="17" t="s">
        <v>123</v>
      </c>
    </row>
    <row r="4185" spans="1:14" ht="14.25" customHeight="1">
      <c r="A4185" s="17">
        <v>14184</v>
      </c>
      <c r="B4185" s="18">
        <v>45852</v>
      </c>
      <c r="C4185" s="17" t="s">
        <v>45</v>
      </c>
      <c r="D4185" s="17" t="s">
        <v>111</v>
      </c>
      <c r="E4185" s="17" t="s">
        <v>162</v>
      </c>
      <c r="F4185" s="17" t="s">
        <v>163</v>
      </c>
      <c r="G4185" s="17">
        <v>5</v>
      </c>
      <c r="H4185" s="17">
        <v>53087</v>
      </c>
      <c r="I4185" s="17">
        <v>265435</v>
      </c>
      <c r="J4185" s="17">
        <v>20</v>
      </c>
      <c r="K4185" s="17">
        <v>265415</v>
      </c>
      <c r="L4185" s="17">
        <v>33464.567880000002</v>
      </c>
      <c r="M4185" s="17">
        <v>2025</v>
      </c>
      <c r="N4185" s="17" t="s">
        <v>123</v>
      </c>
    </row>
    <row r="4186" spans="1:14" ht="14.25" customHeight="1">
      <c r="A4186" s="17">
        <v>14185</v>
      </c>
      <c r="B4186" s="18">
        <v>45367</v>
      </c>
      <c r="C4186" s="17" t="s">
        <v>39</v>
      </c>
      <c r="D4186" s="17" t="s">
        <v>83</v>
      </c>
      <c r="E4186" s="17" t="s">
        <v>168</v>
      </c>
      <c r="F4186" s="17" t="s">
        <v>163</v>
      </c>
      <c r="G4186" s="17">
        <v>4</v>
      </c>
      <c r="H4186" s="17">
        <v>62711</v>
      </c>
      <c r="I4186" s="17">
        <v>250844</v>
      </c>
      <c r="J4186" s="17">
        <v>2524</v>
      </c>
      <c r="K4186" s="17">
        <v>248320</v>
      </c>
      <c r="L4186" s="17">
        <v>34556.943200000002</v>
      </c>
      <c r="M4186" s="17">
        <v>2024</v>
      </c>
      <c r="N4186" s="17" t="s">
        <v>112</v>
      </c>
    </row>
    <row r="4187" spans="1:14" ht="14.25" customHeight="1">
      <c r="A4187" s="17">
        <v>14186</v>
      </c>
      <c r="B4187" s="18">
        <v>45466</v>
      </c>
      <c r="C4187" s="17" t="s">
        <v>45</v>
      </c>
      <c r="D4187" s="17" t="s">
        <v>170</v>
      </c>
      <c r="E4187" s="17" t="s">
        <v>165</v>
      </c>
      <c r="F4187" s="17" t="s">
        <v>166</v>
      </c>
      <c r="G4187" s="17">
        <v>4</v>
      </c>
      <c r="H4187" s="17">
        <v>32281</v>
      </c>
      <c r="I4187" s="17">
        <v>129124</v>
      </c>
      <c r="J4187" s="17">
        <v>4644</v>
      </c>
      <c r="K4187" s="17">
        <v>124480</v>
      </c>
      <c r="L4187" s="17">
        <v>29223.422480000001</v>
      </c>
      <c r="M4187" s="17">
        <v>2024</v>
      </c>
      <c r="N4187" s="17" t="s">
        <v>120</v>
      </c>
    </row>
    <row r="4188" spans="1:14" ht="14.25" customHeight="1">
      <c r="A4188" s="17">
        <v>14187</v>
      </c>
      <c r="B4188" s="18">
        <v>45400</v>
      </c>
      <c r="C4188" s="17" t="s">
        <v>45</v>
      </c>
      <c r="D4188" s="17" t="s">
        <v>111</v>
      </c>
      <c r="E4188" s="17" t="s">
        <v>165</v>
      </c>
      <c r="F4188" s="17" t="s">
        <v>166</v>
      </c>
      <c r="G4188" s="17">
        <v>5</v>
      </c>
      <c r="H4188" s="17">
        <v>21549</v>
      </c>
      <c r="I4188" s="17">
        <v>107745</v>
      </c>
      <c r="J4188" s="17">
        <v>1196</v>
      </c>
      <c r="K4188" s="17">
        <v>106549</v>
      </c>
      <c r="L4188" s="17">
        <v>20664.43059</v>
      </c>
      <c r="M4188" s="17">
        <v>2024</v>
      </c>
      <c r="N4188" s="17" t="s">
        <v>114</v>
      </c>
    </row>
    <row r="4189" spans="1:14" ht="14.25" customHeight="1">
      <c r="A4189" s="17">
        <v>14188</v>
      </c>
      <c r="B4189" s="18">
        <v>45474</v>
      </c>
      <c r="C4189" s="17" t="s">
        <v>45</v>
      </c>
      <c r="D4189" s="17" t="s">
        <v>111</v>
      </c>
      <c r="E4189" s="17" t="s">
        <v>168</v>
      </c>
      <c r="F4189" s="17" t="s">
        <v>164</v>
      </c>
      <c r="G4189" s="17">
        <v>6</v>
      </c>
      <c r="H4189" s="17">
        <v>66426</v>
      </c>
      <c r="I4189" s="17">
        <v>398556</v>
      </c>
      <c r="J4189" s="17">
        <v>3133</v>
      </c>
      <c r="K4189" s="17">
        <v>395423</v>
      </c>
      <c r="L4189" s="17">
        <v>68756.030570000003</v>
      </c>
      <c r="M4189" s="17">
        <v>2024</v>
      </c>
      <c r="N4189" s="17" t="s">
        <v>123</v>
      </c>
    </row>
    <row r="4190" spans="1:14" ht="14.25" customHeight="1">
      <c r="A4190" s="17">
        <v>14189</v>
      </c>
      <c r="B4190" s="18">
        <v>45483</v>
      </c>
      <c r="C4190" s="17" t="s">
        <v>45</v>
      </c>
      <c r="D4190" s="17" t="s">
        <v>111</v>
      </c>
      <c r="E4190" s="17" t="s">
        <v>168</v>
      </c>
      <c r="F4190" s="17" t="s">
        <v>163</v>
      </c>
      <c r="G4190" s="17">
        <v>7</v>
      </c>
      <c r="H4190" s="17">
        <v>32623</v>
      </c>
      <c r="I4190" s="17">
        <v>228361</v>
      </c>
      <c r="J4190" s="17">
        <v>205</v>
      </c>
      <c r="K4190" s="17">
        <v>228156</v>
      </c>
      <c r="L4190" s="17">
        <v>42073.281629999998</v>
      </c>
      <c r="M4190" s="17">
        <v>2024</v>
      </c>
      <c r="N4190" s="17" t="s">
        <v>123</v>
      </c>
    </row>
    <row r="4191" spans="1:14" ht="14.25" customHeight="1">
      <c r="A4191" s="17">
        <v>14190</v>
      </c>
      <c r="B4191" s="18">
        <v>45356</v>
      </c>
      <c r="C4191" s="17" t="s">
        <v>39</v>
      </c>
      <c r="D4191" s="17" t="s">
        <v>89</v>
      </c>
      <c r="E4191" s="17" t="s">
        <v>165</v>
      </c>
      <c r="F4191" s="17" t="s">
        <v>166</v>
      </c>
      <c r="G4191" s="17">
        <v>6</v>
      </c>
      <c r="H4191" s="17">
        <v>9697</v>
      </c>
      <c r="I4191" s="17">
        <v>58182</v>
      </c>
      <c r="J4191" s="17">
        <v>1636</v>
      </c>
      <c r="K4191" s="17">
        <v>56546</v>
      </c>
      <c r="L4191" s="17">
        <v>8160.9619640000001</v>
      </c>
      <c r="M4191" s="17">
        <v>2024</v>
      </c>
      <c r="N4191" s="17" t="s">
        <v>112</v>
      </c>
    </row>
    <row r="4192" spans="1:14" ht="14.25" customHeight="1">
      <c r="A4192" s="17">
        <v>14191</v>
      </c>
      <c r="B4192" s="18">
        <v>45765</v>
      </c>
      <c r="C4192" s="17" t="s">
        <v>167</v>
      </c>
      <c r="D4192" s="17" t="s">
        <v>89</v>
      </c>
      <c r="E4192" s="17" t="s">
        <v>165</v>
      </c>
      <c r="F4192" s="17" t="s">
        <v>164</v>
      </c>
      <c r="G4192" s="17">
        <v>1</v>
      </c>
      <c r="H4192" s="17">
        <v>20730</v>
      </c>
      <c r="I4192" s="17">
        <v>20730</v>
      </c>
      <c r="J4192" s="17">
        <v>630</v>
      </c>
      <c r="K4192" s="17">
        <v>20100</v>
      </c>
      <c r="L4192" s="17">
        <v>4588.7951730000004</v>
      </c>
      <c r="M4192" s="17">
        <v>2025</v>
      </c>
      <c r="N4192" s="17" t="s">
        <v>114</v>
      </c>
    </row>
    <row r="4193" spans="1:14" ht="14.25" customHeight="1">
      <c r="A4193" s="17">
        <v>14192</v>
      </c>
      <c r="B4193" s="18">
        <v>45391</v>
      </c>
      <c r="C4193" s="17" t="s">
        <v>58</v>
      </c>
      <c r="D4193" s="17" t="s">
        <v>111</v>
      </c>
      <c r="E4193" s="17" t="s">
        <v>162</v>
      </c>
      <c r="F4193" s="17" t="s">
        <v>163</v>
      </c>
      <c r="G4193" s="17">
        <v>2</v>
      </c>
      <c r="H4193" s="17">
        <v>33245</v>
      </c>
      <c r="I4193" s="17">
        <v>66490</v>
      </c>
      <c r="J4193" s="17">
        <v>2226</v>
      </c>
      <c r="K4193" s="17">
        <v>64264</v>
      </c>
      <c r="L4193" s="17">
        <v>13610.495290000001</v>
      </c>
      <c r="M4193" s="17">
        <v>2024</v>
      </c>
      <c r="N4193" s="17" t="s">
        <v>114</v>
      </c>
    </row>
    <row r="4194" spans="1:14" ht="14.25" customHeight="1">
      <c r="A4194" s="17">
        <v>14193</v>
      </c>
      <c r="B4194" s="18">
        <v>45835</v>
      </c>
      <c r="C4194" s="17" t="s">
        <v>50</v>
      </c>
      <c r="D4194" s="17" t="s">
        <v>170</v>
      </c>
      <c r="E4194" s="17" t="s">
        <v>162</v>
      </c>
      <c r="F4194" s="17" t="s">
        <v>166</v>
      </c>
      <c r="G4194" s="17">
        <v>7</v>
      </c>
      <c r="H4194" s="17">
        <v>49134</v>
      </c>
      <c r="I4194" s="17">
        <v>343938</v>
      </c>
      <c r="J4194" s="17">
        <v>2389</v>
      </c>
      <c r="K4194" s="17">
        <v>341549</v>
      </c>
      <c r="L4194" s="17">
        <v>67069.965119999993</v>
      </c>
      <c r="M4194" s="17">
        <v>2025</v>
      </c>
      <c r="N4194" s="17" t="s">
        <v>120</v>
      </c>
    </row>
    <row r="4195" spans="1:14" ht="14.25" customHeight="1">
      <c r="A4195" s="17">
        <v>14194</v>
      </c>
      <c r="B4195" s="18">
        <v>45419</v>
      </c>
      <c r="C4195" s="17" t="s">
        <v>58</v>
      </c>
      <c r="D4195" s="17" t="s">
        <v>83</v>
      </c>
      <c r="E4195" s="17" t="s">
        <v>165</v>
      </c>
      <c r="F4195" s="17" t="s">
        <v>166</v>
      </c>
      <c r="G4195" s="17">
        <v>3</v>
      </c>
      <c r="H4195" s="17">
        <v>36313</v>
      </c>
      <c r="I4195" s="17">
        <v>108939</v>
      </c>
      <c r="J4195" s="17">
        <v>4535</v>
      </c>
      <c r="K4195" s="17">
        <v>104404</v>
      </c>
      <c r="L4195" s="17">
        <v>25032.048129999999</v>
      </c>
      <c r="M4195" s="17">
        <v>2024</v>
      </c>
      <c r="N4195" s="17" t="s">
        <v>117</v>
      </c>
    </row>
    <row r="4196" spans="1:14" ht="14.25" customHeight="1">
      <c r="A4196" s="17">
        <v>14195</v>
      </c>
      <c r="B4196" s="18">
        <v>45743</v>
      </c>
      <c r="C4196" s="17" t="s">
        <v>58</v>
      </c>
      <c r="D4196" s="17" t="s">
        <v>86</v>
      </c>
      <c r="E4196" s="17" t="s">
        <v>162</v>
      </c>
      <c r="F4196" s="17" t="s">
        <v>166</v>
      </c>
      <c r="G4196" s="17">
        <v>2</v>
      </c>
      <c r="H4196" s="17">
        <v>70573</v>
      </c>
      <c r="I4196" s="17">
        <v>141146</v>
      </c>
      <c r="J4196" s="17">
        <v>1098</v>
      </c>
      <c r="K4196" s="17">
        <v>140048</v>
      </c>
      <c r="L4196" s="17">
        <v>26149.29047</v>
      </c>
      <c r="M4196" s="17">
        <v>2025</v>
      </c>
      <c r="N4196" s="17" t="s">
        <v>112</v>
      </c>
    </row>
    <row r="4197" spans="1:14" ht="14.25" customHeight="1">
      <c r="A4197" s="17">
        <v>14196</v>
      </c>
      <c r="B4197" s="18">
        <v>45660</v>
      </c>
      <c r="C4197" s="17" t="s">
        <v>50</v>
      </c>
      <c r="D4197" s="17" t="s">
        <v>89</v>
      </c>
      <c r="E4197" s="17" t="s">
        <v>168</v>
      </c>
      <c r="F4197" s="17" t="s">
        <v>172</v>
      </c>
      <c r="G4197" s="17">
        <v>6</v>
      </c>
      <c r="H4197" s="17">
        <v>58595</v>
      </c>
      <c r="I4197" s="17">
        <v>351570</v>
      </c>
      <c r="J4197" s="17">
        <v>289</v>
      </c>
      <c r="K4197" s="17">
        <v>351281</v>
      </c>
      <c r="L4197" s="17">
        <v>62100.005389999998</v>
      </c>
      <c r="M4197" s="17">
        <v>2025</v>
      </c>
      <c r="N4197" s="17" t="s">
        <v>171</v>
      </c>
    </row>
    <row r="4198" spans="1:14" ht="14.25" customHeight="1">
      <c r="A4198" s="17">
        <v>14197</v>
      </c>
      <c r="B4198" s="18">
        <v>45334</v>
      </c>
      <c r="C4198" s="17" t="s">
        <v>39</v>
      </c>
      <c r="D4198" s="17" t="s">
        <v>170</v>
      </c>
      <c r="E4198" s="17" t="s">
        <v>162</v>
      </c>
      <c r="F4198" s="17" t="s">
        <v>164</v>
      </c>
      <c r="G4198" s="17">
        <v>4</v>
      </c>
      <c r="H4198" s="17">
        <v>34908</v>
      </c>
      <c r="I4198" s="17">
        <v>139632</v>
      </c>
      <c r="J4198" s="17">
        <v>2604</v>
      </c>
      <c r="K4198" s="17">
        <v>137028</v>
      </c>
      <c r="L4198" s="17">
        <v>33757.39733</v>
      </c>
      <c r="M4198" s="17">
        <v>2024</v>
      </c>
      <c r="N4198" s="17" t="s">
        <v>175</v>
      </c>
    </row>
    <row r="4199" spans="1:14" ht="14.25" customHeight="1">
      <c r="A4199" s="17">
        <v>14198</v>
      </c>
      <c r="B4199" s="18">
        <v>45710</v>
      </c>
      <c r="C4199" s="17" t="s">
        <v>50</v>
      </c>
      <c r="D4199" s="17" t="s">
        <v>170</v>
      </c>
      <c r="E4199" s="17" t="s">
        <v>162</v>
      </c>
      <c r="F4199" s="17" t="s">
        <v>166</v>
      </c>
      <c r="G4199" s="17">
        <v>5</v>
      </c>
      <c r="H4199" s="17">
        <v>72557</v>
      </c>
      <c r="I4199" s="17">
        <v>362785</v>
      </c>
      <c r="J4199" s="17">
        <v>207</v>
      </c>
      <c r="K4199" s="17">
        <v>362578</v>
      </c>
      <c r="L4199" s="17">
        <v>47462.227769999998</v>
      </c>
      <c r="M4199" s="17">
        <v>2025</v>
      </c>
      <c r="N4199" s="17" t="s">
        <v>175</v>
      </c>
    </row>
    <row r="4200" spans="1:14" ht="14.25" customHeight="1">
      <c r="A4200" s="17">
        <v>14199</v>
      </c>
      <c r="B4200" s="18">
        <v>45779</v>
      </c>
      <c r="C4200" s="17" t="s">
        <v>39</v>
      </c>
      <c r="D4200" s="17" t="s">
        <v>86</v>
      </c>
      <c r="E4200" s="17" t="s">
        <v>165</v>
      </c>
      <c r="F4200" s="17" t="s">
        <v>172</v>
      </c>
      <c r="G4200" s="17">
        <v>6</v>
      </c>
      <c r="H4200" s="17">
        <v>44648</v>
      </c>
      <c r="I4200" s="17">
        <v>267888</v>
      </c>
      <c r="J4200" s="17">
        <v>3814</v>
      </c>
      <c r="K4200" s="17">
        <v>264074</v>
      </c>
      <c r="L4200" s="17">
        <v>32030.915509999999</v>
      </c>
      <c r="M4200" s="17">
        <v>2025</v>
      </c>
      <c r="N4200" s="17" t="s">
        <v>117</v>
      </c>
    </row>
    <row r="4201" spans="1:14" ht="14.25" customHeight="1">
      <c r="A4201" s="17">
        <v>14200</v>
      </c>
      <c r="B4201" s="18">
        <v>45369</v>
      </c>
      <c r="C4201" s="17" t="s">
        <v>58</v>
      </c>
      <c r="D4201" s="17" t="s">
        <v>86</v>
      </c>
      <c r="E4201" s="17" t="s">
        <v>162</v>
      </c>
      <c r="F4201" s="17" t="s">
        <v>164</v>
      </c>
      <c r="G4201" s="17">
        <v>3</v>
      </c>
      <c r="H4201" s="17">
        <v>42289</v>
      </c>
      <c r="I4201" s="17">
        <v>126867</v>
      </c>
      <c r="J4201" s="17">
        <v>271</v>
      </c>
      <c r="K4201" s="17">
        <v>126596</v>
      </c>
      <c r="L4201" s="17">
        <v>15741.25432</v>
      </c>
      <c r="M4201" s="17">
        <v>2024</v>
      </c>
      <c r="N4201" s="17" t="s">
        <v>112</v>
      </c>
    </row>
    <row r="4202" spans="1:14" ht="14.25" customHeight="1">
      <c r="A4202" s="17">
        <v>14201</v>
      </c>
      <c r="B4202" s="18">
        <v>45561</v>
      </c>
      <c r="C4202" s="17" t="s">
        <v>39</v>
      </c>
      <c r="D4202" s="17" t="s">
        <v>170</v>
      </c>
      <c r="E4202" s="17" t="s">
        <v>165</v>
      </c>
      <c r="F4202" s="17" t="s">
        <v>164</v>
      </c>
      <c r="G4202" s="17">
        <v>1</v>
      </c>
      <c r="H4202" s="17">
        <v>67710</v>
      </c>
      <c r="I4202" s="17">
        <v>67710</v>
      </c>
      <c r="J4202" s="17">
        <v>3678</v>
      </c>
      <c r="K4202" s="17">
        <v>64032</v>
      </c>
      <c r="L4202" s="17">
        <v>15906.5926</v>
      </c>
      <c r="M4202" s="17">
        <v>2024</v>
      </c>
      <c r="N4202" s="17" t="s">
        <v>129</v>
      </c>
    </row>
    <row r="4203" spans="1:14" ht="14.25" customHeight="1">
      <c r="A4203" s="17">
        <v>14202</v>
      </c>
      <c r="B4203" s="18">
        <v>45965</v>
      </c>
      <c r="C4203" s="17" t="s">
        <v>167</v>
      </c>
      <c r="D4203" s="17" t="s">
        <v>86</v>
      </c>
      <c r="E4203" s="17" t="s">
        <v>165</v>
      </c>
      <c r="F4203" s="17" t="s">
        <v>172</v>
      </c>
      <c r="G4203" s="17">
        <v>3</v>
      </c>
      <c r="H4203" s="17">
        <v>13839</v>
      </c>
      <c r="I4203" s="17">
        <v>41517</v>
      </c>
      <c r="J4203" s="17">
        <v>414</v>
      </c>
      <c r="K4203" s="17">
        <v>41103</v>
      </c>
      <c r="L4203" s="17">
        <v>8131.7212659999996</v>
      </c>
      <c r="M4203" s="17">
        <v>2025</v>
      </c>
      <c r="N4203" s="17" t="s">
        <v>173</v>
      </c>
    </row>
    <row r="4204" spans="1:14" ht="14.25" customHeight="1">
      <c r="A4204" s="17">
        <v>14203</v>
      </c>
      <c r="B4204" s="18">
        <v>45992</v>
      </c>
      <c r="C4204" s="17" t="s">
        <v>50</v>
      </c>
      <c r="D4204" s="17" t="s">
        <v>170</v>
      </c>
      <c r="E4204" s="17" t="s">
        <v>165</v>
      </c>
      <c r="F4204" s="17" t="s">
        <v>164</v>
      </c>
      <c r="G4204" s="17">
        <v>3</v>
      </c>
      <c r="H4204" s="17">
        <v>73838</v>
      </c>
      <c r="I4204" s="17">
        <v>221514</v>
      </c>
      <c r="J4204" s="17">
        <v>3468</v>
      </c>
      <c r="K4204" s="17">
        <v>218046</v>
      </c>
      <c r="L4204" s="17">
        <v>31810.38911</v>
      </c>
      <c r="M4204" s="17">
        <v>2025</v>
      </c>
      <c r="N4204" s="17" t="s">
        <v>169</v>
      </c>
    </row>
    <row r="4205" spans="1:14" ht="14.25" customHeight="1">
      <c r="A4205" s="17">
        <v>14204</v>
      </c>
      <c r="B4205" s="18">
        <v>46019</v>
      </c>
      <c r="C4205" s="17" t="s">
        <v>167</v>
      </c>
      <c r="D4205" s="17" t="s">
        <v>86</v>
      </c>
      <c r="E4205" s="17" t="s">
        <v>168</v>
      </c>
      <c r="F4205" s="17" t="s">
        <v>172</v>
      </c>
      <c r="G4205" s="17">
        <v>6</v>
      </c>
      <c r="H4205" s="17">
        <v>13511</v>
      </c>
      <c r="I4205" s="17">
        <v>81066</v>
      </c>
      <c r="J4205" s="17">
        <v>4479</v>
      </c>
      <c r="K4205" s="17">
        <v>76587</v>
      </c>
      <c r="L4205" s="17">
        <v>10518.96947</v>
      </c>
      <c r="M4205" s="17">
        <v>2025</v>
      </c>
      <c r="N4205" s="17" t="s">
        <v>169</v>
      </c>
    </row>
    <row r="4206" spans="1:14" ht="14.25" customHeight="1">
      <c r="A4206" s="17">
        <v>14205</v>
      </c>
      <c r="B4206" s="18">
        <v>45606</v>
      </c>
      <c r="C4206" s="17" t="s">
        <v>58</v>
      </c>
      <c r="D4206" s="17" t="s">
        <v>86</v>
      </c>
      <c r="E4206" s="17" t="s">
        <v>162</v>
      </c>
      <c r="F4206" s="17" t="s">
        <v>163</v>
      </c>
      <c r="G4206" s="17">
        <v>4</v>
      </c>
      <c r="H4206" s="17">
        <v>14948</v>
      </c>
      <c r="I4206" s="17">
        <v>59792</v>
      </c>
      <c r="J4206" s="17">
        <v>1284</v>
      </c>
      <c r="K4206" s="17">
        <v>58508</v>
      </c>
      <c r="L4206" s="17">
        <v>6347.8715940000002</v>
      </c>
      <c r="M4206" s="17">
        <v>2024</v>
      </c>
      <c r="N4206" s="17" t="s">
        <v>173</v>
      </c>
    </row>
    <row r="4207" spans="1:14" ht="14.25" customHeight="1">
      <c r="A4207" s="17">
        <v>14206</v>
      </c>
      <c r="B4207" s="18">
        <v>45459</v>
      </c>
      <c r="C4207" s="17" t="s">
        <v>50</v>
      </c>
      <c r="D4207" s="17" t="s">
        <v>170</v>
      </c>
      <c r="E4207" s="17" t="s">
        <v>162</v>
      </c>
      <c r="F4207" s="17" t="s">
        <v>166</v>
      </c>
      <c r="G4207" s="17">
        <v>7</v>
      </c>
      <c r="H4207" s="17">
        <v>49638</v>
      </c>
      <c r="I4207" s="17">
        <v>347466</v>
      </c>
      <c r="J4207" s="17">
        <v>4986</v>
      </c>
      <c r="K4207" s="17">
        <v>342480</v>
      </c>
      <c r="L4207" s="17">
        <v>41026.39817</v>
      </c>
      <c r="M4207" s="17">
        <v>2024</v>
      </c>
      <c r="N4207" s="17" t="s">
        <v>120</v>
      </c>
    </row>
    <row r="4208" spans="1:14" ht="14.25" customHeight="1">
      <c r="A4208" s="17">
        <v>14207</v>
      </c>
      <c r="B4208" s="18">
        <v>45630</v>
      </c>
      <c r="C4208" s="17" t="s">
        <v>58</v>
      </c>
      <c r="D4208" s="17" t="s">
        <v>111</v>
      </c>
      <c r="E4208" s="17" t="s">
        <v>162</v>
      </c>
      <c r="F4208" s="17" t="s">
        <v>172</v>
      </c>
      <c r="G4208" s="17">
        <v>2</v>
      </c>
      <c r="H4208" s="17">
        <v>10873</v>
      </c>
      <c r="I4208" s="17">
        <v>21746</v>
      </c>
      <c r="J4208" s="17">
        <v>1662</v>
      </c>
      <c r="K4208" s="17">
        <v>20084</v>
      </c>
      <c r="L4208" s="17">
        <v>4744.3607190000002</v>
      </c>
      <c r="M4208" s="17">
        <v>2024</v>
      </c>
      <c r="N4208" s="17" t="s">
        <v>169</v>
      </c>
    </row>
    <row r="4209" spans="1:14" ht="14.25" customHeight="1">
      <c r="A4209" s="17">
        <v>14208</v>
      </c>
      <c r="B4209" s="18">
        <v>45484</v>
      </c>
      <c r="C4209" s="17" t="s">
        <v>167</v>
      </c>
      <c r="D4209" s="17" t="s">
        <v>170</v>
      </c>
      <c r="E4209" s="17" t="s">
        <v>165</v>
      </c>
      <c r="F4209" s="17" t="s">
        <v>164</v>
      </c>
      <c r="G4209" s="17">
        <v>4</v>
      </c>
      <c r="H4209" s="17">
        <v>36461</v>
      </c>
      <c r="I4209" s="17">
        <v>145844</v>
      </c>
      <c r="J4209" s="17">
        <v>4014</v>
      </c>
      <c r="K4209" s="17">
        <v>141830</v>
      </c>
      <c r="L4209" s="17">
        <v>30082.307400000002</v>
      </c>
      <c r="M4209" s="17">
        <v>2024</v>
      </c>
      <c r="N4209" s="17" t="s">
        <v>123</v>
      </c>
    </row>
    <row r="4210" spans="1:14" ht="14.25" customHeight="1">
      <c r="A4210" s="17">
        <v>14209</v>
      </c>
      <c r="B4210" s="18">
        <v>45744</v>
      </c>
      <c r="C4210" s="17" t="s">
        <v>58</v>
      </c>
      <c r="D4210" s="17" t="s">
        <v>83</v>
      </c>
      <c r="E4210" s="17" t="s">
        <v>168</v>
      </c>
      <c r="F4210" s="17" t="s">
        <v>164</v>
      </c>
      <c r="G4210" s="17">
        <v>8</v>
      </c>
      <c r="H4210" s="17">
        <v>78034</v>
      </c>
      <c r="I4210" s="17">
        <v>624272</v>
      </c>
      <c r="J4210" s="17">
        <v>1041</v>
      </c>
      <c r="K4210" s="17">
        <v>623231</v>
      </c>
      <c r="L4210" s="17">
        <v>150344.4822</v>
      </c>
      <c r="M4210" s="17">
        <v>2025</v>
      </c>
      <c r="N4210" s="17" t="s">
        <v>112</v>
      </c>
    </row>
    <row r="4211" spans="1:14" ht="14.25" customHeight="1">
      <c r="A4211" s="17">
        <v>14210</v>
      </c>
      <c r="B4211" s="18">
        <v>45574</v>
      </c>
      <c r="C4211" s="17" t="s">
        <v>50</v>
      </c>
      <c r="D4211" s="17" t="s">
        <v>86</v>
      </c>
      <c r="E4211" s="17" t="s">
        <v>165</v>
      </c>
      <c r="F4211" s="17" t="s">
        <v>163</v>
      </c>
      <c r="G4211" s="17">
        <v>6</v>
      </c>
      <c r="H4211" s="17">
        <v>32091</v>
      </c>
      <c r="I4211" s="17">
        <v>192546</v>
      </c>
      <c r="J4211" s="17">
        <v>4090</v>
      </c>
      <c r="K4211" s="17">
        <v>188456</v>
      </c>
      <c r="L4211" s="17">
        <v>30823.795600000001</v>
      </c>
      <c r="M4211" s="17">
        <v>2024</v>
      </c>
      <c r="N4211" s="17" t="s">
        <v>174</v>
      </c>
    </row>
    <row r="4212" spans="1:14" ht="14.25" customHeight="1">
      <c r="A4212" s="17">
        <v>14211</v>
      </c>
      <c r="B4212" s="18">
        <v>45627</v>
      </c>
      <c r="C4212" s="17" t="s">
        <v>50</v>
      </c>
      <c r="D4212" s="17" t="s">
        <v>89</v>
      </c>
      <c r="E4212" s="17" t="s">
        <v>162</v>
      </c>
      <c r="F4212" s="17" t="s">
        <v>163</v>
      </c>
      <c r="G4212" s="17">
        <v>3</v>
      </c>
      <c r="H4212" s="17">
        <v>76171</v>
      </c>
      <c r="I4212" s="17">
        <v>228513</v>
      </c>
      <c r="J4212" s="17">
        <v>2294</v>
      </c>
      <c r="K4212" s="17">
        <v>226219</v>
      </c>
      <c r="L4212" s="17">
        <v>43023.593289999997</v>
      </c>
      <c r="M4212" s="17">
        <v>2024</v>
      </c>
      <c r="N4212" s="17" t="s">
        <v>169</v>
      </c>
    </row>
    <row r="4213" spans="1:14" ht="14.25" customHeight="1">
      <c r="A4213" s="17">
        <v>14212</v>
      </c>
      <c r="B4213" s="18">
        <v>45681</v>
      </c>
      <c r="C4213" s="17" t="s">
        <v>58</v>
      </c>
      <c r="D4213" s="17" t="s">
        <v>86</v>
      </c>
      <c r="E4213" s="17" t="s">
        <v>165</v>
      </c>
      <c r="F4213" s="17" t="s">
        <v>163</v>
      </c>
      <c r="G4213" s="17">
        <v>2</v>
      </c>
      <c r="H4213" s="17">
        <v>57999</v>
      </c>
      <c r="I4213" s="17">
        <v>115998</v>
      </c>
      <c r="J4213" s="17">
        <v>3713</v>
      </c>
      <c r="K4213" s="17">
        <v>112285</v>
      </c>
      <c r="L4213" s="17">
        <v>19374.8541</v>
      </c>
      <c r="M4213" s="17">
        <v>2025</v>
      </c>
      <c r="N4213" s="17" t="s">
        <v>171</v>
      </c>
    </row>
    <row r="4214" spans="1:14" ht="14.25" customHeight="1">
      <c r="A4214" s="17">
        <v>14213</v>
      </c>
      <c r="B4214" s="18">
        <v>45816</v>
      </c>
      <c r="C4214" s="17" t="s">
        <v>50</v>
      </c>
      <c r="D4214" s="17" t="s">
        <v>83</v>
      </c>
      <c r="E4214" s="17" t="s">
        <v>165</v>
      </c>
      <c r="F4214" s="17" t="s">
        <v>163</v>
      </c>
      <c r="G4214" s="17">
        <v>3</v>
      </c>
      <c r="H4214" s="17">
        <v>38532</v>
      </c>
      <c r="I4214" s="17">
        <v>115596</v>
      </c>
      <c r="J4214" s="17">
        <v>2461</v>
      </c>
      <c r="K4214" s="17">
        <v>113135</v>
      </c>
      <c r="L4214" s="17">
        <v>26270.83052</v>
      </c>
      <c r="M4214" s="17">
        <v>2025</v>
      </c>
      <c r="N4214" s="17" t="s">
        <v>120</v>
      </c>
    </row>
    <row r="4215" spans="1:14" ht="14.25" customHeight="1">
      <c r="A4215" s="17">
        <v>14214</v>
      </c>
      <c r="B4215" s="18">
        <v>45531</v>
      </c>
      <c r="C4215" s="17" t="s">
        <v>50</v>
      </c>
      <c r="D4215" s="17" t="s">
        <v>89</v>
      </c>
      <c r="E4215" s="17" t="s">
        <v>162</v>
      </c>
      <c r="F4215" s="17" t="s">
        <v>163</v>
      </c>
      <c r="G4215" s="17">
        <v>1</v>
      </c>
      <c r="H4215" s="17">
        <v>27690</v>
      </c>
      <c r="I4215" s="17">
        <v>27690</v>
      </c>
      <c r="J4215" s="17">
        <v>1343</v>
      </c>
      <c r="K4215" s="17">
        <v>26347</v>
      </c>
      <c r="L4215" s="17">
        <v>6552.6907869999995</v>
      </c>
      <c r="M4215" s="17">
        <v>2024</v>
      </c>
      <c r="N4215" s="17" t="s">
        <v>126</v>
      </c>
    </row>
    <row r="4216" spans="1:14" ht="14.25" customHeight="1">
      <c r="A4216" s="17">
        <v>14215</v>
      </c>
      <c r="B4216" s="18">
        <v>45774</v>
      </c>
      <c r="C4216" s="17" t="s">
        <v>58</v>
      </c>
      <c r="D4216" s="17" t="s">
        <v>89</v>
      </c>
      <c r="E4216" s="17" t="s">
        <v>165</v>
      </c>
      <c r="F4216" s="17" t="s">
        <v>166</v>
      </c>
      <c r="G4216" s="17">
        <v>1</v>
      </c>
      <c r="H4216" s="17">
        <v>22036</v>
      </c>
      <c r="I4216" s="17">
        <v>22036</v>
      </c>
      <c r="J4216" s="17">
        <v>2762</v>
      </c>
      <c r="K4216" s="17">
        <v>19274</v>
      </c>
      <c r="L4216" s="17">
        <v>4624.1464029999997</v>
      </c>
      <c r="M4216" s="17">
        <v>2025</v>
      </c>
      <c r="N4216" s="17" t="s">
        <v>114</v>
      </c>
    </row>
    <row r="4217" spans="1:14" ht="14.25" customHeight="1">
      <c r="A4217" s="17">
        <v>14216</v>
      </c>
      <c r="B4217" s="18">
        <v>45950</v>
      </c>
      <c r="C4217" s="17" t="s">
        <v>167</v>
      </c>
      <c r="D4217" s="17" t="s">
        <v>170</v>
      </c>
      <c r="E4217" s="17" t="s">
        <v>165</v>
      </c>
      <c r="F4217" s="17" t="s">
        <v>172</v>
      </c>
      <c r="G4217" s="17">
        <v>2</v>
      </c>
      <c r="H4217" s="17">
        <v>50040</v>
      </c>
      <c r="I4217" s="17">
        <v>100080</v>
      </c>
      <c r="J4217" s="17">
        <v>2228</v>
      </c>
      <c r="K4217" s="17">
        <v>97852</v>
      </c>
      <c r="L4217" s="17">
        <v>18563.344120000002</v>
      </c>
      <c r="M4217" s="17">
        <v>2025</v>
      </c>
      <c r="N4217" s="17" t="s">
        <v>174</v>
      </c>
    </row>
    <row r="4218" spans="1:14" ht="14.25" customHeight="1">
      <c r="A4218" s="17">
        <v>14217</v>
      </c>
      <c r="B4218" s="18">
        <v>46007</v>
      </c>
      <c r="C4218" s="17" t="s">
        <v>50</v>
      </c>
      <c r="D4218" s="17" t="s">
        <v>111</v>
      </c>
      <c r="E4218" s="17" t="s">
        <v>168</v>
      </c>
      <c r="F4218" s="17" t="s">
        <v>163</v>
      </c>
      <c r="G4218" s="17">
        <v>3</v>
      </c>
      <c r="H4218" s="17">
        <v>61196</v>
      </c>
      <c r="I4218" s="17">
        <v>183588</v>
      </c>
      <c r="J4218" s="17">
        <v>3367</v>
      </c>
      <c r="K4218" s="17">
        <v>180221</v>
      </c>
      <c r="L4218" s="17">
        <v>19692.80212</v>
      </c>
      <c r="M4218" s="17">
        <v>2025</v>
      </c>
      <c r="N4218" s="17" t="s">
        <v>169</v>
      </c>
    </row>
    <row r="4219" spans="1:14" ht="14.25" customHeight="1">
      <c r="A4219" s="17">
        <v>14218</v>
      </c>
      <c r="B4219" s="18">
        <v>45883</v>
      </c>
      <c r="C4219" s="17" t="s">
        <v>50</v>
      </c>
      <c r="D4219" s="17" t="s">
        <v>170</v>
      </c>
      <c r="E4219" s="17" t="s">
        <v>165</v>
      </c>
      <c r="F4219" s="17" t="s">
        <v>163</v>
      </c>
      <c r="G4219" s="17">
        <v>9</v>
      </c>
      <c r="H4219" s="17">
        <v>52911</v>
      </c>
      <c r="I4219" s="17">
        <v>476199</v>
      </c>
      <c r="J4219" s="17">
        <v>943</v>
      </c>
      <c r="K4219" s="17">
        <v>475256</v>
      </c>
      <c r="L4219" s="17">
        <v>91548.084199999998</v>
      </c>
      <c r="M4219" s="17">
        <v>2025</v>
      </c>
      <c r="N4219" s="17" t="s">
        <v>126</v>
      </c>
    </row>
    <row r="4220" spans="1:14" ht="14.25" customHeight="1">
      <c r="A4220" s="17">
        <v>14219</v>
      </c>
      <c r="B4220" s="18">
        <v>45846</v>
      </c>
      <c r="C4220" s="17" t="s">
        <v>50</v>
      </c>
      <c r="D4220" s="17" t="s">
        <v>89</v>
      </c>
      <c r="E4220" s="17" t="s">
        <v>168</v>
      </c>
      <c r="F4220" s="17" t="s">
        <v>166</v>
      </c>
      <c r="G4220" s="17">
        <v>8</v>
      </c>
      <c r="H4220" s="17">
        <v>49562</v>
      </c>
      <c r="I4220" s="17">
        <v>396496</v>
      </c>
      <c r="J4220" s="17">
        <v>4988</v>
      </c>
      <c r="K4220" s="17">
        <v>391508</v>
      </c>
      <c r="L4220" s="17">
        <v>44850.026290000002</v>
      </c>
      <c r="M4220" s="17">
        <v>2025</v>
      </c>
      <c r="N4220" s="17" t="s">
        <v>123</v>
      </c>
    </row>
    <row r="4221" spans="1:14" ht="14.25" customHeight="1">
      <c r="A4221" s="17">
        <v>14220</v>
      </c>
      <c r="B4221" s="18">
        <v>45749</v>
      </c>
      <c r="C4221" s="17" t="s">
        <v>50</v>
      </c>
      <c r="D4221" s="17" t="s">
        <v>89</v>
      </c>
      <c r="E4221" s="17" t="s">
        <v>162</v>
      </c>
      <c r="F4221" s="17" t="s">
        <v>172</v>
      </c>
      <c r="G4221" s="17">
        <v>9</v>
      </c>
      <c r="H4221" s="17">
        <v>15321</v>
      </c>
      <c r="I4221" s="17">
        <v>137889</v>
      </c>
      <c r="J4221" s="17">
        <v>4156</v>
      </c>
      <c r="K4221" s="17">
        <v>133733</v>
      </c>
      <c r="L4221" s="17">
        <v>16158.051820000001</v>
      </c>
      <c r="M4221" s="17">
        <v>2025</v>
      </c>
      <c r="N4221" s="17" t="s">
        <v>114</v>
      </c>
    </row>
    <row r="4222" spans="1:14" ht="14.25" customHeight="1">
      <c r="A4222" s="17">
        <v>14221</v>
      </c>
      <c r="B4222" s="18">
        <v>45380</v>
      </c>
      <c r="C4222" s="17" t="s">
        <v>58</v>
      </c>
      <c r="D4222" s="17" t="s">
        <v>111</v>
      </c>
      <c r="E4222" s="17" t="s">
        <v>168</v>
      </c>
      <c r="F4222" s="17" t="s">
        <v>163</v>
      </c>
      <c r="G4222" s="17">
        <v>7</v>
      </c>
      <c r="H4222" s="17">
        <v>34152</v>
      </c>
      <c r="I4222" s="17">
        <v>239064</v>
      </c>
      <c r="J4222" s="17">
        <v>4059</v>
      </c>
      <c r="K4222" s="17">
        <v>235005</v>
      </c>
      <c r="L4222" s="17">
        <v>30245.544119999999</v>
      </c>
      <c r="M4222" s="17">
        <v>2024</v>
      </c>
      <c r="N4222" s="17" t="s">
        <v>112</v>
      </c>
    </row>
    <row r="4223" spans="1:14" ht="14.25" customHeight="1">
      <c r="A4223" s="17">
        <v>14222</v>
      </c>
      <c r="B4223" s="18">
        <v>45951</v>
      </c>
      <c r="C4223" s="17" t="s">
        <v>167</v>
      </c>
      <c r="D4223" s="17" t="s">
        <v>86</v>
      </c>
      <c r="E4223" s="17" t="s">
        <v>165</v>
      </c>
      <c r="F4223" s="17" t="s">
        <v>172</v>
      </c>
      <c r="G4223" s="17">
        <v>7</v>
      </c>
      <c r="H4223" s="17">
        <v>59911</v>
      </c>
      <c r="I4223" s="17">
        <v>419377</v>
      </c>
      <c r="J4223" s="17">
        <v>165</v>
      </c>
      <c r="K4223" s="17">
        <v>419212</v>
      </c>
      <c r="L4223" s="17">
        <v>64778.320599999999</v>
      </c>
      <c r="M4223" s="17">
        <v>2025</v>
      </c>
      <c r="N4223" s="17" t="s">
        <v>174</v>
      </c>
    </row>
    <row r="4224" spans="1:14" ht="14.25" customHeight="1">
      <c r="A4224" s="17">
        <v>14223</v>
      </c>
      <c r="B4224" s="18">
        <v>45386</v>
      </c>
      <c r="C4224" s="17" t="s">
        <v>167</v>
      </c>
      <c r="D4224" s="17" t="s">
        <v>111</v>
      </c>
      <c r="E4224" s="17" t="s">
        <v>162</v>
      </c>
      <c r="F4224" s="17" t="s">
        <v>172</v>
      </c>
      <c r="G4224" s="17">
        <v>5</v>
      </c>
      <c r="H4224" s="17">
        <v>5145</v>
      </c>
      <c r="I4224" s="17">
        <v>25725</v>
      </c>
      <c r="J4224" s="17">
        <v>1905</v>
      </c>
      <c r="K4224" s="17">
        <v>23820</v>
      </c>
      <c r="L4224" s="17">
        <v>4496.4531059999999</v>
      </c>
      <c r="M4224" s="17">
        <v>2024</v>
      </c>
      <c r="N4224" s="17" t="s">
        <v>114</v>
      </c>
    </row>
    <row r="4225" spans="1:14" ht="14.25" customHeight="1">
      <c r="A4225" s="17">
        <v>14224</v>
      </c>
      <c r="B4225" s="18">
        <v>45743</v>
      </c>
      <c r="C4225" s="17" t="s">
        <v>39</v>
      </c>
      <c r="D4225" s="17" t="s">
        <v>170</v>
      </c>
      <c r="E4225" s="17" t="s">
        <v>165</v>
      </c>
      <c r="F4225" s="17" t="s">
        <v>166</v>
      </c>
      <c r="G4225" s="17">
        <v>7</v>
      </c>
      <c r="H4225" s="17">
        <v>75637</v>
      </c>
      <c r="I4225" s="17">
        <v>529459</v>
      </c>
      <c r="J4225" s="17">
        <v>3056</v>
      </c>
      <c r="K4225" s="17">
        <v>526403</v>
      </c>
      <c r="L4225" s="17">
        <v>78977.848209999996</v>
      </c>
      <c r="M4225" s="17">
        <v>2025</v>
      </c>
      <c r="N4225" s="17" t="s">
        <v>112</v>
      </c>
    </row>
    <row r="4226" spans="1:14" ht="14.25" customHeight="1">
      <c r="A4226" s="17">
        <v>14225</v>
      </c>
      <c r="B4226" s="18">
        <v>45719</v>
      </c>
      <c r="C4226" s="17" t="s">
        <v>50</v>
      </c>
      <c r="D4226" s="17" t="s">
        <v>86</v>
      </c>
      <c r="E4226" s="17" t="s">
        <v>165</v>
      </c>
      <c r="F4226" s="17" t="s">
        <v>166</v>
      </c>
      <c r="G4226" s="17">
        <v>4</v>
      </c>
      <c r="H4226" s="17">
        <v>9247</v>
      </c>
      <c r="I4226" s="17">
        <v>36988</v>
      </c>
      <c r="J4226" s="17">
        <v>1323</v>
      </c>
      <c r="K4226" s="17">
        <v>35665</v>
      </c>
      <c r="L4226" s="17">
        <v>5986.0159569999996</v>
      </c>
      <c r="M4226" s="17">
        <v>2025</v>
      </c>
      <c r="N4226" s="17" t="s">
        <v>112</v>
      </c>
    </row>
    <row r="4227" spans="1:14" ht="14.25" customHeight="1">
      <c r="A4227" s="17">
        <v>14226</v>
      </c>
      <c r="B4227" s="18">
        <v>45442</v>
      </c>
      <c r="C4227" s="17" t="s">
        <v>50</v>
      </c>
      <c r="D4227" s="17" t="s">
        <v>170</v>
      </c>
      <c r="E4227" s="17" t="s">
        <v>168</v>
      </c>
      <c r="F4227" s="17" t="s">
        <v>163</v>
      </c>
      <c r="G4227" s="17">
        <v>5</v>
      </c>
      <c r="H4227" s="17">
        <v>74724</v>
      </c>
      <c r="I4227" s="17">
        <v>373620</v>
      </c>
      <c r="J4227" s="17">
        <v>4750</v>
      </c>
      <c r="K4227" s="17">
        <v>368870</v>
      </c>
      <c r="L4227" s="17">
        <v>39503.525849999998</v>
      </c>
      <c r="M4227" s="17">
        <v>2024</v>
      </c>
      <c r="N4227" s="17" t="s">
        <v>117</v>
      </c>
    </row>
    <row r="4228" spans="1:14" ht="14.25" customHeight="1">
      <c r="A4228" s="17">
        <v>14227</v>
      </c>
      <c r="B4228" s="18">
        <v>45805</v>
      </c>
      <c r="C4228" s="17" t="s">
        <v>39</v>
      </c>
      <c r="D4228" s="17" t="s">
        <v>111</v>
      </c>
      <c r="E4228" s="17" t="s">
        <v>165</v>
      </c>
      <c r="F4228" s="17" t="s">
        <v>164</v>
      </c>
      <c r="G4228" s="17">
        <v>1</v>
      </c>
      <c r="H4228" s="17">
        <v>68289</v>
      </c>
      <c r="I4228" s="17">
        <v>68289</v>
      </c>
      <c r="J4228" s="17">
        <v>350</v>
      </c>
      <c r="K4228" s="17">
        <v>67939</v>
      </c>
      <c r="L4228" s="17">
        <v>13109.75878</v>
      </c>
      <c r="M4228" s="17">
        <v>2025</v>
      </c>
      <c r="N4228" s="17" t="s">
        <v>117</v>
      </c>
    </row>
    <row r="4229" spans="1:14" ht="14.25" customHeight="1">
      <c r="A4229" s="17">
        <v>14228</v>
      </c>
      <c r="B4229" s="18">
        <v>45667</v>
      </c>
      <c r="C4229" s="17" t="s">
        <v>167</v>
      </c>
      <c r="D4229" s="17" t="s">
        <v>86</v>
      </c>
      <c r="E4229" s="17" t="s">
        <v>168</v>
      </c>
      <c r="F4229" s="17" t="s">
        <v>166</v>
      </c>
      <c r="G4229" s="17">
        <v>4</v>
      </c>
      <c r="H4229" s="17">
        <v>48547</v>
      </c>
      <c r="I4229" s="17">
        <v>194188</v>
      </c>
      <c r="J4229" s="17">
        <v>2310</v>
      </c>
      <c r="K4229" s="17">
        <v>191878</v>
      </c>
      <c r="L4229" s="17">
        <v>38098.291169999997</v>
      </c>
      <c r="M4229" s="17">
        <v>2025</v>
      </c>
      <c r="N4229" s="17" t="s">
        <v>171</v>
      </c>
    </row>
    <row r="4230" spans="1:14" ht="14.25" customHeight="1">
      <c r="A4230" s="17">
        <v>14229</v>
      </c>
      <c r="B4230" s="18">
        <v>45313</v>
      </c>
      <c r="C4230" s="17" t="s">
        <v>45</v>
      </c>
      <c r="D4230" s="17" t="s">
        <v>111</v>
      </c>
      <c r="E4230" s="17" t="s">
        <v>162</v>
      </c>
      <c r="F4230" s="17" t="s">
        <v>172</v>
      </c>
      <c r="G4230" s="17">
        <v>3</v>
      </c>
      <c r="H4230" s="17">
        <v>7696</v>
      </c>
      <c r="I4230" s="17">
        <v>23088</v>
      </c>
      <c r="J4230" s="17">
        <v>3309</v>
      </c>
      <c r="K4230" s="17">
        <v>19779</v>
      </c>
      <c r="L4230" s="17">
        <v>2272.7756610000001</v>
      </c>
      <c r="M4230" s="17">
        <v>2024</v>
      </c>
      <c r="N4230" s="17" t="s">
        <v>171</v>
      </c>
    </row>
    <row r="4231" spans="1:14" ht="14.25" customHeight="1">
      <c r="A4231" s="17">
        <v>14230</v>
      </c>
      <c r="B4231" s="18">
        <v>45604</v>
      </c>
      <c r="C4231" s="17" t="s">
        <v>45</v>
      </c>
      <c r="D4231" s="17" t="s">
        <v>83</v>
      </c>
      <c r="E4231" s="17" t="s">
        <v>162</v>
      </c>
      <c r="F4231" s="17" t="s">
        <v>172</v>
      </c>
      <c r="G4231" s="17">
        <v>2</v>
      </c>
      <c r="H4231" s="17">
        <v>67041</v>
      </c>
      <c r="I4231" s="17">
        <v>134082</v>
      </c>
      <c r="J4231" s="17">
        <v>931</v>
      </c>
      <c r="K4231" s="17">
        <v>133151</v>
      </c>
      <c r="L4231" s="17">
        <v>28995.970170000001</v>
      </c>
      <c r="M4231" s="17">
        <v>2024</v>
      </c>
      <c r="N4231" s="17" t="s">
        <v>173</v>
      </c>
    </row>
    <row r="4232" spans="1:14" ht="14.25" customHeight="1">
      <c r="A4232" s="17">
        <v>14231</v>
      </c>
      <c r="B4232" s="18">
        <v>45810</v>
      </c>
      <c r="C4232" s="17" t="s">
        <v>167</v>
      </c>
      <c r="D4232" s="17" t="s">
        <v>89</v>
      </c>
      <c r="E4232" s="17" t="s">
        <v>165</v>
      </c>
      <c r="F4232" s="17" t="s">
        <v>163</v>
      </c>
      <c r="G4232" s="17">
        <v>2</v>
      </c>
      <c r="H4232" s="17">
        <v>24713</v>
      </c>
      <c r="I4232" s="17">
        <v>49426</v>
      </c>
      <c r="J4232" s="17">
        <v>3838</v>
      </c>
      <c r="K4232" s="17">
        <v>45588</v>
      </c>
      <c r="L4232" s="17">
        <v>8986.2579470000001</v>
      </c>
      <c r="M4232" s="17">
        <v>2025</v>
      </c>
      <c r="N4232" s="17" t="s">
        <v>120</v>
      </c>
    </row>
    <row r="4233" spans="1:14" ht="14.25" customHeight="1">
      <c r="A4233" s="17">
        <v>14232</v>
      </c>
      <c r="B4233" s="18">
        <v>45497</v>
      </c>
      <c r="C4233" s="17" t="s">
        <v>50</v>
      </c>
      <c r="D4233" s="17" t="s">
        <v>86</v>
      </c>
      <c r="E4233" s="17" t="s">
        <v>168</v>
      </c>
      <c r="F4233" s="17" t="s">
        <v>163</v>
      </c>
      <c r="G4233" s="17">
        <v>8</v>
      </c>
      <c r="H4233" s="17">
        <v>49549</v>
      </c>
      <c r="I4233" s="17">
        <v>396392</v>
      </c>
      <c r="J4233" s="17">
        <v>1113</v>
      </c>
      <c r="K4233" s="17">
        <v>395279</v>
      </c>
      <c r="L4233" s="17">
        <v>68564.863859999998</v>
      </c>
      <c r="M4233" s="17">
        <v>2024</v>
      </c>
      <c r="N4233" s="17" t="s">
        <v>123</v>
      </c>
    </row>
    <row r="4234" spans="1:14" ht="14.25" customHeight="1">
      <c r="A4234" s="17">
        <v>14233</v>
      </c>
      <c r="B4234" s="18">
        <v>45666</v>
      </c>
      <c r="C4234" s="17" t="s">
        <v>45</v>
      </c>
      <c r="D4234" s="17" t="s">
        <v>89</v>
      </c>
      <c r="E4234" s="17" t="s">
        <v>165</v>
      </c>
      <c r="F4234" s="17" t="s">
        <v>163</v>
      </c>
      <c r="G4234" s="17">
        <v>1</v>
      </c>
      <c r="H4234" s="17">
        <v>48548</v>
      </c>
      <c r="I4234" s="17">
        <v>48548</v>
      </c>
      <c r="J4234" s="17">
        <v>2186</v>
      </c>
      <c r="K4234" s="17">
        <v>46362</v>
      </c>
      <c r="L4234" s="17">
        <v>8480.9534230000008</v>
      </c>
      <c r="M4234" s="17">
        <v>2025</v>
      </c>
      <c r="N4234" s="17" t="s">
        <v>171</v>
      </c>
    </row>
    <row r="4235" spans="1:14" ht="14.25" customHeight="1">
      <c r="A4235" s="17">
        <v>14234</v>
      </c>
      <c r="B4235" s="18">
        <v>45742</v>
      </c>
      <c r="C4235" s="17" t="s">
        <v>58</v>
      </c>
      <c r="D4235" s="17" t="s">
        <v>83</v>
      </c>
      <c r="E4235" s="17" t="s">
        <v>165</v>
      </c>
      <c r="F4235" s="17" t="s">
        <v>172</v>
      </c>
      <c r="G4235" s="17">
        <v>8</v>
      </c>
      <c r="H4235" s="17">
        <v>57633</v>
      </c>
      <c r="I4235" s="17">
        <v>461064</v>
      </c>
      <c r="J4235" s="17">
        <v>1989</v>
      </c>
      <c r="K4235" s="17">
        <v>459075</v>
      </c>
      <c r="L4235" s="17">
        <v>80547.858089999994</v>
      </c>
      <c r="M4235" s="17">
        <v>2025</v>
      </c>
      <c r="N4235" s="17" t="s">
        <v>112</v>
      </c>
    </row>
    <row r="4236" spans="1:14" ht="14.25" customHeight="1">
      <c r="A4236" s="17">
        <v>14235</v>
      </c>
      <c r="B4236" s="18">
        <v>45917</v>
      </c>
      <c r="C4236" s="17" t="s">
        <v>58</v>
      </c>
      <c r="D4236" s="17" t="s">
        <v>86</v>
      </c>
      <c r="E4236" s="17" t="s">
        <v>165</v>
      </c>
      <c r="F4236" s="17" t="s">
        <v>166</v>
      </c>
      <c r="G4236" s="17">
        <v>9</v>
      </c>
      <c r="H4236" s="17">
        <v>9641</v>
      </c>
      <c r="I4236" s="17">
        <v>86769</v>
      </c>
      <c r="J4236" s="17">
        <v>1385</v>
      </c>
      <c r="K4236" s="17">
        <v>85384</v>
      </c>
      <c r="L4236" s="17">
        <v>9227.3585060000005</v>
      </c>
      <c r="M4236" s="17">
        <v>2025</v>
      </c>
      <c r="N4236" s="17" t="s">
        <v>129</v>
      </c>
    </row>
    <row r="4237" spans="1:14" ht="14.25" customHeight="1">
      <c r="A4237" s="17">
        <v>14236</v>
      </c>
      <c r="B4237" s="18">
        <v>45886</v>
      </c>
      <c r="C4237" s="17" t="s">
        <v>39</v>
      </c>
      <c r="D4237" s="17" t="s">
        <v>89</v>
      </c>
      <c r="E4237" s="17" t="s">
        <v>165</v>
      </c>
      <c r="F4237" s="17" t="s">
        <v>164</v>
      </c>
      <c r="G4237" s="17">
        <v>6</v>
      </c>
      <c r="H4237" s="17">
        <v>76095</v>
      </c>
      <c r="I4237" s="17">
        <v>456570</v>
      </c>
      <c r="J4237" s="17">
        <v>3484</v>
      </c>
      <c r="K4237" s="17">
        <v>453086</v>
      </c>
      <c r="L4237" s="17">
        <v>95271.489300000001</v>
      </c>
      <c r="M4237" s="17">
        <v>2025</v>
      </c>
      <c r="N4237" s="17" t="s">
        <v>126</v>
      </c>
    </row>
    <row r="4238" spans="1:14" ht="14.25" customHeight="1">
      <c r="A4238" s="17">
        <v>14237</v>
      </c>
      <c r="B4238" s="18">
        <v>45470</v>
      </c>
      <c r="C4238" s="17" t="s">
        <v>167</v>
      </c>
      <c r="D4238" s="17" t="s">
        <v>89</v>
      </c>
      <c r="E4238" s="17" t="s">
        <v>168</v>
      </c>
      <c r="F4238" s="17" t="s">
        <v>166</v>
      </c>
      <c r="G4238" s="17">
        <v>1</v>
      </c>
      <c r="H4238" s="17">
        <v>16631</v>
      </c>
      <c r="I4238" s="17">
        <v>16631</v>
      </c>
      <c r="J4238" s="17">
        <v>1116</v>
      </c>
      <c r="K4238" s="17">
        <v>15515</v>
      </c>
      <c r="L4238" s="17">
        <v>2742.6113049999999</v>
      </c>
      <c r="M4238" s="17">
        <v>2024</v>
      </c>
      <c r="N4238" s="17" t="s">
        <v>120</v>
      </c>
    </row>
    <row r="4239" spans="1:14" ht="14.25" customHeight="1">
      <c r="A4239" s="17">
        <v>14238</v>
      </c>
      <c r="B4239" s="18">
        <v>45501</v>
      </c>
      <c r="C4239" s="17" t="s">
        <v>167</v>
      </c>
      <c r="D4239" s="17" t="s">
        <v>86</v>
      </c>
      <c r="E4239" s="17" t="s">
        <v>165</v>
      </c>
      <c r="F4239" s="17" t="s">
        <v>164</v>
      </c>
      <c r="G4239" s="17">
        <v>7</v>
      </c>
      <c r="H4239" s="17">
        <v>40816</v>
      </c>
      <c r="I4239" s="17">
        <v>285712</v>
      </c>
      <c r="J4239" s="17">
        <v>133</v>
      </c>
      <c r="K4239" s="17">
        <v>285579</v>
      </c>
      <c r="L4239" s="17">
        <v>35961.129489999999</v>
      </c>
      <c r="M4239" s="17">
        <v>2024</v>
      </c>
      <c r="N4239" s="17" t="s">
        <v>123</v>
      </c>
    </row>
    <row r="4240" spans="1:14" ht="14.25" customHeight="1">
      <c r="A4240" s="17">
        <v>14239</v>
      </c>
      <c r="B4240" s="18">
        <v>45791</v>
      </c>
      <c r="C4240" s="17" t="s">
        <v>45</v>
      </c>
      <c r="D4240" s="17" t="s">
        <v>89</v>
      </c>
      <c r="E4240" s="17" t="s">
        <v>162</v>
      </c>
      <c r="F4240" s="17" t="s">
        <v>166</v>
      </c>
      <c r="G4240" s="17">
        <v>5</v>
      </c>
      <c r="H4240" s="17">
        <v>7023</v>
      </c>
      <c r="I4240" s="17">
        <v>35115</v>
      </c>
      <c r="J4240" s="17">
        <v>3951</v>
      </c>
      <c r="K4240" s="17">
        <v>31164</v>
      </c>
      <c r="L4240" s="17">
        <v>6298.544449</v>
      </c>
      <c r="M4240" s="17">
        <v>2025</v>
      </c>
      <c r="N4240" s="17" t="s">
        <v>117</v>
      </c>
    </row>
    <row r="4241" spans="1:14" ht="14.25" customHeight="1">
      <c r="A4241" s="17">
        <v>14240</v>
      </c>
      <c r="B4241" s="18">
        <v>45755</v>
      </c>
      <c r="C4241" s="17" t="s">
        <v>50</v>
      </c>
      <c r="D4241" s="17" t="s">
        <v>89</v>
      </c>
      <c r="E4241" s="17" t="s">
        <v>168</v>
      </c>
      <c r="F4241" s="17" t="s">
        <v>163</v>
      </c>
      <c r="G4241" s="17">
        <v>9</v>
      </c>
      <c r="H4241" s="17">
        <v>30656</v>
      </c>
      <c r="I4241" s="17">
        <v>275904</v>
      </c>
      <c r="J4241" s="17">
        <v>1227</v>
      </c>
      <c r="K4241" s="17">
        <v>274677</v>
      </c>
      <c r="L4241" s="17">
        <v>56105.480320000002</v>
      </c>
      <c r="M4241" s="17">
        <v>2025</v>
      </c>
      <c r="N4241" s="17" t="s">
        <v>114</v>
      </c>
    </row>
    <row r="4242" spans="1:14" ht="14.25" customHeight="1">
      <c r="A4242" s="17">
        <v>14241</v>
      </c>
      <c r="B4242" s="18">
        <v>45415</v>
      </c>
      <c r="C4242" s="17" t="s">
        <v>167</v>
      </c>
      <c r="D4242" s="17" t="s">
        <v>86</v>
      </c>
      <c r="E4242" s="17" t="s">
        <v>165</v>
      </c>
      <c r="F4242" s="17" t="s">
        <v>172</v>
      </c>
      <c r="G4242" s="17">
        <v>7</v>
      </c>
      <c r="H4242" s="17">
        <v>39842</v>
      </c>
      <c r="I4242" s="17">
        <v>278894</v>
      </c>
      <c r="J4242" s="17">
        <v>3109</v>
      </c>
      <c r="K4242" s="17">
        <v>275785</v>
      </c>
      <c r="L4242" s="17">
        <v>36410.3272</v>
      </c>
      <c r="M4242" s="17">
        <v>2024</v>
      </c>
      <c r="N4242" s="17" t="s">
        <v>117</v>
      </c>
    </row>
    <row r="4243" spans="1:14" ht="14.25" customHeight="1">
      <c r="A4243" s="17">
        <v>14242</v>
      </c>
      <c r="B4243" s="18">
        <v>45404</v>
      </c>
      <c r="C4243" s="17" t="s">
        <v>45</v>
      </c>
      <c r="D4243" s="17" t="s">
        <v>89</v>
      </c>
      <c r="E4243" s="17" t="s">
        <v>168</v>
      </c>
      <c r="F4243" s="17" t="s">
        <v>164</v>
      </c>
      <c r="G4243" s="17">
        <v>5</v>
      </c>
      <c r="H4243" s="17">
        <v>60189</v>
      </c>
      <c r="I4243" s="17">
        <v>300945</v>
      </c>
      <c r="J4243" s="17">
        <v>2504</v>
      </c>
      <c r="K4243" s="17">
        <v>298441</v>
      </c>
      <c r="L4243" s="17">
        <v>65500.117899999997</v>
      </c>
      <c r="M4243" s="17">
        <v>2024</v>
      </c>
      <c r="N4243" s="17" t="s">
        <v>114</v>
      </c>
    </row>
    <row r="4244" spans="1:14" ht="14.25" customHeight="1">
      <c r="A4244" s="17">
        <v>14243</v>
      </c>
      <c r="B4244" s="18">
        <v>45303</v>
      </c>
      <c r="C4244" s="17" t="s">
        <v>45</v>
      </c>
      <c r="D4244" s="17" t="s">
        <v>89</v>
      </c>
      <c r="E4244" s="17" t="s">
        <v>165</v>
      </c>
      <c r="F4244" s="17" t="s">
        <v>166</v>
      </c>
      <c r="G4244" s="17">
        <v>2</v>
      </c>
      <c r="H4244" s="17">
        <v>50923</v>
      </c>
      <c r="I4244" s="17">
        <v>101846</v>
      </c>
      <c r="J4244" s="17">
        <v>3605</v>
      </c>
      <c r="K4244" s="17">
        <v>98241</v>
      </c>
      <c r="L4244" s="17">
        <v>16551.222119999999</v>
      </c>
      <c r="M4244" s="17">
        <v>2024</v>
      </c>
      <c r="N4244" s="17" t="s">
        <v>171</v>
      </c>
    </row>
    <row r="4245" spans="1:14" ht="14.25" customHeight="1">
      <c r="A4245" s="17">
        <v>14244</v>
      </c>
      <c r="B4245" s="18">
        <v>45417</v>
      </c>
      <c r="C4245" s="17" t="s">
        <v>167</v>
      </c>
      <c r="D4245" s="17" t="s">
        <v>170</v>
      </c>
      <c r="E4245" s="17" t="s">
        <v>162</v>
      </c>
      <c r="F4245" s="17" t="s">
        <v>172</v>
      </c>
      <c r="G4245" s="17">
        <v>4</v>
      </c>
      <c r="H4245" s="17">
        <v>40080</v>
      </c>
      <c r="I4245" s="17">
        <v>160320</v>
      </c>
      <c r="J4245" s="17">
        <v>1881</v>
      </c>
      <c r="K4245" s="17">
        <v>158439</v>
      </c>
      <c r="L4245" s="17">
        <v>20136.240959999999</v>
      </c>
      <c r="M4245" s="17">
        <v>2024</v>
      </c>
      <c r="N4245" s="17" t="s">
        <v>117</v>
      </c>
    </row>
    <row r="4246" spans="1:14" ht="14.25" customHeight="1">
      <c r="A4246" s="17">
        <v>14245</v>
      </c>
      <c r="B4246" s="18">
        <v>45856</v>
      </c>
      <c r="C4246" s="17" t="s">
        <v>45</v>
      </c>
      <c r="D4246" s="17" t="s">
        <v>170</v>
      </c>
      <c r="E4246" s="17" t="s">
        <v>162</v>
      </c>
      <c r="F4246" s="17" t="s">
        <v>164</v>
      </c>
      <c r="G4246" s="17">
        <v>2</v>
      </c>
      <c r="H4246" s="17">
        <v>8474</v>
      </c>
      <c r="I4246" s="17">
        <v>16948</v>
      </c>
      <c r="J4246" s="17">
        <v>4533</v>
      </c>
      <c r="K4246" s="17">
        <v>12415</v>
      </c>
      <c r="L4246" s="17">
        <v>2466.1528509999998</v>
      </c>
      <c r="M4246" s="17">
        <v>2025</v>
      </c>
      <c r="N4246" s="17" t="s">
        <v>123</v>
      </c>
    </row>
    <row r="4247" spans="1:14" ht="14.25" customHeight="1">
      <c r="A4247" s="17">
        <v>14246</v>
      </c>
      <c r="B4247" s="18">
        <v>45622</v>
      </c>
      <c r="C4247" s="17" t="s">
        <v>39</v>
      </c>
      <c r="D4247" s="17" t="s">
        <v>83</v>
      </c>
      <c r="E4247" s="17" t="s">
        <v>162</v>
      </c>
      <c r="F4247" s="17" t="s">
        <v>164</v>
      </c>
      <c r="G4247" s="17">
        <v>9</v>
      </c>
      <c r="H4247" s="17">
        <v>8260</v>
      </c>
      <c r="I4247" s="17">
        <v>74340</v>
      </c>
      <c r="J4247" s="17">
        <v>679</v>
      </c>
      <c r="K4247" s="17">
        <v>73661</v>
      </c>
      <c r="L4247" s="17">
        <v>13959.425740000001</v>
      </c>
      <c r="M4247" s="17">
        <v>2024</v>
      </c>
      <c r="N4247" s="17" t="s">
        <v>173</v>
      </c>
    </row>
    <row r="4248" spans="1:14" ht="14.25" customHeight="1">
      <c r="A4248" s="17">
        <v>14247</v>
      </c>
      <c r="B4248" s="18">
        <v>45574</v>
      </c>
      <c r="C4248" s="17" t="s">
        <v>39</v>
      </c>
      <c r="D4248" s="17" t="s">
        <v>170</v>
      </c>
      <c r="E4248" s="17" t="s">
        <v>168</v>
      </c>
      <c r="F4248" s="17" t="s">
        <v>172</v>
      </c>
      <c r="G4248" s="17">
        <v>2</v>
      </c>
      <c r="H4248" s="17">
        <v>65218</v>
      </c>
      <c r="I4248" s="17">
        <v>130436</v>
      </c>
      <c r="J4248" s="17">
        <v>2694</v>
      </c>
      <c r="K4248" s="17">
        <v>127742</v>
      </c>
      <c r="L4248" s="17">
        <v>16039.406730000001</v>
      </c>
      <c r="M4248" s="17">
        <v>2024</v>
      </c>
      <c r="N4248" s="17" t="s">
        <v>174</v>
      </c>
    </row>
    <row r="4249" spans="1:14" ht="14.25" customHeight="1">
      <c r="A4249" s="17">
        <v>14248</v>
      </c>
      <c r="B4249" s="18">
        <v>45431</v>
      </c>
      <c r="C4249" s="17" t="s">
        <v>167</v>
      </c>
      <c r="D4249" s="17" t="s">
        <v>170</v>
      </c>
      <c r="E4249" s="17" t="s">
        <v>162</v>
      </c>
      <c r="F4249" s="17" t="s">
        <v>163</v>
      </c>
      <c r="G4249" s="17">
        <v>2</v>
      </c>
      <c r="H4249" s="17">
        <v>54109</v>
      </c>
      <c r="I4249" s="17">
        <v>108218</v>
      </c>
      <c r="J4249" s="17">
        <v>2669</v>
      </c>
      <c r="K4249" s="17">
        <v>105549</v>
      </c>
      <c r="L4249" s="17">
        <v>24366.233100000001</v>
      </c>
      <c r="M4249" s="17">
        <v>2024</v>
      </c>
      <c r="N4249" s="17" t="s">
        <v>117</v>
      </c>
    </row>
    <row r="4250" spans="1:14" ht="14.25" customHeight="1">
      <c r="A4250" s="17">
        <v>14249</v>
      </c>
      <c r="B4250" s="18">
        <v>45692</v>
      </c>
      <c r="C4250" s="17" t="s">
        <v>50</v>
      </c>
      <c r="D4250" s="17" t="s">
        <v>83</v>
      </c>
      <c r="E4250" s="17" t="s">
        <v>165</v>
      </c>
      <c r="F4250" s="17" t="s">
        <v>172</v>
      </c>
      <c r="G4250" s="17">
        <v>2</v>
      </c>
      <c r="H4250" s="17">
        <v>10618</v>
      </c>
      <c r="I4250" s="17">
        <v>21236</v>
      </c>
      <c r="J4250" s="17">
        <v>1247</v>
      </c>
      <c r="K4250" s="17">
        <v>19989</v>
      </c>
      <c r="L4250" s="17">
        <v>4561.0930159999998</v>
      </c>
      <c r="M4250" s="17">
        <v>2025</v>
      </c>
      <c r="N4250" s="17" t="s">
        <v>175</v>
      </c>
    </row>
    <row r="4251" spans="1:14" ht="14.25" customHeight="1">
      <c r="A4251" s="17">
        <v>14250</v>
      </c>
      <c r="B4251" s="18">
        <v>45388</v>
      </c>
      <c r="C4251" s="17" t="s">
        <v>39</v>
      </c>
      <c r="D4251" s="17" t="s">
        <v>89</v>
      </c>
      <c r="E4251" s="17" t="s">
        <v>165</v>
      </c>
      <c r="F4251" s="17" t="s">
        <v>163</v>
      </c>
      <c r="G4251" s="17">
        <v>1</v>
      </c>
      <c r="H4251" s="17">
        <v>50765</v>
      </c>
      <c r="I4251" s="17">
        <v>50765</v>
      </c>
      <c r="J4251" s="17">
        <v>1191</v>
      </c>
      <c r="K4251" s="17">
        <v>49574</v>
      </c>
      <c r="L4251" s="17">
        <v>11175.79838</v>
      </c>
      <c r="M4251" s="17">
        <v>2024</v>
      </c>
      <c r="N4251" s="17" t="s">
        <v>114</v>
      </c>
    </row>
    <row r="4252" spans="1:14" ht="14.25" customHeight="1">
      <c r="A4252" s="17">
        <v>14251</v>
      </c>
      <c r="B4252" s="18">
        <v>45808</v>
      </c>
      <c r="C4252" s="17" t="s">
        <v>39</v>
      </c>
      <c r="D4252" s="17" t="s">
        <v>89</v>
      </c>
      <c r="E4252" s="17" t="s">
        <v>165</v>
      </c>
      <c r="F4252" s="17" t="s">
        <v>166</v>
      </c>
      <c r="G4252" s="17">
        <v>9</v>
      </c>
      <c r="H4252" s="17">
        <v>39118</v>
      </c>
      <c r="I4252" s="17">
        <v>352062</v>
      </c>
      <c r="J4252" s="17">
        <v>1130</v>
      </c>
      <c r="K4252" s="17">
        <v>350932</v>
      </c>
      <c r="L4252" s="17">
        <v>56108.474649999996</v>
      </c>
      <c r="M4252" s="17">
        <v>2025</v>
      </c>
      <c r="N4252" s="17" t="s">
        <v>117</v>
      </c>
    </row>
    <row r="4253" spans="1:14" ht="14.25" customHeight="1">
      <c r="A4253" s="17">
        <v>14252</v>
      </c>
      <c r="B4253" s="18">
        <v>45860</v>
      </c>
      <c r="C4253" s="17" t="s">
        <v>167</v>
      </c>
      <c r="D4253" s="17" t="s">
        <v>170</v>
      </c>
      <c r="E4253" s="17" t="s">
        <v>168</v>
      </c>
      <c r="F4253" s="17" t="s">
        <v>166</v>
      </c>
      <c r="G4253" s="17">
        <v>8</v>
      </c>
      <c r="H4253" s="17">
        <v>14285</v>
      </c>
      <c r="I4253" s="17">
        <v>114280</v>
      </c>
      <c r="J4253" s="17">
        <v>1403</v>
      </c>
      <c r="K4253" s="17">
        <v>112877</v>
      </c>
      <c r="L4253" s="17">
        <v>25249.84174</v>
      </c>
      <c r="M4253" s="17">
        <v>2025</v>
      </c>
      <c r="N4253" s="17" t="s">
        <v>123</v>
      </c>
    </row>
    <row r="4254" spans="1:14" ht="14.25" customHeight="1">
      <c r="A4254" s="17">
        <v>14253</v>
      </c>
      <c r="B4254" s="18">
        <v>45360</v>
      </c>
      <c r="C4254" s="17" t="s">
        <v>58</v>
      </c>
      <c r="D4254" s="17" t="s">
        <v>83</v>
      </c>
      <c r="E4254" s="17" t="s">
        <v>168</v>
      </c>
      <c r="F4254" s="17" t="s">
        <v>172</v>
      </c>
      <c r="G4254" s="17">
        <v>2</v>
      </c>
      <c r="H4254" s="17">
        <v>62083</v>
      </c>
      <c r="I4254" s="17">
        <v>124166</v>
      </c>
      <c r="J4254" s="17">
        <v>2071</v>
      </c>
      <c r="K4254" s="17">
        <v>122095</v>
      </c>
      <c r="L4254" s="17">
        <v>27681.29248</v>
      </c>
      <c r="M4254" s="17">
        <v>2024</v>
      </c>
      <c r="N4254" s="17" t="s">
        <v>112</v>
      </c>
    </row>
    <row r="4255" spans="1:14" ht="14.25" customHeight="1">
      <c r="A4255" s="17">
        <v>14254</v>
      </c>
      <c r="B4255" s="18">
        <v>45409</v>
      </c>
      <c r="C4255" s="17" t="s">
        <v>45</v>
      </c>
      <c r="D4255" s="17" t="s">
        <v>89</v>
      </c>
      <c r="E4255" s="17" t="s">
        <v>162</v>
      </c>
      <c r="F4255" s="17" t="s">
        <v>163</v>
      </c>
      <c r="G4255" s="17">
        <v>2</v>
      </c>
      <c r="H4255" s="17">
        <v>78677</v>
      </c>
      <c r="I4255" s="17">
        <v>157354</v>
      </c>
      <c r="J4255" s="17">
        <v>1330</v>
      </c>
      <c r="K4255" s="17">
        <v>156024</v>
      </c>
      <c r="L4255" s="17">
        <v>38925.029909999997</v>
      </c>
      <c r="M4255" s="17">
        <v>2024</v>
      </c>
      <c r="N4255" s="17" t="s">
        <v>114</v>
      </c>
    </row>
    <row r="4256" spans="1:14" ht="14.25" customHeight="1">
      <c r="A4256" s="17">
        <v>14255</v>
      </c>
      <c r="B4256" s="18">
        <v>45350</v>
      </c>
      <c r="C4256" s="17" t="s">
        <v>39</v>
      </c>
      <c r="D4256" s="17" t="s">
        <v>111</v>
      </c>
      <c r="E4256" s="17" t="s">
        <v>168</v>
      </c>
      <c r="F4256" s="17" t="s">
        <v>166</v>
      </c>
      <c r="G4256" s="17">
        <v>5</v>
      </c>
      <c r="H4256" s="17">
        <v>33352</v>
      </c>
      <c r="I4256" s="17">
        <v>166760</v>
      </c>
      <c r="J4256" s="17">
        <v>1381</v>
      </c>
      <c r="K4256" s="17">
        <v>165379</v>
      </c>
      <c r="L4256" s="17">
        <v>40293.054120000001</v>
      </c>
      <c r="M4256" s="17">
        <v>2024</v>
      </c>
      <c r="N4256" s="17" t="s">
        <v>175</v>
      </c>
    </row>
    <row r="4257" spans="1:14" ht="14.25" customHeight="1">
      <c r="A4257" s="17">
        <v>14256</v>
      </c>
      <c r="B4257" s="18">
        <v>45324</v>
      </c>
      <c r="C4257" s="17" t="s">
        <v>58</v>
      </c>
      <c r="D4257" s="17" t="s">
        <v>86</v>
      </c>
      <c r="E4257" s="17" t="s">
        <v>165</v>
      </c>
      <c r="F4257" s="17" t="s">
        <v>163</v>
      </c>
      <c r="G4257" s="17">
        <v>4</v>
      </c>
      <c r="H4257" s="17">
        <v>49056</v>
      </c>
      <c r="I4257" s="17">
        <v>196224</v>
      </c>
      <c r="J4257" s="17">
        <v>369</v>
      </c>
      <c r="K4257" s="17">
        <v>195855</v>
      </c>
      <c r="L4257" s="17">
        <v>30832.884719999998</v>
      </c>
      <c r="M4257" s="17">
        <v>2024</v>
      </c>
      <c r="N4257" s="17" t="s">
        <v>175</v>
      </c>
    </row>
    <row r="4258" spans="1:14" ht="14.25" customHeight="1">
      <c r="A4258" s="17">
        <v>14257</v>
      </c>
      <c r="B4258" s="18">
        <v>45609</v>
      </c>
      <c r="C4258" s="17" t="s">
        <v>50</v>
      </c>
      <c r="D4258" s="17" t="s">
        <v>86</v>
      </c>
      <c r="E4258" s="17" t="s">
        <v>165</v>
      </c>
      <c r="F4258" s="17" t="s">
        <v>163</v>
      </c>
      <c r="G4258" s="17">
        <v>2</v>
      </c>
      <c r="H4258" s="17">
        <v>68045</v>
      </c>
      <c r="I4258" s="17">
        <v>136090</v>
      </c>
      <c r="J4258" s="17">
        <v>3794</v>
      </c>
      <c r="K4258" s="17">
        <v>132296</v>
      </c>
      <c r="L4258" s="17">
        <v>17162.844420000001</v>
      </c>
      <c r="M4258" s="17">
        <v>2024</v>
      </c>
      <c r="N4258" s="17" t="s">
        <v>173</v>
      </c>
    </row>
    <row r="4259" spans="1:14" ht="14.25" customHeight="1">
      <c r="A4259" s="17">
        <v>14258</v>
      </c>
      <c r="B4259" s="18">
        <v>45341</v>
      </c>
      <c r="C4259" s="17" t="s">
        <v>58</v>
      </c>
      <c r="D4259" s="17" t="s">
        <v>86</v>
      </c>
      <c r="E4259" s="17" t="s">
        <v>165</v>
      </c>
      <c r="F4259" s="17" t="s">
        <v>163</v>
      </c>
      <c r="G4259" s="17">
        <v>8</v>
      </c>
      <c r="H4259" s="17">
        <v>28707</v>
      </c>
      <c r="I4259" s="17">
        <v>229656</v>
      </c>
      <c r="J4259" s="17">
        <v>2490</v>
      </c>
      <c r="K4259" s="17">
        <v>227166</v>
      </c>
      <c r="L4259" s="17">
        <v>32682.226790000001</v>
      </c>
      <c r="M4259" s="17">
        <v>2024</v>
      </c>
      <c r="N4259" s="17" t="s">
        <v>175</v>
      </c>
    </row>
    <row r="4260" spans="1:14" ht="14.25" customHeight="1">
      <c r="A4260" s="17">
        <v>14259</v>
      </c>
      <c r="B4260" s="18">
        <v>45780</v>
      </c>
      <c r="C4260" s="17" t="s">
        <v>167</v>
      </c>
      <c r="D4260" s="17" t="s">
        <v>170</v>
      </c>
      <c r="E4260" s="17" t="s">
        <v>168</v>
      </c>
      <c r="F4260" s="17" t="s">
        <v>172</v>
      </c>
      <c r="G4260" s="17">
        <v>8</v>
      </c>
      <c r="H4260" s="17">
        <v>27161</v>
      </c>
      <c r="I4260" s="17">
        <v>217288</v>
      </c>
      <c r="J4260" s="17">
        <v>1176</v>
      </c>
      <c r="K4260" s="17">
        <v>216112</v>
      </c>
      <c r="L4260" s="17">
        <v>37650.424070000001</v>
      </c>
      <c r="M4260" s="17">
        <v>2025</v>
      </c>
      <c r="N4260" s="17" t="s">
        <v>117</v>
      </c>
    </row>
    <row r="4261" spans="1:14" ht="14.25" customHeight="1">
      <c r="A4261" s="17">
        <v>14260</v>
      </c>
      <c r="B4261" s="18">
        <v>45310</v>
      </c>
      <c r="C4261" s="17" t="s">
        <v>50</v>
      </c>
      <c r="D4261" s="17" t="s">
        <v>86</v>
      </c>
      <c r="E4261" s="17" t="s">
        <v>165</v>
      </c>
      <c r="F4261" s="17" t="s">
        <v>163</v>
      </c>
      <c r="G4261" s="17">
        <v>4</v>
      </c>
      <c r="H4261" s="17">
        <v>72390</v>
      </c>
      <c r="I4261" s="17">
        <v>289560</v>
      </c>
      <c r="J4261" s="17">
        <v>375</v>
      </c>
      <c r="K4261" s="17">
        <v>289185</v>
      </c>
      <c r="L4261" s="17">
        <v>63857.439879999998</v>
      </c>
      <c r="M4261" s="17">
        <v>2024</v>
      </c>
      <c r="N4261" s="17" t="s">
        <v>171</v>
      </c>
    </row>
    <row r="4262" spans="1:14" ht="14.25" customHeight="1">
      <c r="A4262" s="17">
        <v>14261</v>
      </c>
      <c r="B4262" s="18">
        <v>46017</v>
      </c>
      <c r="C4262" s="17" t="s">
        <v>50</v>
      </c>
      <c r="D4262" s="17" t="s">
        <v>86</v>
      </c>
      <c r="E4262" s="17" t="s">
        <v>162</v>
      </c>
      <c r="F4262" s="17" t="s">
        <v>172</v>
      </c>
      <c r="G4262" s="17">
        <v>4</v>
      </c>
      <c r="H4262" s="17">
        <v>23650</v>
      </c>
      <c r="I4262" s="17">
        <v>94600</v>
      </c>
      <c r="J4262" s="17">
        <v>2760</v>
      </c>
      <c r="K4262" s="17">
        <v>91840</v>
      </c>
      <c r="L4262" s="17">
        <v>19143.82835</v>
      </c>
      <c r="M4262" s="17">
        <v>2025</v>
      </c>
      <c r="N4262" s="17" t="s">
        <v>169</v>
      </c>
    </row>
    <row r="4263" spans="1:14" ht="14.25" customHeight="1">
      <c r="A4263" s="17">
        <v>14262</v>
      </c>
      <c r="B4263" s="18">
        <v>45488</v>
      </c>
      <c r="C4263" s="17" t="s">
        <v>58</v>
      </c>
      <c r="D4263" s="17" t="s">
        <v>111</v>
      </c>
      <c r="E4263" s="17" t="s">
        <v>168</v>
      </c>
      <c r="F4263" s="17" t="s">
        <v>166</v>
      </c>
      <c r="G4263" s="17">
        <v>9</v>
      </c>
      <c r="H4263" s="17">
        <v>21944</v>
      </c>
      <c r="I4263" s="17">
        <v>197496</v>
      </c>
      <c r="J4263" s="17">
        <v>3290</v>
      </c>
      <c r="K4263" s="17">
        <v>194206</v>
      </c>
      <c r="L4263" s="17">
        <v>42367.381609999997</v>
      </c>
      <c r="M4263" s="17">
        <v>2024</v>
      </c>
      <c r="N4263" s="17" t="s">
        <v>123</v>
      </c>
    </row>
    <row r="4264" spans="1:14" ht="14.25" customHeight="1">
      <c r="A4264" s="17">
        <v>14263</v>
      </c>
      <c r="B4264" s="18">
        <v>45741</v>
      </c>
      <c r="C4264" s="17" t="s">
        <v>167</v>
      </c>
      <c r="D4264" s="17" t="s">
        <v>89</v>
      </c>
      <c r="E4264" s="17" t="s">
        <v>165</v>
      </c>
      <c r="F4264" s="17" t="s">
        <v>166</v>
      </c>
      <c r="G4264" s="17">
        <v>4</v>
      </c>
      <c r="H4264" s="17">
        <v>12546</v>
      </c>
      <c r="I4264" s="17">
        <v>50184</v>
      </c>
      <c r="J4264" s="17">
        <v>1943</v>
      </c>
      <c r="K4264" s="17">
        <v>48241</v>
      </c>
      <c r="L4264" s="17">
        <v>7573.3042240000004</v>
      </c>
      <c r="M4264" s="17">
        <v>2025</v>
      </c>
      <c r="N4264" s="17" t="s">
        <v>112</v>
      </c>
    </row>
    <row r="4265" spans="1:14" ht="14.25" customHeight="1">
      <c r="A4265" s="17">
        <v>14264</v>
      </c>
      <c r="B4265" s="18">
        <v>45850</v>
      </c>
      <c r="C4265" s="17" t="s">
        <v>39</v>
      </c>
      <c r="D4265" s="17" t="s">
        <v>111</v>
      </c>
      <c r="E4265" s="17" t="s">
        <v>165</v>
      </c>
      <c r="F4265" s="17" t="s">
        <v>164</v>
      </c>
      <c r="G4265" s="17">
        <v>9</v>
      </c>
      <c r="H4265" s="17">
        <v>59139</v>
      </c>
      <c r="I4265" s="17">
        <v>532251</v>
      </c>
      <c r="J4265" s="17">
        <v>957</v>
      </c>
      <c r="K4265" s="17">
        <v>531294</v>
      </c>
      <c r="L4265" s="17">
        <v>72806.243409999995</v>
      </c>
      <c r="M4265" s="17">
        <v>2025</v>
      </c>
      <c r="N4265" s="17" t="s">
        <v>123</v>
      </c>
    </row>
    <row r="4266" spans="1:14" ht="14.25" customHeight="1">
      <c r="A4266" s="17">
        <v>14265</v>
      </c>
      <c r="B4266" s="18">
        <v>45970</v>
      </c>
      <c r="C4266" s="17" t="s">
        <v>58</v>
      </c>
      <c r="D4266" s="17" t="s">
        <v>170</v>
      </c>
      <c r="E4266" s="17" t="s">
        <v>168</v>
      </c>
      <c r="F4266" s="17" t="s">
        <v>164</v>
      </c>
      <c r="G4266" s="17">
        <v>3</v>
      </c>
      <c r="H4266" s="17">
        <v>12207</v>
      </c>
      <c r="I4266" s="17">
        <v>36621</v>
      </c>
      <c r="J4266" s="17">
        <v>810</v>
      </c>
      <c r="K4266" s="17">
        <v>35811</v>
      </c>
      <c r="L4266" s="17">
        <v>3710.7161620000002</v>
      </c>
      <c r="M4266" s="17">
        <v>2025</v>
      </c>
      <c r="N4266" s="17" t="s">
        <v>173</v>
      </c>
    </row>
    <row r="4267" spans="1:14" ht="14.25" customHeight="1">
      <c r="A4267" s="17">
        <v>14266</v>
      </c>
      <c r="B4267" s="18">
        <v>45743</v>
      </c>
      <c r="C4267" s="17" t="s">
        <v>39</v>
      </c>
      <c r="D4267" s="17" t="s">
        <v>86</v>
      </c>
      <c r="E4267" s="17" t="s">
        <v>168</v>
      </c>
      <c r="F4267" s="17" t="s">
        <v>166</v>
      </c>
      <c r="G4267" s="17">
        <v>2</v>
      </c>
      <c r="H4267" s="17">
        <v>77022</v>
      </c>
      <c r="I4267" s="17">
        <v>154044</v>
      </c>
      <c r="J4267" s="17">
        <v>4922</v>
      </c>
      <c r="K4267" s="17">
        <v>149122</v>
      </c>
      <c r="L4267" s="17">
        <v>28918.863109999998</v>
      </c>
      <c r="M4267" s="17">
        <v>2025</v>
      </c>
      <c r="N4267" s="17" t="s">
        <v>112</v>
      </c>
    </row>
    <row r="4268" spans="1:14" ht="14.25" customHeight="1">
      <c r="A4268" s="17">
        <v>14267</v>
      </c>
      <c r="B4268" s="18">
        <v>45580</v>
      </c>
      <c r="C4268" s="17" t="s">
        <v>58</v>
      </c>
      <c r="D4268" s="17" t="s">
        <v>89</v>
      </c>
      <c r="E4268" s="17" t="s">
        <v>162</v>
      </c>
      <c r="F4268" s="17" t="s">
        <v>163</v>
      </c>
      <c r="G4268" s="17">
        <v>8</v>
      </c>
      <c r="H4268" s="17">
        <v>36222</v>
      </c>
      <c r="I4268" s="17">
        <v>289776</v>
      </c>
      <c r="J4268" s="17">
        <v>1533</v>
      </c>
      <c r="K4268" s="17">
        <v>288243</v>
      </c>
      <c r="L4268" s="17">
        <v>63198.909310000003</v>
      </c>
      <c r="M4268" s="17">
        <v>2024</v>
      </c>
      <c r="N4268" s="17" t="s">
        <v>174</v>
      </c>
    </row>
    <row r="4269" spans="1:14" ht="14.25" customHeight="1">
      <c r="A4269" s="17">
        <v>14268</v>
      </c>
      <c r="B4269" s="18">
        <v>45432</v>
      </c>
      <c r="C4269" s="17" t="s">
        <v>39</v>
      </c>
      <c r="D4269" s="17" t="s">
        <v>86</v>
      </c>
      <c r="E4269" s="17" t="s">
        <v>168</v>
      </c>
      <c r="F4269" s="17" t="s">
        <v>163</v>
      </c>
      <c r="G4269" s="17">
        <v>3</v>
      </c>
      <c r="H4269" s="17">
        <v>34121</v>
      </c>
      <c r="I4269" s="17">
        <v>102363</v>
      </c>
      <c r="J4269" s="17">
        <v>4430</v>
      </c>
      <c r="K4269" s="17">
        <v>97933</v>
      </c>
      <c r="L4269" s="17">
        <v>22854.7294</v>
      </c>
      <c r="M4269" s="17">
        <v>2024</v>
      </c>
      <c r="N4269" s="17" t="s">
        <v>117</v>
      </c>
    </row>
    <row r="4270" spans="1:14" ht="14.25" customHeight="1">
      <c r="A4270" s="17">
        <v>14269</v>
      </c>
      <c r="B4270" s="18">
        <v>45375</v>
      </c>
      <c r="C4270" s="17" t="s">
        <v>58</v>
      </c>
      <c r="D4270" s="17" t="s">
        <v>86</v>
      </c>
      <c r="E4270" s="17" t="s">
        <v>165</v>
      </c>
      <c r="F4270" s="17" t="s">
        <v>166</v>
      </c>
      <c r="G4270" s="17">
        <v>2</v>
      </c>
      <c r="H4270" s="17">
        <v>43915</v>
      </c>
      <c r="I4270" s="17">
        <v>87830</v>
      </c>
      <c r="J4270" s="17">
        <v>409</v>
      </c>
      <c r="K4270" s="17">
        <v>87421</v>
      </c>
      <c r="L4270" s="17">
        <v>14987.078799999999</v>
      </c>
      <c r="M4270" s="17">
        <v>2024</v>
      </c>
      <c r="N4270" s="17" t="s">
        <v>112</v>
      </c>
    </row>
    <row r="4271" spans="1:14" ht="14.25" customHeight="1">
      <c r="A4271" s="17">
        <v>14270</v>
      </c>
      <c r="B4271" s="18">
        <v>45985</v>
      </c>
      <c r="C4271" s="17" t="s">
        <v>50</v>
      </c>
      <c r="D4271" s="17" t="s">
        <v>170</v>
      </c>
      <c r="E4271" s="17" t="s">
        <v>162</v>
      </c>
      <c r="F4271" s="17" t="s">
        <v>166</v>
      </c>
      <c r="G4271" s="17">
        <v>8</v>
      </c>
      <c r="H4271" s="17">
        <v>15017</v>
      </c>
      <c r="I4271" s="17">
        <v>120136</v>
      </c>
      <c r="J4271" s="17">
        <v>53</v>
      </c>
      <c r="K4271" s="17">
        <v>120083</v>
      </c>
      <c r="L4271" s="17">
        <v>28717.4732</v>
      </c>
      <c r="M4271" s="17">
        <v>2025</v>
      </c>
      <c r="N4271" s="17" t="s">
        <v>173</v>
      </c>
    </row>
    <row r="4272" spans="1:14" ht="14.25" customHeight="1">
      <c r="A4272" s="17">
        <v>14271</v>
      </c>
      <c r="B4272" s="18">
        <v>45682</v>
      </c>
      <c r="C4272" s="17" t="s">
        <v>45</v>
      </c>
      <c r="D4272" s="17" t="s">
        <v>86</v>
      </c>
      <c r="E4272" s="17" t="s">
        <v>165</v>
      </c>
      <c r="F4272" s="17" t="s">
        <v>164</v>
      </c>
      <c r="G4272" s="17">
        <v>8</v>
      </c>
      <c r="H4272" s="17">
        <v>20094</v>
      </c>
      <c r="I4272" s="17">
        <v>160752</v>
      </c>
      <c r="J4272" s="17">
        <v>4796</v>
      </c>
      <c r="K4272" s="17">
        <v>155956</v>
      </c>
      <c r="L4272" s="17">
        <v>20330.706320000001</v>
      </c>
      <c r="M4272" s="17">
        <v>2025</v>
      </c>
      <c r="N4272" s="17" t="s">
        <v>171</v>
      </c>
    </row>
    <row r="4273" spans="1:14" ht="14.25" customHeight="1">
      <c r="A4273" s="17">
        <v>14272</v>
      </c>
      <c r="B4273" s="18">
        <v>45882</v>
      </c>
      <c r="C4273" s="17" t="s">
        <v>50</v>
      </c>
      <c r="D4273" s="17" t="s">
        <v>83</v>
      </c>
      <c r="E4273" s="17" t="s">
        <v>165</v>
      </c>
      <c r="F4273" s="17" t="s">
        <v>163</v>
      </c>
      <c r="G4273" s="17">
        <v>5</v>
      </c>
      <c r="H4273" s="17">
        <v>36236</v>
      </c>
      <c r="I4273" s="17">
        <v>181180</v>
      </c>
      <c r="J4273" s="17">
        <v>1098</v>
      </c>
      <c r="K4273" s="17">
        <v>180082</v>
      </c>
      <c r="L4273" s="17">
        <v>31902.73618</v>
      </c>
      <c r="M4273" s="17">
        <v>2025</v>
      </c>
      <c r="N4273" s="17" t="s">
        <v>126</v>
      </c>
    </row>
    <row r="4274" spans="1:14" ht="14.25" customHeight="1">
      <c r="A4274" s="17">
        <v>14273</v>
      </c>
      <c r="B4274" s="18">
        <v>45506</v>
      </c>
      <c r="C4274" s="17" t="s">
        <v>39</v>
      </c>
      <c r="D4274" s="17" t="s">
        <v>89</v>
      </c>
      <c r="E4274" s="17" t="s">
        <v>165</v>
      </c>
      <c r="F4274" s="17" t="s">
        <v>166</v>
      </c>
      <c r="G4274" s="17">
        <v>9</v>
      </c>
      <c r="H4274" s="17">
        <v>12664</v>
      </c>
      <c r="I4274" s="17">
        <v>113976</v>
      </c>
      <c r="J4274" s="17">
        <v>2396</v>
      </c>
      <c r="K4274" s="17">
        <v>111580</v>
      </c>
      <c r="L4274" s="17">
        <v>14735.830749999999</v>
      </c>
      <c r="M4274" s="17">
        <v>2024</v>
      </c>
      <c r="N4274" s="17" t="s">
        <v>126</v>
      </c>
    </row>
    <row r="4275" spans="1:14" ht="14.25" customHeight="1">
      <c r="A4275" s="17">
        <v>14274</v>
      </c>
      <c r="B4275" s="18">
        <v>45817</v>
      </c>
      <c r="C4275" s="17" t="s">
        <v>167</v>
      </c>
      <c r="D4275" s="17" t="s">
        <v>89</v>
      </c>
      <c r="E4275" s="17" t="s">
        <v>168</v>
      </c>
      <c r="F4275" s="17" t="s">
        <v>164</v>
      </c>
      <c r="G4275" s="17">
        <v>6</v>
      </c>
      <c r="H4275" s="17">
        <v>34921</v>
      </c>
      <c r="I4275" s="17">
        <v>209526</v>
      </c>
      <c r="J4275" s="17">
        <v>974</v>
      </c>
      <c r="K4275" s="17">
        <v>208552</v>
      </c>
      <c r="L4275" s="17">
        <v>26738.728650000001</v>
      </c>
      <c r="M4275" s="17">
        <v>2025</v>
      </c>
      <c r="N4275" s="17" t="s">
        <v>120</v>
      </c>
    </row>
    <row r="4276" spans="1:14" ht="14.25" customHeight="1">
      <c r="A4276" s="17">
        <v>14275</v>
      </c>
      <c r="B4276" s="18">
        <v>45506</v>
      </c>
      <c r="C4276" s="17" t="s">
        <v>50</v>
      </c>
      <c r="D4276" s="17" t="s">
        <v>83</v>
      </c>
      <c r="E4276" s="17" t="s">
        <v>168</v>
      </c>
      <c r="F4276" s="17" t="s">
        <v>164</v>
      </c>
      <c r="G4276" s="17">
        <v>5</v>
      </c>
      <c r="H4276" s="17">
        <v>72219</v>
      </c>
      <c r="I4276" s="17">
        <v>361095</v>
      </c>
      <c r="J4276" s="17">
        <v>4488</v>
      </c>
      <c r="K4276" s="17">
        <v>356607</v>
      </c>
      <c r="L4276" s="17">
        <v>86658.432239999995</v>
      </c>
      <c r="M4276" s="17">
        <v>2024</v>
      </c>
      <c r="N4276" s="17" t="s">
        <v>126</v>
      </c>
    </row>
    <row r="4277" spans="1:14" ht="14.25" customHeight="1">
      <c r="A4277" s="17">
        <v>14276</v>
      </c>
      <c r="B4277" s="18">
        <v>45694</v>
      </c>
      <c r="C4277" s="17" t="s">
        <v>45</v>
      </c>
      <c r="D4277" s="17" t="s">
        <v>170</v>
      </c>
      <c r="E4277" s="17" t="s">
        <v>165</v>
      </c>
      <c r="F4277" s="17" t="s">
        <v>163</v>
      </c>
      <c r="G4277" s="17">
        <v>3</v>
      </c>
      <c r="H4277" s="17">
        <v>68590</v>
      </c>
      <c r="I4277" s="17">
        <v>205770</v>
      </c>
      <c r="J4277" s="17">
        <v>4649</v>
      </c>
      <c r="K4277" s="17">
        <v>201121</v>
      </c>
      <c r="L4277" s="17">
        <v>44781.823759999999</v>
      </c>
      <c r="M4277" s="17">
        <v>2025</v>
      </c>
      <c r="N4277" s="17" t="s">
        <v>175</v>
      </c>
    </row>
    <row r="4278" spans="1:14" ht="14.25" customHeight="1">
      <c r="A4278" s="17">
        <v>14277</v>
      </c>
      <c r="B4278" s="18">
        <v>45419</v>
      </c>
      <c r="C4278" s="17" t="s">
        <v>39</v>
      </c>
      <c r="D4278" s="17" t="s">
        <v>86</v>
      </c>
      <c r="E4278" s="17" t="s">
        <v>168</v>
      </c>
      <c r="F4278" s="17" t="s">
        <v>164</v>
      </c>
      <c r="G4278" s="17">
        <v>7</v>
      </c>
      <c r="H4278" s="17">
        <v>14390</v>
      </c>
      <c r="I4278" s="17">
        <v>100730</v>
      </c>
      <c r="J4278" s="17">
        <v>2894</v>
      </c>
      <c r="K4278" s="17">
        <v>97836</v>
      </c>
      <c r="L4278" s="17">
        <v>9956.7682000000004</v>
      </c>
      <c r="M4278" s="17">
        <v>2024</v>
      </c>
      <c r="N4278" s="17" t="s">
        <v>117</v>
      </c>
    </row>
    <row r="4279" spans="1:14" ht="14.25" customHeight="1">
      <c r="A4279" s="17">
        <v>14278</v>
      </c>
      <c r="B4279" s="18">
        <v>45768</v>
      </c>
      <c r="C4279" s="17" t="s">
        <v>50</v>
      </c>
      <c r="D4279" s="17" t="s">
        <v>86</v>
      </c>
      <c r="E4279" s="17" t="s">
        <v>165</v>
      </c>
      <c r="F4279" s="17" t="s">
        <v>164</v>
      </c>
      <c r="G4279" s="17">
        <v>9</v>
      </c>
      <c r="H4279" s="17">
        <v>38777</v>
      </c>
      <c r="I4279" s="17">
        <v>348993</v>
      </c>
      <c r="J4279" s="17">
        <v>3279</v>
      </c>
      <c r="K4279" s="17">
        <v>345714</v>
      </c>
      <c r="L4279" s="17">
        <v>48495.705240000003</v>
      </c>
      <c r="M4279" s="17">
        <v>2025</v>
      </c>
      <c r="N4279" s="17" t="s">
        <v>114</v>
      </c>
    </row>
    <row r="4280" spans="1:14" ht="14.25" customHeight="1">
      <c r="A4280" s="17">
        <v>14279</v>
      </c>
      <c r="B4280" s="18">
        <v>45695</v>
      </c>
      <c r="C4280" s="17" t="s">
        <v>58</v>
      </c>
      <c r="D4280" s="17" t="s">
        <v>89</v>
      </c>
      <c r="E4280" s="17" t="s">
        <v>168</v>
      </c>
      <c r="F4280" s="17" t="s">
        <v>172</v>
      </c>
      <c r="G4280" s="17">
        <v>4</v>
      </c>
      <c r="H4280" s="17">
        <v>53588</v>
      </c>
      <c r="I4280" s="17">
        <v>214352</v>
      </c>
      <c r="J4280" s="17">
        <v>4921</v>
      </c>
      <c r="K4280" s="17">
        <v>209431</v>
      </c>
      <c r="L4280" s="17">
        <v>27387.35211</v>
      </c>
      <c r="M4280" s="17">
        <v>2025</v>
      </c>
      <c r="N4280" s="17" t="s">
        <v>175</v>
      </c>
    </row>
    <row r="4281" spans="1:14" ht="14.25" customHeight="1">
      <c r="A4281" s="17">
        <v>14280</v>
      </c>
      <c r="B4281" s="18">
        <v>45320</v>
      </c>
      <c r="C4281" s="17" t="s">
        <v>167</v>
      </c>
      <c r="D4281" s="17" t="s">
        <v>170</v>
      </c>
      <c r="E4281" s="17" t="s">
        <v>168</v>
      </c>
      <c r="F4281" s="17" t="s">
        <v>166</v>
      </c>
      <c r="G4281" s="17">
        <v>7</v>
      </c>
      <c r="H4281" s="17">
        <v>47667</v>
      </c>
      <c r="I4281" s="17">
        <v>333669</v>
      </c>
      <c r="J4281" s="17">
        <v>4839</v>
      </c>
      <c r="K4281" s="17">
        <v>328830</v>
      </c>
      <c r="L4281" s="17">
        <v>40140.319869999999</v>
      </c>
      <c r="M4281" s="17">
        <v>2024</v>
      </c>
      <c r="N4281" s="17" t="s">
        <v>171</v>
      </c>
    </row>
    <row r="4282" spans="1:14" ht="14.25" customHeight="1">
      <c r="A4282" s="17">
        <v>14281</v>
      </c>
      <c r="B4282" s="18">
        <v>45629</v>
      </c>
      <c r="C4282" s="17" t="s">
        <v>39</v>
      </c>
      <c r="D4282" s="17" t="s">
        <v>170</v>
      </c>
      <c r="E4282" s="17" t="s">
        <v>168</v>
      </c>
      <c r="F4282" s="17" t="s">
        <v>163</v>
      </c>
      <c r="G4282" s="17">
        <v>3</v>
      </c>
      <c r="H4282" s="17">
        <v>34980</v>
      </c>
      <c r="I4282" s="17">
        <v>104940</v>
      </c>
      <c r="J4282" s="17">
        <v>2224</v>
      </c>
      <c r="K4282" s="17">
        <v>102716</v>
      </c>
      <c r="L4282" s="17">
        <v>21016.912260000001</v>
      </c>
      <c r="M4282" s="17">
        <v>2024</v>
      </c>
      <c r="N4282" s="17" t="s">
        <v>169</v>
      </c>
    </row>
    <row r="4283" spans="1:14" ht="14.25" customHeight="1">
      <c r="A4283" s="17">
        <v>14282</v>
      </c>
      <c r="B4283" s="18">
        <v>46005</v>
      </c>
      <c r="C4283" s="17" t="s">
        <v>50</v>
      </c>
      <c r="D4283" s="17" t="s">
        <v>170</v>
      </c>
      <c r="E4283" s="17" t="s">
        <v>162</v>
      </c>
      <c r="F4283" s="17" t="s">
        <v>166</v>
      </c>
      <c r="G4283" s="17">
        <v>2</v>
      </c>
      <c r="H4283" s="17">
        <v>28808</v>
      </c>
      <c r="I4283" s="17">
        <v>57616</v>
      </c>
      <c r="J4283" s="17">
        <v>2558</v>
      </c>
      <c r="K4283" s="17">
        <v>55058</v>
      </c>
      <c r="L4283" s="17">
        <v>10187.143599999999</v>
      </c>
      <c r="M4283" s="17">
        <v>2025</v>
      </c>
      <c r="N4283" s="17" t="s">
        <v>169</v>
      </c>
    </row>
    <row r="4284" spans="1:14" ht="14.25" customHeight="1">
      <c r="A4284" s="17">
        <v>14283</v>
      </c>
      <c r="B4284" s="18">
        <v>45652</v>
      </c>
      <c r="C4284" s="17" t="s">
        <v>39</v>
      </c>
      <c r="D4284" s="17" t="s">
        <v>86</v>
      </c>
      <c r="E4284" s="17" t="s">
        <v>168</v>
      </c>
      <c r="F4284" s="17" t="s">
        <v>172</v>
      </c>
      <c r="G4284" s="17">
        <v>1</v>
      </c>
      <c r="H4284" s="17">
        <v>68470</v>
      </c>
      <c r="I4284" s="17">
        <v>68470</v>
      </c>
      <c r="J4284" s="17">
        <v>3690</v>
      </c>
      <c r="K4284" s="17">
        <v>64780</v>
      </c>
      <c r="L4284" s="17">
        <v>10888.88222</v>
      </c>
      <c r="M4284" s="17">
        <v>2024</v>
      </c>
      <c r="N4284" s="17" t="s">
        <v>169</v>
      </c>
    </row>
    <row r="4285" spans="1:14" ht="14.25" customHeight="1">
      <c r="A4285" s="17">
        <v>14284</v>
      </c>
      <c r="B4285" s="18">
        <v>45860</v>
      </c>
      <c r="C4285" s="17" t="s">
        <v>58</v>
      </c>
      <c r="D4285" s="17" t="s">
        <v>170</v>
      </c>
      <c r="E4285" s="17" t="s">
        <v>162</v>
      </c>
      <c r="F4285" s="17" t="s">
        <v>163</v>
      </c>
      <c r="G4285" s="17">
        <v>6</v>
      </c>
      <c r="H4285" s="17">
        <v>77762</v>
      </c>
      <c r="I4285" s="17">
        <v>466572</v>
      </c>
      <c r="J4285" s="17">
        <v>138</v>
      </c>
      <c r="K4285" s="17">
        <v>466434</v>
      </c>
      <c r="L4285" s="17">
        <v>59901.58064</v>
      </c>
      <c r="M4285" s="17">
        <v>2025</v>
      </c>
      <c r="N4285" s="17" t="s">
        <v>123</v>
      </c>
    </row>
    <row r="4286" spans="1:14" ht="14.25" customHeight="1">
      <c r="A4286" s="17">
        <v>14285</v>
      </c>
      <c r="B4286" s="18">
        <v>45683</v>
      </c>
      <c r="C4286" s="17" t="s">
        <v>45</v>
      </c>
      <c r="D4286" s="17" t="s">
        <v>83</v>
      </c>
      <c r="E4286" s="17" t="s">
        <v>162</v>
      </c>
      <c r="F4286" s="17" t="s">
        <v>166</v>
      </c>
      <c r="G4286" s="17">
        <v>5</v>
      </c>
      <c r="H4286" s="17">
        <v>22926</v>
      </c>
      <c r="I4286" s="17">
        <v>114630</v>
      </c>
      <c r="J4286" s="17">
        <v>3173</v>
      </c>
      <c r="K4286" s="17">
        <v>111457</v>
      </c>
      <c r="L4286" s="17">
        <v>15787.07135</v>
      </c>
      <c r="M4286" s="17">
        <v>2025</v>
      </c>
      <c r="N4286" s="17" t="s">
        <v>171</v>
      </c>
    </row>
    <row r="4287" spans="1:14" ht="14.25" customHeight="1">
      <c r="A4287" s="17">
        <v>14286</v>
      </c>
      <c r="B4287" s="18">
        <v>45509</v>
      </c>
      <c r="C4287" s="17" t="s">
        <v>50</v>
      </c>
      <c r="D4287" s="17" t="s">
        <v>111</v>
      </c>
      <c r="E4287" s="17" t="s">
        <v>162</v>
      </c>
      <c r="F4287" s="17" t="s">
        <v>164</v>
      </c>
      <c r="G4287" s="17">
        <v>2</v>
      </c>
      <c r="H4287" s="17">
        <v>22621</v>
      </c>
      <c r="I4287" s="17">
        <v>45242</v>
      </c>
      <c r="J4287" s="17">
        <v>2520</v>
      </c>
      <c r="K4287" s="17">
        <v>42722</v>
      </c>
      <c r="L4287" s="17">
        <v>6554.2023520000002</v>
      </c>
      <c r="M4287" s="17">
        <v>2024</v>
      </c>
      <c r="N4287" s="17" t="s">
        <v>126</v>
      </c>
    </row>
    <row r="4288" spans="1:14" ht="14.25" customHeight="1">
      <c r="A4288" s="17">
        <v>14287</v>
      </c>
      <c r="B4288" s="18">
        <v>45865</v>
      </c>
      <c r="C4288" s="17" t="s">
        <v>39</v>
      </c>
      <c r="D4288" s="17" t="s">
        <v>170</v>
      </c>
      <c r="E4288" s="17" t="s">
        <v>165</v>
      </c>
      <c r="F4288" s="17" t="s">
        <v>163</v>
      </c>
      <c r="G4288" s="17">
        <v>3</v>
      </c>
      <c r="H4288" s="17">
        <v>16167</v>
      </c>
      <c r="I4288" s="17">
        <v>48501</v>
      </c>
      <c r="J4288" s="17">
        <v>4637</v>
      </c>
      <c r="K4288" s="17">
        <v>43864</v>
      </c>
      <c r="L4288" s="17">
        <v>9554.5618799999993</v>
      </c>
      <c r="M4288" s="17">
        <v>2025</v>
      </c>
      <c r="N4288" s="17" t="s">
        <v>123</v>
      </c>
    </row>
    <row r="4289" spans="1:14" ht="14.25" customHeight="1">
      <c r="A4289" s="17">
        <v>14288</v>
      </c>
      <c r="B4289" s="18">
        <v>45960</v>
      </c>
      <c r="C4289" s="17" t="s">
        <v>39</v>
      </c>
      <c r="D4289" s="17" t="s">
        <v>111</v>
      </c>
      <c r="E4289" s="17" t="s">
        <v>168</v>
      </c>
      <c r="F4289" s="17" t="s">
        <v>172</v>
      </c>
      <c r="G4289" s="17">
        <v>9</v>
      </c>
      <c r="H4289" s="17">
        <v>76245</v>
      </c>
      <c r="I4289" s="17">
        <v>686205</v>
      </c>
      <c r="J4289" s="17">
        <v>2241</v>
      </c>
      <c r="K4289" s="17">
        <v>683964</v>
      </c>
      <c r="L4289" s="17">
        <v>169881.89430000001</v>
      </c>
      <c r="M4289" s="17">
        <v>2025</v>
      </c>
      <c r="N4289" s="17" t="s">
        <v>174</v>
      </c>
    </row>
    <row r="4290" spans="1:14" ht="14.25" customHeight="1">
      <c r="A4290" s="17">
        <v>14289</v>
      </c>
      <c r="B4290" s="18">
        <v>45493</v>
      </c>
      <c r="C4290" s="17" t="s">
        <v>39</v>
      </c>
      <c r="D4290" s="17" t="s">
        <v>86</v>
      </c>
      <c r="E4290" s="17" t="s">
        <v>165</v>
      </c>
      <c r="F4290" s="17" t="s">
        <v>164</v>
      </c>
      <c r="G4290" s="17">
        <v>3</v>
      </c>
      <c r="H4290" s="17">
        <v>40031</v>
      </c>
      <c r="I4290" s="17">
        <v>120093</v>
      </c>
      <c r="J4290" s="17">
        <v>3827</v>
      </c>
      <c r="K4290" s="17">
        <v>116266</v>
      </c>
      <c r="L4290" s="17">
        <v>14835.141439999999</v>
      </c>
      <c r="M4290" s="17">
        <v>2024</v>
      </c>
      <c r="N4290" s="17" t="s">
        <v>123</v>
      </c>
    </row>
    <row r="4291" spans="1:14" ht="14.25" customHeight="1">
      <c r="A4291" s="17">
        <v>14290</v>
      </c>
      <c r="B4291" s="18">
        <v>45308</v>
      </c>
      <c r="C4291" s="17" t="s">
        <v>45</v>
      </c>
      <c r="D4291" s="17" t="s">
        <v>170</v>
      </c>
      <c r="E4291" s="17" t="s">
        <v>162</v>
      </c>
      <c r="F4291" s="17" t="s">
        <v>172</v>
      </c>
      <c r="G4291" s="17">
        <v>7</v>
      </c>
      <c r="H4291" s="17">
        <v>37146</v>
      </c>
      <c r="I4291" s="17">
        <v>260022</v>
      </c>
      <c r="J4291" s="17">
        <v>1337</v>
      </c>
      <c r="K4291" s="17">
        <v>258685</v>
      </c>
      <c r="L4291" s="17">
        <v>39120.51874</v>
      </c>
      <c r="M4291" s="17">
        <v>2024</v>
      </c>
      <c r="N4291" s="17" t="s">
        <v>171</v>
      </c>
    </row>
    <row r="4292" spans="1:14" ht="14.25" customHeight="1">
      <c r="A4292" s="17">
        <v>14291</v>
      </c>
      <c r="B4292" s="18">
        <v>45613</v>
      </c>
      <c r="C4292" s="17" t="s">
        <v>39</v>
      </c>
      <c r="D4292" s="17" t="s">
        <v>89</v>
      </c>
      <c r="E4292" s="17" t="s">
        <v>168</v>
      </c>
      <c r="F4292" s="17" t="s">
        <v>164</v>
      </c>
      <c r="G4292" s="17">
        <v>1</v>
      </c>
      <c r="H4292" s="17">
        <v>12998</v>
      </c>
      <c r="I4292" s="17">
        <v>12998</v>
      </c>
      <c r="J4292" s="17">
        <v>4089</v>
      </c>
      <c r="K4292" s="17">
        <v>8909</v>
      </c>
      <c r="L4292" s="17">
        <v>1265.3473369999999</v>
      </c>
      <c r="M4292" s="17">
        <v>2024</v>
      </c>
      <c r="N4292" s="17" t="s">
        <v>173</v>
      </c>
    </row>
    <row r="4293" spans="1:14" ht="14.25" customHeight="1">
      <c r="A4293" s="17">
        <v>14292</v>
      </c>
      <c r="B4293" s="18">
        <v>45809</v>
      </c>
      <c r="C4293" s="17" t="s">
        <v>167</v>
      </c>
      <c r="D4293" s="17" t="s">
        <v>86</v>
      </c>
      <c r="E4293" s="17" t="s">
        <v>165</v>
      </c>
      <c r="F4293" s="17" t="s">
        <v>166</v>
      </c>
      <c r="G4293" s="17">
        <v>7</v>
      </c>
      <c r="H4293" s="17">
        <v>45508</v>
      </c>
      <c r="I4293" s="17">
        <v>318556</v>
      </c>
      <c r="J4293" s="17">
        <v>2852</v>
      </c>
      <c r="K4293" s="17">
        <v>315704</v>
      </c>
      <c r="L4293" s="17">
        <v>33657.237910000003</v>
      </c>
      <c r="M4293" s="17">
        <v>2025</v>
      </c>
      <c r="N4293" s="17" t="s">
        <v>120</v>
      </c>
    </row>
    <row r="4294" spans="1:14" ht="14.25" customHeight="1">
      <c r="A4294" s="17">
        <v>14293</v>
      </c>
      <c r="B4294" s="18">
        <v>45861</v>
      </c>
      <c r="C4294" s="17" t="s">
        <v>167</v>
      </c>
      <c r="D4294" s="17" t="s">
        <v>83</v>
      </c>
      <c r="E4294" s="17" t="s">
        <v>162</v>
      </c>
      <c r="F4294" s="17" t="s">
        <v>166</v>
      </c>
      <c r="G4294" s="17">
        <v>9</v>
      </c>
      <c r="H4294" s="17">
        <v>36101</v>
      </c>
      <c r="I4294" s="17">
        <v>324909</v>
      </c>
      <c r="J4294" s="17">
        <v>2294</v>
      </c>
      <c r="K4294" s="17">
        <v>322615</v>
      </c>
      <c r="L4294" s="17">
        <v>42869.993730000002</v>
      </c>
      <c r="M4294" s="17">
        <v>2025</v>
      </c>
      <c r="N4294" s="17" t="s">
        <v>123</v>
      </c>
    </row>
    <row r="4295" spans="1:14" ht="14.25" customHeight="1">
      <c r="A4295" s="17">
        <v>14294</v>
      </c>
      <c r="B4295" s="18">
        <v>45616</v>
      </c>
      <c r="C4295" s="17" t="s">
        <v>39</v>
      </c>
      <c r="D4295" s="17" t="s">
        <v>83</v>
      </c>
      <c r="E4295" s="17" t="s">
        <v>165</v>
      </c>
      <c r="F4295" s="17" t="s">
        <v>166</v>
      </c>
      <c r="G4295" s="17">
        <v>8</v>
      </c>
      <c r="H4295" s="17">
        <v>29747</v>
      </c>
      <c r="I4295" s="17">
        <v>237976</v>
      </c>
      <c r="J4295" s="17">
        <v>2677</v>
      </c>
      <c r="K4295" s="17">
        <v>235299</v>
      </c>
      <c r="L4295" s="17">
        <v>55352.228889999999</v>
      </c>
      <c r="M4295" s="17">
        <v>2024</v>
      </c>
      <c r="N4295" s="17" t="s">
        <v>173</v>
      </c>
    </row>
    <row r="4296" spans="1:14" ht="14.25" customHeight="1">
      <c r="A4296" s="17">
        <v>14295</v>
      </c>
      <c r="B4296" s="18">
        <v>45703</v>
      </c>
      <c r="C4296" s="17" t="s">
        <v>167</v>
      </c>
      <c r="D4296" s="17" t="s">
        <v>111</v>
      </c>
      <c r="E4296" s="17" t="s">
        <v>165</v>
      </c>
      <c r="F4296" s="17" t="s">
        <v>172</v>
      </c>
      <c r="G4296" s="17">
        <v>7</v>
      </c>
      <c r="H4296" s="17">
        <v>65800</v>
      </c>
      <c r="I4296" s="17">
        <v>460600</v>
      </c>
      <c r="J4296" s="17">
        <v>72</v>
      </c>
      <c r="K4296" s="17">
        <v>460528</v>
      </c>
      <c r="L4296" s="17">
        <v>104276.7687</v>
      </c>
      <c r="M4296" s="17">
        <v>2025</v>
      </c>
      <c r="N4296" s="17" t="s">
        <v>175</v>
      </c>
    </row>
    <row r="4297" spans="1:14" ht="14.25" customHeight="1">
      <c r="A4297" s="17">
        <v>14296</v>
      </c>
      <c r="B4297" s="18">
        <v>45609</v>
      </c>
      <c r="C4297" s="17" t="s">
        <v>50</v>
      </c>
      <c r="D4297" s="17" t="s">
        <v>111</v>
      </c>
      <c r="E4297" s="17" t="s">
        <v>168</v>
      </c>
      <c r="F4297" s="17" t="s">
        <v>163</v>
      </c>
      <c r="G4297" s="17">
        <v>8</v>
      </c>
      <c r="H4297" s="17">
        <v>6882</v>
      </c>
      <c r="I4297" s="17">
        <v>55056</v>
      </c>
      <c r="J4297" s="17">
        <v>2878</v>
      </c>
      <c r="K4297" s="17">
        <v>52178</v>
      </c>
      <c r="L4297" s="17">
        <v>6529.5339059999997</v>
      </c>
      <c r="M4297" s="17">
        <v>2024</v>
      </c>
      <c r="N4297" s="17" t="s">
        <v>173</v>
      </c>
    </row>
    <row r="4298" spans="1:14" ht="14.25" customHeight="1">
      <c r="A4298" s="17">
        <v>14297</v>
      </c>
      <c r="B4298" s="18">
        <v>45972</v>
      </c>
      <c r="C4298" s="17" t="s">
        <v>167</v>
      </c>
      <c r="D4298" s="17" t="s">
        <v>89</v>
      </c>
      <c r="E4298" s="17" t="s">
        <v>168</v>
      </c>
      <c r="F4298" s="17" t="s">
        <v>166</v>
      </c>
      <c r="G4298" s="17">
        <v>4</v>
      </c>
      <c r="H4298" s="17">
        <v>43955</v>
      </c>
      <c r="I4298" s="17">
        <v>175820</v>
      </c>
      <c r="J4298" s="17">
        <v>2141</v>
      </c>
      <c r="K4298" s="17">
        <v>173679</v>
      </c>
      <c r="L4298" s="17">
        <v>26907.123879999999</v>
      </c>
      <c r="M4298" s="17">
        <v>2025</v>
      </c>
      <c r="N4298" s="17" t="s">
        <v>173</v>
      </c>
    </row>
    <row r="4299" spans="1:14" ht="14.25" customHeight="1">
      <c r="A4299" s="17">
        <v>14298</v>
      </c>
      <c r="B4299" s="18">
        <v>45373</v>
      </c>
      <c r="C4299" s="17" t="s">
        <v>39</v>
      </c>
      <c r="D4299" s="17" t="s">
        <v>89</v>
      </c>
      <c r="E4299" s="17" t="s">
        <v>165</v>
      </c>
      <c r="F4299" s="17" t="s">
        <v>172</v>
      </c>
      <c r="G4299" s="17">
        <v>2</v>
      </c>
      <c r="H4299" s="17">
        <v>64965</v>
      </c>
      <c r="I4299" s="17">
        <v>129930</v>
      </c>
      <c r="J4299" s="17">
        <v>4530</v>
      </c>
      <c r="K4299" s="17">
        <v>125400</v>
      </c>
      <c r="L4299" s="17">
        <v>18386.205470000001</v>
      </c>
      <c r="M4299" s="17">
        <v>2024</v>
      </c>
      <c r="N4299" s="17" t="s">
        <v>112</v>
      </c>
    </row>
    <row r="4300" spans="1:14" ht="14.25" customHeight="1">
      <c r="A4300" s="17">
        <v>14299</v>
      </c>
      <c r="B4300" s="18">
        <v>45765</v>
      </c>
      <c r="C4300" s="17" t="s">
        <v>58</v>
      </c>
      <c r="D4300" s="17" t="s">
        <v>83</v>
      </c>
      <c r="E4300" s="17" t="s">
        <v>168</v>
      </c>
      <c r="F4300" s="17" t="s">
        <v>164</v>
      </c>
      <c r="G4300" s="17">
        <v>9</v>
      </c>
      <c r="H4300" s="17">
        <v>46560</v>
      </c>
      <c r="I4300" s="17">
        <v>419040</v>
      </c>
      <c r="J4300" s="17">
        <v>1806</v>
      </c>
      <c r="K4300" s="17">
        <v>417234</v>
      </c>
      <c r="L4300" s="17">
        <v>50969.773249999998</v>
      </c>
      <c r="M4300" s="17">
        <v>2025</v>
      </c>
      <c r="N4300" s="17" t="s">
        <v>114</v>
      </c>
    </row>
    <row r="4301" spans="1:14" ht="14.25" customHeight="1">
      <c r="A4301" s="17">
        <v>14300</v>
      </c>
      <c r="B4301" s="18">
        <v>45759</v>
      </c>
      <c r="C4301" s="17" t="s">
        <v>50</v>
      </c>
      <c r="D4301" s="17" t="s">
        <v>170</v>
      </c>
      <c r="E4301" s="17" t="s">
        <v>168</v>
      </c>
      <c r="F4301" s="17" t="s">
        <v>166</v>
      </c>
      <c r="G4301" s="17">
        <v>3</v>
      </c>
      <c r="H4301" s="17">
        <v>36343</v>
      </c>
      <c r="I4301" s="17">
        <v>109029</v>
      </c>
      <c r="J4301" s="17">
        <v>2045</v>
      </c>
      <c r="K4301" s="17">
        <v>106984</v>
      </c>
      <c r="L4301" s="17">
        <v>20683.348460000001</v>
      </c>
      <c r="M4301" s="17">
        <v>2025</v>
      </c>
      <c r="N4301" s="17" t="s">
        <v>114</v>
      </c>
    </row>
    <row r="4302" spans="1:14" ht="14.25" customHeight="1">
      <c r="A4302" s="17">
        <v>14301</v>
      </c>
      <c r="B4302" s="18">
        <v>45716</v>
      </c>
      <c r="C4302" s="17" t="s">
        <v>45</v>
      </c>
      <c r="D4302" s="17" t="s">
        <v>83</v>
      </c>
      <c r="E4302" s="17" t="s">
        <v>165</v>
      </c>
      <c r="F4302" s="17" t="s">
        <v>164</v>
      </c>
      <c r="G4302" s="17">
        <v>4</v>
      </c>
      <c r="H4302" s="17">
        <v>8950</v>
      </c>
      <c r="I4302" s="17">
        <v>35800</v>
      </c>
      <c r="J4302" s="17">
        <v>3502</v>
      </c>
      <c r="K4302" s="17">
        <v>32298</v>
      </c>
      <c r="L4302" s="17">
        <v>5929.74046</v>
      </c>
      <c r="M4302" s="17">
        <v>2025</v>
      </c>
      <c r="N4302" s="17" t="s">
        <v>175</v>
      </c>
    </row>
    <row r="4303" spans="1:14" ht="14.25" customHeight="1">
      <c r="A4303" s="17">
        <v>14302</v>
      </c>
      <c r="B4303" s="18">
        <v>46022</v>
      </c>
      <c r="C4303" s="17" t="s">
        <v>39</v>
      </c>
      <c r="D4303" s="17" t="s">
        <v>83</v>
      </c>
      <c r="E4303" s="17" t="s">
        <v>168</v>
      </c>
      <c r="F4303" s="17" t="s">
        <v>166</v>
      </c>
      <c r="G4303" s="17">
        <v>7</v>
      </c>
      <c r="H4303" s="17">
        <v>8889</v>
      </c>
      <c r="I4303" s="17">
        <v>62223</v>
      </c>
      <c r="J4303" s="17">
        <v>4552</v>
      </c>
      <c r="K4303" s="17">
        <v>57671</v>
      </c>
      <c r="L4303" s="17">
        <v>9460.8525730000001</v>
      </c>
      <c r="M4303" s="17">
        <v>2025</v>
      </c>
      <c r="N4303" s="17" t="s">
        <v>169</v>
      </c>
    </row>
    <row r="4304" spans="1:14" ht="14.25" customHeight="1">
      <c r="A4304" s="17">
        <v>14303</v>
      </c>
      <c r="B4304" s="18">
        <v>45980</v>
      </c>
      <c r="C4304" s="17" t="s">
        <v>45</v>
      </c>
      <c r="D4304" s="17" t="s">
        <v>89</v>
      </c>
      <c r="E4304" s="17" t="s">
        <v>168</v>
      </c>
      <c r="F4304" s="17" t="s">
        <v>164</v>
      </c>
      <c r="G4304" s="17">
        <v>2</v>
      </c>
      <c r="H4304" s="17">
        <v>35410</v>
      </c>
      <c r="I4304" s="17">
        <v>70820</v>
      </c>
      <c r="J4304" s="17">
        <v>3501</v>
      </c>
      <c r="K4304" s="17">
        <v>67319</v>
      </c>
      <c r="L4304" s="17">
        <v>15370.593790000001</v>
      </c>
      <c r="M4304" s="17">
        <v>2025</v>
      </c>
      <c r="N4304" s="17" t="s">
        <v>173</v>
      </c>
    </row>
    <row r="4305" spans="1:14" ht="14.25" customHeight="1">
      <c r="A4305" s="17">
        <v>14304</v>
      </c>
      <c r="B4305" s="18">
        <v>45495</v>
      </c>
      <c r="C4305" s="17" t="s">
        <v>58</v>
      </c>
      <c r="D4305" s="17" t="s">
        <v>111</v>
      </c>
      <c r="E4305" s="17" t="s">
        <v>162</v>
      </c>
      <c r="F4305" s="17" t="s">
        <v>172</v>
      </c>
      <c r="G4305" s="17">
        <v>8</v>
      </c>
      <c r="H4305" s="17">
        <v>23976</v>
      </c>
      <c r="I4305" s="17">
        <v>191808</v>
      </c>
      <c r="J4305" s="17">
        <v>2276</v>
      </c>
      <c r="K4305" s="17">
        <v>189532</v>
      </c>
      <c r="L4305" s="17">
        <v>36571.469449999997</v>
      </c>
      <c r="M4305" s="17">
        <v>2024</v>
      </c>
      <c r="N4305" s="17" t="s">
        <v>123</v>
      </c>
    </row>
    <row r="4306" spans="1:14" ht="14.25" customHeight="1">
      <c r="A4306" s="17">
        <v>14305</v>
      </c>
      <c r="B4306" s="18">
        <v>45874</v>
      </c>
      <c r="C4306" s="17" t="s">
        <v>45</v>
      </c>
      <c r="D4306" s="17" t="s">
        <v>89</v>
      </c>
      <c r="E4306" s="17" t="s">
        <v>168</v>
      </c>
      <c r="F4306" s="17" t="s">
        <v>166</v>
      </c>
      <c r="G4306" s="17">
        <v>8</v>
      </c>
      <c r="H4306" s="17">
        <v>28016</v>
      </c>
      <c r="I4306" s="17">
        <v>224128</v>
      </c>
      <c r="J4306" s="17">
        <v>2077</v>
      </c>
      <c r="K4306" s="17">
        <v>222051</v>
      </c>
      <c r="L4306" s="17">
        <v>30840.897069999999</v>
      </c>
      <c r="M4306" s="17">
        <v>2025</v>
      </c>
      <c r="N4306" s="17" t="s">
        <v>126</v>
      </c>
    </row>
    <row r="4307" spans="1:14" ht="14.25" customHeight="1">
      <c r="A4307" s="17">
        <v>14306</v>
      </c>
      <c r="B4307" s="18">
        <v>45678</v>
      </c>
      <c r="C4307" s="17" t="s">
        <v>39</v>
      </c>
      <c r="D4307" s="17" t="s">
        <v>89</v>
      </c>
      <c r="E4307" s="17" t="s">
        <v>162</v>
      </c>
      <c r="F4307" s="17" t="s">
        <v>172</v>
      </c>
      <c r="G4307" s="17">
        <v>5</v>
      </c>
      <c r="H4307" s="17">
        <v>79747</v>
      </c>
      <c r="I4307" s="17">
        <v>398735</v>
      </c>
      <c r="J4307" s="17">
        <v>1648</v>
      </c>
      <c r="K4307" s="17">
        <v>397087</v>
      </c>
      <c r="L4307" s="17">
        <v>61967.693950000001</v>
      </c>
      <c r="M4307" s="17">
        <v>2025</v>
      </c>
      <c r="N4307" s="17" t="s">
        <v>171</v>
      </c>
    </row>
    <row r="4308" spans="1:14" ht="14.25" customHeight="1">
      <c r="A4308" s="17">
        <v>14307</v>
      </c>
      <c r="B4308" s="18">
        <v>45389</v>
      </c>
      <c r="C4308" s="17" t="s">
        <v>39</v>
      </c>
      <c r="D4308" s="17" t="s">
        <v>89</v>
      </c>
      <c r="E4308" s="17" t="s">
        <v>165</v>
      </c>
      <c r="F4308" s="17" t="s">
        <v>172</v>
      </c>
      <c r="G4308" s="17">
        <v>9</v>
      </c>
      <c r="H4308" s="17">
        <v>27742</v>
      </c>
      <c r="I4308" s="17">
        <v>249678</v>
      </c>
      <c r="J4308" s="17">
        <v>334</v>
      </c>
      <c r="K4308" s="17">
        <v>249344</v>
      </c>
      <c r="L4308" s="17">
        <v>30550.501939999998</v>
      </c>
      <c r="M4308" s="17">
        <v>2024</v>
      </c>
      <c r="N4308" s="17" t="s">
        <v>114</v>
      </c>
    </row>
    <row r="4309" spans="1:14" ht="14.25" customHeight="1">
      <c r="A4309" s="17">
        <v>14308</v>
      </c>
      <c r="B4309" s="18">
        <v>45636</v>
      </c>
      <c r="C4309" s="17" t="s">
        <v>58</v>
      </c>
      <c r="D4309" s="17" t="s">
        <v>83</v>
      </c>
      <c r="E4309" s="17" t="s">
        <v>162</v>
      </c>
      <c r="F4309" s="17" t="s">
        <v>164</v>
      </c>
      <c r="G4309" s="17">
        <v>8</v>
      </c>
      <c r="H4309" s="17">
        <v>28553</v>
      </c>
      <c r="I4309" s="17">
        <v>228424</v>
      </c>
      <c r="J4309" s="17">
        <v>4755</v>
      </c>
      <c r="K4309" s="17">
        <v>223669</v>
      </c>
      <c r="L4309" s="17">
        <v>42207.680289999997</v>
      </c>
      <c r="M4309" s="17">
        <v>2024</v>
      </c>
      <c r="N4309" s="17" t="s">
        <v>169</v>
      </c>
    </row>
    <row r="4310" spans="1:14" ht="14.25" customHeight="1">
      <c r="A4310" s="17">
        <v>14309</v>
      </c>
      <c r="B4310" s="18">
        <v>45499</v>
      </c>
      <c r="C4310" s="17" t="s">
        <v>39</v>
      </c>
      <c r="D4310" s="17" t="s">
        <v>170</v>
      </c>
      <c r="E4310" s="17" t="s">
        <v>165</v>
      </c>
      <c r="F4310" s="17" t="s">
        <v>166</v>
      </c>
      <c r="G4310" s="17">
        <v>1</v>
      </c>
      <c r="H4310" s="17">
        <v>68338</v>
      </c>
      <c r="I4310" s="17">
        <v>68338</v>
      </c>
      <c r="J4310" s="17">
        <v>4664</v>
      </c>
      <c r="K4310" s="17">
        <v>63674</v>
      </c>
      <c r="L4310" s="17">
        <v>11970.353080000001</v>
      </c>
      <c r="M4310" s="17">
        <v>2024</v>
      </c>
      <c r="N4310" s="17" t="s">
        <v>123</v>
      </c>
    </row>
    <row r="4311" spans="1:14" ht="14.25" customHeight="1">
      <c r="A4311" s="17">
        <v>14310</v>
      </c>
      <c r="B4311" s="18">
        <v>45805</v>
      </c>
      <c r="C4311" s="17" t="s">
        <v>58</v>
      </c>
      <c r="D4311" s="17" t="s">
        <v>83</v>
      </c>
      <c r="E4311" s="17" t="s">
        <v>168</v>
      </c>
      <c r="F4311" s="17" t="s">
        <v>163</v>
      </c>
      <c r="G4311" s="17">
        <v>9</v>
      </c>
      <c r="H4311" s="17">
        <v>34332</v>
      </c>
      <c r="I4311" s="17">
        <v>308988</v>
      </c>
      <c r="J4311" s="17">
        <v>4272</v>
      </c>
      <c r="K4311" s="17">
        <v>304716</v>
      </c>
      <c r="L4311" s="17">
        <v>70245.433810000002</v>
      </c>
      <c r="M4311" s="17">
        <v>2025</v>
      </c>
      <c r="N4311" s="17" t="s">
        <v>117</v>
      </c>
    </row>
    <row r="4312" spans="1:14" ht="14.25" customHeight="1">
      <c r="A4312" s="17">
        <v>14311</v>
      </c>
      <c r="B4312" s="18">
        <v>45927</v>
      </c>
      <c r="C4312" s="17" t="s">
        <v>58</v>
      </c>
      <c r="D4312" s="17" t="s">
        <v>86</v>
      </c>
      <c r="E4312" s="17" t="s">
        <v>168</v>
      </c>
      <c r="F4312" s="17" t="s">
        <v>163</v>
      </c>
      <c r="G4312" s="17">
        <v>5</v>
      </c>
      <c r="H4312" s="17">
        <v>9436</v>
      </c>
      <c r="I4312" s="17">
        <v>47180</v>
      </c>
      <c r="J4312" s="17">
        <v>2871</v>
      </c>
      <c r="K4312" s="17">
        <v>44309</v>
      </c>
      <c r="L4312" s="17">
        <v>10118.957329999999</v>
      </c>
      <c r="M4312" s="17">
        <v>2025</v>
      </c>
      <c r="N4312" s="17" t="s">
        <v>129</v>
      </c>
    </row>
    <row r="4313" spans="1:14" ht="14.25" customHeight="1">
      <c r="A4313" s="17">
        <v>14312</v>
      </c>
      <c r="B4313" s="18">
        <v>45877</v>
      </c>
      <c r="C4313" s="17" t="s">
        <v>39</v>
      </c>
      <c r="D4313" s="17" t="s">
        <v>89</v>
      </c>
      <c r="E4313" s="17" t="s">
        <v>162</v>
      </c>
      <c r="F4313" s="17" t="s">
        <v>172</v>
      </c>
      <c r="G4313" s="17">
        <v>9</v>
      </c>
      <c r="H4313" s="17">
        <v>22087</v>
      </c>
      <c r="I4313" s="17">
        <v>198783</v>
      </c>
      <c r="J4313" s="17">
        <v>2615</v>
      </c>
      <c r="K4313" s="17">
        <v>196168</v>
      </c>
      <c r="L4313" s="17">
        <v>44243.986720000001</v>
      </c>
      <c r="M4313" s="17">
        <v>2025</v>
      </c>
      <c r="N4313" s="17" t="s">
        <v>126</v>
      </c>
    </row>
    <row r="4314" spans="1:14" ht="14.25" customHeight="1">
      <c r="A4314" s="17">
        <v>14313</v>
      </c>
      <c r="B4314" s="18">
        <v>45457</v>
      </c>
      <c r="C4314" s="17" t="s">
        <v>167</v>
      </c>
      <c r="D4314" s="17" t="s">
        <v>89</v>
      </c>
      <c r="E4314" s="17" t="s">
        <v>165</v>
      </c>
      <c r="F4314" s="17" t="s">
        <v>164</v>
      </c>
      <c r="G4314" s="17">
        <v>9</v>
      </c>
      <c r="H4314" s="17">
        <v>60702</v>
      </c>
      <c r="I4314" s="17">
        <v>546318</v>
      </c>
      <c r="J4314" s="17">
        <v>4872</v>
      </c>
      <c r="K4314" s="17">
        <v>541446</v>
      </c>
      <c r="L4314" s="17">
        <v>98728.805649999995</v>
      </c>
      <c r="M4314" s="17">
        <v>2024</v>
      </c>
      <c r="N4314" s="17" t="s">
        <v>120</v>
      </c>
    </row>
    <row r="4315" spans="1:14" ht="14.25" customHeight="1">
      <c r="A4315" s="17">
        <v>14314</v>
      </c>
      <c r="B4315" s="18">
        <v>45313</v>
      </c>
      <c r="C4315" s="17" t="s">
        <v>58</v>
      </c>
      <c r="D4315" s="17" t="s">
        <v>86</v>
      </c>
      <c r="E4315" s="17" t="s">
        <v>168</v>
      </c>
      <c r="F4315" s="17" t="s">
        <v>164</v>
      </c>
      <c r="G4315" s="17">
        <v>3</v>
      </c>
      <c r="H4315" s="17">
        <v>30428</v>
      </c>
      <c r="I4315" s="17">
        <v>91284</v>
      </c>
      <c r="J4315" s="17">
        <v>4172</v>
      </c>
      <c r="K4315" s="17">
        <v>87112</v>
      </c>
      <c r="L4315" s="17">
        <v>17231.012460000002</v>
      </c>
      <c r="M4315" s="17">
        <v>2024</v>
      </c>
      <c r="N4315" s="17" t="s">
        <v>171</v>
      </c>
    </row>
    <row r="4316" spans="1:14" ht="14.25" customHeight="1">
      <c r="A4316" s="17">
        <v>14315</v>
      </c>
      <c r="B4316" s="18">
        <v>45445</v>
      </c>
      <c r="C4316" s="17" t="s">
        <v>39</v>
      </c>
      <c r="D4316" s="17" t="s">
        <v>89</v>
      </c>
      <c r="E4316" s="17" t="s">
        <v>162</v>
      </c>
      <c r="F4316" s="17" t="s">
        <v>164</v>
      </c>
      <c r="G4316" s="17">
        <v>8</v>
      </c>
      <c r="H4316" s="17">
        <v>79033</v>
      </c>
      <c r="I4316" s="17">
        <v>632264</v>
      </c>
      <c r="J4316" s="17">
        <v>932</v>
      </c>
      <c r="K4316" s="17">
        <v>631332</v>
      </c>
      <c r="L4316" s="17">
        <v>136576.867</v>
      </c>
      <c r="M4316" s="17">
        <v>2024</v>
      </c>
      <c r="N4316" s="17" t="s">
        <v>120</v>
      </c>
    </row>
    <row r="4317" spans="1:14" ht="14.25" customHeight="1">
      <c r="A4317" s="17">
        <v>14316</v>
      </c>
      <c r="B4317" s="18">
        <v>45730</v>
      </c>
      <c r="C4317" s="17" t="s">
        <v>167</v>
      </c>
      <c r="D4317" s="17" t="s">
        <v>89</v>
      </c>
      <c r="E4317" s="17" t="s">
        <v>162</v>
      </c>
      <c r="F4317" s="17" t="s">
        <v>166</v>
      </c>
      <c r="G4317" s="17">
        <v>7</v>
      </c>
      <c r="H4317" s="17">
        <v>33154</v>
      </c>
      <c r="I4317" s="17">
        <v>232078</v>
      </c>
      <c r="J4317" s="17">
        <v>635</v>
      </c>
      <c r="K4317" s="17">
        <v>231443</v>
      </c>
      <c r="L4317" s="17">
        <v>26327.271850000001</v>
      </c>
      <c r="M4317" s="17">
        <v>2025</v>
      </c>
      <c r="N4317" s="17" t="s">
        <v>112</v>
      </c>
    </row>
    <row r="4318" spans="1:14" ht="14.25" customHeight="1">
      <c r="A4318" s="17">
        <v>14317</v>
      </c>
      <c r="B4318" s="18">
        <v>45586</v>
      </c>
      <c r="C4318" s="17" t="s">
        <v>58</v>
      </c>
      <c r="D4318" s="17" t="s">
        <v>89</v>
      </c>
      <c r="E4318" s="17" t="s">
        <v>162</v>
      </c>
      <c r="F4318" s="17" t="s">
        <v>166</v>
      </c>
      <c r="G4318" s="17">
        <v>7</v>
      </c>
      <c r="H4318" s="17">
        <v>49747</v>
      </c>
      <c r="I4318" s="17">
        <v>348229</v>
      </c>
      <c r="J4318" s="17">
        <v>3229</v>
      </c>
      <c r="K4318" s="17">
        <v>345000</v>
      </c>
      <c r="L4318" s="17">
        <v>50055.941079999997</v>
      </c>
      <c r="M4318" s="17">
        <v>2024</v>
      </c>
      <c r="N4318" s="17" t="s">
        <v>174</v>
      </c>
    </row>
    <row r="4319" spans="1:14" ht="14.25" customHeight="1">
      <c r="A4319" s="17">
        <v>14318</v>
      </c>
      <c r="B4319" s="18">
        <v>45510</v>
      </c>
      <c r="C4319" s="17" t="s">
        <v>167</v>
      </c>
      <c r="D4319" s="17" t="s">
        <v>86</v>
      </c>
      <c r="E4319" s="17" t="s">
        <v>168</v>
      </c>
      <c r="F4319" s="17" t="s">
        <v>164</v>
      </c>
      <c r="G4319" s="17">
        <v>2</v>
      </c>
      <c r="H4319" s="17">
        <v>39349</v>
      </c>
      <c r="I4319" s="17">
        <v>78698</v>
      </c>
      <c r="J4319" s="17">
        <v>1190</v>
      </c>
      <c r="K4319" s="17">
        <v>77508</v>
      </c>
      <c r="L4319" s="17">
        <v>9716.6734930000002</v>
      </c>
      <c r="M4319" s="17">
        <v>2024</v>
      </c>
      <c r="N4319" s="17" t="s">
        <v>126</v>
      </c>
    </row>
    <row r="4320" spans="1:14" ht="14.25" customHeight="1">
      <c r="A4320" s="17">
        <v>14319</v>
      </c>
      <c r="B4320" s="18">
        <v>45960</v>
      </c>
      <c r="C4320" s="17" t="s">
        <v>50</v>
      </c>
      <c r="D4320" s="17" t="s">
        <v>83</v>
      </c>
      <c r="E4320" s="17" t="s">
        <v>165</v>
      </c>
      <c r="F4320" s="17" t="s">
        <v>163</v>
      </c>
      <c r="G4320" s="17">
        <v>2</v>
      </c>
      <c r="H4320" s="17">
        <v>74493</v>
      </c>
      <c r="I4320" s="17">
        <v>148986</v>
      </c>
      <c r="J4320" s="17">
        <v>11</v>
      </c>
      <c r="K4320" s="17">
        <v>148975</v>
      </c>
      <c r="L4320" s="17">
        <v>26326.884959999999</v>
      </c>
      <c r="M4320" s="17">
        <v>2025</v>
      </c>
      <c r="N4320" s="17" t="s">
        <v>174</v>
      </c>
    </row>
    <row r="4321" spans="1:14" ht="14.25" customHeight="1">
      <c r="A4321" s="17">
        <v>14320</v>
      </c>
      <c r="B4321" s="18">
        <v>45786</v>
      </c>
      <c r="C4321" s="17" t="s">
        <v>50</v>
      </c>
      <c r="D4321" s="17" t="s">
        <v>89</v>
      </c>
      <c r="E4321" s="17" t="s">
        <v>168</v>
      </c>
      <c r="F4321" s="17" t="s">
        <v>163</v>
      </c>
      <c r="G4321" s="17">
        <v>2</v>
      </c>
      <c r="H4321" s="17">
        <v>42358</v>
      </c>
      <c r="I4321" s="17">
        <v>84716</v>
      </c>
      <c r="J4321" s="17">
        <v>4002</v>
      </c>
      <c r="K4321" s="17">
        <v>80714</v>
      </c>
      <c r="L4321" s="17">
        <v>18213.129720000001</v>
      </c>
      <c r="M4321" s="17">
        <v>2025</v>
      </c>
      <c r="N4321" s="17" t="s">
        <v>117</v>
      </c>
    </row>
    <row r="4322" spans="1:14" ht="14.25" customHeight="1">
      <c r="A4322" s="17">
        <v>14321</v>
      </c>
      <c r="B4322" s="18">
        <v>45521</v>
      </c>
      <c r="C4322" s="17" t="s">
        <v>167</v>
      </c>
      <c r="D4322" s="17" t="s">
        <v>170</v>
      </c>
      <c r="E4322" s="17" t="s">
        <v>168</v>
      </c>
      <c r="F4322" s="17" t="s">
        <v>166</v>
      </c>
      <c r="G4322" s="17">
        <v>2</v>
      </c>
      <c r="H4322" s="17">
        <v>57484</v>
      </c>
      <c r="I4322" s="17">
        <v>114968</v>
      </c>
      <c r="J4322" s="17">
        <v>4926</v>
      </c>
      <c r="K4322" s="17">
        <v>110042</v>
      </c>
      <c r="L4322" s="17">
        <v>14812.40098</v>
      </c>
      <c r="M4322" s="17">
        <v>2024</v>
      </c>
      <c r="N4322" s="17" t="s">
        <v>126</v>
      </c>
    </row>
    <row r="4323" spans="1:14" ht="14.25" customHeight="1">
      <c r="A4323" s="17">
        <v>14322</v>
      </c>
      <c r="B4323" s="18">
        <v>45311</v>
      </c>
      <c r="C4323" s="17" t="s">
        <v>58</v>
      </c>
      <c r="D4323" s="17" t="s">
        <v>86</v>
      </c>
      <c r="E4323" s="17" t="s">
        <v>165</v>
      </c>
      <c r="F4323" s="17" t="s">
        <v>164</v>
      </c>
      <c r="G4323" s="17">
        <v>4</v>
      </c>
      <c r="H4323" s="17">
        <v>55837</v>
      </c>
      <c r="I4323" s="17">
        <v>223348</v>
      </c>
      <c r="J4323" s="17">
        <v>1449</v>
      </c>
      <c r="K4323" s="17">
        <v>221899</v>
      </c>
      <c r="L4323" s="17">
        <v>46517.914530000002</v>
      </c>
      <c r="M4323" s="17">
        <v>2024</v>
      </c>
      <c r="N4323" s="17" t="s">
        <v>171</v>
      </c>
    </row>
    <row r="4324" spans="1:14" ht="14.25" customHeight="1">
      <c r="A4324" s="17">
        <v>14323</v>
      </c>
      <c r="B4324" s="18">
        <v>45844</v>
      </c>
      <c r="C4324" s="17" t="s">
        <v>39</v>
      </c>
      <c r="D4324" s="17" t="s">
        <v>111</v>
      </c>
      <c r="E4324" s="17" t="s">
        <v>162</v>
      </c>
      <c r="F4324" s="17" t="s">
        <v>163</v>
      </c>
      <c r="G4324" s="17">
        <v>7</v>
      </c>
      <c r="H4324" s="17">
        <v>12531</v>
      </c>
      <c r="I4324" s="17">
        <v>87717</v>
      </c>
      <c r="J4324" s="17">
        <v>448</v>
      </c>
      <c r="K4324" s="17">
        <v>87269</v>
      </c>
      <c r="L4324" s="17">
        <v>14039.27815</v>
      </c>
      <c r="M4324" s="17">
        <v>2025</v>
      </c>
      <c r="N4324" s="17" t="s">
        <v>123</v>
      </c>
    </row>
    <row r="4325" spans="1:14" ht="14.25" customHeight="1">
      <c r="A4325" s="17">
        <v>14324</v>
      </c>
      <c r="B4325" s="18">
        <v>45439</v>
      </c>
      <c r="C4325" s="17" t="s">
        <v>45</v>
      </c>
      <c r="D4325" s="17" t="s">
        <v>86</v>
      </c>
      <c r="E4325" s="17" t="s">
        <v>168</v>
      </c>
      <c r="F4325" s="17" t="s">
        <v>163</v>
      </c>
      <c r="G4325" s="17">
        <v>2</v>
      </c>
      <c r="H4325" s="17">
        <v>18825</v>
      </c>
      <c r="I4325" s="17">
        <v>37650</v>
      </c>
      <c r="J4325" s="17">
        <v>2496</v>
      </c>
      <c r="K4325" s="17">
        <v>35154</v>
      </c>
      <c r="L4325" s="17">
        <v>8277.4042570000001</v>
      </c>
      <c r="M4325" s="17">
        <v>2024</v>
      </c>
      <c r="N4325" s="17" t="s">
        <v>117</v>
      </c>
    </row>
    <row r="4326" spans="1:14" ht="14.25" customHeight="1">
      <c r="A4326" s="17">
        <v>14325</v>
      </c>
      <c r="B4326" s="18">
        <v>45399</v>
      </c>
      <c r="C4326" s="17" t="s">
        <v>39</v>
      </c>
      <c r="D4326" s="17" t="s">
        <v>83</v>
      </c>
      <c r="E4326" s="17" t="s">
        <v>162</v>
      </c>
      <c r="F4326" s="17" t="s">
        <v>166</v>
      </c>
      <c r="G4326" s="17">
        <v>5</v>
      </c>
      <c r="H4326" s="17">
        <v>69028</v>
      </c>
      <c r="I4326" s="17">
        <v>345140</v>
      </c>
      <c r="J4326" s="17">
        <v>426</v>
      </c>
      <c r="K4326" s="17">
        <v>344714</v>
      </c>
      <c r="L4326" s="17">
        <v>66880.869470000005</v>
      </c>
      <c r="M4326" s="17">
        <v>2024</v>
      </c>
      <c r="N4326" s="17" t="s">
        <v>114</v>
      </c>
    </row>
    <row r="4327" spans="1:14" ht="14.25" customHeight="1">
      <c r="A4327" s="17">
        <v>14326</v>
      </c>
      <c r="B4327" s="18">
        <v>45694</v>
      </c>
      <c r="C4327" s="17" t="s">
        <v>45</v>
      </c>
      <c r="D4327" s="17" t="s">
        <v>86</v>
      </c>
      <c r="E4327" s="17" t="s">
        <v>162</v>
      </c>
      <c r="F4327" s="17" t="s">
        <v>166</v>
      </c>
      <c r="G4327" s="17">
        <v>7</v>
      </c>
      <c r="H4327" s="17">
        <v>77447</v>
      </c>
      <c r="I4327" s="17">
        <v>542129</v>
      </c>
      <c r="J4327" s="17">
        <v>915</v>
      </c>
      <c r="K4327" s="17">
        <v>541214</v>
      </c>
      <c r="L4327" s="17">
        <v>133400.0238</v>
      </c>
      <c r="M4327" s="17">
        <v>2025</v>
      </c>
      <c r="N4327" s="17" t="s">
        <v>175</v>
      </c>
    </row>
    <row r="4328" spans="1:14" ht="14.25" customHeight="1">
      <c r="A4328" s="17">
        <v>14327</v>
      </c>
      <c r="B4328" s="18">
        <v>45887</v>
      </c>
      <c r="C4328" s="17" t="s">
        <v>45</v>
      </c>
      <c r="D4328" s="17" t="s">
        <v>111</v>
      </c>
      <c r="E4328" s="17" t="s">
        <v>165</v>
      </c>
      <c r="F4328" s="17" t="s">
        <v>163</v>
      </c>
      <c r="G4328" s="17">
        <v>9</v>
      </c>
      <c r="H4328" s="17">
        <v>37316</v>
      </c>
      <c r="I4328" s="17">
        <v>335844</v>
      </c>
      <c r="J4328" s="17">
        <v>3169</v>
      </c>
      <c r="K4328" s="17">
        <v>332675</v>
      </c>
      <c r="L4328" s="17">
        <v>45526.728900000002</v>
      </c>
      <c r="M4328" s="17">
        <v>2025</v>
      </c>
      <c r="N4328" s="17" t="s">
        <v>126</v>
      </c>
    </row>
    <row r="4329" spans="1:14" ht="14.25" customHeight="1">
      <c r="A4329" s="17">
        <v>14328</v>
      </c>
      <c r="B4329" s="18">
        <v>45774</v>
      </c>
      <c r="C4329" s="17" t="s">
        <v>58</v>
      </c>
      <c r="D4329" s="17" t="s">
        <v>170</v>
      </c>
      <c r="E4329" s="17" t="s">
        <v>165</v>
      </c>
      <c r="F4329" s="17" t="s">
        <v>164</v>
      </c>
      <c r="G4329" s="17">
        <v>8</v>
      </c>
      <c r="H4329" s="17">
        <v>76267</v>
      </c>
      <c r="I4329" s="17">
        <v>610136</v>
      </c>
      <c r="J4329" s="17">
        <v>4726</v>
      </c>
      <c r="K4329" s="17">
        <v>605410</v>
      </c>
      <c r="L4329" s="17">
        <v>144447.04629999999</v>
      </c>
      <c r="M4329" s="17">
        <v>2025</v>
      </c>
      <c r="N4329" s="17" t="s">
        <v>114</v>
      </c>
    </row>
    <row r="4330" spans="1:14" ht="14.25" customHeight="1">
      <c r="A4330" s="17">
        <v>14329</v>
      </c>
      <c r="B4330" s="18">
        <v>45658</v>
      </c>
      <c r="C4330" s="17" t="s">
        <v>167</v>
      </c>
      <c r="D4330" s="17" t="s">
        <v>111</v>
      </c>
      <c r="E4330" s="17" t="s">
        <v>165</v>
      </c>
      <c r="F4330" s="17" t="s">
        <v>163</v>
      </c>
      <c r="G4330" s="17">
        <v>9</v>
      </c>
      <c r="H4330" s="17">
        <v>22279</v>
      </c>
      <c r="I4330" s="17">
        <v>200511</v>
      </c>
      <c r="J4330" s="17">
        <v>4321</v>
      </c>
      <c r="K4330" s="17">
        <v>196190</v>
      </c>
      <c r="L4330" s="17">
        <v>30126.615570000002</v>
      </c>
      <c r="M4330" s="17">
        <v>2025</v>
      </c>
      <c r="N4330" s="17" t="s">
        <v>171</v>
      </c>
    </row>
    <row r="4331" spans="1:14" ht="14.25" customHeight="1">
      <c r="A4331" s="17">
        <v>14330</v>
      </c>
      <c r="B4331" s="18">
        <v>45705</v>
      </c>
      <c r="C4331" s="17" t="s">
        <v>39</v>
      </c>
      <c r="D4331" s="17" t="s">
        <v>86</v>
      </c>
      <c r="E4331" s="17" t="s">
        <v>162</v>
      </c>
      <c r="F4331" s="17" t="s">
        <v>163</v>
      </c>
      <c r="G4331" s="17">
        <v>7</v>
      </c>
      <c r="H4331" s="17">
        <v>49223</v>
      </c>
      <c r="I4331" s="17">
        <v>344561</v>
      </c>
      <c r="J4331" s="17">
        <v>446</v>
      </c>
      <c r="K4331" s="17">
        <v>344115</v>
      </c>
      <c r="L4331" s="17">
        <v>66515.749989999997</v>
      </c>
      <c r="M4331" s="17">
        <v>2025</v>
      </c>
      <c r="N4331" s="17" t="s">
        <v>175</v>
      </c>
    </row>
    <row r="4332" spans="1:14" ht="14.25" customHeight="1">
      <c r="A4332" s="17">
        <v>14331</v>
      </c>
      <c r="B4332" s="18">
        <v>45600</v>
      </c>
      <c r="C4332" s="17" t="s">
        <v>167</v>
      </c>
      <c r="D4332" s="17" t="s">
        <v>111</v>
      </c>
      <c r="E4332" s="17" t="s">
        <v>162</v>
      </c>
      <c r="F4332" s="17" t="s">
        <v>164</v>
      </c>
      <c r="G4332" s="17">
        <v>3</v>
      </c>
      <c r="H4332" s="17">
        <v>33000</v>
      </c>
      <c r="I4332" s="17">
        <v>99000</v>
      </c>
      <c r="J4332" s="17">
        <v>1910</v>
      </c>
      <c r="K4332" s="17">
        <v>97090</v>
      </c>
      <c r="L4332" s="17">
        <v>12250.45037</v>
      </c>
      <c r="M4332" s="17">
        <v>2024</v>
      </c>
      <c r="N4332" s="17" t="s">
        <v>173</v>
      </c>
    </row>
    <row r="4333" spans="1:14" ht="14.25" customHeight="1">
      <c r="A4333" s="17">
        <v>14332</v>
      </c>
      <c r="B4333" s="18">
        <v>45425</v>
      </c>
      <c r="C4333" s="17" t="s">
        <v>50</v>
      </c>
      <c r="D4333" s="17" t="s">
        <v>86</v>
      </c>
      <c r="E4333" s="17" t="s">
        <v>168</v>
      </c>
      <c r="F4333" s="17" t="s">
        <v>166</v>
      </c>
      <c r="G4333" s="17">
        <v>1</v>
      </c>
      <c r="H4333" s="17">
        <v>17045</v>
      </c>
      <c r="I4333" s="17">
        <v>17045</v>
      </c>
      <c r="J4333" s="17">
        <v>3735</v>
      </c>
      <c r="K4333" s="17">
        <v>13310</v>
      </c>
      <c r="L4333" s="17">
        <v>2847.9109920000001</v>
      </c>
      <c r="M4333" s="17">
        <v>2024</v>
      </c>
      <c r="N4333" s="17" t="s">
        <v>117</v>
      </c>
    </row>
    <row r="4334" spans="1:14" ht="14.25" customHeight="1">
      <c r="A4334" s="17">
        <v>14333</v>
      </c>
      <c r="B4334" s="18">
        <v>46010</v>
      </c>
      <c r="C4334" s="17" t="s">
        <v>58</v>
      </c>
      <c r="D4334" s="17" t="s">
        <v>170</v>
      </c>
      <c r="E4334" s="17" t="s">
        <v>162</v>
      </c>
      <c r="F4334" s="17" t="s">
        <v>164</v>
      </c>
      <c r="G4334" s="17">
        <v>7</v>
      </c>
      <c r="H4334" s="17">
        <v>56498</v>
      </c>
      <c r="I4334" s="17">
        <v>395486</v>
      </c>
      <c r="J4334" s="17">
        <v>2250</v>
      </c>
      <c r="K4334" s="17">
        <v>393236</v>
      </c>
      <c r="L4334" s="17">
        <v>97026.093150000001</v>
      </c>
      <c r="M4334" s="17">
        <v>2025</v>
      </c>
      <c r="N4334" s="17" t="s">
        <v>169</v>
      </c>
    </row>
    <row r="4335" spans="1:14" ht="14.25" customHeight="1">
      <c r="A4335" s="17">
        <v>14334</v>
      </c>
      <c r="B4335" s="18">
        <v>45574</v>
      </c>
      <c r="C4335" s="17" t="s">
        <v>58</v>
      </c>
      <c r="D4335" s="17" t="s">
        <v>170</v>
      </c>
      <c r="E4335" s="17" t="s">
        <v>165</v>
      </c>
      <c r="F4335" s="17" t="s">
        <v>164</v>
      </c>
      <c r="G4335" s="17">
        <v>6</v>
      </c>
      <c r="H4335" s="17">
        <v>41299</v>
      </c>
      <c r="I4335" s="17">
        <v>247794</v>
      </c>
      <c r="J4335" s="17">
        <v>4770</v>
      </c>
      <c r="K4335" s="17">
        <v>243024</v>
      </c>
      <c r="L4335" s="17">
        <v>53006.916680000002</v>
      </c>
      <c r="M4335" s="17">
        <v>2024</v>
      </c>
      <c r="N4335" s="17" t="s">
        <v>174</v>
      </c>
    </row>
    <row r="4336" spans="1:14" ht="14.25" customHeight="1">
      <c r="A4336" s="17">
        <v>14335</v>
      </c>
      <c r="B4336" s="18">
        <v>45364</v>
      </c>
      <c r="C4336" s="17" t="s">
        <v>50</v>
      </c>
      <c r="D4336" s="17" t="s">
        <v>83</v>
      </c>
      <c r="E4336" s="17" t="s">
        <v>165</v>
      </c>
      <c r="F4336" s="17" t="s">
        <v>164</v>
      </c>
      <c r="G4336" s="17">
        <v>2</v>
      </c>
      <c r="H4336" s="17">
        <v>23245</v>
      </c>
      <c r="I4336" s="17">
        <v>46490</v>
      </c>
      <c r="J4336" s="17">
        <v>2681</v>
      </c>
      <c r="K4336" s="17">
        <v>43809</v>
      </c>
      <c r="L4336" s="17">
        <v>8427.5159239999994</v>
      </c>
      <c r="M4336" s="17">
        <v>2024</v>
      </c>
      <c r="N4336" s="17" t="s">
        <v>112</v>
      </c>
    </row>
    <row r="4337" spans="1:14" ht="14.25" customHeight="1">
      <c r="A4337" s="17">
        <v>14336</v>
      </c>
      <c r="B4337" s="18">
        <v>45772</v>
      </c>
      <c r="C4337" s="17" t="s">
        <v>39</v>
      </c>
      <c r="D4337" s="17" t="s">
        <v>170</v>
      </c>
      <c r="E4337" s="17" t="s">
        <v>165</v>
      </c>
      <c r="F4337" s="17" t="s">
        <v>164</v>
      </c>
      <c r="G4337" s="17">
        <v>1</v>
      </c>
      <c r="H4337" s="17">
        <v>32339</v>
      </c>
      <c r="I4337" s="17">
        <v>32339</v>
      </c>
      <c r="J4337" s="17">
        <v>1401</v>
      </c>
      <c r="K4337" s="17">
        <v>30938</v>
      </c>
      <c r="L4337" s="17">
        <v>5173.8265959999999</v>
      </c>
      <c r="M4337" s="17">
        <v>2025</v>
      </c>
      <c r="N4337" s="17" t="s">
        <v>114</v>
      </c>
    </row>
    <row r="4338" spans="1:14" ht="14.25" customHeight="1">
      <c r="A4338" s="17">
        <v>14337</v>
      </c>
      <c r="B4338" s="18">
        <v>45643</v>
      </c>
      <c r="C4338" s="17" t="s">
        <v>50</v>
      </c>
      <c r="D4338" s="17" t="s">
        <v>89</v>
      </c>
      <c r="E4338" s="17" t="s">
        <v>165</v>
      </c>
      <c r="F4338" s="17" t="s">
        <v>166</v>
      </c>
      <c r="G4338" s="17">
        <v>4</v>
      </c>
      <c r="H4338" s="17">
        <v>75388</v>
      </c>
      <c r="I4338" s="17">
        <v>301552</v>
      </c>
      <c r="J4338" s="17">
        <v>3407</v>
      </c>
      <c r="K4338" s="17">
        <v>298145</v>
      </c>
      <c r="L4338" s="17">
        <v>45254.07185</v>
      </c>
      <c r="M4338" s="17">
        <v>2024</v>
      </c>
      <c r="N4338" s="17" t="s">
        <v>169</v>
      </c>
    </row>
    <row r="4339" spans="1:14" ht="14.25" customHeight="1">
      <c r="A4339" s="17">
        <v>14338</v>
      </c>
      <c r="B4339" s="18">
        <v>45851</v>
      </c>
      <c r="C4339" s="17" t="s">
        <v>39</v>
      </c>
      <c r="D4339" s="17" t="s">
        <v>111</v>
      </c>
      <c r="E4339" s="17" t="s">
        <v>162</v>
      </c>
      <c r="F4339" s="17" t="s">
        <v>163</v>
      </c>
      <c r="G4339" s="17">
        <v>4</v>
      </c>
      <c r="H4339" s="17">
        <v>68819</v>
      </c>
      <c r="I4339" s="17">
        <v>275276</v>
      </c>
      <c r="J4339" s="17">
        <v>1043</v>
      </c>
      <c r="K4339" s="17">
        <v>274233</v>
      </c>
      <c r="L4339" s="17">
        <v>44659.36303</v>
      </c>
      <c r="M4339" s="17">
        <v>2025</v>
      </c>
      <c r="N4339" s="17" t="s">
        <v>123</v>
      </c>
    </row>
    <row r="4340" spans="1:14" ht="14.25" customHeight="1">
      <c r="A4340" s="17">
        <v>14339</v>
      </c>
      <c r="B4340" s="18">
        <v>45617</v>
      </c>
      <c r="C4340" s="17" t="s">
        <v>45</v>
      </c>
      <c r="D4340" s="17" t="s">
        <v>111</v>
      </c>
      <c r="E4340" s="17" t="s">
        <v>165</v>
      </c>
      <c r="F4340" s="17" t="s">
        <v>172</v>
      </c>
      <c r="G4340" s="17">
        <v>6</v>
      </c>
      <c r="H4340" s="17">
        <v>33031</v>
      </c>
      <c r="I4340" s="17">
        <v>198186</v>
      </c>
      <c r="J4340" s="17">
        <v>3018</v>
      </c>
      <c r="K4340" s="17">
        <v>195168</v>
      </c>
      <c r="L4340" s="17">
        <v>29127.506010000001</v>
      </c>
      <c r="M4340" s="17">
        <v>2024</v>
      </c>
      <c r="N4340" s="17" t="s">
        <v>173</v>
      </c>
    </row>
    <row r="4341" spans="1:14" ht="14.25" customHeight="1">
      <c r="A4341" s="17">
        <v>14340</v>
      </c>
      <c r="B4341" s="18">
        <v>45734</v>
      </c>
      <c r="C4341" s="17" t="s">
        <v>58</v>
      </c>
      <c r="D4341" s="17" t="s">
        <v>86</v>
      </c>
      <c r="E4341" s="17" t="s">
        <v>168</v>
      </c>
      <c r="F4341" s="17" t="s">
        <v>166</v>
      </c>
      <c r="G4341" s="17">
        <v>5</v>
      </c>
      <c r="H4341" s="17">
        <v>21626</v>
      </c>
      <c r="I4341" s="17">
        <v>108130</v>
      </c>
      <c r="J4341" s="17">
        <v>391</v>
      </c>
      <c r="K4341" s="17">
        <v>107739</v>
      </c>
      <c r="L4341" s="17">
        <v>24231.199250000001</v>
      </c>
      <c r="M4341" s="17">
        <v>2025</v>
      </c>
      <c r="N4341" s="17" t="s">
        <v>112</v>
      </c>
    </row>
    <row r="4342" spans="1:14" ht="14.25" customHeight="1">
      <c r="A4342" s="17">
        <v>14341</v>
      </c>
      <c r="B4342" s="18">
        <v>45391</v>
      </c>
      <c r="C4342" s="17" t="s">
        <v>39</v>
      </c>
      <c r="D4342" s="17" t="s">
        <v>170</v>
      </c>
      <c r="E4342" s="17" t="s">
        <v>162</v>
      </c>
      <c r="F4342" s="17" t="s">
        <v>164</v>
      </c>
      <c r="G4342" s="17">
        <v>9</v>
      </c>
      <c r="H4342" s="17">
        <v>28302</v>
      </c>
      <c r="I4342" s="17">
        <v>254718</v>
      </c>
      <c r="J4342" s="17">
        <v>4819</v>
      </c>
      <c r="K4342" s="17">
        <v>249899</v>
      </c>
      <c r="L4342" s="17">
        <v>58468.036489999999</v>
      </c>
      <c r="M4342" s="17">
        <v>2024</v>
      </c>
      <c r="N4342" s="17" t="s">
        <v>114</v>
      </c>
    </row>
    <row r="4343" spans="1:14" ht="14.25" customHeight="1">
      <c r="A4343" s="17">
        <v>14342</v>
      </c>
      <c r="B4343" s="18">
        <v>45350</v>
      </c>
      <c r="C4343" s="17" t="s">
        <v>167</v>
      </c>
      <c r="D4343" s="17" t="s">
        <v>83</v>
      </c>
      <c r="E4343" s="17" t="s">
        <v>165</v>
      </c>
      <c r="F4343" s="17" t="s">
        <v>163</v>
      </c>
      <c r="G4343" s="17">
        <v>8</v>
      </c>
      <c r="H4343" s="17">
        <v>51691</v>
      </c>
      <c r="I4343" s="17">
        <v>413528</v>
      </c>
      <c r="J4343" s="17">
        <v>1285</v>
      </c>
      <c r="K4343" s="17">
        <v>412243</v>
      </c>
      <c r="L4343" s="17">
        <v>99947.76</v>
      </c>
      <c r="M4343" s="17">
        <v>2024</v>
      </c>
      <c r="N4343" s="17" t="s">
        <v>175</v>
      </c>
    </row>
    <row r="4344" spans="1:14" ht="14.25" customHeight="1">
      <c r="A4344" s="17">
        <v>14343</v>
      </c>
      <c r="B4344" s="18">
        <v>45799</v>
      </c>
      <c r="C4344" s="17" t="s">
        <v>167</v>
      </c>
      <c r="D4344" s="17" t="s">
        <v>83</v>
      </c>
      <c r="E4344" s="17" t="s">
        <v>168</v>
      </c>
      <c r="F4344" s="17" t="s">
        <v>163</v>
      </c>
      <c r="G4344" s="17">
        <v>9</v>
      </c>
      <c r="H4344" s="17">
        <v>35112</v>
      </c>
      <c r="I4344" s="17">
        <v>316008</v>
      </c>
      <c r="J4344" s="17">
        <v>4109</v>
      </c>
      <c r="K4344" s="17">
        <v>311899</v>
      </c>
      <c r="L4344" s="17">
        <v>50762.91848</v>
      </c>
      <c r="M4344" s="17">
        <v>2025</v>
      </c>
      <c r="N4344" s="17" t="s">
        <v>117</v>
      </c>
    </row>
    <row r="4345" spans="1:14" ht="14.25" customHeight="1">
      <c r="A4345" s="17">
        <v>14344</v>
      </c>
      <c r="B4345" s="18">
        <v>45549</v>
      </c>
      <c r="C4345" s="17" t="s">
        <v>58</v>
      </c>
      <c r="D4345" s="17" t="s">
        <v>83</v>
      </c>
      <c r="E4345" s="17" t="s">
        <v>165</v>
      </c>
      <c r="F4345" s="17" t="s">
        <v>164</v>
      </c>
      <c r="G4345" s="17">
        <v>7</v>
      </c>
      <c r="H4345" s="17">
        <v>76047</v>
      </c>
      <c r="I4345" s="17">
        <v>532329</v>
      </c>
      <c r="J4345" s="17">
        <v>2434</v>
      </c>
      <c r="K4345" s="17">
        <v>529895</v>
      </c>
      <c r="L4345" s="17">
        <v>96405.32372</v>
      </c>
      <c r="M4345" s="17">
        <v>2024</v>
      </c>
      <c r="N4345" s="17" t="s">
        <v>129</v>
      </c>
    </row>
    <row r="4346" spans="1:14" ht="14.25" customHeight="1">
      <c r="A4346" s="17">
        <v>14345</v>
      </c>
      <c r="B4346" s="18">
        <v>45704</v>
      </c>
      <c r="C4346" s="17" t="s">
        <v>50</v>
      </c>
      <c r="D4346" s="17" t="s">
        <v>89</v>
      </c>
      <c r="E4346" s="17" t="s">
        <v>162</v>
      </c>
      <c r="F4346" s="17" t="s">
        <v>166</v>
      </c>
      <c r="G4346" s="17">
        <v>9</v>
      </c>
      <c r="H4346" s="17">
        <v>75204</v>
      </c>
      <c r="I4346" s="17">
        <v>676836</v>
      </c>
      <c r="J4346" s="17">
        <v>641</v>
      </c>
      <c r="K4346" s="17">
        <v>676195</v>
      </c>
      <c r="L4346" s="17">
        <v>126133.5699</v>
      </c>
      <c r="M4346" s="17">
        <v>2025</v>
      </c>
      <c r="N4346" s="17" t="s">
        <v>175</v>
      </c>
    </row>
    <row r="4347" spans="1:14" ht="14.25" customHeight="1">
      <c r="A4347" s="17">
        <v>14346</v>
      </c>
      <c r="B4347" s="18">
        <v>45743</v>
      </c>
      <c r="C4347" s="17" t="s">
        <v>50</v>
      </c>
      <c r="D4347" s="17" t="s">
        <v>170</v>
      </c>
      <c r="E4347" s="17" t="s">
        <v>162</v>
      </c>
      <c r="F4347" s="17" t="s">
        <v>164</v>
      </c>
      <c r="G4347" s="17">
        <v>3</v>
      </c>
      <c r="H4347" s="17">
        <v>11087</v>
      </c>
      <c r="I4347" s="17">
        <v>33261</v>
      </c>
      <c r="J4347" s="17">
        <v>1045</v>
      </c>
      <c r="K4347" s="17">
        <v>32216</v>
      </c>
      <c r="L4347" s="17">
        <v>6367.9185079999997</v>
      </c>
      <c r="M4347" s="17">
        <v>2025</v>
      </c>
      <c r="N4347" s="17" t="s">
        <v>112</v>
      </c>
    </row>
    <row r="4348" spans="1:14" ht="14.25" customHeight="1">
      <c r="A4348" s="17">
        <v>14347</v>
      </c>
      <c r="B4348" s="18">
        <v>45356</v>
      </c>
      <c r="C4348" s="17" t="s">
        <v>39</v>
      </c>
      <c r="D4348" s="17" t="s">
        <v>83</v>
      </c>
      <c r="E4348" s="17" t="s">
        <v>168</v>
      </c>
      <c r="F4348" s="17" t="s">
        <v>163</v>
      </c>
      <c r="G4348" s="17">
        <v>9</v>
      </c>
      <c r="H4348" s="17">
        <v>77551</v>
      </c>
      <c r="I4348" s="17">
        <v>697959</v>
      </c>
      <c r="J4348" s="17">
        <v>4320</v>
      </c>
      <c r="K4348" s="17">
        <v>693639</v>
      </c>
      <c r="L4348" s="17">
        <v>69619.472080000007</v>
      </c>
      <c r="M4348" s="17">
        <v>2024</v>
      </c>
      <c r="N4348" s="17" t="s">
        <v>112</v>
      </c>
    </row>
    <row r="4349" spans="1:14" ht="14.25" customHeight="1">
      <c r="A4349" s="17">
        <v>14348</v>
      </c>
      <c r="B4349" s="18">
        <v>45886</v>
      </c>
      <c r="C4349" s="17" t="s">
        <v>50</v>
      </c>
      <c r="D4349" s="17" t="s">
        <v>89</v>
      </c>
      <c r="E4349" s="17" t="s">
        <v>162</v>
      </c>
      <c r="F4349" s="17" t="s">
        <v>163</v>
      </c>
      <c r="G4349" s="17">
        <v>2</v>
      </c>
      <c r="H4349" s="17">
        <v>36314</v>
      </c>
      <c r="I4349" s="17">
        <v>72628</v>
      </c>
      <c r="J4349" s="17">
        <v>4037</v>
      </c>
      <c r="K4349" s="17">
        <v>68591</v>
      </c>
      <c r="L4349" s="17">
        <v>15529.239089999999</v>
      </c>
      <c r="M4349" s="17">
        <v>2025</v>
      </c>
      <c r="N4349" s="17" t="s">
        <v>126</v>
      </c>
    </row>
    <row r="4350" spans="1:14" ht="14.25" customHeight="1">
      <c r="A4350" s="17">
        <v>14349</v>
      </c>
      <c r="B4350" s="18">
        <v>45445</v>
      </c>
      <c r="C4350" s="17" t="s">
        <v>58</v>
      </c>
      <c r="D4350" s="17" t="s">
        <v>111</v>
      </c>
      <c r="E4350" s="17" t="s">
        <v>168</v>
      </c>
      <c r="F4350" s="17" t="s">
        <v>166</v>
      </c>
      <c r="G4350" s="17">
        <v>9</v>
      </c>
      <c r="H4350" s="17">
        <v>74539</v>
      </c>
      <c r="I4350" s="17">
        <v>670851</v>
      </c>
      <c r="J4350" s="17">
        <v>3047</v>
      </c>
      <c r="K4350" s="17">
        <v>667804</v>
      </c>
      <c r="L4350" s="17">
        <v>93640.210200000001</v>
      </c>
      <c r="M4350" s="17">
        <v>2024</v>
      </c>
      <c r="N4350" s="17" t="s">
        <v>120</v>
      </c>
    </row>
    <row r="4351" spans="1:14" ht="14.25" customHeight="1">
      <c r="A4351" s="17">
        <v>14350</v>
      </c>
      <c r="B4351" s="18">
        <v>45557</v>
      </c>
      <c r="C4351" s="17" t="s">
        <v>39</v>
      </c>
      <c r="D4351" s="17" t="s">
        <v>86</v>
      </c>
      <c r="E4351" s="17" t="s">
        <v>165</v>
      </c>
      <c r="F4351" s="17" t="s">
        <v>172</v>
      </c>
      <c r="G4351" s="17">
        <v>6</v>
      </c>
      <c r="H4351" s="17">
        <v>31235</v>
      </c>
      <c r="I4351" s="17">
        <v>187410</v>
      </c>
      <c r="J4351" s="17">
        <v>1157</v>
      </c>
      <c r="K4351" s="17">
        <v>186253</v>
      </c>
      <c r="L4351" s="17">
        <v>31816.596140000001</v>
      </c>
      <c r="M4351" s="17">
        <v>2024</v>
      </c>
      <c r="N4351" s="17" t="s">
        <v>129</v>
      </c>
    </row>
    <row r="4352" spans="1:14" ht="14.25" customHeight="1">
      <c r="A4352" s="17">
        <v>14351</v>
      </c>
      <c r="B4352" s="18">
        <v>45370</v>
      </c>
      <c r="C4352" s="17" t="s">
        <v>45</v>
      </c>
      <c r="D4352" s="17" t="s">
        <v>170</v>
      </c>
      <c r="E4352" s="17" t="s">
        <v>162</v>
      </c>
      <c r="F4352" s="17" t="s">
        <v>164</v>
      </c>
      <c r="G4352" s="17">
        <v>4</v>
      </c>
      <c r="H4352" s="17">
        <v>65572</v>
      </c>
      <c r="I4352" s="17">
        <v>262288</v>
      </c>
      <c r="J4352" s="17">
        <v>3249</v>
      </c>
      <c r="K4352" s="17">
        <v>259039</v>
      </c>
      <c r="L4352" s="17">
        <v>58603.749960000001</v>
      </c>
      <c r="M4352" s="17">
        <v>2024</v>
      </c>
      <c r="N4352" s="17" t="s">
        <v>112</v>
      </c>
    </row>
    <row r="4353" spans="1:14" ht="14.25" customHeight="1">
      <c r="A4353" s="17">
        <v>14352</v>
      </c>
      <c r="B4353" s="18">
        <v>45606</v>
      </c>
      <c r="C4353" s="17" t="s">
        <v>50</v>
      </c>
      <c r="D4353" s="17" t="s">
        <v>170</v>
      </c>
      <c r="E4353" s="17" t="s">
        <v>165</v>
      </c>
      <c r="F4353" s="17" t="s">
        <v>172</v>
      </c>
      <c r="G4353" s="17">
        <v>2</v>
      </c>
      <c r="H4353" s="17">
        <v>38366</v>
      </c>
      <c r="I4353" s="17">
        <v>76732</v>
      </c>
      <c r="J4353" s="17">
        <v>3627</v>
      </c>
      <c r="K4353" s="17">
        <v>73105</v>
      </c>
      <c r="L4353" s="17">
        <v>18241.775290000001</v>
      </c>
      <c r="M4353" s="17">
        <v>2024</v>
      </c>
      <c r="N4353" s="17" t="s">
        <v>173</v>
      </c>
    </row>
    <row r="4354" spans="1:14" ht="14.25" customHeight="1">
      <c r="A4354" s="17">
        <v>14353</v>
      </c>
      <c r="B4354" s="18">
        <v>45953</v>
      </c>
      <c r="C4354" s="17" t="s">
        <v>50</v>
      </c>
      <c r="D4354" s="17" t="s">
        <v>111</v>
      </c>
      <c r="E4354" s="17" t="s">
        <v>165</v>
      </c>
      <c r="F4354" s="17" t="s">
        <v>163</v>
      </c>
      <c r="G4354" s="17">
        <v>3</v>
      </c>
      <c r="H4354" s="17">
        <v>56347</v>
      </c>
      <c r="I4354" s="17">
        <v>169041</v>
      </c>
      <c r="J4354" s="17">
        <v>1543</v>
      </c>
      <c r="K4354" s="17">
        <v>167498</v>
      </c>
      <c r="L4354" s="17">
        <v>36721.009590000001</v>
      </c>
      <c r="M4354" s="17">
        <v>2025</v>
      </c>
      <c r="N4354" s="17" t="s">
        <v>174</v>
      </c>
    </row>
    <row r="4355" spans="1:14" ht="14.25" customHeight="1">
      <c r="A4355" s="17">
        <v>14354</v>
      </c>
      <c r="B4355" s="18">
        <v>45851</v>
      </c>
      <c r="C4355" s="17" t="s">
        <v>39</v>
      </c>
      <c r="D4355" s="17" t="s">
        <v>170</v>
      </c>
      <c r="E4355" s="17" t="s">
        <v>162</v>
      </c>
      <c r="F4355" s="17" t="s">
        <v>172</v>
      </c>
      <c r="G4355" s="17">
        <v>5</v>
      </c>
      <c r="H4355" s="17">
        <v>37837</v>
      </c>
      <c r="I4355" s="17">
        <v>189185</v>
      </c>
      <c r="J4355" s="17">
        <v>791</v>
      </c>
      <c r="K4355" s="17">
        <v>188394</v>
      </c>
      <c r="L4355" s="17">
        <v>19541.164939999999</v>
      </c>
      <c r="M4355" s="17">
        <v>2025</v>
      </c>
      <c r="N4355" s="17" t="s">
        <v>123</v>
      </c>
    </row>
    <row r="4356" spans="1:14" ht="14.25" customHeight="1">
      <c r="A4356" s="17">
        <v>14355</v>
      </c>
      <c r="B4356" s="18">
        <v>45539</v>
      </c>
      <c r="C4356" s="17" t="s">
        <v>167</v>
      </c>
      <c r="D4356" s="17" t="s">
        <v>170</v>
      </c>
      <c r="E4356" s="17" t="s">
        <v>165</v>
      </c>
      <c r="F4356" s="17" t="s">
        <v>164</v>
      </c>
      <c r="G4356" s="17">
        <v>9</v>
      </c>
      <c r="H4356" s="17">
        <v>13139</v>
      </c>
      <c r="I4356" s="17">
        <v>118251</v>
      </c>
      <c r="J4356" s="17">
        <v>436</v>
      </c>
      <c r="K4356" s="17">
        <v>117815</v>
      </c>
      <c r="L4356" s="17">
        <v>18298.215889999999</v>
      </c>
      <c r="M4356" s="17">
        <v>2024</v>
      </c>
      <c r="N4356" s="17" t="s">
        <v>129</v>
      </c>
    </row>
    <row r="4357" spans="1:14" ht="14.25" customHeight="1">
      <c r="A4357" s="17">
        <v>14356</v>
      </c>
      <c r="B4357" s="18">
        <v>45901</v>
      </c>
      <c r="C4357" s="17" t="s">
        <v>50</v>
      </c>
      <c r="D4357" s="17" t="s">
        <v>170</v>
      </c>
      <c r="E4357" s="17" t="s">
        <v>168</v>
      </c>
      <c r="F4357" s="17" t="s">
        <v>164</v>
      </c>
      <c r="G4357" s="17">
        <v>7</v>
      </c>
      <c r="H4357" s="17">
        <v>14585</v>
      </c>
      <c r="I4357" s="17">
        <v>102095</v>
      </c>
      <c r="J4357" s="17">
        <v>3514</v>
      </c>
      <c r="K4357" s="17">
        <v>98581</v>
      </c>
      <c r="L4357" s="17">
        <v>13513.64076</v>
      </c>
      <c r="M4357" s="17">
        <v>2025</v>
      </c>
      <c r="N4357" s="17" t="s">
        <v>129</v>
      </c>
    </row>
    <row r="4358" spans="1:14" ht="14.25" customHeight="1">
      <c r="A4358" s="17">
        <v>14357</v>
      </c>
      <c r="B4358" s="18">
        <v>45705</v>
      </c>
      <c r="C4358" s="17" t="s">
        <v>58</v>
      </c>
      <c r="D4358" s="17" t="s">
        <v>170</v>
      </c>
      <c r="E4358" s="17" t="s">
        <v>168</v>
      </c>
      <c r="F4358" s="17" t="s">
        <v>163</v>
      </c>
      <c r="G4358" s="17">
        <v>3</v>
      </c>
      <c r="H4358" s="17">
        <v>8659</v>
      </c>
      <c r="I4358" s="17">
        <v>25977</v>
      </c>
      <c r="J4358" s="17">
        <v>4676</v>
      </c>
      <c r="K4358" s="17">
        <v>21301</v>
      </c>
      <c r="L4358" s="17">
        <v>5210.6455059999998</v>
      </c>
      <c r="M4358" s="17">
        <v>2025</v>
      </c>
      <c r="N4358" s="17" t="s">
        <v>175</v>
      </c>
    </row>
    <row r="4359" spans="1:14" ht="14.25" customHeight="1">
      <c r="A4359" s="17">
        <v>14358</v>
      </c>
      <c r="B4359" s="18">
        <v>45316</v>
      </c>
      <c r="C4359" s="17" t="s">
        <v>50</v>
      </c>
      <c r="D4359" s="17" t="s">
        <v>89</v>
      </c>
      <c r="E4359" s="17" t="s">
        <v>168</v>
      </c>
      <c r="F4359" s="17" t="s">
        <v>166</v>
      </c>
      <c r="G4359" s="17">
        <v>4</v>
      </c>
      <c r="H4359" s="17">
        <v>10634</v>
      </c>
      <c r="I4359" s="17">
        <v>42536</v>
      </c>
      <c r="J4359" s="17">
        <v>4782</v>
      </c>
      <c r="K4359" s="17">
        <v>37754</v>
      </c>
      <c r="L4359" s="17">
        <v>5271.7547770000001</v>
      </c>
      <c r="M4359" s="17">
        <v>2024</v>
      </c>
      <c r="N4359" s="17" t="s">
        <v>171</v>
      </c>
    </row>
    <row r="4360" spans="1:14" ht="14.25" customHeight="1">
      <c r="A4360" s="17">
        <v>14359</v>
      </c>
      <c r="B4360" s="18">
        <v>45575</v>
      </c>
      <c r="C4360" s="17" t="s">
        <v>45</v>
      </c>
      <c r="D4360" s="17" t="s">
        <v>89</v>
      </c>
      <c r="E4360" s="17" t="s">
        <v>162</v>
      </c>
      <c r="F4360" s="17" t="s">
        <v>166</v>
      </c>
      <c r="G4360" s="17">
        <v>2</v>
      </c>
      <c r="H4360" s="17">
        <v>8682</v>
      </c>
      <c r="I4360" s="17">
        <v>17364</v>
      </c>
      <c r="J4360" s="17">
        <v>4460</v>
      </c>
      <c r="K4360" s="17">
        <v>12904</v>
      </c>
      <c r="L4360" s="17">
        <v>3116.3486280000002</v>
      </c>
      <c r="M4360" s="17">
        <v>2024</v>
      </c>
      <c r="N4360" s="17" t="s">
        <v>174</v>
      </c>
    </row>
    <row r="4361" spans="1:14" ht="14.25" customHeight="1">
      <c r="A4361" s="17">
        <v>14360</v>
      </c>
      <c r="B4361" s="18">
        <v>45740</v>
      </c>
      <c r="C4361" s="17" t="s">
        <v>50</v>
      </c>
      <c r="D4361" s="17" t="s">
        <v>86</v>
      </c>
      <c r="E4361" s="17" t="s">
        <v>165</v>
      </c>
      <c r="F4361" s="17" t="s">
        <v>163</v>
      </c>
      <c r="G4361" s="17">
        <v>8</v>
      </c>
      <c r="H4361" s="17">
        <v>40451</v>
      </c>
      <c r="I4361" s="17">
        <v>323608</v>
      </c>
      <c r="J4361" s="17">
        <v>3959</v>
      </c>
      <c r="K4361" s="17">
        <v>319649</v>
      </c>
      <c r="L4361" s="17">
        <v>76916.380350000007</v>
      </c>
      <c r="M4361" s="17">
        <v>2025</v>
      </c>
      <c r="N4361" s="17" t="s">
        <v>112</v>
      </c>
    </row>
    <row r="4362" spans="1:14" ht="14.25" customHeight="1">
      <c r="A4362" s="17">
        <v>14361</v>
      </c>
      <c r="B4362" s="18">
        <v>45592</v>
      </c>
      <c r="C4362" s="17" t="s">
        <v>167</v>
      </c>
      <c r="D4362" s="17" t="s">
        <v>170</v>
      </c>
      <c r="E4362" s="17" t="s">
        <v>165</v>
      </c>
      <c r="F4362" s="17" t="s">
        <v>164</v>
      </c>
      <c r="G4362" s="17">
        <v>6</v>
      </c>
      <c r="H4362" s="17">
        <v>75098</v>
      </c>
      <c r="I4362" s="17">
        <v>450588</v>
      </c>
      <c r="J4362" s="17">
        <v>4364</v>
      </c>
      <c r="K4362" s="17">
        <v>446224</v>
      </c>
      <c r="L4362" s="17">
        <v>100807.1541</v>
      </c>
      <c r="M4362" s="17">
        <v>2024</v>
      </c>
      <c r="N4362" s="17" t="s">
        <v>174</v>
      </c>
    </row>
    <row r="4363" spans="1:14" ht="14.25" customHeight="1">
      <c r="A4363" s="17">
        <v>14362</v>
      </c>
      <c r="B4363" s="18">
        <v>45359</v>
      </c>
      <c r="C4363" s="17" t="s">
        <v>50</v>
      </c>
      <c r="D4363" s="17" t="s">
        <v>111</v>
      </c>
      <c r="E4363" s="17" t="s">
        <v>165</v>
      </c>
      <c r="F4363" s="17" t="s">
        <v>166</v>
      </c>
      <c r="G4363" s="17">
        <v>3</v>
      </c>
      <c r="H4363" s="17">
        <v>9652</v>
      </c>
      <c r="I4363" s="17">
        <v>28956</v>
      </c>
      <c r="J4363" s="17">
        <v>1716</v>
      </c>
      <c r="K4363" s="17">
        <v>27240</v>
      </c>
      <c r="L4363" s="17">
        <v>3124.721239</v>
      </c>
      <c r="M4363" s="17">
        <v>2024</v>
      </c>
      <c r="N4363" s="17" t="s">
        <v>112</v>
      </c>
    </row>
    <row r="4364" spans="1:14" ht="14.25" customHeight="1">
      <c r="A4364" s="17">
        <v>14363</v>
      </c>
      <c r="B4364" s="18">
        <v>45298</v>
      </c>
      <c r="C4364" s="17" t="s">
        <v>39</v>
      </c>
      <c r="D4364" s="17" t="s">
        <v>83</v>
      </c>
      <c r="E4364" s="17" t="s">
        <v>165</v>
      </c>
      <c r="F4364" s="17" t="s">
        <v>172</v>
      </c>
      <c r="G4364" s="17">
        <v>5</v>
      </c>
      <c r="H4364" s="17">
        <v>75249</v>
      </c>
      <c r="I4364" s="17">
        <v>376245</v>
      </c>
      <c r="J4364" s="17">
        <v>3636</v>
      </c>
      <c r="K4364" s="17">
        <v>372609</v>
      </c>
      <c r="L4364" s="17">
        <v>37372.415990000001</v>
      </c>
      <c r="M4364" s="17">
        <v>2024</v>
      </c>
      <c r="N4364" s="17" t="s">
        <v>171</v>
      </c>
    </row>
    <row r="4365" spans="1:14" ht="14.25" customHeight="1">
      <c r="A4365" s="17">
        <v>14364</v>
      </c>
      <c r="B4365" s="18">
        <v>45428</v>
      </c>
      <c r="C4365" s="17" t="s">
        <v>50</v>
      </c>
      <c r="D4365" s="17" t="s">
        <v>86</v>
      </c>
      <c r="E4365" s="17" t="s">
        <v>168</v>
      </c>
      <c r="F4365" s="17" t="s">
        <v>163</v>
      </c>
      <c r="G4365" s="17">
        <v>5</v>
      </c>
      <c r="H4365" s="17">
        <v>10413</v>
      </c>
      <c r="I4365" s="17">
        <v>52065</v>
      </c>
      <c r="J4365" s="17">
        <v>3364</v>
      </c>
      <c r="K4365" s="17">
        <v>48701</v>
      </c>
      <c r="L4365" s="17">
        <v>10669.53501</v>
      </c>
      <c r="M4365" s="17">
        <v>2024</v>
      </c>
      <c r="N4365" s="17" t="s">
        <v>117</v>
      </c>
    </row>
    <row r="4366" spans="1:14" ht="14.25" customHeight="1">
      <c r="A4366" s="17">
        <v>14365</v>
      </c>
      <c r="B4366" s="18">
        <v>45455</v>
      </c>
      <c r="C4366" s="17" t="s">
        <v>167</v>
      </c>
      <c r="D4366" s="17" t="s">
        <v>83</v>
      </c>
      <c r="E4366" s="17" t="s">
        <v>162</v>
      </c>
      <c r="F4366" s="17" t="s">
        <v>172</v>
      </c>
      <c r="G4366" s="17">
        <v>1</v>
      </c>
      <c r="H4366" s="17">
        <v>26984</v>
      </c>
      <c r="I4366" s="17">
        <v>26984</v>
      </c>
      <c r="J4366" s="17">
        <v>4173</v>
      </c>
      <c r="K4366" s="17">
        <v>22811</v>
      </c>
      <c r="L4366" s="17">
        <v>5166.5742200000004</v>
      </c>
      <c r="M4366" s="17">
        <v>2024</v>
      </c>
      <c r="N4366" s="17" t="s">
        <v>120</v>
      </c>
    </row>
    <row r="4367" spans="1:14" ht="14.25" customHeight="1">
      <c r="A4367" s="17">
        <v>14366</v>
      </c>
      <c r="B4367" s="18">
        <v>45374</v>
      </c>
      <c r="C4367" s="17" t="s">
        <v>39</v>
      </c>
      <c r="D4367" s="17" t="s">
        <v>83</v>
      </c>
      <c r="E4367" s="17" t="s">
        <v>168</v>
      </c>
      <c r="F4367" s="17" t="s">
        <v>164</v>
      </c>
      <c r="G4367" s="17">
        <v>5</v>
      </c>
      <c r="H4367" s="17">
        <v>25487</v>
      </c>
      <c r="I4367" s="17">
        <v>127435</v>
      </c>
      <c r="J4367" s="17">
        <v>188</v>
      </c>
      <c r="K4367" s="17">
        <v>127247</v>
      </c>
      <c r="L4367" s="17">
        <v>31089.910090000001</v>
      </c>
      <c r="M4367" s="17">
        <v>2024</v>
      </c>
      <c r="N4367" s="17" t="s">
        <v>112</v>
      </c>
    </row>
    <row r="4368" spans="1:14" ht="14.25" customHeight="1">
      <c r="A4368" s="17">
        <v>14367</v>
      </c>
      <c r="B4368" s="18">
        <v>45941</v>
      </c>
      <c r="C4368" s="17" t="s">
        <v>58</v>
      </c>
      <c r="D4368" s="17" t="s">
        <v>170</v>
      </c>
      <c r="E4368" s="17" t="s">
        <v>168</v>
      </c>
      <c r="F4368" s="17" t="s">
        <v>166</v>
      </c>
      <c r="G4368" s="17">
        <v>6</v>
      </c>
      <c r="H4368" s="17">
        <v>7075</v>
      </c>
      <c r="I4368" s="17">
        <v>42450</v>
      </c>
      <c r="J4368" s="17">
        <v>2718</v>
      </c>
      <c r="K4368" s="17">
        <v>39732</v>
      </c>
      <c r="L4368" s="17">
        <v>5274.7166880000004</v>
      </c>
      <c r="M4368" s="17">
        <v>2025</v>
      </c>
      <c r="N4368" s="17" t="s">
        <v>174</v>
      </c>
    </row>
    <row r="4369" spans="1:14" ht="14.25" customHeight="1">
      <c r="A4369" s="17">
        <v>14368</v>
      </c>
      <c r="B4369" s="18">
        <v>45711</v>
      </c>
      <c r="C4369" s="17" t="s">
        <v>39</v>
      </c>
      <c r="D4369" s="17" t="s">
        <v>111</v>
      </c>
      <c r="E4369" s="17" t="s">
        <v>162</v>
      </c>
      <c r="F4369" s="17" t="s">
        <v>164</v>
      </c>
      <c r="G4369" s="17">
        <v>2</v>
      </c>
      <c r="H4369" s="17">
        <v>38550</v>
      </c>
      <c r="I4369" s="17">
        <v>77100</v>
      </c>
      <c r="J4369" s="17">
        <v>2405</v>
      </c>
      <c r="K4369" s="17">
        <v>74695</v>
      </c>
      <c r="L4369" s="17">
        <v>15683.856309999999</v>
      </c>
      <c r="M4369" s="17">
        <v>2025</v>
      </c>
      <c r="N4369" s="17" t="s">
        <v>175</v>
      </c>
    </row>
    <row r="4370" spans="1:14" ht="14.25" customHeight="1">
      <c r="A4370" s="17">
        <v>14369</v>
      </c>
      <c r="B4370" s="18">
        <v>45364</v>
      </c>
      <c r="C4370" s="17" t="s">
        <v>45</v>
      </c>
      <c r="D4370" s="17" t="s">
        <v>83</v>
      </c>
      <c r="E4370" s="17" t="s">
        <v>162</v>
      </c>
      <c r="F4370" s="17" t="s">
        <v>172</v>
      </c>
      <c r="G4370" s="17">
        <v>3</v>
      </c>
      <c r="H4370" s="17">
        <v>47293</v>
      </c>
      <c r="I4370" s="17">
        <v>141879</v>
      </c>
      <c r="J4370" s="17">
        <v>3930</v>
      </c>
      <c r="K4370" s="17">
        <v>137949</v>
      </c>
      <c r="L4370" s="17">
        <v>24535.562600000001</v>
      </c>
      <c r="M4370" s="17">
        <v>2024</v>
      </c>
      <c r="N4370" s="17" t="s">
        <v>112</v>
      </c>
    </row>
    <row r="4371" spans="1:14" ht="14.25" customHeight="1">
      <c r="A4371" s="17">
        <v>14370</v>
      </c>
      <c r="B4371" s="18">
        <v>45528</v>
      </c>
      <c r="C4371" s="17" t="s">
        <v>39</v>
      </c>
      <c r="D4371" s="17" t="s">
        <v>83</v>
      </c>
      <c r="E4371" s="17" t="s">
        <v>168</v>
      </c>
      <c r="F4371" s="17" t="s">
        <v>164</v>
      </c>
      <c r="G4371" s="17">
        <v>5</v>
      </c>
      <c r="H4371" s="17">
        <v>34212</v>
      </c>
      <c r="I4371" s="17">
        <v>171060</v>
      </c>
      <c r="J4371" s="17">
        <v>3165</v>
      </c>
      <c r="K4371" s="17">
        <v>167895</v>
      </c>
      <c r="L4371" s="17">
        <v>25062.077979999998</v>
      </c>
      <c r="M4371" s="17">
        <v>2024</v>
      </c>
      <c r="N4371" s="17" t="s">
        <v>126</v>
      </c>
    </row>
    <row r="4372" spans="1:14" ht="14.25" customHeight="1">
      <c r="A4372" s="17">
        <v>14371</v>
      </c>
      <c r="B4372" s="18">
        <v>45337</v>
      </c>
      <c r="C4372" s="17" t="s">
        <v>58</v>
      </c>
      <c r="D4372" s="17" t="s">
        <v>86</v>
      </c>
      <c r="E4372" s="17" t="s">
        <v>165</v>
      </c>
      <c r="F4372" s="17" t="s">
        <v>164</v>
      </c>
      <c r="G4372" s="17">
        <v>3</v>
      </c>
      <c r="H4372" s="17">
        <v>19962</v>
      </c>
      <c r="I4372" s="17">
        <v>59886</v>
      </c>
      <c r="J4372" s="17">
        <v>902</v>
      </c>
      <c r="K4372" s="17">
        <v>58984</v>
      </c>
      <c r="L4372" s="17">
        <v>11262.620339999999</v>
      </c>
      <c r="M4372" s="17">
        <v>2024</v>
      </c>
      <c r="N4372" s="17" t="s">
        <v>175</v>
      </c>
    </row>
    <row r="4373" spans="1:14" ht="14.25" customHeight="1">
      <c r="A4373" s="17">
        <v>14372</v>
      </c>
      <c r="B4373" s="18">
        <v>45909</v>
      </c>
      <c r="C4373" s="17" t="s">
        <v>50</v>
      </c>
      <c r="D4373" s="17" t="s">
        <v>111</v>
      </c>
      <c r="E4373" s="17" t="s">
        <v>162</v>
      </c>
      <c r="F4373" s="17" t="s">
        <v>163</v>
      </c>
      <c r="G4373" s="17">
        <v>5</v>
      </c>
      <c r="H4373" s="17">
        <v>20853</v>
      </c>
      <c r="I4373" s="17">
        <v>104265</v>
      </c>
      <c r="J4373" s="17">
        <v>340</v>
      </c>
      <c r="K4373" s="17">
        <v>103925</v>
      </c>
      <c r="L4373" s="17">
        <v>18938.243299999998</v>
      </c>
      <c r="M4373" s="17">
        <v>2025</v>
      </c>
      <c r="N4373" s="17" t="s">
        <v>129</v>
      </c>
    </row>
    <row r="4374" spans="1:14" ht="14.25" customHeight="1">
      <c r="A4374" s="17">
        <v>14373</v>
      </c>
      <c r="B4374" s="18">
        <v>45553</v>
      </c>
      <c r="C4374" s="17" t="s">
        <v>39</v>
      </c>
      <c r="D4374" s="17" t="s">
        <v>111</v>
      </c>
      <c r="E4374" s="17" t="s">
        <v>162</v>
      </c>
      <c r="F4374" s="17" t="s">
        <v>163</v>
      </c>
      <c r="G4374" s="17">
        <v>5</v>
      </c>
      <c r="H4374" s="17">
        <v>55209</v>
      </c>
      <c r="I4374" s="17">
        <v>276045</v>
      </c>
      <c r="J4374" s="17">
        <v>2881</v>
      </c>
      <c r="K4374" s="17">
        <v>273164</v>
      </c>
      <c r="L4374" s="17">
        <v>39293.046090000003</v>
      </c>
      <c r="M4374" s="17">
        <v>2024</v>
      </c>
      <c r="N4374" s="17" t="s">
        <v>129</v>
      </c>
    </row>
    <row r="4375" spans="1:14" ht="14.25" customHeight="1">
      <c r="A4375" s="17">
        <v>14374</v>
      </c>
      <c r="B4375" s="18">
        <v>45467</v>
      </c>
      <c r="C4375" s="17" t="s">
        <v>39</v>
      </c>
      <c r="D4375" s="17" t="s">
        <v>83</v>
      </c>
      <c r="E4375" s="17" t="s">
        <v>168</v>
      </c>
      <c r="F4375" s="17" t="s">
        <v>164</v>
      </c>
      <c r="G4375" s="17">
        <v>8</v>
      </c>
      <c r="H4375" s="17">
        <v>50964</v>
      </c>
      <c r="I4375" s="17">
        <v>407712</v>
      </c>
      <c r="J4375" s="17">
        <v>4506</v>
      </c>
      <c r="K4375" s="17">
        <v>403206</v>
      </c>
      <c r="L4375" s="17">
        <v>56557.451330000004</v>
      </c>
      <c r="M4375" s="17">
        <v>2024</v>
      </c>
      <c r="N4375" s="17" t="s">
        <v>120</v>
      </c>
    </row>
    <row r="4376" spans="1:14" ht="14.25" customHeight="1">
      <c r="A4376" s="17">
        <v>14375</v>
      </c>
      <c r="B4376" s="18">
        <v>45457</v>
      </c>
      <c r="C4376" s="17" t="s">
        <v>39</v>
      </c>
      <c r="D4376" s="17" t="s">
        <v>111</v>
      </c>
      <c r="E4376" s="17" t="s">
        <v>165</v>
      </c>
      <c r="F4376" s="17" t="s">
        <v>163</v>
      </c>
      <c r="G4376" s="17">
        <v>9</v>
      </c>
      <c r="H4376" s="17">
        <v>72645</v>
      </c>
      <c r="I4376" s="17">
        <v>653805</v>
      </c>
      <c r="J4376" s="17">
        <v>4993</v>
      </c>
      <c r="K4376" s="17">
        <v>648812</v>
      </c>
      <c r="L4376" s="17">
        <v>112236.06329999999</v>
      </c>
      <c r="M4376" s="17">
        <v>2024</v>
      </c>
      <c r="N4376" s="17" t="s">
        <v>120</v>
      </c>
    </row>
    <row r="4377" spans="1:14" ht="14.25" customHeight="1">
      <c r="A4377" s="17">
        <v>14376</v>
      </c>
      <c r="B4377" s="18">
        <v>45948</v>
      </c>
      <c r="C4377" s="17" t="s">
        <v>39</v>
      </c>
      <c r="D4377" s="17" t="s">
        <v>86</v>
      </c>
      <c r="E4377" s="17" t="s">
        <v>162</v>
      </c>
      <c r="F4377" s="17" t="s">
        <v>164</v>
      </c>
      <c r="G4377" s="17">
        <v>8</v>
      </c>
      <c r="H4377" s="17">
        <v>65501</v>
      </c>
      <c r="I4377" s="17">
        <v>524008</v>
      </c>
      <c r="J4377" s="17">
        <v>643</v>
      </c>
      <c r="K4377" s="17">
        <v>523365</v>
      </c>
      <c r="L4377" s="17">
        <v>89550.617589999994</v>
      </c>
      <c r="M4377" s="17">
        <v>2025</v>
      </c>
      <c r="N4377" s="17" t="s">
        <v>174</v>
      </c>
    </row>
    <row r="4378" spans="1:14" ht="14.25" customHeight="1">
      <c r="A4378" s="17">
        <v>14377</v>
      </c>
      <c r="B4378" s="18">
        <v>45661</v>
      </c>
      <c r="C4378" s="17" t="s">
        <v>58</v>
      </c>
      <c r="D4378" s="17" t="s">
        <v>86</v>
      </c>
      <c r="E4378" s="17" t="s">
        <v>168</v>
      </c>
      <c r="F4378" s="17" t="s">
        <v>172</v>
      </c>
      <c r="G4378" s="17">
        <v>3</v>
      </c>
      <c r="H4378" s="17">
        <v>71856</v>
      </c>
      <c r="I4378" s="17">
        <v>215568</v>
      </c>
      <c r="J4378" s="17">
        <v>20</v>
      </c>
      <c r="K4378" s="17">
        <v>215548</v>
      </c>
      <c r="L4378" s="17">
        <v>31320.828409999998</v>
      </c>
      <c r="M4378" s="17">
        <v>2025</v>
      </c>
      <c r="N4378" s="17" t="s">
        <v>171</v>
      </c>
    </row>
    <row r="4379" spans="1:14" ht="14.25" customHeight="1">
      <c r="A4379" s="17">
        <v>14378</v>
      </c>
      <c r="B4379" s="18">
        <v>45345</v>
      </c>
      <c r="C4379" s="17" t="s">
        <v>167</v>
      </c>
      <c r="D4379" s="17" t="s">
        <v>86</v>
      </c>
      <c r="E4379" s="17" t="s">
        <v>162</v>
      </c>
      <c r="F4379" s="17" t="s">
        <v>163</v>
      </c>
      <c r="G4379" s="17">
        <v>1</v>
      </c>
      <c r="H4379" s="17">
        <v>42185</v>
      </c>
      <c r="I4379" s="17">
        <v>42185</v>
      </c>
      <c r="J4379" s="17">
        <v>3072</v>
      </c>
      <c r="K4379" s="17">
        <v>39113</v>
      </c>
      <c r="L4379" s="17">
        <v>5458.5975179999996</v>
      </c>
      <c r="M4379" s="17">
        <v>2024</v>
      </c>
      <c r="N4379" s="17" t="s">
        <v>175</v>
      </c>
    </row>
    <row r="4380" spans="1:14" ht="14.25" customHeight="1">
      <c r="A4380" s="17">
        <v>14379</v>
      </c>
      <c r="B4380" s="18">
        <v>45981</v>
      </c>
      <c r="C4380" s="17" t="s">
        <v>167</v>
      </c>
      <c r="D4380" s="17" t="s">
        <v>170</v>
      </c>
      <c r="E4380" s="17" t="s">
        <v>165</v>
      </c>
      <c r="F4380" s="17" t="s">
        <v>164</v>
      </c>
      <c r="G4380" s="17">
        <v>3</v>
      </c>
      <c r="H4380" s="17">
        <v>74235</v>
      </c>
      <c r="I4380" s="17">
        <v>222705</v>
      </c>
      <c r="J4380" s="17">
        <v>677</v>
      </c>
      <c r="K4380" s="17">
        <v>222028</v>
      </c>
      <c r="L4380" s="17">
        <v>53985.24482</v>
      </c>
      <c r="M4380" s="17">
        <v>2025</v>
      </c>
      <c r="N4380" s="17" t="s">
        <v>173</v>
      </c>
    </row>
    <row r="4381" spans="1:14" ht="14.25" customHeight="1">
      <c r="A4381" s="17">
        <v>14380</v>
      </c>
      <c r="B4381" s="18">
        <v>45710</v>
      </c>
      <c r="C4381" s="17" t="s">
        <v>39</v>
      </c>
      <c r="D4381" s="17" t="s">
        <v>83</v>
      </c>
      <c r="E4381" s="17" t="s">
        <v>168</v>
      </c>
      <c r="F4381" s="17" t="s">
        <v>163</v>
      </c>
      <c r="G4381" s="17">
        <v>1</v>
      </c>
      <c r="H4381" s="17">
        <v>54884</v>
      </c>
      <c r="I4381" s="17">
        <v>54884</v>
      </c>
      <c r="J4381" s="17">
        <v>1099</v>
      </c>
      <c r="K4381" s="17">
        <v>53785</v>
      </c>
      <c r="L4381" s="17">
        <v>12335.889639999999</v>
      </c>
      <c r="M4381" s="17">
        <v>2025</v>
      </c>
      <c r="N4381" s="17" t="s">
        <v>175</v>
      </c>
    </row>
    <row r="4382" spans="1:14" ht="14.25" customHeight="1">
      <c r="A4382" s="17">
        <v>14381</v>
      </c>
      <c r="B4382" s="18">
        <v>45798</v>
      </c>
      <c r="C4382" s="17" t="s">
        <v>58</v>
      </c>
      <c r="D4382" s="17" t="s">
        <v>111</v>
      </c>
      <c r="E4382" s="17" t="s">
        <v>168</v>
      </c>
      <c r="F4382" s="17" t="s">
        <v>164</v>
      </c>
      <c r="G4382" s="17">
        <v>9</v>
      </c>
      <c r="H4382" s="17">
        <v>67858</v>
      </c>
      <c r="I4382" s="17">
        <v>610722</v>
      </c>
      <c r="J4382" s="17">
        <v>2650</v>
      </c>
      <c r="K4382" s="17">
        <v>608072</v>
      </c>
      <c r="L4382" s="17">
        <v>135306.27559999999</v>
      </c>
      <c r="M4382" s="17">
        <v>2025</v>
      </c>
      <c r="N4382" s="17" t="s">
        <v>117</v>
      </c>
    </row>
    <row r="4383" spans="1:14" ht="14.25" customHeight="1">
      <c r="A4383" s="17">
        <v>14382</v>
      </c>
      <c r="B4383" s="18">
        <v>45632</v>
      </c>
      <c r="C4383" s="17" t="s">
        <v>58</v>
      </c>
      <c r="D4383" s="17" t="s">
        <v>86</v>
      </c>
      <c r="E4383" s="17" t="s">
        <v>165</v>
      </c>
      <c r="F4383" s="17" t="s">
        <v>163</v>
      </c>
      <c r="G4383" s="17">
        <v>3</v>
      </c>
      <c r="H4383" s="17">
        <v>69326</v>
      </c>
      <c r="I4383" s="17">
        <v>207978</v>
      </c>
      <c r="J4383" s="17">
        <v>3469</v>
      </c>
      <c r="K4383" s="17">
        <v>204509</v>
      </c>
      <c r="L4383" s="17">
        <v>27024.34389</v>
      </c>
      <c r="M4383" s="17">
        <v>2024</v>
      </c>
      <c r="N4383" s="17" t="s">
        <v>169</v>
      </c>
    </row>
    <row r="4384" spans="1:14" ht="14.25" customHeight="1">
      <c r="A4384" s="17">
        <v>14383</v>
      </c>
      <c r="B4384" s="18">
        <v>45418</v>
      </c>
      <c r="C4384" s="17" t="s">
        <v>39</v>
      </c>
      <c r="D4384" s="17" t="s">
        <v>83</v>
      </c>
      <c r="E4384" s="17" t="s">
        <v>168</v>
      </c>
      <c r="F4384" s="17" t="s">
        <v>166</v>
      </c>
      <c r="G4384" s="17">
        <v>8</v>
      </c>
      <c r="H4384" s="17">
        <v>44330</v>
      </c>
      <c r="I4384" s="17">
        <v>354640</v>
      </c>
      <c r="J4384" s="17">
        <v>4183</v>
      </c>
      <c r="K4384" s="17">
        <v>350457</v>
      </c>
      <c r="L4384" s="17">
        <v>44996.455240000003</v>
      </c>
      <c r="M4384" s="17">
        <v>2024</v>
      </c>
      <c r="N4384" s="17" t="s">
        <v>117</v>
      </c>
    </row>
    <row r="4385" spans="1:14" ht="14.25" customHeight="1">
      <c r="A4385" s="17">
        <v>14384</v>
      </c>
      <c r="B4385" s="18">
        <v>45700</v>
      </c>
      <c r="C4385" s="17" t="s">
        <v>45</v>
      </c>
      <c r="D4385" s="17" t="s">
        <v>83</v>
      </c>
      <c r="E4385" s="17" t="s">
        <v>165</v>
      </c>
      <c r="F4385" s="17" t="s">
        <v>164</v>
      </c>
      <c r="G4385" s="17">
        <v>6</v>
      </c>
      <c r="H4385" s="17">
        <v>51415</v>
      </c>
      <c r="I4385" s="17">
        <v>308490</v>
      </c>
      <c r="J4385" s="17">
        <v>2064</v>
      </c>
      <c r="K4385" s="17">
        <v>306426</v>
      </c>
      <c r="L4385" s="17">
        <v>67842.518060000002</v>
      </c>
      <c r="M4385" s="17">
        <v>2025</v>
      </c>
      <c r="N4385" s="17" t="s">
        <v>175</v>
      </c>
    </row>
    <row r="4386" spans="1:14" ht="14.25" customHeight="1">
      <c r="A4386" s="17">
        <v>14385</v>
      </c>
      <c r="B4386" s="18">
        <v>45658</v>
      </c>
      <c r="C4386" s="17" t="s">
        <v>39</v>
      </c>
      <c r="D4386" s="17" t="s">
        <v>170</v>
      </c>
      <c r="E4386" s="17" t="s">
        <v>168</v>
      </c>
      <c r="F4386" s="17" t="s">
        <v>166</v>
      </c>
      <c r="G4386" s="17">
        <v>3</v>
      </c>
      <c r="H4386" s="17">
        <v>66006</v>
      </c>
      <c r="I4386" s="17">
        <v>198018</v>
      </c>
      <c r="J4386" s="17">
        <v>3400</v>
      </c>
      <c r="K4386" s="17">
        <v>194618</v>
      </c>
      <c r="L4386" s="17">
        <v>24852.94283</v>
      </c>
      <c r="M4386" s="17">
        <v>2025</v>
      </c>
      <c r="N4386" s="17" t="s">
        <v>171</v>
      </c>
    </row>
    <row r="4387" spans="1:14" ht="14.25" customHeight="1">
      <c r="A4387" s="17">
        <v>14386</v>
      </c>
      <c r="B4387" s="18">
        <v>45562</v>
      </c>
      <c r="C4387" s="17" t="s">
        <v>45</v>
      </c>
      <c r="D4387" s="17" t="s">
        <v>111</v>
      </c>
      <c r="E4387" s="17" t="s">
        <v>165</v>
      </c>
      <c r="F4387" s="17" t="s">
        <v>164</v>
      </c>
      <c r="G4387" s="17">
        <v>9</v>
      </c>
      <c r="H4387" s="17">
        <v>54127</v>
      </c>
      <c r="I4387" s="17">
        <v>487143</v>
      </c>
      <c r="J4387" s="17">
        <v>2871</v>
      </c>
      <c r="K4387" s="17">
        <v>484272</v>
      </c>
      <c r="L4387" s="17">
        <v>85004.453200000004</v>
      </c>
      <c r="M4387" s="17">
        <v>2024</v>
      </c>
      <c r="N4387" s="17" t="s">
        <v>129</v>
      </c>
    </row>
    <row r="4388" spans="1:14" ht="14.25" customHeight="1">
      <c r="A4388" s="17">
        <v>14387</v>
      </c>
      <c r="B4388" s="18">
        <v>45935</v>
      </c>
      <c r="C4388" s="17" t="s">
        <v>39</v>
      </c>
      <c r="D4388" s="17" t="s">
        <v>111</v>
      </c>
      <c r="E4388" s="17" t="s">
        <v>162</v>
      </c>
      <c r="F4388" s="17" t="s">
        <v>166</v>
      </c>
      <c r="G4388" s="17">
        <v>8</v>
      </c>
      <c r="H4388" s="17">
        <v>27547</v>
      </c>
      <c r="I4388" s="17">
        <v>220376</v>
      </c>
      <c r="J4388" s="17">
        <v>2430</v>
      </c>
      <c r="K4388" s="17">
        <v>217946</v>
      </c>
      <c r="L4388" s="17">
        <v>29033.298910000001</v>
      </c>
      <c r="M4388" s="17">
        <v>2025</v>
      </c>
      <c r="N4388" s="17" t="s">
        <v>174</v>
      </c>
    </row>
    <row r="4389" spans="1:14" ht="14.25" customHeight="1">
      <c r="A4389" s="17">
        <v>14388</v>
      </c>
      <c r="B4389" s="18">
        <v>45896</v>
      </c>
      <c r="C4389" s="17" t="s">
        <v>45</v>
      </c>
      <c r="D4389" s="17" t="s">
        <v>86</v>
      </c>
      <c r="E4389" s="17" t="s">
        <v>162</v>
      </c>
      <c r="F4389" s="17" t="s">
        <v>164</v>
      </c>
      <c r="G4389" s="17">
        <v>3</v>
      </c>
      <c r="H4389" s="17">
        <v>27939</v>
      </c>
      <c r="I4389" s="17">
        <v>83817</v>
      </c>
      <c r="J4389" s="17">
        <v>2687</v>
      </c>
      <c r="K4389" s="17">
        <v>81130</v>
      </c>
      <c r="L4389" s="17">
        <v>12713.92023</v>
      </c>
      <c r="M4389" s="17">
        <v>2025</v>
      </c>
      <c r="N4389" s="17" t="s">
        <v>126</v>
      </c>
    </row>
    <row r="4390" spans="1:14" ht="14.25" customHeight="1">
      <c r="A4390" s="17">
        <v>14389</v>
      </c>
      <c r="B4390" s="18">
        <v>45670</v>
      </c>
      <c r="C4390" s="17" t="s">
        <v>45</v>
      </c>
      <c r="D4390" s="17" t="s">
        <v>86</v>
      </c>
      <c r="E4390" s="17" t="s">
        <v>162</v>
      </c>
      <c r="F4390" s="17" t="s">
        <v>163</v>
      </c>
      <c r="G4390" s="17">
        <v>7</v>
      </c>
      <c r="H4390" s="17">
        <v>79332</v>
      </c>
      <c r="I4390" s="17">
        <v>555324</v>
      </c>
      <c r="J4390" s="17">
        <v>1416</v>
      </c>
      <c r="K4390" s="17">
        <v>553908</v>
      </c>
      <c r="L4390" s="17">
        <v>126301.0686</v>
      </c>
      <c r="M4390" s="17">
        <v>2025</v>
      </c>
      <c r="N4390" s="17" t="s">
        <v>171</v>
      </c>
    </row>
    <row r="4391" spans="1:14" ht="14.25" customHeight="1">
      <c r="A4391" s="17">
        <v>14390</v>
      </c>
      <c r="B4391" s="18">
        <v>45364</v>
      </c>
      <c r="C4391" s="17" t="s">
        <v>39</v>
      </c>
      <c r="D4391" s="17" t="s">
        <v>83</v>
      </c>
      <c r="E4391" s="17" t="s">
        <v>168</v>
      </c>
      <c r="F4391" s="17" t="s">
        <v>166</v>
      </c>
      <c r="G4391" s="17">
        <v>5</v>
      </c>
      <c r="H4391" s="17">
        <v>6722</v>
      </c>
      <c r="I4391" s="17">
        <v>33610</v>
      </c>
      <c r="J4391" s="17">
        <v>4405</v>
      </c>
      <c r="K4391" s="17">
        <v>29205</v>
      </c>
      <c r="L4391" s="17">
        <v>6825.5809069999996</v>
      </c>
      <c r="M4391" s="17">
        <v>2024</v>
      </c>
      <c r="N4391" s="17" t="s">
        <v>112</v>
      </c>
    </row>
    <row r="4392" spans="1:14" ht="14.25" customHeight="1">
      <c r="A4392" s="17">
        <v>14391</v>
      </c>
      <c r="B4392" s="18">
        <v>45539</v>
      </c>
      <c r="C4392" s="17" t="s">
        <v>45</v>
      </c>
      <c r="D4392" s="17" t="s">
        <v>111</v>
      </c>
      <c r="E4392" s="17" t="s">
        <v>165</v>
      </c>
      <c r="F4392" s="17" t="s">
        <v>163</v>
      </c>
      <c r="G4392" s="17">
        <v>2</v>
      </c>
      <c r="H4392" s="17">
        <v>48364</v>
      </c>
      <c r="I4392" s="17">
        <v>96728</v>
      </c>
      <c r="J4392" s="17">
        <v>491</v>
      </c>
      <c r="K4392" s="17">
        <v>96237</v>
      </c>
      <c r="L4392" s="17">
        <v>24011.313160000002</v>
      </c>
      <c r="M4392" s="17">
        <v>2024</v>
      </c>
      <c r="N4392" s="17" t="s">
        <v>129</v>
      </c>
    </row>
    <row r="4393" spans="1:14" ht="14.25" customHeight="1">
      <c r="A4393" s="17">
        <v>14392</v>
      </c>
      <c r="B4393" s="18">
        <v>45334</v>
      </c>
      <c r="C4393" s="17" t="s">
        <v>50</v>
      </c>
      <c r="D4393" s="17" t="s">
        <v>111</v>
      </c>
      <c r="E4393" s="17" t="s">
        <v>165</v>
      </c>
      <c r="F4393" s="17" t="s">
        <v>164</v>
      </c>
      <c r="G4393" s="17">
        <v>8</v>
      </c>
      <c r="H4393" s="17">
        <v>16674</v>
      </c>
      <c r="I4393" s="17">
        <v>133392</v>
      </c>
      <c r="J4393" s="17">
        <v>759</v>
      </c>
      <c r="K4393" s="17">
        <v>132633</v>
      </c>
      <c r="L4393" s="17">
        <v>32042.228459999998</v>
      </c>
      <c r="M4393" s="17">
        <v>2024</v>
      </c>
      <c r="N4393" s="17" t="s">
        <v>175</v>
      </c>
    </row>
    <row r="4394" spans="1:14" ht="14.25" customHeight="1">
      <c r="A4394" s="17">
        <v>14393</v>
      </c>
      <c r="B4394" s="18">
        <v>45668</v>
      </c>
      <c r="C4394" s="17" t="s">
        <v>167</v>
      </c>
      <c r="D4394" s="17" t="s">
        <v>86</v>
      </c>
      <c r="E4394" s="17" t="s">
        <v>162</v>
      </c>
      <c r="F4394" s="17" t="s">
        <v>163</v>
      </c>
      <c r="G4394" s="17">
        <v>1</v>
      </c>
      <c r="H4394" s="17">
        <v>7812</v>
      </c>
      <c r="I4394" s="17">
        <v>7812</v>
      </c>
      <c r="J4394" s="17">
        <v>3501</v>
      </c>
      <c r="K4394" s="17">
        <v>4311</v>
      </c>
      <c r="L4394" s="17">
        <v>865.16428089999999</v>
      </c>
      <c r="M4394" s="17">
        <v>2025</v>
      </c>
      <c r="N4394" s="17" t="s">
        <v>171</v>
      </c>
    </row>
    <row r="4395" spans="1:14" ht="14.25" customHeight="1">
      <c r="A4395" s="17">
        <v>14394</v>
      </c>
      <c r="B4395" s="18">
        <v>45332</v>
      </c>
      <c r="C4395" s="17" t="s">
        <v>58</v>
      </c>
      <c r="D4395" s="17" t="s">
        <v>89</v>
      </c>
      <c r="E4395" s="17" t="s">
        <v>162</v>
      </c>
      <c r="F4395" s="17" t="s">
        <v>164</v>
      </c>
      <c r="G4395" s="17">
        <v>4</v>
      </c>
      <c r="H4395" s="17">
        <v>7278</v>
      </c>
      <c r="I4395" s="17">
        <v>29112</v>
      </c>
      <c r="J4395" s="17">
        <v>0</v>
      </c>
      <c r="K4395" s="17">
        <v>29112</v>
      </c>
      <c r="L4395" s="17">
        <v>4796.4610709999997</v>
      </c>
      <c r="M4395" s="17">
        <v>2024</v>
      </c>
      <c r="N4395" s="17" t="s">
        <v>175</v>
      </c>
    </row>
    <row r="4396" spans="1:14" ht="14.25" customHeight="1">
      <c r="A4396" s="17">
        <v>14395</v>
      </c>
      <c r="B4396" s="18">
        <v>45461</v>
      </c>
      <c r="C4396" s="17" t="s">
        <v>45</v>
      </c>
      <c r="D4396" s="17" t="s">
        <v>83</v>
      </c>
      <c r="E4396" s="17" t="s">
        <v>162</v>
      </c>
      <c r="F4396" s="17" t="s">
        <v>163</v>
      </c>
      <c r="G4396" s="17">
        <v>4</v>
      </c>
      <c r="H4396" s="17">
        <v>40118</v>
      </c>
      <c r="I4396" s="17">
        <v>160472</v>
      </c>
      <c r="J4396" s="17">
        <v>2088</v>
      </c>
      <c r="K4396" s="17">
        <v>158384</v>
      </c>
      <c r="L4396" s="17">
        <v>17209.032380000001</v>
      </c>
      <c r="M4396" s="17">
        <v>2024</v>
      </c>
      <c r="N4396" s="17" t="s">
        <v>120</v>
      </c>
    </row>
    <row r="4397" spans="1:14" ht="14.25" customHeight="1">
      <c r="A4397" s="17">
        <v>14396</v>
      </c>
      <c r="B4397" s="18">
        <v>45503</v>
      </c>
      <c r="C4397" s="17" t="s">
        <v>45</v>
      </c>
      <c r="D4397" s="17" t="s">
        <v>111</v>
      </c>
      <c r="E4397" s="17" t="s">
        <v>165</v>
      </c>
      <c r="F4397" s="17" t="s">
        <v>166</v>
      </c>
      <c r="G4397" s="17">
        <v>5</v>
      </c>
      <c r="H4397" s="17">
        <v>74159</v>
      </c>
      <c r="I4397" s="17">
        <v>370795</v>
      </c>
      <c r="J4397" s="17">
        <v>3656</v>
      </c>
      <c r="K4397" s="17">
        <v>367139</v>
      </c>
      <c r="L4397" s="17">
        <v>70206.124809999994</v>
      </c>
      <c r="M4397" s="17">
        <v>2024</v>
      </c>
      <c r="N4397" s="17" t="s">
        <v>123</v>
      </c>
    </row>
    <row r="4398" spans="1:14" ht="14.25" customHeight="1">
      <c r="A4398" s="17">
        <v>14397</v>
      </c>
      <c r="B4398" s="18">
        <v>45784</v>
      </c>
      <c r="C4398" s="17" t="s">
        <v>58</v>
      </c>
      <c r="D4398" s="17" t="s">
        <v>170</v>
      </c>
      <c r="E4398" s="17" t="s">
        <v>162</v>
      </c>
      <c r="F4398" s="17" t="s">
        <v>164</v>
      </c>
      <c r="G4398" s="17">
        <v>4</v>
      </c>
      <c r="H4398" s="17">
        <v>11530</v>
      </c>
      <c r="I4398" s="17">
        <v>46120</v>
      </c>
      <c r="J4398" s="17">
        <v>4767</v>
      </c>
      <c r="K4398" s="17">
        <v>41353</v>
      </c>
      <c r="L4398" s="17">
        <v>5442.1416120000004</v>
      </c>
      <c r="M4398" s="17">
        <v>2025</v>
      </c>
      <c r="N4398" s="17" t="s">
        <v>117</v>
      </c>
    </row>
    <row r="4399" spans="1:14" ht="14.25" customHeight="1">
      <c r="A4399" s="17">
        <v>14398</v>
      </c>
      <c r="B4399" s="18">
        <v>45971</v>
      </c>
      <c r="C4399" s="17" t="s">
        <v>45</v>
      </c>
      <c r="D4399" s="17" t="s">
        <v>170</v>
      </c>
      <c r="E4399" s="17" t="s">
        <v>168</v>
      </c>
      <c r="F4399" s="17" t="s">
        <v>163</v>
      </c>
      <c r="G4399" s="17">
        <v>1</v>
      </c>
      <c r="H4399" s="17">
        <v>54866</v>
      </c>
      <c r="I4399" s="17">
        <v>54866</v>
      </c>
      <c r="J4399" s="17">
        <v>211</v>
      </c>
      <c r="K4399" s="17">
        <v>54655</v>
      </c>
      <c r="L4399" s="17">
        <v>12435.129790000001</v>
      </c>
      <c r="M4399" s="17">
        <v>2025</v>
      </c>
      <c r="N4399" s="17" t="s">
        <v>173</v>
      </c>
    </row>
    <row r="4400" spans="1:14" ht="14.25" customHeight="1">
      <c r="A4400" s="17">
        <v>14399</v>
      </c>
      <c r="B4400" s="18">
        <v>45330</v>
      </c>
      <c r="C4400" s="17" t="s">
        <v>58</v>
      </c>
      <c r="D4400" s="17" t="s">
        <v>89</v>
      </c>
      <c r="E4400" s="17" t="s">
        <v>162</v>
      </c>
      <c r="F4400" s="17" t="s">
        <v>164</v>
      </c>
      <c r="G4400" s="17">
        <v>7</v>
      </c>
      <c r="H4400" s="17">
        <v>5924</v>
      </c>
      <c r="I4400" s="17">
        <v>41468</v>
      </c>
      <c r="J4400" s="17">
        <v>3722</v>
      </c>
      <c r="K4400" s="17">
        <v>37746</v>
      </c>
      <c r="L4400" s="17">
        <v>6882.4105650000001</v>
      </c>
      <c r="M4400" s="17">
        <v>2024</v>
      </c>
      <c r="N4400" s="17" t="s">
        <v>175</v>
      </c>
    </row>
    <row r="4401" spans="1:14" ht="14.25" customHeight="1">
      <c r="A4401" s="17">
        <v>14400</v>
      </c>
      <c r="B4401" s="18">
        <v>45660</v>
      </c>
      <c r="C4401" s="17" t="s">
        <v>39</v>
      </c>
      <c r="D4401" s="17" t="s">
        <v>86</v>
      </c>
      <c r="E4401" s="17" t="s">
        <v>162</v>
      </c>
      <c r="F4401" s="17" t="s">
        <v>164</v>
      </c>
      <c r="G4401" s="17">
        <v>2</v>
      </c>
      <c r="H4401" s="17">
        <v>24546</v>
      </c>
      <c r="I4401" s="17">
        <v>49092</v>
      </c>
      <c r="J4401" s="17">
        <v>3517</v>
      </c>
      <c r="K4401" s="17">
        <v>45575</v>
      </c>
      <c r="L4401" s="17">
        <v>9571.9008799999992</v>
      </c>
      <c r="M4401" s="17">
        <v>2025</v>
      </c>
      <c r="N4401" s="17" t="s">
        <v>171</v>
      </c>
    </row>
    <row r="4402" spans="1:14" ht="14.25" customHeight="1">
      <c r="A4402" s="17">
        <v>14401</v>
      </c>
      <c r="B4402" s="18">
        <v>45442</v>
      </c>
      <c r="C4402" s="17" t="s">
        <v>50</v>
      </c>
      <c r="D4402" s="17" t="s">
        <v>86</v>
      </c>
      <c r="E4402" s="17" t="s">
        <v>165</v>
      </c>
      <c r="F4402" s="17" t="s">
        <v>164</v>
      </c>
      <c r="G4402" s="17">
        <v>3</v>
      </c>
      <c r="H4402" s="17">
        <v>58305</v>
      </c>
      <c r="I4402" s="17">
        <v>174915</v>
      </c>
      <c r="J4402" s="17">
        <v>1965</v>
      </c>
      <c r="K4402" s="17">
        <v>172950</v>
      </c>
      <c r="L4402" s="17">
        <v>34767.144939999998</v>
      </c>
      <c r="M4402" s="17">
        <v>2024</v>
      </c>
      <c r="N4402" s="17" t="s">
        <v>117</v>
      </c>
    </row>
    <row r="4403" spans="1:14" ht="14.25" customHeight="1">
      <c r="A4403" s="17">
        <v>14402</v>
      </c>
      <c r="B4403" s="18">
        <v>45402</v>
      </c>
      <c r="C4403" s="17" t="s">
        <v>50</v>
      </c>
      <c r="D4403" s="17" t="s">
        <v>86</v>
      </c>
      <c r="E4403" s="17" t="s">
        <v>168</v>
      </c>
      <c r="F4403" s="17" t="s">
        <v>172</v>
      </c>
      <c r="G4403" s="17">
        <v>5</v>
      </c>
      <c r="H4403" s="17">
        <v>23953</v>
      </c>
      <c r="I4403" s="17">
        <v>119765</v>
      </c>
      <c r="J4403" s="17">
        <v>303</v>
      </c>
      <c r="K4403" s="17">
        <v>119462</v>
      </c>
      <c r="L4403" s="17">
        <v>18170.131829999998</v>
      </c>
      <c r="M4403" s="17">
        <v>2024</v>
      </c>
      <c r="N4403" s="17" t="s">
        <v>114</v>
      </c>
    </row>
    <row r="4404" spans="1:14" ht="14.25" customHeight="1">
      <c r="A4404" s="17">
        <v>14403</v>
      </c>
      <c r="B4404" s="18">
        <v>45771</v>
      </c>
      <c r="C4404" s="17" t="s">
        <v>167</v>
      </c>
      <c r="D4404" s="17" t="s">
        <v>170</v>
      </c>
      <c r="E4404" s="17" t="s">
        <v>165</v>
      </c>
      <c r="F4404" s="17" t="s">
        <v>164</v>
      </c>
      <c r="G4404" s="17">
        <v>8</v>
      </c>
      <c r="H4404" s="17">
        <v>40583</v>
      </c>
      <c r="I4404" s="17">
        <v>324664</v>
      </c>
      <c r="J4404" s="17">
        <v>4786</v>
      </c>
      <c r="K4404" s="17">
        <v>319878</v>
      </c>
      <c r="L4404" s="17">
        <v>68410.039139999993</v>
      </c>
      <c r="M4404" s="17">
        <v>2025</v>
      </c>
      <c r="N4404" s="17" t="s">
        <v>114</v>
      </c>
    </row>
    <row r="4405" spans="1:14" ht="14.25" customHeight="1">
      <c r="A4405" s="17">
        <v>14404</v>
      </c>
      <c r="B4405" s="18">
        <v>45727</v>
      </c>
      <c r="C4405" s="17" t="s">
        <v>45</v>
      </c>
      <c r="D4405" s="17" t="s">
        <v>86</v>
      </c>
      <c r="E4405" s="17" t="s">
        <v>168</v>
      </c>
      <c r="F4405" s="17" t="s">
        <v>163</v>
      </c>
      <c r="G4405" s="17">
        <v>8</v>
      </c>
      <c r="H4405" s="17">
        <v>75114</v>
      </c>
      <c r="I4405" s="17">
        <v>600912</v>
      </c>
      <c r="J4405" s="17">
        <v>3772</v>
      </c>
      <c r="K4405" s="17">
        <v>597140</v>
      </c>
      <c r="L4405" s="17">
        <v>135255.96400000001</v>
      </c>
      <c r="M4405" s="17">
        <v>2025</v>
      </c>
      <c r="N4405" s="17" t="s">
        <v>112</v>
      </c>
    </row>
    <row r="4406" spans="1:14" ht="14.25" customHeight="1">
      <c r="A4406" s="17">
        <v>14405</v>
      </c>
      <c r="B4406" s="18">
        <v>45338</v>
      </c>
      <c r="C4406" s="17" t="s">
        <v>167</v>
      </c>
      <c r="D4406" s="17" t="s">
        <v>170</v>
      </c>
      <c r="E4406" s="17" t="s">
        <v>168</v>
      </c>
      <c r="F4406" s="17" t="s">
        <v>172</v>
      </c>
      <c r="G4406" s="17">
        <v>2</v>
      </c>
      <c r="H4406" s="17">
        <v>9462</v>
      </c>
      <c r="I4406" s="17">
        <v>18924</v>
      </c>
      <c r="J4406" s="17">
        <v>1781</v>
      </c>
      <c r="K4406" s="17">
        <v>17143</v>
      </c>
      <c r="L4406" s="17">
        <v>3627.7942109999999</v>
      </c>
      <c r="M4406" s="17">
        <v>2024</v>
      </c>
      <c r="N4406" s="17" t="s">
        <v>175</v>
      </c>
    </row>
    <row r="4407" spans="1:14" ht="14.25" customHeight="1">
      <c r="A4407" s="17">
        <v>14406</v>
      </c>
      <c r="B4407" s="18">
        <v>45866</v>
      </c>
      <c r="C4407" s="17" t="s">
        <v>39</v>
      </c>
      <c r="D4407" s="17" t="s">
        <v>89</v>
      </c>
      <c r="E4407" s="17" t="s">
        <v>162</v>
      </c>
      <c r="F4407" s="17" t="s">
        <v>163</v>
      </c>
      <c r="G4407" s="17">
        <v>9</v>
      </c>
      <c r="H4407" s="17">
        <v>5888</v>
      </c>
      <c r="I4407" s="17">
        <v>52992</v>
      </c>
      <c r="J4407" s="17">
        <v>3225</v>
      </c>
      <c r="K4407" s="17">
        <v>49767</v>
      </c>
      <c r="L4407" s="17">
        <v>10775.60146</v>
      </c>
      <c r="M4407" s="17">
        <v>2025</v>
      </c>
      <c r="N4407" s="17" t="s">
        <v>123</v>
      </c>
    </row>
    <row r="4408" spans="1:14" ht="14.25" customHeight="1">
      <c r="A4408" s="17">
        <v>14407</v>
      </c>
      <c r="B4408" s="18">
        <v>45657</v>
      </c>
      <c r="C4408" s="17" t="s">
        <v>50</v>
      </c>
      <c r="D4408" s="17" t="s">
        <v>83</v>
      </c>
      <c r="E4408" s="17" t="s">
        <v>162</v>
      </c>
      <c r="F4408" s="17" t="s">
        <v>172</v>
      </c>
      <c r="G4408" s="17">
        <v>6</v>
      </c>
      <c r="H4408" s="17">
        <v>72259</v>
      </c>
      <c r="I4408" s="17">
        <v>433554</v>
      </c>
      <c r="J4408" s="17">
        <v>4711</v>
      </c>
      <c r="K4408" s="17">
        <v>428843</v>
      </c>
      <c r="L4408" s="17">
        <v>66042.821609999999</v>
      </c>
      <c r="M4408" s="17">
        <v>2024</v>
      </c>
      <c r="N4408" s="17" t="s">
        <v>169</v>
      </c>
    </row>
    <row r="4409" spans="1:14" ht="14.25" customHeight="1">
      <c r="A4409" s="17">
        <v>14408</v>
      </c>
      <c r="B4409" s="18">
        <v>45360</v>
      </c>
      <c r="C4409" s="17" t="s">
        <v>39</v>
      </c>
      <c r="D4409" s="17" t="s">
        <v>111</v>
      </c>
      <c r="E4409" s="17" t="s">
        <v>165</v>
      </c>
      <c r="F4409" s="17" t="s">
        <v>164</v>
      </c>
      <c r="G4409" s="17">
        <v>9</v>
      </c>
      <c r="H4409" s="17">
        <v>28410</v>
      </c>
      <c r="I4409" s="17">
        <v>255690</v>
      </c>
      <c r="J4409" s="17">
        <v>4618</v>
      </c>
      <c r="K4409" s="17">
        <v>251072</v>
      </c>
      <c r="L4409" s="17">
        <v>60647.2425</v>
      </c>
      <c r="M4409" s="17">
        <v>2024</v>
      </c>
      <c r="N4409" s="17" t="s">
        <v>112</v>
      </c>
    </row>
    <row r="4410" spans="1:14" ht="14.25" customHeight="1">
      <c r="A4410" s="17">
        <v>14409</v>
      </c>
      <c r="B4410" s="18">
        <v>45590</v>
      </c>
      <c r="C4410" s="17" t="s">
        <v>39</v>
      </c>
      <c r="D4410" s="17" t="s">
        <v>89</v>
      </c>
      <c r="E4410" s="17" t="s">
        <v>165</v>
      </c>
      <c r="F4410" s="17" t="s">
        <v>166</v>
      </c>
      <c r="G4410" s="17">
        <v>4</v>
      </c>
      <c r="H4410" s="17">
        <v>13602</v>
      </c>
      <c r="I4410" s="17">
        <v>54408</v>
      </c>
      <c r="J4410" s="17">
        <v>2072</v>
      </c>
      <c r="K4410" s="17">
        <v>52336</v>
      </c>
      <c r="L4410" s="17">
        <v>8566.6609580000004</v>
      </c>
      <c r="M4410" s="17">
        <v>2024</v>
      </c>
      <c r="N4410" s="17" t="s">
        <v>174</v>
      </c>
    </row>
    <row r="4411" spans="1:14" ht="14.25" customHeight="1">
      <c r="A4411" s="17">
        <v>14410</v>
      </c>
      <c r="B4411" s="18">
        <v>45587</v>
      </c>
      <c r="C4411" s="17" t="s">
        <v>45</v>
      </c>
      <c r="D4411" s="17" t="s">
        <v>170</v>
      </c>
      <c r="E4411" s="17" t="s">
        <v>165</v>
      </c>
      <c r="F4411" s="17" t="s">
        <v>166</v>
      </c>
      <c r="G4411" s="17">
        <v>3</v>
      </c>
      <c r="H4411" s="17">
        <v>23614</v>
      </c>
      <c r="I4411" s="17">
        <v>70842</v>
      </c>
      <c r="J4411" s="17">
        <v>807</v>
      </c>
      <c r="K4411" s="17">
        <v>70035</v>
      </c>
      <c r="L4411" s="17">
        <v>16427.236809999999</v>
      </c>
      <c r="M4411" s="17">
        <v>2024</v>
      </c>
      <c r="N4411" s="17" t="s">
        <v>174</v>
      </c>
    </row>
    <row r="4412" spans="1:14" ht="14.25" customHeight="1">
      <c r="A4412" s="17">
        <v>14411</v>
      </c>
      <c r="B4412" s="18">
        <v>45494</v>
      </c>
      <c r="C4412" s="17" t="s">
        <v>39</v>
      </c>
      <c r="D4412" s="17" t="s">
        <v>89</v>
      </c>
      <c r="E4412" s="17" t="s">
        <v>168</v>
      </c>
      <c r="F4412" s="17" t="s">
        <v>164</v>
      </c>
      <c r="G4412" s="17">
        <v>5</v>
      </c>
      <c r="H4412" s="17">
        <v>23444</v>
      </c>
      <c r="I4412" s="17">
        <v>117220</v>
      </c>
      <c r="J4412" s="17">
        <v>4120</v>
      </c>
      <c r="K4412" s="17">
        <v>113100</v>
      </c>
      <c r="L4412" s="17">
        <v>25862.7363</v>
      </c>
      <c r="M4412" s="17">
        <v>2024</v>
      </c>
      <c r="N4412" s="17" t="s">
        <v>123</v>
      </c>
    </row>
    <row r="4413" spans="1:14" ht="14.25" customHeight="1">
      <c r="A4413" s="17">
        <v>14412</v>
      </c>
      <c r="B4413" s="18">
        <v>45352</v>
      </c>
      <c r="C4413" s="17" t="s">
        <v>50</v>
      </c>
      <c r="D4413" s="17" t="s">
        <v>111</v>
      </c>
      <c r="E4413" s="17" t="s">
        <v>165</v>
      </c>
      <c r="F4413" s="17" t="s">
        <v>172</v>
      </c>
      <c r="G4413" s="17">
        <v>5</v>
      </c>
      <c r="H4413" s="17">
        <v>58050</v>
      </c>
      <c r="I4413" s="17">
        <v>290250</v>
      </c>
      <c r="J4413" s="17">
        <v>1776</v>
      </c>
      <c r="K4413" s="17">
        <v>288474</v>
      </c>
      <c r="L4413" s="17">
        <v>34227.338069999998</v>
      </c>
      <c r="M4413" s="17">
        <v>2024</v>
      </c>
      <c r="N4413" s="17" t="s">
        <v>112</v>
      </c>
    </row>
    <row r="4414" spans="1:14" ht="14.25" customHeight="1">
      <c r="A4414" s="17">
        <v>14413</v>
      </c>
      <c r="B4414" s="18">
        <v>45605</v>
      </c>
      <c r="C4414" s="17" t="s">
        <v>167</v>
      </c>
      <c r="D4414" s="17" t="s">
        <v>83</v>
      </c>
      <c r="E4414" s="17" t="s">
        <v>168</v>
      </c>
      <c r="F4414" s="17" t="s">
        <v>163</v>
      </c>
      <c r="G4414" s="17">
        <v>4</v>
      </c>
      <c r="H4414" s="17">
        <v>73149</v>
      </c>
      <c r="I4414" s="17">
        <v>292596</v>
      </c>
      <c r="J4414" s="17">
        <v>3190</v>
      </c>
      <c r="K4414" s="17">
        <v>289406</v>
      </c>
      <c r="L4414" s="17">
        <v>70887.274640000003</v>
      </c>
      <c r="M4414" s="17">
        <v>2024</v>
      </c>
      <c r="N4414" s="17" t="s">
        <v>173</v>
      </c>
    </row>
    <row r="4415" spans="1:14" ht="14.25" customHeight="1">
      <c r="A4415" s="17">
        <v>14414</v>
      </c>
      <c r="B4415" s="18">
        <v>45452</v>
      </c>
      <c r="C4415" s="17" t="s">
        <v>50</v>
      </c>
      <c r="D4415" s="17" t="s">
        <v>111</v>
      </c>
      <c r="E4415" s="17" t="s">
        <v>168</v>
      </c>
      <c r="F4415" s="17" t="s">
        <v>166</v>
      </c>
      <c r="G4415" s="17">
        <v>7</v>
      </c>
      <c r="H4415" s="17">
        <v>49866</v>
      </c>
      <c r="I4415" s="17">
        <v>349062</v>
      </c>
      <c r="J4415" s="17">
        <v>4042</v>
      </c>
      <c r="K4415" s="17">
        <v>345020</v>
      </c>
      <c r="L4415" s="17">
        <v>86065.671239999996</v>
      </c>
      <c r="M4415" s="17">
        <v>2024</v>
      </c>
      <c r="N4415" s="17" t="s">
        <v>120</v>
      </c>
    </row>
    <row r="4416" spans="1:14" ht="14.25" customHeight="1">
      <c r="A4416" s="17">
        <v>14415</v>
      </c>
      <c r="B4416" s="18">
        <v>45622</v>
      </c>
      <c r="C4416" s="17" t="s">
        <v>45</v>
      </c>
      <c r="D4416" s="17" t="s">
        <v>170</v>
      </c>
      <c r="E4416" s="17" t="s">
        <v>168</v>
      </c>
      <c r="F4416" s="17" t="s">
        <v>164</v>
      </c>
      <c r="G4416" s="17">
        <v>8</v>
      </c>
      <c r="H4416" s="17">
        <v>71213</v>
      </c>
      <c r="I4416" s="17">
        <v>569704</v>
      </c>
      <c r="J4416" s="17">
        <v>4203</v>
      </c>
      <c r="K4416" s="17">
        <v>565501</v>
      </c>
      <c r="L4416" s="17">
        <v>107966.5692</v>
      </c>
      <c r="M4416" s="17">
        <v>2024</v>
      </c>
      <c r="N4416" s="17" t="s">
        <v>173</v>
      </c>
    </row>
    <row r="4417" spans="1:14" ht="14.25" customHeight="1">
      <c r="A4417" s="17">
        <v>14416</v>
      </c>
      <c r="B4417" s="18">
        <v>45819</v>
      </c>
      <c r="C4417" s="17" t="s">
        <v>50</v>
      </c>
      <c r="D4417" s="17" t="s">
        <v>111</v>
      </c>
      <c r="E4417" s="17" t="s">
        <v>168</v>
      </c>
      <c r="F4417" s="17" t="s">
        <v>164</v>
      </c>
      <c r="G4417" s="17">
        <v>5</v>
      </c>
      <c r="H4417" s="17">
        <v>62239</v>
      </c>
      <c r="I4417" s="17">
        <v>311195</v>
      </c>
      <c r="J4417" s="17">
        <v>1353</v>
      </c>
      <c r="K4417" s="17">
        <v>309842</v>
      </c>
      <c r="L4417" s="17">
        <v>67380.257660000003</v>
      </c>
      <c r="M4417" s="17">
        <v>2025</v>
      </c>
      <c r="N4417" s="17" t="s">
        <v>120</v>
      </c>
    </row>
    <row r="4418" spans="1:14" ht="14.25" customHeight="1">
      <c r="A4418" s="17">
        <v>14417</v>
      </c>
      <c r="B4418" s="18">
        <v>45629</v>
      </c>
      <c r="C4418" s="17" t="s">
        <v>58</v>
      </c>
      <c r="D4418" s="17" t="s">
        <v>89</v>
      </c>
      <c r="E4418" s="17" t="s">
        <v>168</v>
      </c>
      <c r="F4418" s="17" t="s">
        <v>172</v>
      </c>
      <c r="G4418" s="17">
        <v>9</v>
      </c>
      <c r="H4418" s="17">
        <v>48211</v>
      </c>
      <c r="I4418" s="17">
        <v>433899</v>
      </c>
      <c r="J4418" s="17">
        <v>179</v>
      </c>
      <c r="K4418" s="17">
        <v>433720</v>
      </c>
      <c r="L4418" s="17">
        <v>104115.8113</v>
      </c>
      <c r="M4418" s="17">
        <v>2024</v>
      </c>
      <c r="N4418" s="17" t="s">
        <v>169</v>
      </c>
    </row>
    <row r="4419" spans="1:14" ht="14.25" customHeight="1">
      <c r="A4419" s="17">
        <v>14418</v>
      </c>
      <c r="B4419" s="18">
        <v>45897</v>
      </c>
      <c r="C4419" s="17" t="s">
        <v>167</v>
      </c>
      <c r="D4419" s="17" t="s">
        <v>86</v>
      </c>
      <c r="E4419" s="17" t="s">
        <v>162</v>
      </c>
      <c r="F4419" s="17" t="s">
        <v>166</v>
      </c>
      <c r="G4419" s="17">
        <v>7</v>
      </c>
      <c r="H4419" s="17">
        <v>8004</v>
      </c>
      <c r="I4419" s="17">
        <v>56028</v>
      </c>
      <c r="J4419" s="17">
        <v>880</v>
      </c>
      <c r="K4419" s="17">
        <v>55148</v>
      </c>
      <c r="L4419" s="17">
        <v>5680.4457629999997</v>
      </c>
      <c r="M4419" s="17">
        <v>2025</v>
      </c>
      <c r="N4419" s="17" t="s">
        <v>126</v>
      </c>
    </row>
    <row r="4420" spans="1:14" ht="14.25" customHeight="1">
      <c r="A4420" s="17">
        <v>14419</v>
      </c>
      <c r="B4420" s="18">
        <v>45595</v>
      </c>
      <c r="C4420" s="17" t="s">
        <v>58</v>
      </c>
      <c r="D4420" s="17" t="s">
        <v>89</v>
      </c>
      <c r="E4420" s="17" t="s">
        <v>168</v>
      </c>
      <c r="F4420" s="17" t="s">
        <v>164</v>
      </c>
      <c r="G4420" s="17">
        <v>7</v>
      </c>
      <c r="H4420" s="17">
        <v>68789</v>
      </c>
      <c r="I4420" s="17">
        <v>481523</v>
      </c>
      <c r="J4420" s="17">
        <v>1830</v>
      </c>
      <c r="K4420" s="17">
        <v>479693</v>
      </c>
      <c r="L4420" s="17">
        <v>114885.75569999999</v>
      </c>
      <c r="M4420" s="17">
        <v>2024</v>
      </c>
      <c r="N4420" s="17" t="s">
        <v>174</v>
      </c>
    </row>
    <row r="4421" spans="1:14" ht="14.25" customHeight="1">
      <c r="A4421" s="17">
        <v>14420</v>
      </c>
      <c r="B4421" s="18">
        <v>45794</v>
      </c>
      <c r="C4421" s="17" t="s">
        <v>58</v>
      </c>
      <c r="D4421" s="17" t="s">
        <v>170</v>
      </c>
      <c r="E4421" s="17" t="s">
        <v>168</v>
      </c>
      <c r="F4421" s="17" t="s">
        <v>166</v>
      </c>
      <c r="G4421" s="17">
        <v>8</v>
      </c>
      <c r="H4421" s="17">
        <v>79522</v>
      </c>
      <c r="I4421" s="17">
        <v>636176</v>
      </c>
      <c r="J4421" s="17">
        <v>4698</v>
      </c>
      <c r="K4421" s="17">
        <v>631478</v>
      </c>
      <c r="L4421" s="17">
        <v>122572.9871</v>
      </c>
      <c r="M4421" s="17">
        <v>2025</v>
      </c>
      <c r="N4421" s="17" t="s">
        <v>117</v>
      </c>
    </row>
    <row r="4422" spans="1:14" ht="14.25" customHeight="1">
      <c r="A4422" s="17">
        <v>14421</v>
      </c>
      <c r="B4422" s="18">
        <v>45941</v>
      </c>
      <c r="C4422" s="17" t="s">
        <v>45</v>
      </c>
      <c r="D4422" s="17" t="s">
        <v>83</v>
      </c>
      <c r="E4422" s="17" t="s">
        <v>162</v>
      </c>
      <c r="F4422" s="17" t="s">
        <v>163</v>
      </c>
      <c r="G4422" s="17">
        <v>4</v>
      </c>
      <c r="H4422" s="17">
        <v>69084</v>
      </c>
      <c r="I4422" s="17">
        <v>276336</v>
      </c>
      <c r="J4422" s="17">
        <v>4002</v>
      </c>
      <c r="K4422" s="17">
        <v>272334</v>
      </c>
      <c r="L4422" s="17">
        <v>61075.926800000001</v>
      </c>
      <c r="M4422" s="17">
        <v>2025</v>
      </c>
      <c r="N4422" s="17" t="s">
        <v>174</v>
      </c>
    </row>
    <row r="4423" spans="1:14" ht="14.25" customHeight="1">
      <c r="A4423" s="17">
        <v>14422</v>
      </c>
      <c r="B4423" s="18">
        <v>45629</v>
      </c>
      <c r="C4423" s="17" t="s">
        <v>39</v>
      </c>
      <c r="D4423" s="17" t="s">
        <v>111</v>
      </c>
      <c r="E4423" s="17" t="s">
        <v>162</v>
      </c>
      <c r="F4423" s="17" t="s">
        <v>164</v>
      </c>
      <c r="G4423" s="17">
        <v>6</v>
      </c>
      <c r="H4423" s="17">
        <v>31269</v>
      </c>
      <c r="I4423" s="17">
        <v>187614</v>
      </c>
      <c r="J4423" s="17">
        <v>2800</v>
      </c>
      <c r="K4423" s="17">
        <v>184814</v>
      </c>
      <c r="L4423" s="17">
        <v>33471.356919999998</v>
      </c>
      <c r="M4423" s="17">
        <v>2024</v>
      </c>
      <c r="N4423" s="17" t="s">
        <v>169</v>
      </c>
    </row>
    <row r="4424" spans="1:14" ht="14.25" customHeight="1">
      <c r="A4424" s="17">
        <v>14423</v>
      </c>
      <c r="B4424" s="18">
        <v>45841</v>
      </c>
      <c r="C4424" s="17" t="s">
        <v>58</v>
      </c>
      <c r="D4424" s="17" t="s">
        <v>83</v>
      </c>
      <c r="E4424" s="17" t="s">
        <v>162</v>
      </c>
      <c r="F4424" s="17" t="s">
        <v>164</v>
      </c>
      <c r="G4424" s="17">
        <v>5</v>
      </c>
      <c r="H4424" s="17">
        <v>26118</v>
      </c>
      <c r="I4424" s="17">
        <v>130590</v>
      </c>
      <c r="J4424" s="17">
        <v>4263</v>
      </c>
      <c r="K4424" s="17">
        <v>126327</v>
      </c>
      <c r="L4424" s="17">
        <v>22686.043430000002</v>
      </c>
      <c r="M4424" s="17">
        <v>2025</v>
      </c>
      <c r="N4424" s="17" t="s">
        <v>123</v>
      </c>
    </row>
    <row r="4425" spans="1:14" ht="14.25" customHeight="1">
      <c r="A4425" s="17">
        <v>14424</v>
      </c>
      <c r="B4425" s="18">
        <v>45930</v>
      </c>
      <c r="C4425" s="17" t="s">
        <v>50</v>
      </c>
      <c r="D4425" s="17" t="s">
        <v>170</v>
      </c>
      <c r="E4425" s="17" t="s">
        <v>165</v>
      </c>
      <c r="F4425" s="17" t="s">
        <v>163</v>
      </c>
      <c r="G4425" s="17">
        <v>1</v>
      </c>
      <c r="H4425" s="17">
        <v>19089</v>
      </c>
      <c r="I4425" s="17">
        <v>19089</v>
      </c>
      <c r="J4425" s="17">
        <v>222</v>
      </c>
      <c r="K4425" s="17">
        <v>18867</v>
      </c>
      <c r="L4425" s="17">
        <v>4426.7213979999997</v>
      </c>
      <c r="M4425" s="17">
        <v>2025</v>
      </c>
      <c r="N4425" s="17" t="s">
        <v>129</v>
      </c>
    </row>
    <row r="4426" spans="1:14" ht="14.25" customHeight="1">
      <c r="A4426" s="17">
        <v>14425</v>
      </c>
      <c r="B4426" s="18">
        <v>45566</v>
      </c>
      <c r="C4426" s="17" t="s">
        <v>39</v>
      </c>
      <c r="D4426" s="17" t="s">
        <v>111</v>
      </c>
      <c r="E4426" s="17" t="s">
        <v>165</v>
      </c>
      <c r="F4426" s="17" t="s">
        <v>164</v>
      </c>
      <c r="G4426" s="17">
        <v>9</v>
      </c>
      <c r="H4426" s="17">
        <v>47956</v>
      </c>
      <c r="I4426" s="17">
        <v>431604</v>
      </c>
      <c r="J4426" s="17">
        <v>4564</v>
      </c>
      <c r="K4426" s="17">
        <v>427040</v>
      </c>
      <c r="L4426" s="17">
        <v>75210.626850000001</v>
      </c>
      <c r="M4426" s="17">
        <v>2024</v>
      </c>
      <c r="N4426" s="17" t="s">
        <v>174</v>
      </c>
    </row>
    <row r="4427" spans="1:14" ht="14.25" customHeight="1">
      <c r="A4427" s="17">
        <v>14426</v>
      </c>
      <c r="B4427" s="18">
        <v>45455</v>
      </c>
      <c r="C4427" s="17" t="s">
        <v>50</v>
      </c>
      <c r="D4427" s="17" t="s">
        <v>89</v>
      </c>
      <c r="E4427" s="17" t="s">
        <v>168</v>
      </c>
      <c r="F4427" s="17" t="s">
        <v>172</v>
      </c>
      <c r="G4427" s="17">
        <v>2</v>
      </c>
      <c r="H4427" s="17">
        <v>18740</v>
      </c>
      <c r="I4427" s="17">
        <v>37480</v>
      </c>
      <c r="J4427" s="17">
        <v>4373</v>
      </c>
      <c r="K4427" s="17">
        <v>33107</v>
      </c>
      <c r="L4427" s="17">
        <v>5653.6296560000001</v>
      </c>
      <c r="M4427" s="17">
        <v>2024</v>
      </c>
      <c r="N4427" s="17" t="s">
        <v>120</v>
      </c>
    </row>
    <row r="4428" spans="1:14" ht="14.25" customHeight="1">
      <c r="A4428" s="17">
        <v>14427</v>
      </c>
      <c r="B4428" s="18">
        <v>45734</v>
      </c>
      <c r="C4428" s="17" t="s">
        <v>50</v>
      </c>
      <c r="D4428" s="17" t="s">
        <v>89</v>
      </c>
      <c r="E4428" s="17" t="s">
        <v>168</v>
      </c>
      <c r="F4428" s="17" t="s">
        <v>163</v>
      </c>
      <c r="G4428" s="17">
        <v>6</v>
      </c>
      <c r="H4428" s="17">
        <v>74581</v>
      </c>
      <c r="I4428" s="17">
        <v>447486</v>
      </c>
      <c r="J4428" s="17">
        <v>2237</v>
      </c>
      <c r="K4428" s="17">
        <v>445249</v>
      </c>
      <c r="L4428" s="17">
        <v>85144.218810000006</v>
      </c>
      <c r="M4428" s="17">
        <v>2025</v>
      </c>
      <c r="N4428" s="17" t="s">
        <v>112</v>
      </c>
    </row>
    <row r="4429" spans="1:14" ht="14.25" customHeight="1">
      <c r="A4429" s="17">
        <v>14428</v>
      </c>
      <c r="B4429" s="18">
        <v>45610</v>
      </c>
      <c r="C4429" s="17" t="s">
        <v>39</v>
      </c>
      <c r="D4429" s="17" t="s">
        <v>170</v>
      </c>
      <c r="E4429" s="17" t="s">
        <v>168</v>
      </c>
      <c r="F4429" s="17" t="s">
        <v>172</v>
      </c>
      <c r="G4429" s="17">
        <v>8</v>
      </c>
      <c r="H4429" s="17">
        <v>76160</v>
      </c>
      <c r="I4429" s="17">
        <v>609280</v>
      </c>
      <c r="J4429" s="17">
        <v>2578</v>
      </c>
      <c r="K4429" s="17">
        <v>606702</v>
      </c>
      <c r="L4429" s="17">
        <v>107862.8167</v>
      </c>
      <c r="M4429" s="17">
        <v>2024</v>
      </c>
      <c r="N4429" s="17" t="s">
        <v>173</v>
      </c>
    </row>
    <row r="4430" spans="1:14" ht="14.25" customHeight="1">
      <c r="A4430" s="17">
        <v>14429</v>
      </c>
      <c r="B4430" s="18">
        <v>45880</v>
      </c>
      <c r="C4430" s="17" t="s">
        <v>39</v>
      </c>
      <c r="D4430" s="17" t="s">
        <v>111</v>
      </c>
      <c r="E4430" s="17" t="s">
        <v>168</v>
      </c>
      <c r="F4430" s="17" t="s">
        <v>163</v>
      </c>
      <c r="G4430" s="17">
        <v>3</v>
      </c>
      <c r="H4430" s="17">
        <v>48779</v>
      </c>
      <c r="I4430" s="17">
        <v>146337</v>
      </c>
      <c r="J4430" s="17">
        <v>1778</v>
      </c>
      <c r="K4430" s="17">
        <v>144559</v>
      </c>
      <c r="L4430" s="17">
        <v>24133.119409999999</v>
      </c>
      <c r="M4430" s="17">
        <v>2025</v>
      </c>
      <c r="N4430" s="17" t="s">
        <v>126</v>
      </c>
    </row>
    <row r="4431" spans="1:14" ht="14.25" customHeight="1">
      <c r="A4431" s="17">
        <v>14430</v>
      </c>
      <c r="B4431" s="18">
        <v>45795</v>
      </c>
      <c r="C4431" s="17" t="s">
        <v>50</v>
      </c>
      <c r="D4431" s="17" t="s">
        <v>89</v>
      </c>
      <c r="E4431" s="17" t="s">
        <v>162</v>
      </c>
      <c r="F4431" s="17" t="s">
        <v>163</v>
      </c>
      <c r="G4431" s="17">
        <v>5</v>
      </c>
      <c r="H4431" s="17">
        <v>25495</v>
      </c>
      <c r="I4431" s="17">
        <v>127475</v>
      </c>
      <c r="J4431" s="17">
        <v>620</v>
      </c>
      <c r="K4431" s="17">
        <v>126855</v>
      </c>
      <c r="L4431" s="17">
        <v>16120.552530000001</v>
      </c>
      <c r="M4431" s="17">
        <v>2025</v>
      </c>
      <c r="N4431" s="17" t="s">
        <v>117</v>
      </c>
    </row>
    <row r="4432" spans="1:14" ht="14.25" customHeight="1">
      <c r="A4432" s="17">
        <v>14431</v>
      </c>
      <c r="B4432" s="18">
        <v>45977</v>
      </c>
      <c r="C4432" s="17" t="s">
        <v>45</v>
      </c>
      <c r="D4432" s="17" t="s">
        <v>170</v>
      </c>
      <c r="E4432" s="17" t="s">
        <v>165</v>
      </c>
      <c r="F4432" s="17" t="s">
        <v>172</v>
      </c>
      <c r="G4432" s="17">
        <v>7</v>
      </c>
      <c r="H4432" s="17">
        <v>44602</v>
      </c>
      <c r="I4432" s="17">
        <v>312214</v>
      </c>
      <c r="J4432" s="17">
        <v>1213</v>
      </c>
      <c r="K4432" s="17">
        <v>311001</v>
      </c>
      <c r="L4432" s="17">
        <v>49638.892330000002</v>
      </c>
      <c r="M4432" s="17">
        <v>2025</v>
      </c>
      <c r="N4432" s="17" t="s">
        <v>173</v>
      </c>
    </row>
    <row r="4433" spans="1:14" ht="14.25" customHeight="1">
      <c r="A4433" s="17">
        <v>14432</v>
      </c>
      <c r="B4433" s="18">
        <v>45678</v>
      </c>
      <c r="C4433" s="17" t="s">
        <v>167</v>
      </c>
      <c r="D4433" s="17" t="s">
        <v>170</v>
      </c>
      <c r="E4433" s="17" t="s">
        <v>162</v>
      </c>
      <c r="F4433" s="17" t="s">
        <v>163</v>
      </c>
      <c r="G4433" s="17">
        <v>4</v>
      </c>
      <c r="H4433" s="17">
        <v>14033</v>
      </c>
      <c r="I4433" s="17">
        <v>56132</v>
      </c>
      <c r="J4433" s="17">
        <v>4054</v>
      </c>
      <c r="K4433" s="17">
        <v>52078</v>
      </c>
      <c r="L4433" s="17">
        <v>7411.0564009999998</v>
      </c>
      <c r="M4433" s="17">
        <v>2025</v>
      </c>
      <c r="N4433" s="17" t="s">
        <v>171</v>
      </c>
    </row>
    <row r="4434" spans="1:14" ht="14.25" customHeight="1">
      <c r="A4434" s="17">
        <v>14433</v>
      </c>
      <c r="B4434" s="18">
        <v>45894</v>
      </c>
      <c r="C4434" s="17" t="s">
        <v>167</v>
      </c>
      <c r="D4434" s="17" t="s">
        <v>83</v>
      </c>
      <c r="E4434" s="17" t="s">
        <v>165</v>
      </c>
      <c r="F4434" s="17" t="s">
        <v>166</v>
      </c>
      <c r="G4434" s="17">
        <v>5</v>
      </c>
      <c r="H4434" s="17">
        <v>58103</v>
      </c>
      <c r="I4434" s="17">
        <v>290515</v>
      </c>
      <c r="J4434" s="17">
        <v>4313</v>
      </c>
      <c r="K4434" s="17">
        <v>286202</v>
      </c>
      <c r="L4434" s="17">
        <v>45812.270850000001</v>
      </c>
      <c r="M4434" s="17">
        <v>2025</v>
      </c>
      <c r="N4434" s="17" t="s">
        <v>126</v>
      </c>
    </row>
    <row r="4435" spans="1:14" ht="14.25" customHeight="1">
      <c r="A4435" s="17">
        <v>14434</v>
      </c>
      <c r="B4435" s="18">
        <v>45982</v>
      </c>
      <c r="C4435" s="17" t="s">
        <v>45</v>
      </c>
      <c r="D4435" s="17" t="s">
        <v>89</v>
      </c>
      <c r="E4435" s="17" t="s">
        <v>162</v>
      </c>
      <c r="F4435" s="17" t="s">
        <v>172</v>
      </c>
      <c r="G4435" s="17">
        <v>1</v>
      </c>
      <c r="H4435" s="17">
        <v>25442</v>
      </c>
      <c r="I4435" s="17">
        <v>25442</v>
      </c>
      <c r="J4435" s="17">
        <v>4263</v>
      </c>
      <c r="K4435" s="17">
        <v>21179</v>
      </c>
      <c r="L4435" s="17">
        <v>4002.27493</v>
      </c>
      <c r="M4435" s="17">
        <v>2025</v>
      </c>
      <c r="N4435" s="17" t="s">
        <v>173</v>
      </c>
    </row>
    <row r="4436" spans="1:14" ht="14.25" customHeight="1">
      <c r="A4436" s="17">
        <v>14435</v>
      </c>
      <c r="B4436" s="18">
        <v>45785</v>
      </c>
      <c r="C4436" s="17" t="s">
        <v>39</v>
      </c>
      <c r="D4436" s="17" t="s">
        <v>111</v>
      </c>
      <c r="E4436" s="17" t="s">
        <v>168</v>
      </c>
      <c r="F4436" s="17" t="s">
        <v>163</v>
      </c>
      <c r="G4436" s="17">
        <v>4</v>
      </c>
      <c r="H4436" s="17">
        <v>8247</v>
      </c>
      <c r="I4436" s="17">
        <v>32988</v>
      </c>
      <c r="J4436" s="17">
        <v>2827</v>
      </c>
      <c r="K4436" s="17">
        <v>30161</v>
      </c>
      <c r="L4436" s="17">
        <v>5770.6365859999996</v>
      </c>
      <c r="M4436" s="17">
        <v>2025</v>
      </c>
      <c r="N4436" s="17" t="s">
        <v>117</v>
      </c>
    </row>
    <row r="4437" spans="1:14" ht="14.25" customHeight="1">
      <c r="A4437" s="17">
        <v>14436</v>
      </c>
      <c r="B4437" s="18">
        <v>45781</v>
      </c>
      <c r="C4437" s="17" t="s">
        <v>50</v>
      </c>
      <c r="D4437" s="17" t="s">
        <v>89</v>
      </c>
      <c r="E4437" s="17" t="s">
        <v>165</v>
      </c>
      <c r="F4437" s="17" t="s">
        <v>172</v>
      </c>
      <c r="G4437" s="17">
        <v>7</v>
      </c>
      <c r="H4437" s="17">
        <v>55368</v>
      </c>
      <c r="I4437" s="17">
        <v>387576</v>
      </c>
      <c r="J4437" s="17">
        <v>2240</v>
      </c>
      <c r="K4437" s="17">
        <v>385336</v>
      </c>
      <c r="L4437" s="17">
        <v>52328.328909999997</v>
      </c>
      <c r="M4437" s="17">
        <v>2025</v>
      </c>
      <c r="N4437" s="17" t="s">
        <v>117</v>
      </c>
    </row>
    <row r="4438" spans="1:14" ht="14.25" customHeight="1">
      <c r="A4438" s="17">
        <v>14437</v>
      </c>
      <c r="B4438" s="18">
        <v>46012</v>
      </c>
      <c r="C4438" s="17" t="s">
        <v>167</v>
      </c>
      <c r="D4438" s="17" t="s">
        <v>89</v>
      </c>
      <c r="E4438" s="17" t="s">
        <v>168</v>
      </c>
      <c r="F4438" s="17" t="s">
        <v>163</v>
      </c>
      <c r="G4438" s="17">
        <v>7</v>
      </c>
      <c r="H4438" s="17">
        <v>60244</v>
      </c>
      <c r="I4438" s="17">
        <v>421708</v>
      </c>
      <c r="J4438" s="17">
        <v>1362</v>
      </c>
      <c r="K4438" s="17">
        <v>420346</v>
      </c>
      <c r="L4438" s="17">
        <v>47361.139179999998</v>
      </c>
      <c r="M4438" s="17">
        <v>2025</v>
      </c>
      <c r="N4438" s="17" t="s">
        <v>169</v>
      </c>
    </row>
    <row r="4439" spans="1:14" ht="14.25" customHeight="1">
      <c r="A4439" s="17">
        <v>14438</v>
      </c>
      <c r="B4439" s="18">
        <v>45364</v>
      </c>
      <c r="C4439" s="17" t="s">
        <v>50</v>
      </c>
      <c r="D4439" s="17" t="s">
        <v>89</v>
      </c>
      <c r="E4439" s="17" t="s">
        <v>165</v>
      </c>
      <c r="F4439" s="17" t="s">
        <v>163</v>
      </c>
      <c r="G4439" s="17">
        <v>4</v>
      </c>
      <c r="H4439" s="17">
        <v>30474</v>
      </c>
      <c r="I4439" s="17">
        <v>121896</v>
      </c>
      <c r="J4439" s="17">
        <v>2838</v>
      </c>
      <c r="K4439" s="17">
        <v>119058</v>
      </c>
      <c r="L4439" s="17">
        <v>25200.48936</v>
      </c>
      <c r="M4439" s="17">
        <v>2024</v>
      </c>
      <c r="N4439" s="17" t="s">
        <v>112</v>
      </c>
    </row>
    <row r="4440" spans="1:14" ht="14.25" customHeight="1">
      <c r="A4440" s="17">
        <v>14439</v>
      </c>
      <c r="B4440" s="18">
        <v>45800</v>
      </c>
      <c r="C4440" s="17" t="s">
        <v>45</v>
      </c>
      <c r="D4440" s="17" t="s">
        <v>170</v>
      </c>
      <c r="E4440" s="17" t="s">
        <v>165</v>
      </c>
      <c r="F4440" s="17" t="s">
        <v>166</v>
      </c>
      <c r="G4440" s="17">
        <v>6</v>
      </c>
      <c r="H4440" s="17">
        <v>69784</v>
      </c>
      <c r="I4440" s="17">
        <v>418704</v>
      </c>
      <c r="J4440" s="17">
        <v>2502</v>
      </c>
      <c r="K4440" s="17">
        <v>416202</v>
      </c>
      <c r="L4440" s="17">
        <v>74619.026920000004</v>
      </c>
      <c r="M4440" s="17">
        <v>2025</v>
      </c>
      <c r="N4440" s="17" t="s">
        <v>117</v>
      </c>
    </row>
    <row r="4441" spans="1:14" ht="14.25" customHeight="1">
      <c r="A4441" s="17">
        <v>14440</v>
      </c>
      <c r="B4441" s="18">
        <v>45681</v>
      </c>
      <c r="C4441" s="17" t="s">
        <v>50</v>
      </c>
      <c r="D4441" s="17" t="s">
        <v>86</v>
      </c>
      <c r="E4441" s="17" t="s">
        <v>168</v>
      </c>
      <c r="F4441" s="17" t="s">
        <v>166</v>
      </c>
      <c r="G4441" s="17">
        <v>5</v>
      </c>
      <c r="H4441" s="17">
        <v>10586</v>
      </c>
      <c r="I4441" s="17">
        <v>52930</v>
      </c>
      <c r="J4441" s="17">
        <v>2240</v>
      </c>
      <c r="K4441" s="17">
        <v>50690</v>
      </c>
      <c r="L4441" s="17">
        <v>8430.5176119999996</v>
      </c>
      <c r="M4441" s="17">
        <v>2025</v>
      </c>
      <c r="N4441" s="17" t="s">
        <v>171</v>
      </c>
    </row>
    <row r="4442" spans="1:14" ht="14.25" customHeight="1">
      <c r="A4442" s="17">
        <v>14441</v>
      </c>
      <c r="B4442" s="18">
        <v>45910</v>
      </c>
      <c r="C4442" s="17" t="s">
        <v>45</v>
      </c>
      <c r="D4442" s="17" t="s">
        <v>86</v>
      </c>
      <c r="E4442" s="17" t="s">
        <v>168</v>
      </c>
      <c r="F4442" s="17" t="s">
        <v>166</v>
      </c>
      <c r="G4442" s="17">
        <v>1</v>
      </c>
      <c r="H4442" s="17">
        <v>61228</v>
      </c>
      <c r="I4442" s="17">
        <v>61228</v>
      </c>
      <c r="J4442" s="17">
        <v>92</v>
      </c>
      <c r="K4442" s="17">
        <v>61136</v>
      </c>
      <c r="L4442" s="17">
        <v>7302.0422870000002</v>
      </c>
      <c r="M4442" s="17">
        <v>2025</v>
      </c>
      <c r="N4442" s="17" t="s">
        <v>129</v>
      </c>
    </row>
    <row r="4443" spans="1:14" ht="14.25" customHeight="1">
      <c r="A4443" s="17">
        <v>14442</v>
      </c>
      <c r="B4443" s="18">
        <v>45586</v>
      </c>
      <c r="C4443" s="17" t="s">
        <v>39</v>
      </c>
      <c r="D4443" s="17" t="s">
        <v>83</v>
      </c>
      <c r="E4443" s="17" t="s">
        <v>168</v>
      </c>
      <c r="F4443" s="17" t="s">
        <v>163</v>
      </c>
      <c r="G4443" s="17">
        <v>8</v>
      </c>
      <c r="H4443" s="17">
        <v>12940</v>
      </c>
      <c r="I4443" s="17">
        <v>103520</v>
      </c>
      <c r="J4443" s="17">
        <v>1238</v>
      </c>
      <c r="K4443" s="17">
        <v>102282</v>
      </c>
      <c r="L4443" s="17">
        <v>16590.095669999999</v>
      </c>
      <c r="M4443" s="17">
        <v>2024</v>
      </c>
      <c r="N4443" s="17" t="s">
        <v>174</v>
      </c>
    </row>
    <row r="4444" spans="1:14" ht="14.25" customHeight="1">
      <c r="A4444" s="17">
        <v>14443</v>
      </c>
      <c r="B4444" s="18">
        <v>45660</v>
      </c>
      <c r="C4444" s="17" t="s">
        <v>45</v>
      </c>
      <c r="D4444" s="17" t="s">
        <v>89</v>
      </c>
      <c r="E4444" s="17" t="s">
        <v>162</v>
      </c>
      <c r="F4444" s="17" t="s">
        <v>166</v>
      </c>
      <c r="G4444" s="17">
        <v>7</v>
      </c>
      <c r="H4444" s="17">
        <v>23606</v>
      </c>
      <c r="I4444" s="17">
        <v>165242</v>
      </c>
      <c r="J4444" s="17">
        <v>4608</v>
      </c>
      <c r="K4444" s="17">
        <v>160634</v>
      </c>
      <c r="L4444" s="17">
        <v>35777.41848</v>
      </c>
      <c r="M4444" s="17">
        <v>2025</v>
      </c>
      <c r="N4444" s="17" t="s">
        <v>171</v>
      </c>
    </row>
    <row r="4445" spans="1:14" ht="14.25" customHeight="1">
      <c r="A4445" s="17">
        <v>14444</v>
      </c>
      <c r="B4445" s="18">
        <v>45985</v>
      </c>
      <c r="C4445" s="17" t="s">
        <v>45</v>
      </c>
      <c r="D4445" s="17" t="s">
        <v>86</v>
      </c>
      <c r="E4445" s="17" t="s">
        <v>165</v>
      </c>
      <c r="F4445" s="17" t="s">
        <v>172</v>
      </c>
      <c r="G4445" s="17">
        <v>5</v>
      </c>
      <c r="H4445" s="17">
        <v>45747</v>
      </c>
      <c r="I4445" s="17">
        <v>228735</v>
      </c>
      <c r="J4445" s="17">
        <v>3470</v>
      </c>
      <c r="K4445" s="17">
        <v>225265</v>
      </c>
      <c r="L4445" s="17">
        <v>42173.064559999999</v>
      </c>
      <c r="M4445" s="17">
        <v>2025</v>
      </c>
      <c r="N4445" s="17" t="s">
        <v>173</v>
      </c>
    </row>
    <row r="4446" spans="1:14" ht="14.25" customHeight="1">
      <c r="A4446" s="17">
        <v>14445</v>
      </c>
      <c r="B4446" s="18">
        <v>45840</v>
      </c>
      <c r="C4446" s="17" t="s">
        <v>167</v>
      </c>
      <c r="D4446" s="17" t="s">
        <v>83</v>
      </c>
      <c r="E4446" s="17" t="s">
        <v>165</v>
      </c>
      <c r="F4446" s="17" t="s">
        <v>163</v>
      </c>
      <c r="G4446" s="17">
        <v>7</v>
      </c>
      <c r="H4446" s="17">
        <v>69727</v>
      </c>
      <c r="I4446" s="17">
        <v>488089</v>
      </c>
      <c r="J4446" s="17">
        <v>3235</v>
      </c>
      <c r="K4446" s="17">
        <v>484854</v>
      </c>
      <c r="L4446" s="17">
        <v>55101.876190000003</v>
      </c>
      <c r="M4446" s="17">
        <v>2025</v>
      </c>
      <c r="N4446" s="17" t="s">
        <v>123</v>
      </c>
    </row>
    <row r="4447" spans="1:14" ht="14.25" customHeight="1">
      <c r="A4447" s="17">
        <v>14446</v>
      </c>
      <c r="B4447" s="18">
        <v>45940</v>
      </c>
      <c r="C4447" s="17" t="s">
        <v>50</v>
      </c>
      <c r="D4447" s="17" t="s">
        <v>170</v>
      </c>
      <c r="E4447" s="17" t="s">
        <v>165</v>
      </c>
      <c r="F4447" s="17" t="s">
        <v>172</v>
      </c>
      <c r="G4447" s="17">
        <v>3</v>
      </c>
      <c r="H4447" s="17">
        <v>39282</v>
      </c>
      <c r="I4447" s="17">
        <v>117846</v>
      </c>
      <c r="J4447" s="17">
        <v>4201</v>
      </c>
      <c r="K4447" s="17">
        <v>113645</v>
      </c>
      <c r="L4447" s="17">
        <v>17028.71113</v>
      </c>
      <c r="M4447" s="17">
        <v>2025</v>
      </c>
      <c r="N4447" s="17" t="s">
        <v>174</v>
      </c>
    </row>
    <row r="4448" spans="1:14" ht="14.25" customHeight="1">
      <c r="A4448" s="17">
        <v>14447</v>
      </c>
      <c r="B4448" s="18">
        <v>45859</v>
      </c>
      <c r="C4448" s="17" t="s">
        <v>167</v>
      </c>
      <c r="D4448" s="17" t="s">
        <v>89</v>
      </c>
      <c r="E4448" s="17" t="s">
        <v>168</v>
      </c>
      <c r="F4448" s="17" t="s">
        <v>166</v>
      </c>
      <c r="G4448" s="17">
        <v>8</v>
      </c>
      <c r="H4448" s="17">
        <v>62760</v>
      </c>
      <c r="I4448" s="17">
        <v>502080</v>
      </c>
      <c r="J4448" s="17">
        <v>2764</v>
      </c>
      <c r="K4448" s="17">
        <v>499316</v>
      </c>
      <c r="L4448" s="17">
        <v>123316.2243</v>
      </c>
      <c r="M4448" s="17">
        <v>2025</v>
      </c>
      <c r="N4448" s="17" t="s">
        <v>123</v>
      </c>
    </row>
    <row r="4449" spans="1:14" ht="14.25" customHeight="1">
      <c r="A4449" s="17">
        <v>14448</v>
      </c>
      <c r="B4449" s="18">
        <v>45478</v>
      </c>
      <c r="C4449" s="17" t="s">
        <v>58</v>
      </c>
      <c r="D4449" s="17" t="s">
        <v>111</v>
      </c>
      <c r="E4449" s="17" t="s">
        <v>165</v>
      </c>
      <c r="F4449" s="17" t="s">
        <v>163</v>
      </c>
      <c r="G4449" s="17">
        <v>5</v>
      </c>
      <c r="H4449" s="17">
        <v>67996</v>
      </c>
      <c r="I4449" s="17">
        <v>339980</v>
      </c>
      <c r="J4449" s="17">
        <v>3604</v>
      </c>
      <c r="K4449" s="17">
        <v>336376</v>
      </c>
      <c r="L4449" s="17">
        <v>61111.486779999999</v>
      </c>
      <c r="M4449" s="17">
        <v>2024</v>
      </c>
      <c r="N4449" s="17" t="s">
        <v>123</v>
      </c>
    </row>
    <row r="4450" spans="1:14" ht="14.25" customHeight="1">
      <c r="A4450" s="17">
        <v>14449</v>
      </c>
      <c r="B4450" s="18">
        <v>45736</v>
      </c>
      <c r="C4450" s="17" t="s">
        <v>45</v>
      </c>
      <c r="D4450" s="17" t="s">
        <v>170</v>
      </c>
      <c r="E4450" s="17" t="s">
        <v>165</v>
      </c>
      <c r="F4450" s="17" t="s">
        <v>172</v>
      </c>
      <c r="G4450" s="17">
        <v>2</v>
      </c>
      <c r="H4450" s="17">
        <v>7883</v>
      </c>
      <c r="I4450" s="17">
        <v>15766</v>
      </c>
      <c r="J4450" s="17">
        <v>2835</v>
      </c>
      <c r="K4450" s="17">
        <v>12931</v>
      </c>
      <c r="L4450" s="17">
        <v>1848.608156</v>
      </c>
      <c r="M4450" s="17">
        <v>2025</v>
      </c>
      <c r="N4450" s="17" t="s">
        <v>112</v>
      </c>
    </row>
    <row r="4451" spans="1:14" ht="14.25" customHeight="1">
      <c r="A4451" s="17">
        <v>14450</v>
      </c>
      <c r="B4451" s="18">
        <v>45861</v>
      </c>
      <c r="C4451" s="17" t="s">
        <v>58</v>
      </c>
      <c r="D4451" s="17" t="s">
        <v>83</v>
      </c>
      <c r="E4451" s="17" t="s">
        <v>168</v>
      </c>
      <c r="F4451" s="17" t="s">
        <v>164</v>
      </c>
      <c r="G4451" s="17">
        <v>2</v>
      </c>
      <c r="H4451" s="17">
        <v>41594</v>
      </c>
      <c r="I4451" s="17">
        <v>83188</v>
      </c>
      <c r="J4451" s="17">
        <v>3901</v>
      </c>
      <c r="K4451" s="17">
        <v>79287</v>
      </c>
      <c r="L4451" s="17">
        <v>18792.34404</v>
      </c>
      <c r="M4451" s="17">
        <v>2025</v>
      </c>
      <c r="N4451" s="17" t="s">
        <v>123</v>
      </c>
    </row>
    <row r="4452" spans="1:14" ht="14.25" customHeight="1">
      <c r="A4452" s="17">
        <v>14451</v>
      </c>
      <c r="B4452" s="18">
        <v>45654</v>
      </c>
      <c r="C4452" s="17" t="s">
        <v>167</v>
      </c>
      <c r="D4452" s="17" t="s">
        <v>170</v>
      </c>
      <c r="E4452" s="17" t="s">
        <v>168</v>
      </c>
      <c r="F4452" s="17" t="s">
        <v>172</v>
      </c>
      <c r="G4452" s="17">
        <v>4</v>
      </c>
      <c r="H4452" s="17">
        <v>74875</v>
      </c>
      <c r="I4452" s="17">
        <v>299500</v>
      </c>
      <c r="J4452" s="17">
        <v>3234</v>
      </c>
      <c r="K4452" s="17">
        <v>296266</v>
      </c>
      <c r="L4452" s="17">
        <v>44558.434580000001</v>
      </c>
      <c r="M4452" s="17">
        <v>2024</v>
      </c>
      <c r="N4452" s="17" t="s">
        <v>169</v>
      </c>
    </row>
    <row r="4453" spans="1:14" ht="14.25" customHeight="1">
      <c r="A4453" s="17">
        <v>14452</v>
      </c>
      <c r="B4453" s="18">
        <v>45414</v>
      </c>
      <c r="C4453" s="17" t="s">
        <v>50</v>
      </c>
      <c r="D4453" s="17" t="s">
        <v>111</v>
      </c>
      <c r="E4453" s="17" t="s">
        <v>165</v>
      </c>
      <c r="F4453" s="17" t="s">
        <v>163</v>
      </c>
      <c r="G4453" s="17">
        <v>7</v>
      </c>
      <c r="H4453" s="17">
        <v>20426</v>
      </c>
      <c r="I4453" s="17">
        <v>142982</v>
      </c>
      <c r="J4453" s="17">
        <v>3628</v>
      </c>
      <c r="K4453" s="17">
        <v>139354</v>
      </c>
      <c r="L4453" s="17">
        <v>29192.725999999999</v>
      </c>
      <c r="M4453" s="17">
        <v>2024</v>
      </c>
      <c r="N4453" s="17" t="s">
        <v>117</v>
      </c>
    </row>
    <row r="4454" spans="1:14" ht="14.25" customHeight="1">
      <c r="A4454" s="17">
        <v>14453</v>
      </c>
      <c r="B4454" s="18">
        <v>45479</v>
      </c>
      <c r="C4454" s="17" t="s">
        <v>167</v>
      </c>
      <c r="D4454" s="17" t="s">
        <v>170</v>
      </c>
      <c r="E4454" s="17" t="s">
        <v>162</v>
      </c>
      <c r="F4454" s="17" t="s">
        <v>164</v>
      </c>
      <c r="G4454" s="17">
        <v>4</v>
      </c>
      <c r="H4454" s="17">
        <v>21486</v>
      </c>
      <c r="I4454" s="17">
        <v>85944</v>
      </c>
      <c r="J4454" s="17">
        <v>1768</v>
      </c>
      <c r="K4454" s="17">
        <v>84176</v>
      </c>
      <c r="L4454" s="17">
        <v>10276.46499</v>
      </c>
      <c r="M4454" s="17">
        <v>2024</v>
      </c>
      <c r="N4454" s="17" t="s">
        <v>123</v>
      </c>
    </row>
    <row r="4455" spans="1:14" ht="14.25" customHeight="1">
      <c r="A4455" s="17">
        <v>14454</v>
      </c>
      <c r="B4455" s="18">
        <v>45971</v>
      </c>
      <c r="C4455" s="17" t="s">
        <v>50</v>
      </c>
      <c r="D4455" s="17" t="s">
        <v>83</v>
      </c>
      <c r="E4455" s="17" t="s">
        <v>168</v>
      </c>
      <c r="F4455" s="17" t="s">
        <v>166</v>
      </c>
      <c r="G4455" s="17">
        <v>9</v>
      </c>
      <c r="H4455" s="17">
        <v>8993</v>
      </c>
      <c r="I4455" s="17">
        <v>80937</v>
      </c>
      <c r="J4455" s="17">
        <v>3509</v>
      </c>
      <c r="K4455" s="17">
        <v>77428</v>
      </c>
      <c r="L4455" s="17">
        <v>9560.342326</v>
      </c>
      <c r="M4455" s="17">
        <v>2025</v>
      </c>
      <c r="N4455" s="17" t="s">
        <v>173</v>
      </c>
    </row>
    <row r="4456" spans="1:14" ht="14.25" customHeight="1">
      <c r="A4456" s="17">
        <v>14455</v>
      </c>
      <c r="B4456" s="18">
        <v>45711</v>
      </c>
      <c r="C4456" s="17" t="s">
        <v>50</v>
      </c>
      <c r="D4456" s="17" t="s">
        <v>111</v>
      </c>
      <c r="E4456" s="17" t="s">
        <v>162</v>
      </c>
      <c r="F4456" s="17" t="s">
        <v>166</v>
      </c>
      <c r="G4456" s="17">
        <v>2</v>
      </c>
      <c r="H4456" s="17">
        <v>17219</v>
      </c>
      <c r="I4456" s="17">
        <v>34438</v>
      </c>
      <c r="J4456" s="17">
        <v>2901</v>
      </c>
      <c r="K4456" s="17">
        <v>31537</v>
      </c>
      <c r="L4456" s="17">
        <v>5809.0240389999999</v>
      </c>
      <c r="M4456" s="17">
        <v>2025</v>
      </c>
      <c r="N4456" s="17" t="s">
        <v>175</v>
      </c>
    </row>
    <row r="4457" spans="1:14" ht="14.25" customHeight="1">
      <c r="A4457" s="17">
        <v>14456</v>
      </c>
      <c r="B4457" s="18">
        <v>45917</v>
      </c>
      <c r="C4457" s="17" t="s">
        <v>39</v>
      </c>
      <c r="D4457" s="17" t="s">
        <v>111</v>
      </c>
      <c r="E4457" s="17" t="s">
        <v>162</v>
      </c>
      <c r="F4457" s="17" t="s">
        <v>172</v>
      </c>
      <c r="G4457" s="17">
        <v>6</v>
      </c>
      <c r="H4457" s="17">
        <v>8708</v>
      </c>
      <c r="I4457" s="17">
        <v>52248</v>
      </c>
      <c r="J4457" s="17">
        <v>1541</v>
      </c>
      <c r="K4457" s="17">
        <v>50707</v>
      </c>
      <c r="L4457" s="17">
        <v>6894.8081519999996</v>
      </c>
      <c r="M4457" s="17">
        <v>2025</v>
      </c>
      <c r="N4457" s="17" t="s">
        <v>129</v>
      </c>
    </row>
    <row r="4458" spans="1:14" ht="14.25" customHeight="1">
      <c r="A4458" s="17">
        <v>14457</v>
      </c>
      <c r="B4458" s="18">
        <v>45543</v>
      </c>
      <c r="C4458" s="17" t="s">
        <v>45</v>
      </c>
      <c r="D4458" s="17" t="s">
        <v>170</v>
      </c>
      <c r="E4458" s="17" t="s">
        <v>162</v>
      </c>
      <c r="F4458" s="17" t="s">
        <v>166</v>
      </c>
      <c r="G4458" s="17">
        <v>4</v>
      </c>
      <c r="H4458" s="17">
        <v>33788</v>
      </c>
      <c r="I4458" s="17">
        <v>135152</v>
      </c>
      <c r="J4458" s="17">
        <v>2091</v>
      </c>
      <c r="K4458" s="17">
        <v>133061</v>
      </c>
      <c r="L4458" s="17">
        <v>14290.72651</v>
      </c>
      <c r="M4458" s="17">
        <v>2024</v>
      </c>
      <c r="N4458" s="17" t="s">
        <v>129</v>
      </c>
    </row>
    <row r="4459" spans="1:14" ht="14.25" customHeight="1">
      <c r="A4459" s="17">
        <v>14458</v>
      </c>
      <c r="B4459" s="18">
        <v>45910</v>
      </c>
      <c r="C4459" s="17" t="s">
        <v>167</v>
      </c>
      <c r="D4459" s="17" t="s">
        <v>111</v>
      </c>
      <c r="E4459" s="17" t="s">
        <v>162</v>
      </c>
      <c r="F4459" s="17" t="s">
        <v>172</v>
      </c>
      <c r="G4459" s="17">
        <v>6</v>
      </c>
      <c r="H4459" s="17">
        <v>6495</v>
      </c>
      <c r="I4459" s="17">
        <v>38970</v>
      </c>
      <c r="J4459" s="17">
        <v>2650</v>
      </c>
      <c r="K4459" s="17">
        <v>36320</v>
      </c>
      <c r="L4459" s="17">
        <v>8679.3837170000006</v>
      </c>
      <c r="M4459" s="17">
        <v>2025</v>
      </c>
      <c r="N4459" s="17" t="s">
        <v>129</v>
      </c>
    </row>
    <row r="4460" spans="1:14" ht="14.25" customHeight="1">
      <c r="A4460" s="17">
        <v>14459</v>
      </c>
      <c r="B4460" s="18">
        <v>45840</v>
      </c>
      <c r="C4460" s="17" t="s">
        <v>50</v>
      </c>
      <c r="D4460" s="17" t="s">
        <v>170</v>
      </c>
      <c r="E4460" s="17" t="s">
        <v>168</v>
      </c>
      <c r="F4460" s="17" t="s">
        <v>172</v>
      </c>
      <c r="G4460" s="17">
        <v>9</v>
      </c>
      <c r="H4460" s="17">
        <v>41160</v>
      </c>
      <c r="I4460" s="17">
        <v>370440</v>
      </c>
      <c r="J4460" s="17">
        <v>1731</v>
      </c>
      <c r="K4460" s="17">
        <v>368709</v>
      </c>
      <c r="L4460" s="17">
        <v>39967.477570000003</v>
      </c>
      <c r="M4460" s="17">
        <v>2025</v>
      </c>
      <c r="N4460" s="17" t="s">
        <v>123</v>
      </c>
    </row>
    <row r="4461" spans="1:14" ht="14.25" customHeight="1">
      <c r="A4461" s="17">
        <v>14460</v>
      </c>
      <c r="B4461" s="18">
        <v>45626</v>
      </c>
      <c r="C4461" s="17" t="s">
        <v>167</v>
      </c>
      <c r="D4461" s="17" t="s">
        <v>89</v>
      </c>
      <c r="E4461" s="17" t="s">
        <v>165</v>
      </c>
      <c r="F4461" s="17" t="s">
        <v>172</v>
      </c>
      <c r="G4461" s="17">
        <v>9</v>
      </c>
      <c r="H4461" s="17">
        <v>12537</v>
      </c>
      <c r="I4461" s="17">
        <v>112833</v>
      </c>
      <c r="J4461" s="17">
        <v>91</v>
      </c>
      <c r="K4461" s="17">
        <v>112742</v>
      </c>
      <c r="L4461" s="17">
        <v>23407.00733</v>
      </c>
      <c r="M4461" s="17">
        <v>2024</v>
      </c>
      <c r="N4461" s="17" t="s">
        <v>173</v>
      </c>
    </row>
    <row r="4462" spans="1:14" ht="14.25" customHeight="1">
      <c r="A4462" s="17">
        <v>14461</v>
      </c>
      <c r="B4462" s="18">
        <v>45383</v>
      </c>
      <c r="C4462" s="17" t="s">
        <v>167</v>
      </c>
      <c r="D4462" s="17" t="s">
        <v>111</v>
      </c>
      <c r="E4462" s="17" t="s">
        <v>165</v>
      </c>
      <c r="F4462" s="17" t="s">
        <v>172</v>
      </c>
      <c r="G4462" s="17">
        <v>9</v>
      </c>
      <c r="H4462" s="17">
        <v>40553</v>
      </c>
      <c r="I4462" s="17">
        <v>364977</v>
      </c>
      <c r="J4462" s="17">
        <v>4854</v>
      </c>
      <c r="K4462" s="17">
        <v>360123</v>
      </c>
      <c r="L4462" s="17">
        <v>53999.678010000003</v>
      </c>
      <c r="M4462" s="17">
        <v>2024</v>
      </c>
      <c r="N4462" s="17" t="s">
        <v>114</v>
      </c>
    </row>
    <row r="4463" spans="1:14" ht="14.25" customHeight="1">
      <c r="A4463" s="17">
        <v>14462</v>
      </c>
      <c r="B4463" s="18">
        <v>45821</v>
      </c>
      <c r="C4463" s="17" t="s">
        <v>50</v>
      </c>
      <c r="D4463" s="17" t="s">
        <v>170</v>
      </c>
      <c r="E4463" s="17" t="s">
        <v>168</v>
      </c>
      <c r="F4463" s="17" t="s">
        <v>163</v>
      </c>
      <c r="G4463" s="17">
        <v>9</v>
      </c>
      <c r="H4463" s="17">
        <v>27203</v>
      </c>
      <c r="I4463" s="17">
        <v>244827</v>
      </c>
      <c r="J4463" s="17">
        <v>730</v>
      </c>
      <c r="K4463" s="17">
        <v>244097</v>
      </c>
      <c r="L4463" s="17">
        <v>58589.56422</v>
      </c>
      <c r="M4463" s="17">
        <v>2025</v>
      </c>
      <c r="N4463" s="17" t="s">
        <v>120</v>
      </c>
    </row>
    <row r="4464" spans="1:14" ht="14.25" customHeight="1">
      <c r="A4464" s="17">
        <v>14463</v>
      </c>
      <c r="B4464" s="18">
        <v>45354</v>
      </c>
      <c r="C4464" s="17" t="s">
        <v>58</v>
      </c>
      <c r="D4464" s="17" t="s">
        <v>89</v>
      </c>
      <c r="E4464" s="17" t="s">
        <v>168</v>
      </c>
      <c r="F4464" s="17" t="s">
        <v>163</v>
      </c>
      <c r="G4464" s="17">
        <v>3</v>
      </c>
      <c r="H4464" s="17">
        <v>59032</v>
      </c>
      <c r="I4464" s="17">
        <v>177096</v>
      </c>
      <c r="J4464" s="17">
        <v>4432</v>
      </c>
      <c r="K4464" s="17">
        <v>172664</v>
      </c>
      <c r="L4464" s="17">
        <v>42804.762459999998</v>
      </c>
      <c r="M4464" s="17">
        <v>2024</v>
      </c>
      <c r="N4464" s="17" t="s">
        <v>112</v>
      </c>
    </row>
    <row r="4465" spans="1:14" ht="14.25" customHeight="1">
      <c r="A4465" s="17">
        <v>14464</v>
      </c>
      <c r="B4465" s="18">
        <v>45953</v>
      </c>
      <c r="C4465" s="17" t="s">
        <v>45</v>
      </c>
      <c r="D4465" s="17" t="s">
        <v>111</v>
      </c>
      <c r="E4465" s="17" t="s">
        <v>162</v>
      </c>
      <c r="F4465" s="17" t="s">
        <v>164</v>
      </c>
      <c r="G4465" s="17">
        <v>9</v>
      </c>
      <c r="H4465" s="17">
        <v>76124</v>
      </c>
      <c r="I4465" s="17">
        <v>685116</v>
      </c>
      <c r="J4465" s="17">
        <v>3814</v>
      </c>
      <c r="K4465" s="17">
        <v>681302</v>
      </c>
      <c r="L4465" s="17">
        <v>102409.636</v>
      </c>
      <c r="M4465" s="17">
        <v>2025</v>
      </c>
      <c r="N4465" s="17" t="s">
        <v>174</v>
      </c>
    </row>
    <row r="4466" spans="1:14" ht="14.25" customHeight="1">
      <c r="A4466" s="17">
        <v>14465</v>
      </c>
      <c r="B4466" s="18">
        <v>45803</v>
      </c>
      <c r="C4466" s="17" t="s">
        <v>45</v>
      </c>
      <c r="D4466" s="17" t="s">
        <v>89</v>
      </c>
      <c r="E4466" s="17" t="s">
        <v>162</v>
      </c>
      <c r="F4466" s="17" t="s">
        <v>164</v>
      </c>
      <c r="G4466" s="17">
        <v>3</v>
      </c>
      <c r="H4466" s="17">
        <v>42659</v>
      </c>
      <c r="I4466" s="17">
        <v>127977</v>
      </c>
      <c r="J4466" s="17">
        <v>699</v>
      </c>
      <c r="K4466" s="17">
        <v>127278</v>
      </c>
      <c r="L4466" s="17">
        <v>24013.034070000002</v>
      </c>
      <c r="M4466" s="17">
        <v>2025</v>
      </c>
      <c r="N4466" s="17" t="s">
        <v>117</v>
      </c>
    </row>
    <row r="4467" spans="1:14" ht="14.25" customHeight="1">
      <c r="A4467" s="17">
        <v>14466</v>
      </c>
      <c r="B4467" s="18">
        <v>45430</v>
      </c>
      <c r="C4467" s="17" t="s">
        <v>39</v>
      </c>
      <c r="D4467" s="17" t="s">
        <v>111</v>
      </c>
      <c r="E4467" s="17" t="s">
        <v>168</v>
      </c>
      <c r="F4467" s="17" t="s">
        <v>166</v>
      </c>
      <c r="G4467" s="17">
        <v>3</v>
      </c>
      <c r="H4467" s="17">
        <v>69043</v>
      </c>
      <c r="I4467" s="17">
        <v>207129</v>
      </c>
      <c r="J4467" s="17">
        <v>3014</v>
      </c>
      <c r="K4467" s="17">
        <v>204115</v>
      </c>
      <c r="L4467" s="17">
        <v>44078.167479999996</v>
      </c>
      <c r="M4467" s="17">
        <v>2024</v>
      </c>
      <c r="N4467" s="17" t="s">
        <v>117</v>
      </c>
    </row>
    <row r="4468" spans="1:14" ht="14.25" customHeight="1">
      <c r="A4468" s="17">
        <v>14467</v>
      </c>
      <c r="B4468" s="18">
        <v>45989</v>
      </c>
      <c r="C4468" s="17" t="s">
        <v>39</v>
      </c>
      <c r="D4468" s="17" t="s">
        <v>83</v>
      </c>
      <c r="E4468" s="17" t="s">
        <v>165</v>
      </c>
      <c r="F4468" s="17" t="s">
        <v>163</v>
      </c>
      <c r="G4468" s="17">
        <v>5</v>
      </c>
      <c r="H4468" s="17">
        <v>8525</v>
      </c>
      <c r="I4468" s="17">
        <v>42625</v>
      </c>
      <c r="J4468" s="17">
        <v>2311</v>
      </c>
      <c r="K4468" s="17">
        <v>40314</v>
      </c>
      <c r="L4468" s="17">
        <v>4777.6686799999998</v>
      </c>
      <c r="M4468" s="17">
        <v>2025</v>
      </c>
      <c r="N4468" s="17" t="s">
        <v>173</v>
      </c>
    </row>
    <row r="4469" spans="1:14" ht="14.25" customHeight="1">
      <c r="A4469" s="17">
        <v>14468</v>
      </c>
      <c r="B4469" s="18">
        <v>45476</v>
      </c>
      <c r="C4469" s="17" t="s">
        <v>39</v>
      </c>
      <c r="D4469" s="17" t="s">
        <v>83</v>
      </c>
      <c r="E4469" s="17" t="s">
        <v>162</v>
      </c>
      <c r="F4469" s="17" t="s">
        <v>164</v>
      </c>
      <c r="G4469" s="17">
        <v>6</v>
      </c>
      <c r="H4469" s="17">
        <v>9777</v>
      </c>
      <c r="I4469" s="17">
        <v>58662</v>
      </c>
      <c r="J4469" s="17">
        <v>2016</v>
      </c>
      <c r="K4469" s="17">
        <v>56646</v>
      </c>
      <c r="L4469" s="17">
        <v>11692.830250000001</v>
      </c>
      <c r="M4469" s="17">
        <v>2024</v>
      </c>
      <c r="N4469" s="17" t="s">
        <v>123</v>
      </c>
    </row>
    <row r="4470" spans="1:14" ht="14.25" customHeight="1">
      <c r="A4470" s="17">
        <v>14469</v>
      </c>
      <c r="B4470" s="18">
        <v>45496</v>
      </c>
      <c r="C4470" s="17" t="s">
        <v>45</v>
      </c>
      <c r="D4470" s="17" t="s">
        <v>170</v>
      </c>
      <c r="E4470" s="17" t="s">
        <v>168</v>
      </c>
      <c r="F4470" s="17" t="s">
        <v>163</v>
      </c>
      <c r="G4470" s="17">
        <v>9</v>
      </c>
      <c r="H4470" s="17">
        <v>74725</v>
      </c>
      <c r="I4470" s="17">
        <v>672525</v>
      </c>
      <c r="J4470" s="17">
        <v>3490</v>
      </c>
      <c r="K4470" s="17">
        <v>669035</v>
      </c>
      <c r="L4470" s="17">
        <v>157845.17509999999</v>
      </c>
      <c r="M4470" s="17">
        <v>2024</v>
      </c>
      <c r="N4470" s="17" t="s">
        <v>123</v>
      </c>
    </row>
    <row r="4471" spans="1:14" ht="14.25" customHeight="1">
      <c r="A4471" s="17">
        <v>14470</v>
      </c>
      <c r="B4471" s="18">
        <v>45505</v>
      </c>
      <c r="C4471" s="17" t="s">
        <v>58</v>
      </c>
      <c r="D4471" s="17" t="s">
        <v>86</v>
      </c>
      <c r="E4471" s="17" t="s">
        <v>168</v>
      </c>
      <c r="F4471" s="17" t="s">
        <v>163</v>
      </c>
      <c r="G4471" s="17">
        <v>1</v>
      </c>
      <c r="H4471" s="17">
        <v>50791</v>
      </c>
      <c r="I4471" s="17">
        <v>50791</v>
      </c>
      <c r="J4471" s="17">
        <v>977</v>
      </c>
      <c r="K4471" s="17">
        <v>49814</v>
      </c>
      <c r="L4471" s="17">
        <v>6315.1888829999998</v>
      </c>
      <c r="M4471" s="17">
        <v>2024</v>
      </c>
      <c r="N4471" s="17" t="s">
        <v>126</v>
      </c>
    </row>
    <row r="4472" spans="1:14" ht="14.25" customHeight="1">
      <c r="A4472" s="17">
        <v>14471</v>
      </c>
      <c r="B4472" s="18">
        <v>45547</v>
      </c>
      <c r="C4472" s="17" t="s">
        <v>45</v>
      </c>
      <c r="D4472" s="17" t="s">
        <v>83</v>
      </c>
      <c r="E4472" s="17" t="s">
        <v>168</v>
      </c>
      <c r="F4472" s="17" t="s">
        <v>166</v>
      </c>
      <c r="G4472" s="17">
        <v>8</v>
      </c>
      <c r="H4472" s="17">
        <v>36501</v>
      </c>
      <c r="I4472" s="17">
        <v>292008</v>
      </c>
      <c r="J4472" s="17">
        <v>4210</v>
      </c>
      <c r="K4472" s="17">
        <v>287798</v>
      </c>
      <c r="L4472" s="17">
        <v>64986.663030000003</v>
      </c>
      <c r="M4472" s="17">
        <v>2024</v>
      </c>
      <c r="N4472" s="17" t="s">
        <v>129</v>
      </c>
    </row>
    <row r="4473" spans="1:14" ht="14.25" customHeight="1">
      <c r="A4473" s="17">
        <v>14472</v>
      </c>
      <c r="B4473" s="18">
        <v>45426</v>
      </c>
      <c r="C4473" s="17" t="s">
        <v>45</v>
      </c>
      <c r="D4473" s="17" t="s">
        <v>86</v>
      </c>
      <c r="E4473" s="17" t="s">
        <v>162</v>
      </c>
      <c r="F4473" s="17" t="s">
        <v>166</v>
      </c>
      <c r="G4473" s="17">
        <v>4</v>
      </c>
      <c r="H4473" s="17">
        <v>70258</v>
      </c>
      <c r="I4473" s="17">
        <v>281032</v>
      </c>
      <c r="J4473" s="17">
        <v>1258</v>
      </c>
      <c r="K4473" s="17">
        <v>279774</v>
      </c>
      <c r="L4473" s="17">
        <v>32828.826889999997</v>
      </c>
      <c r="M4473" s="17">
        <v>2024</v>
      </c>
      <c r="N4473" s="17" t="s">
        <v>117</v>
      </c>
    </row>
    <row r="4474" spans="1:14" ht="14.25" customHeight="1">
      <c r="A4474" s="17">
        <v>14473</v>
      </c>
      <c r="B4474" s="18">
        <v>45864</v>
      </c>
      <c r="C4474" s="17" t="s">
        <v>45</v>
      </c>
      <c r="D4474" s="17" t="s">
        <v>89</v>
      </c>
      <c r="E4474" s="17" t="s">
        <v>168</v>
      </c>
      <c r="F4474" s="17" t="s">
        <v>172</v>
      </c>
      <c r="G4474" s="17">
        <v>7</v>
      </c>
      <c r="H4474" s="17">
        <v>28719</v>
      </c>
      <c r="I4474" s="17">
        <v>201033</v>
      </c>
      <c r="J4474" s="17">
        <v>3855</v>
      </c>
      <c r="K4474" s="17">
        <v>197178</v>
      </c>
      <c r="L4474" s="17">
        <v>36526.288789999999</v>
      </c>
      <c r="M4474" s="17">
        <v>2025</v>
      </c>
      <c r="N4474" s="17" t="s">
        <v>123</v>
      </c>
    </row>
    <row r="4475" spans="1:14" ht="14.25" customHeight="1">
      <c r="A4475" s="17">
        <v>14474</v>
      </c>
      <c r="B4475" s="18">
        <v>45379</v>
      </c>
      <c r="C4475" s="17" t="s">
        <v>45</v>
      </c>
      <c r="D4475" s="17" t="s">
        <v>89</v>
      </c>
      <c r="E4475" s="17" t="s">
        <v>165</v>
      </c>
      <c r="F4475" s="17" t="s">
        <v>163</v>
      </c>
      <c r="G4475" s="17">
        <v>6</v>
      </c>
      <c r="H4475" s="17">
        <v>71686</v>
      </c>
      <c r="I4475" s="17">
        <v>430116</v>
      </c>
      <c r="J4475" s="17">
        <v>1297</v>
      </c>
      <c r="K4475" s="17">
        <v>428819</v>
      </c>
      <c r="L4475" s="17">
        <v>64710.738389999999</v>
      </c>
      <c r="M4475" s="17">
        <v>2024</v>
      </c>
      <c r="N4475" s="17" t="s">
        <v>112</v>
      </c>
    </row>
    <row r="4476" spans="1:14" ht="14.25" customHeight="1">
      <c r="A4476" s="17">
        <v>14475</v>
      </c>
      <c r="B4476" s="18">
        <v>45498</v>
      </c>
      <c r="C4476" s="17" t="s">
        <v>58</v>
      </c>
      <c r="D4476" s="17" t="s">
        <v>86</v>
      </c>
      <c r="E4476" s="17" t="s">
        <v>168</v>
      </c>
      <c r="F4476" s="17" t="s">
        <v>172</v>
      </c>
      <c r="G4476" s="17">
        <v>6</v>
      </c>
      <c r="H4476" s="17">
        <v>33434</v>
      </c>
      <c r="I4476" s="17">
        <v>200604</v>
      </c>
      <c r="J4476" s="17">
        <v>1978</v>
      </c>
      <c r="K4476" s="17">
        <v>198626</v>
      </c>
      <c r="L4476" s="17">
        <v>33916.855179999999</v>
      </c>
      <c r="M4476" s="17">
        <v>2024</v>
      </c>
      <c r="N4476" s="17" t="s">
        <v>123</v>
      </c>
    </row>
    <row r="4477" spans="1:14" ht="14.25" customHeight="1">
      <c r="A4477" s="17">
        <v>14476</v>
      </c>
      <c r="B4477" s="18">
        <v>45420</v>
      </c>
      <c r="C4477" s="17" t="s">
        <v>39</v>
      </c>
      <c r="D4477" s="17" t="s">
        <v>170</v>
      </c>
      <c r="E4477" s="17" t="s">
        <v>162</v>
      </c>
      <c r="F4477" s="17" t="s">
        <v>172</v>
      </c>
      <c r="G4477" s="17">
        <v>7</v>
      </c>
      <c r="H4477" s="17">
        <v>25520</v>
      </c>
      <c r="I4477" s="17">
        <v>178640</v>
      </c>
      <c r="J4477" s="17">
        <v>4129</v>
      </c>
      <c r="K4477" s="17">
        <v>174511</v>
      </c>
      <c r="L4477" s="17">
        <v>25320.643479999999</v>
      </c>
      <c r="M4477" s="17">
        <v>2024</v>
      </c>
      <c r="N4477" s="17" t="s">
        <v>117</v>
      </c>
    </row>
    <row r="4478" spans="1:14" ht="14.25" customHeight="1">
      <c r="A4478" s="17">
        <v>14477</v>
      </c>
      <c r="B4478" s="18">
        <v>45294</v>
      </c>
      <c r="C4478" s="17" t="s">
        <v>167</v>
      </c>
      <c r="D4478" s="17" t="s">
        <v>111</v>
      </c>
      <c r="E4478" s="17" t="s">
        <v>165</v>
      </c>
      <c r="F4478" s="17" t="s">
        <v>172</v>
      </c>
      <c r="G4478" s="17">
        <v>4</v>
      </c>
      <c r="H4478" s="17">
        <v>61881</v>
      </c>
      <c r="I4478" s="17">
        <v>247524</v>
      </c>
      <c r="J4478" s="17">
        <v>1732</v>
      </c>
      <c r="K4478" s="17">
        <v>245792</v>
      </c>
      <c r="L4478" s="17">
        <v>34184.973980000002</v>
      </c>
      <c r="M4478" s="17">
        <v>2024</v>
      </c>
      <c r="N4478" s="17" t="s">
        <v>171</v>
      </c>
    </row>
    <row r="4479" spans="1:14" ht="14.25" customHeight="1">
      <c r="A4479" s="17">
        <v>14478</v>
      </c>
      <c r="B4479" s="18">
        <v>45412</v>
      </c>
      <c r="C4479" s="17" t="s">
        <v>39</v>
      </c>
      <c r="D4479" s="17" t="s">
        <v>86</v>
      </c>
      <c r="E4479" s="17" t="s">
        <v>165</v>
      </c>
      <c r="F4479" s="17" t="s">
        <v>163</v>
      </c>
      <c r="G4479" s="17">
        <v>6</v>
      </c>
      <c r="H4479" s="17">
        <v>6510</v>
      </c>
      <c r="I4479" s="17">
        <v>39060</v>
      </c>
      <c r="J4479" s="17">
        <v>2942</v>
      </c>
      <c r="K4479" s="17">
        <v>36118</v>
      </c>
      <c r="L4479" s="17">
        <v>7637.9051890000001</v>
      </c>
      <c r="M4479" s="17">
        <v>2024</v>
      </c>
      <c r="N4479" s="17" t="s">
        <v>114</v>
      </c>
    </row>
    <row r="4480" spans="1:14" ht="14.25" customHeight="1">
      <c r="A4480" s="17">
        <v>14479</v>
      </c>
      <c r="B4480" s="18">
        <v>45676</v>
      </c>
      <c r="C4480" s="17" t="s">
        <v>39</v>
      </c>
      <c r="D4480" s="17" t="s">
        <v>86</v>
      </c>
      <c r="E4480" s="17" t="s">
        <v>168</v>
      </c>
      <c r="F4480" s="17" t="s">
        <v>163</v>
      </c>
      <c r="G4480" s="17">
        <v>3</v>
      </c>
      <c r="H4480" s="17">
        <v>33546</v>
      </c>
      <c r="I4480" s="17">
        <v>100638</v>
      </c>
      <c r="J4480" s="17">
        <v>2509</v>
      </c>
      <c r="K4480" s="17">
        <v>98129</v>
      </c>
      <c r="L4480" s="17">
        <v>13096.9815</v>
      </c>
      <c r="M4480" s="17">
        <v>2025</v>
      </c>
      <c r="N4480" s="17" t="s">
        <v>171</v>
      </c>
    </row>
    <row r="4481" spans="1:14" ht="14.25" customHeight="1">
      <c r="A4481" s="17">
        <v>14480</v>
      </c>
      <c r="B4481" s="18">
        <v>45905</v>
      </c>
      <c r="C4481" s="17" t="s">
        <v>167</v>
      </c>
      <c r="D4481" s="17" t="s">
        <v>86</v>
      </c>
      <c r="E4481" s="17" t="s">
        <v>168</v>
      </c>
      <c r="F4481" s="17" t="s">
        <v>172</v>
      </c>
      <c r="G4481" s="17">
        <v>5</v>
      </c>
      <c r="H4481" s="17">
        <v>18982</v>
      </c>
      <c r="I4481" s="17">
        <v>94910</v>
      </c>
      <c r="J4481" s="17">
        <v>448</v>
      </c>
      <c r="K4481" s="17">
        <v>94462</v>
      </c>
      <c r="L4481" s="17">
        <v>15233.12695</v>
      </c>
      <c r="M4481" s="17">
        <v>2025</v>
      </c>
      <c r="N4481" s="17" t="s">
        <v>129</v>
      </c>
    </row>
    <row r="4482" spans="1:14" ht="14.25" customHeight="1">
      <c r="A4482" s="17">
        <v>14481</v>
      </c>
      <c r="B4482" s="18">
        <v>45329</v>
      </c>
      <c r="C4482" s="17" t="s">
        <v>45</v>
      </c>
      <c r="D4482" s="17" t="s">
        <v>86</v>
      </c>
      <c r="E4482" s="17" t="s">
        <v>165</v>
      </c>
      <c r="F4482" s="17" t="s">
        <v>163</v>
      </c>
      <c r="G4482" s="17">
        <v>2</v>
      </c>
      <c r="H4482" s="17">
        <v>74451</v>
      </c>
      <c r="I4482" s="17">
        <v>148902</v>
      </c>
      <c r="J4482" s="17">
        <v>1237</v>
      </c>
      <c r="K4482" s="17">
        <v>147665</v>
      </c>
      <c r="L4482" s="17">
        <v>20847.87067</v>
      </c>
      <c r="M4482" s="17">
        <v>2024</v>
      </c>
      <c r="N4482" s="17" t="s">
        <v>175</v>
      </c>
    </row>
    <row r="4483" spans="1:14" ht="14.25" customHeight="1">
      <c r="A4483" s="17">
        <v>14482</v>
      </c>
      <c r="B4483" s="18">
        <v>45632</v>
      </c>
      <c r="C4483" s="17" t="s">
        <v>58</v>
      </c>
      <c r="D4483" s="17" t="s">
        <v>86</v>
      </c>
      <c r="E4483" s="17" t="s">
        <v>168</v>
      </c>
      <c r="F4483" s="17" t="s">
        <v>172</v>
      </c>
      <c r="G4483" s="17">
        <v>3</v>
      </c>
      <c r="H4483" s="17">
        <v>24636</v>
      </c>
      <c r="I4483" s="17">
        <v>73908</v>
      </c>
      <c r="J4483" s="17">
        <v>4500</v>
      </c>
      <c r="K4483" s="17">
        <v>69408</v>
      </c>
      <c r="L4483" s="17">
        <v>9425.2775880000008</v>
      </c>
      <c r="M4483" s="17">
        <v>2024</v>
      </c>
      <c r="N4483" s="17" t="s">
        <v>169</v>
      </c>
    </row>
    <row r="4484" spans="1:14" ht="14.25" customHeight="1">
      <c r="A4484" s="17">
        <v>14483</v>
      </c>
      <c r="B4484" s="18">
        <v>45936</v>
      </c>
      <c r="C4484" s="17" t="s">
        <v>58</v>
      </c>
      <c r="D4484" s="17" t="s">
        <v>170</v>
      </c>
      <c r="E4484" s="17" t="s">
        <v>162</v>
      </c>
      <c r="F4484" s="17" t="s">
        <v>164</v>
      </c>
      <c r="G4484" s="17">
        <v>9</v>
      </c>
      <c r="H4484" s="17">
        <v>63087</v>
      </c>
      <c r="I4484" s="17">
        <v>567783</v>
      </c>
      <c r="J4484" s="17">
        <v>332</v>
      </c>
      <c r="K4484" s="17">
        <v>567451</v>
      </c>
      <c r="L4484" s="17">
        <v>110122.04730000001</v>
      </c>
      <c r="M4484" s="17">
        <v>2025</v>
      </c>
      <c r="N4484" s="17" t="s">
        <v>174</v>
      </c>
    </row>
    <row r="4485" spans="1:14" ht="14.25" customHeight="1">
      <c r="A4485" s="17">
        <v>14484</v>
      </c>
      <c r="B4485" s="18">
        <v>46005</v>
      </c>
      <c r="C4485" s="17" t="s">
        <v>39</v>
      </c>
      <c r="D4485" s="17" t="s">
        <v>83</v>
      </c>
      <c r="E4485" s="17" t="s">
        <v>165</v>
      </c>
      <c r="F4485" s="17" t="s">
        <v>163</v>
      </c>
      <c r="G4485" s="17">
        <v>6</v>
      </c>
      <c r="H4485" s="17">
        <v>15957</v>
      </c>
      <c r="I4485" s="17">
        <v>95742</v>
      </c>
      <c r="J4485" s="17">
        <v>4323</v>
      </c>
      <c r="K4485" s="17">
        <v>91419</v>
      </c>
      <c r="L4485" s="17">
        <v>9764.8557999999994</v>
      </c>
      <c r="M4485" s="17">
        <v>2025</v>
      </c>
      <c r="N4485" s="17" t="s">
        <v>169</v>
      </c>
    </row>
    <row r="4486" spans="1:14" ht="14.25" customHeight="1">
      <c r="A4486" s="17">
        <v>14485</v>
      </c>
      <c r="B4486" s="18">
        <v>45312</v>
      </c>
      <c r="C4486" s="17" t="s">
        <v>167</v>
      </c>
      <c r="D4486" s="17" t="s">
        <v>111</v>
      </c>
      <c r="E4486" s="17" t="s">
        <v>168</v>
      </c>
      <c r="F4486" s="17" t="s">
        <v>166</v>
      </c>
      <c r="G4486" s="17">
        <v>3</v>
      </c>
      <c r="H4486" s="17">
        <v>41706</v>
      </c>
      <c r="I4486" s="17">
        <v>125118</v>
      </c>
      <c r="J4486" s="17">
        <v>165</v>
      </c>
      <c r="K4486" s="17">
        <v>124953</v>
      </c>
      <c r="L4486" s="17">
        <v>27281.58958</v>
      </c>
      <c r="M4486" s="17">
        <v>2024</v>
      </c>
      <c r="N4486" s="17" t="s">
        <v>171</v>
      </c>
    </row>
    <row r="4487" spans="1:14" ht="14.25" customHeight="1">
      <c r="A4487" s="17">
        <v>14486</v>
      </c>
      <c r="B4487" s="18">
        <v>45533</v>
      </c>
      <c r="C4487" s="17" t="s">
        <v>50</v>
      </c>
      <c r="D4487" s="17" t="s">
        <v>83</v>
      </c>
      <c r="E4487" s="17" t="s">
        <v>165</v>
      </c>
      <c r="F4487" s="17" t="s">
        <v>166</v>
      </c>
      <c r="G4487" s="17">
        <v>2</v>
      </c>
      <c r="H4487" s="17">
        <v>67871</v>
      </c>
      <c r="I4487" s="17">
        <v>135742</v>
      </c>
      <c r="J4487" s="17">
        <v>4680</v>
      </c>
      <c r="K4487" s="17">
        <v>131062</v>
      </c>
      <c r="L4487" s="17">
        <v>23844.779330000001</v>
      </c>
      <c r="M4487" s="17">
        <v>2024</v>
      </c>
      <c r="N4487" s="17" t="s">
        <v>126</v>
      </c>
    </row>
    <row r="4488" spans="1:14" ht="14.25" customHeight="1">
      <c r="A4488" s="17">
        <v>14487</v>
      </c>
      <c r="B4488" s="18">
        <v>45746</v>
      </c>
      <c r="C4488" s="17" t="s">
        <v>45</v>
      </c>
      <c r="D4488" s="17" t="s">
        <v>86</v>
      </c>
      <c r="E4488" s="17" t="s">
        <v>168</v>
      </c>
      <c r="F4488" s="17" t="s">
        <v>172</v>
      </c>
      <c r="G4488" s="17">
        <v>5</v>
      </c>
      <c r="H4488" s="17">
        <v>66737</v>
      </c>
      <c r="I4488" s="17">
        <v>333685</v>
      </c>
      <c r="J4488" s="17">
        <v>4832</v>
      </c>
      <c r="K4488" s="17">
        <v>328853</v>
      </c>
      <c r="L4488" s="17">
        <v>73750.418449999997</v>
      </c>
      <c r="M4488" s="17">
        <v>2025</v>
      </c>
      <c r="N4488" s="17" t="s">
        <v>112</v>
      </c>
    </row>
    <row r="4489" spans="1:14" ht="14.25" customHeight="1">
      <c r="A4489" s="17">
        <v>14488</v>
      </c>
      <c r="B4489" s="18">
        <v>45912</v>
      </c>
      <c r="C4489" s="17" t="s">
        <v>39</v>
      </c>
      <c r="D4489" s="17" t="s">
        <v>83</v>
      </c>
      <c r="E4489" s="17" t="s">
        <v>168</v>
      </c>
      <c r="F4489" s="17" t="s">
        <v>164</v>
      </c>
      <c r="G4489" s="17">
        <v>5</v>
      </c>
      <c r="H4489" s="17">
        <v>45975</v>
      </c>
      <c r="I4489" s="17">
        <v>229875</v>
      </c>
      <c r="J4489" s="17">
        <v>4693</v>
      </c>
      <c r="K4489" s="17">
        <v>225182</v>
      </c>
      <c r="L4489" s="17">
        <v>29713.304779999999</v>
      </c>
      <c r="M4489" s="17">
        <v>2025</v>
      </c>
      <c r="N4489" s="17" t="s">
        <v>129</v>
      </c>
    </row>
    <row r="4490" spans="1:14" ht="14.25" customHeight="1">
      <c r="A4490" s="17">
        <v>14489</v>
      </c>
      <c r="B4490" s="18">
        <v>45594</v>
      </c>
      <c r="C4490" s="17" t="s">
        <v>58</v>
      </c>
      <c r="D4490" s="17" t="s">
        <v>170</v>
      </c>
      <c r="E4490" s="17" t="s">
        <v>162</v>
      </c>
      <c r="F4490" s="17" t="s">
        <v>163</v>
      </c>
      <c r="G4490" s="17">
        <v>1</v>
      </c>
      <c r="H4490" s="17">
        <v>33129</v>
      </c>
      <c r="I4490" s="17">
        <v>33129</v>
      </c>
      <c r="J4490" s="17">
        <v>4688</v>
      </c>
      <c r="K4490" s="17">
        <v>28441</v>
      </c>
      <c r="L4490" s="17">
        <v>5870.5325810000004</v>
      </c>
      <c r="M4490" s="17">
        <v>2024</v>
      </c>
      <c r="N4490" s="17" t="s">
        <v>174</v>
      </c>
    </row>
    <row r="4491" spans="1:14" ht="14.25" customHeight="1">
      <c r="A4491" s="17">
        <v>14490</v>
      </c>
      <c r="B4491" s="18">
        <v>45887</v>
      </c>
      <c r="C4491" s="17" t="s">
        <v>167</v>
      </c>
      <c r="D4491" s="17" t="s">
        <v>89</v>
      </c>
      <c r="E4491" s="17" t="s">
        <v>168</v>
      </c>
      <c r="F4491" s="17" t="s">
        <v>172</v>
      </c>
      <c r="G4491" s="17">
        <v>3</v>
      </c>
      <c r="H4491" s="17">
        <v>42939</v>
      </c>
      <c r="I4491" s="17">
        <v>128817</v>
      </c>
      <c r="J4491" s="17">
        <v>4027</v>
      </c>
      <c r="K4491" s="17">
        <v>124790</v>
      </c>
      <c r="L4491" s="17">
        <v>20351.698639999999</v>
      </c>
      <c r="M4491" s="17">
        <v>2025</v>
      </c>
      <c r="N4491" s="17" t="s">
        <v>126</v>
      </c>
    </row>
    <row r="4492" spans="1:14" ht="14.25" customHeight="1">
      <c r="A4492" s="17">
        <v>14491</v>
      </c>
      <c r="B4492" s="18">
        <v>45886</v>
      </c>
      <c r="C4492" s="17" t="s">
        <v>167</v>
      </c>
      <c r="D4492" s="17" t="s">
        <v>83</v>
      </c>
      <c r="E4492" s="17" t="s">
        <v>168</v>
      </c>
      <c r="F4492" s="17" t="s">
        <v>164</v>
      </c>
      <c r="G4492" s="17">
        <v>7</v>
      </c>
      <c r="H4492" s="17">
        <v>70059</v>
      </c>
      <c r="I4492" s="17">
        <v>490413</v>
      </c>
      <c r="J4492" s="17">
        <v>2774</v>
      </c>
      <c r="K4492" s="17">
        <v>487639</v>
      </c>
      <c r="L4492" s="17">
        <v>54381.79219</v>
      </c>
      <c r="M4492" s="17">
        <v>2025</v>
      </c>
      <c r="N4492" s="17" t="s">
        <v>126</v>
      </c>
    </row>
    <row r="4493" spans="1:14" ht="14.25" customHeight="1">
      <c r="A4493" s="17">
        <v>14492</v>
      </c>
      <c r="B4493" s="18">
        <v>45360</v>
      </c>
      <c r="C4493" s="17" t="s">
        <v>39</v>
      </c>
      <c r="D4493" s="17" t="s">
        <v>111</v>
      </c>
      <c r="E4493" s="17" t="s">
        <v>168</v>
      </c>
      <c r="F4493" s="17" t="s">
        <v>164</v>
      </c>
      <c r="G4493" s="17">
        <v>9</v>
      </c>
      <c r="H4493" s="17">
        <v>13298</v>
      </c>
      <c r="I4493" s="17">
        <v>119682</v>
      </c>
      <c r="J4493" s="17">
        <v>1699</v>
      </c>
      <c r="K4493" s="17">
        <v>117983</v>
      </c>
      <c r="L4493" s="17">
        <v>25115.213329999999</v>
      </c>
      <c r="M4493" s="17">
        <v>2024</v>
      </c>
      <c r="N4493" s="17" t="s">
        <v>112</v>
      </c>
    </row>
    <row r="4494" spans="1:14" ht="14.25" customHeight="1">
      <c r="A4494" s="17">
        <v>14493</v>
      </c>
      <c r="B4494" s="18">
        <v>45420</v>
      </c>
      <c r="C4494" s="17" t="s">
        <v>50</v>
      </c>
      <c r="D4494" s="17" t="s">
        <v>170</v>
      </c>
      <c r="E4494" s="17" t="s">
        <v>162</v>
      </c>
      <c r="F4494" s="17" t="s">
        <v>163</v>
      </c>
      <c r="G4494" s="17">
        <v>5</v>
      </c>
      <c r="H4494" s="17">
        <v>69422</v>
      </c>
      <c r="I4494" s="17">
        <v>347110</v>
      </c>
      <c r="J4494" s="17">
        <v>1413</v>
      </c>
      <c r="K4494" s="17">
        <v>345697</v>
      </c>
      <c r="L4494" s="17">
        <v>74092.576109999995</v>
      </c>
      <c r="M4494" s="17">
        <v>2024</v>
      </c>
      <c r="N4494" s="17" t="s">
        <v>117</v>
      </c>
    </row>
    <row r="4495" spans="1:14" ht="14.25" customHeight="1">
      <c r="A4495" s="17">
        <v>14494</v>
      </c>
      <c r="B4495" s="18">
        <v>45487</v>
      </c>
      <c r="C4495" s="17" t="s">
        <v>58</v>
      </c>
      <c r="D4495" s="17" t="s">
        <v>89</v>
      </c>
      <c r="E4495" s="17" t="s">
        <v>168</v>
      </c>
      <c r="F4495" s="17" t="s">
        <v>166</v>
      </c>
      <c r="G4495" s="17">
        <v>4</v>
      </c>
      <c r="H4495" s="17">
        <v>11480</v>
      </c>
      <c r="I4495" s="17">
        <v>45920</v>
      </c>
      <c r="J4495" s="17">
        <v>1446</v>
      </c>
      <c r="K4495" s="17">
        <v>44474</v>
      </c>
      <c r="L4495" s="17">
        <v>6254.7135040000003</v>
      </c>
      <c r="M4495" s="17">
        <v>2024</v>
      </c>
      <c r="N4495" s="17" t="s">
        <v>123</v>
      </c>
    </row>
    <row r="4496" spans="1:14" ht="14.25" customHeight="1">
      <c r="A4496" s="17">
        <v>14495</v>
      </c>
      <c r="B4496" s="18">
        <v>45431</v>
      </c>
      <c r="C4496" s="17" t="s">
        <v>39</v>
      </c>
      <c r="D4496" s="17" t="s">
        <v>170</v>
      </c>
      <c r="E4496" s="17" t="s">
        <v>168</v>
      </c>
      <c r="F4496" s="17" t="s">
        <v>166</v>
      </c>
      <c r="G4496" s="17">
        <v>3</v>
      </c>
      <c r="H4496" s="17">
        <v>65389</v>
      </c>
      <c r="I4496" s="17">
        <v>196167</v>
      </c>
      <c r="J4496" s="17">
        <v>3482</v>
      </c>
      <c r="K4496" s="17">
        <v>192685</v>
      </c>
      <c r="L4496" s="17">
        <v>45744.749069999998</v>
      </c>
      <c r="M4496" s="17">
        <v>2024</v>
      </c>
      <c r="N4496" s="17" t="s">
        <v>117</v>
      </c>
    </row>
    <row r="4497" spans="1:14" ht="14.25" customHeight="1">
      <c r="A4497" s="17">
        <v>14496</v>
      </c>
      <c r="B4497" s="18">
        <v>45735</v>
      </c>
      <c r="C4497" s="17" t="s">
        <v>50</v>
      </c>
      <c r="D4497" s="17" t="s">
        <v>86</v>
      </c>
      <c r="E4497" s="17" t="s">
        <v>168</v>
      </c>
      <c r="F4497" s="17" t="s">
        <v>164</v>
      </c>
      <c r="G4497" s="17">
        <v>9</v>
      </c>
      <c r="H4497" s="17">
        <v>73393</v>
      </c>
      <c r="I4497" s="17">
        <v>660537</v>
      </c>
      <c r="J4497" s="17">
        <v>4744</v>
      </c>
      <c r="K4497" s="17">
        <v>655793</v>
      </c>
      <c r="L4497" s="17">
        <v>140730.20670000001</v>
      </c>
      <c r="M4497" s="17">
        <v>2025</v>
      </c>
      <c r="N4497" s="17" t="s">
        <v>112</v>
      </c>
    </row>
    <row r="4498" spans="1:14" ht="14.25" customHeight="1">
      <c r="A4498" s="17">
        <v>14497</v>
      </c>
      <c r="B4498" s="18">
        <v>45574</v>
      </c>
      <c r="C4498" s="17" t="s">
        <v>167</v>
      </c>
      <c r="D4498" s="17" t="s">
        <v>89</v>
      </c>
      <c r="E4498" s="17" t="s">
        <v>165</v>
      </c>
      <c r="F4498" s="17" t="s">
        <v>166</v>
      </c>
      <c r="G4498" s="17">
        <v>7</v>
      </c>
      <c r="H4498" s="17">
        <v>9349</v>
      </c>
      <c r="I4498" s="17">
        <v>65443</v>
      </c>
      <c r="J4498" s="17">
        <v>1687</v>
      </c>
      <c r="K4498" s="17">
        <v>63756</v>
      </c>
      <c r="L4498" s="17">
        <v>9309.2434240000002</v>
      </c>
      <c r="M4498" s="17">
        <v>2024</v>
      </c>
      <c r="N4498" s="17" t="s">
        <v>174</v>
      </c>
    </row>
    <row r="4499" spans="1:14" ht="14.25" customHeight="1">
      <c r="A4499" s="17">
        <v>14498</v>
      </c>
      <c r="B4499" s="18">
        <v>45603</v>
      </c>
      <c r="C4499" s="17" t="s">
        <v>45</v>
      </c>
      <c r="D4499" s="17" t="s">
        <v>111</v>
      </c>
      <c r="E4499" s="17" t="s">
        <v>162</v>
      </c>
      <c r="F4499" s="17" t="s">
        <v>164</v>
      </c>
      <c r="G4499" s="17">
        <v>7</v>
      </c>
      <c r="H4499" s="17">
        <v>71964</v>
      </c>
      <c r="I4499" s="17">
        <v>503748</v>
      </c>
      <c r="J4499" s="17">
        <v>446</v>
      </c>
      <c r="K4499" s="17">
        <v>503302</v>
      </c>
      <c r="L4499" s="17">
        <v>68381.801340000005</v>
      </c>
      <c r="M4499" s="17">
        <v>2024</v>
      </c>
      <c r="N4499" s="17" t="s">
        <v>173</v>
      </c>
    </row>
    <row r="4500" spans="1:14" ht="14.25" customHeight="1">
      <c r="A4500" s="17">
        <v>14499</v>
      </c>
      <c r="B4500" s="18">
        <v>45826</v>
      </c>
      <c r="C4500" s="17" t="s">
        <v>58</v>
      </c>
      <c r="D4500" s="17" t="s">
        <v>89</v>
      </c>
      <c r="E4500" s="17" t="s">
        <v>165</v>
      </c>
      <c r="F4500" s="17" t="s">
        <v>164</v>
      </c>
      <c r="G4500" s="17">
        <v>8</v>
      </c>
      <c r="H4500" s="17">
        <v>44491</v>
      </c>
      <c r="I4500" s="17">
        <v>355928</v>
      </c>
      <c r="J4500" s="17">
        <v>3474</v>
      </c>
      <c r="K4500" s="17">
        <v>352454</v>
      </c>
      <c r="L4500" s="17">
        <v>58512.098639999997</v>
      </c>
      <c r="M4500" s="17">
        <v>2025</v>
      </c>
      <c r="N4500" s="17" t="s">
        <v>120</v>
      </c>
    </row>
    <row r="4501" spans="1:14" ht="14.25" customHeight="1">
      <c r="A4501" s="17">
        <v>14500</v>
      </c>
      <c r="B4501" s="18">
        <v>45956</v>
      </c>
      <c r="C4501" s="17" t="s">
        <v>58</v>
      </c>
      <c r="D4501" s="17" t="s">
        <v>111</v>
      </c>
      <c r="E4501" s="17" t="s">
        <v>162</v>
      </c>
      <c r="F4501" s="17" t="s">
        <v>164</v>
      </c>
      <c r="G4501" s="17">
        <v>1</v>
      </c>
      <c r="H4501" s="17">
        <v>51778</v>
      </c>
      <c r="I4501" s="17">
        <v>51778</v>
      </c>
      <c r="J4501" s="17">
        <v>96</v>
      </c>
      <c r="K4501" s="17">
        <v>51682</v>
      </c>
      <c r="L4501" s="17">
        <v>7437.9944809999997</v>
      </c>
      <c r="M4501" s="17">
        <v>2025</v>
      </c>
      <c r="N4501" s="17" t="s">
        <v>174</v>
      </c>
    </row>
    <row r="4502" spans="1:14" ht="14.25" customHeight="1">
      <c r="A4502" s="17">
        <v>14501</v>
      </c>
      <c r="B4502" s="18">
        <v>45568</v>
      </c>
      <c r="C4502" s="17" t="s">
        <v>50</v>
      </c>
      <c r="D4502" s="17" t="s">
        <v>86</v>
      </c>
      <c r="E4502" s="17" t="s">
        <v>162</v>
      </c>
      <c r="F4502" s="17" t="s">
        <v>166</v>
      </c>
      <c r="G4502" s="17">
        <v>4</v>
      </c>
      <c r="H4502" s="17">
        <v>32677</v>
      </c>
      <c r="I4502" s="17">
        <v>130708</v>
      </c>
      <c r="J4502" s="17">
        <v>2426</v>
      </c>
      <c r="K4502" s="17">
        <v>128282</v>
      </c>
      <c r="L4502" s="17">
        <v>17004.222709999998</v>
      </c>
      <c r="M4502" s="17">
        <v>2024</v>
      </c>
      <c r="N4502" s="17" t="s">
        <v>174</v>
      </c>
    </row>
    <row r="4503" spans="1:14" ht="14.25" customHeight="1">
      <c r="A4503" s="17">
        <v>14502</v>
      </c>
      <c r="B4503" s="18">
        <v>45352</v>
      </c>
      <c r="C4503" s="17" t="s">
        <v>39</v>
      </c>
      <c r="D4503" s="17" t="s">
        <v>111</v>
      </c>
      <c r="E4503" s="17" t="s">
        <v>165</v>
      </c>
      <c r="F4503" s="17" t="s">
        <v>172</v>
      </c>
      <c r="G4503" s="17">
        <v>5</v>
      </c>
      <c r="H4503" s="17">
        <v>18272</v>
      </c>
      <c r="I4503" s="17">
        <v>91360</v>
      </c>
      <c r="J4503" s="17">
        <v>2717</v>
      </c>
      <c r="K4503" s="17">
        <v>88643</v>
      </c>
      <c r="L4503" s="17">
        <v>14170.92326</v>
      </c>
      <c r="M4503" s="17">
        <v>2024</v>
      </c>
      <c r="N4503" s="17" t="s">
        <v>112</v>
      </c>
    </row>
    <row r="4504" spans="1:14" ht="14.25" customHeight="1">
      <c r="A4504" s="17">
        <v>14503</v>
      </c>
      <c r="B4504" s="18">
        <v>45610</v>
      </c>
      <c r="C4504" s="17" t="s">
        <v>167</v>
      </c>
      <c r="D4504" s="17" t="s">
        <v>170</v>
      </c>
      <c r="E4504" s="17" t="s">
        <v>162</v>
      </c>
      <c r="F4504" s="17" t="s">
        <v>166</v>
      </c>
      <c r="G4504" s="17">
        <v>5</v>
      </c>
      <c r="H4504" s="17">
        <v>16828</v>
      </c>
      <c r="I4504" s="17">
        <v>84140</v>
      </c>
      <c r="J4504" s="17">
        <v>3257</v>
      </c>
      <c r="K4504" s="17">
        <v>80883</v>
      </c>
      <c r="L4504" s="17">
        <v>8400.1551980000004</v>
      </c>
      <c r="M4504" s="17">
        <v>2024</v>
      </c>
      <c r="N4504" s="17" t="s">
        <v>173</v>
      </c>
    </row>
    <row r="4505" spans="1:14" ht="14.25" customHeight="1">
      <c r="A4505" s="17">
        <v>14504</v>
      </c>
      <c r="B4505" s="18">
        <v>45343</v>
      </c>
      <c r="C4505" s="17" t="s">
        <v>50</v>
      </c>
      <c r="D4505" s="17" t="s">
        <v>83</v>
      </c>
      <c r="E4505" s="17" t="s">
        <v>162</v>
      </c>
      <c r="F4505" s="17" t="s">
        <v>172</v>
      </c>
      <c r="G4505" s="17">
        <v>1</v>
      </c>
      <c r="H4505" s="17">
        <v>49431</v>
      </c>
      <c r="I4505" s="17">
        <v>49431</v>
      </c>
      <c r="J4505" s="17">
        <v>4726</v>
      </c>
      <c r="K4505" s="17">
        <v>44705</v>
      </c>
      <c r="L4505" s="17">
        <v>7162.2622869999996</v>
      </c>
      <c r="M4505" s="17">
        <v>2024</v>
      </c>
      <c r="N4505" s="17" t="s">
        <v>175</v>
      </c>
    </row>
    <row r="4506" spans="1:14" ht="14.25" customHeight="1">
      <c r="A4506" s="17">
        <v>14505</v>
      </c>
      <c r="B4506" s="18">
        <v>45444</v>
      </c>
      <c r="C4506" s="17" t="s">
        <v>45</v>
      </c>
      <c r="D4506" s="17" t="s">
        <v>170</v>
      </c>
      <c r="E4506" s="17" t="s">
        <v>165</v>
      </c>
      <c r="F4506" s="17" t="s">
        <v>166</v>
      </c>
      <c r="G4506" s="17">
        <v>3</v>
      </c>
      <c r="H4506" s="17">
        <v>12856</v>
      </c>
      <c r="I4506" s="17">
        <v>38568</v>
      </c>
      <c r="J4506" s="17">
        <v>502</v>
      </c>
      <c r="K4506" s="17">
        <v>38066</v>
      </c>
      <c r="L4506" s="17">
        <v>5072.2714409999999</v>
      </c>
      <c r="M4506" s="17">
        <v>2024</v>
      </c>
      <c r="N4506" s="17" t="s">
        <v>120</v>
      </c>
    </row>
    <row r="4507" spans="1:14" ht="14.25" customHeight="1">
      <c r="A4507" s="17">
        <v>14506</v>
      </c>
      <c r="B4507" s="18">
        <v>45602</v>
      </c>
      <c r="C4507" s="17" t="s">
        <v>45</v>
      </c>
      <c r="D4507" s="17" t="s">
        <v>170</v>
      </c>
      <c r="E4507" s="17" t="s">
        <v>168</v>
      </c>
      <c r="F4507" s="17" t="s">
        <v>163</v>
      </c>
      <c r="G4507" s="17">
        <v>2</v>
      </c>
      <c r="H4507" s="17">
        <v>16223</v>
      </c>
      <c r="I4507" s="17">
        <v>32446</v>
      </c>
      <c r="J4507" s="17">
        <v>4383</v>
      </c>
      <c r="K4507" s="17">
        <v>28063</v>
      </c>
      <c r="L4507" s="17">
        <v>3919.0015429999999</v>
      </c>
      <c r="M4507" s="17">
        <v>2024</v>
      </c>
      <c r="N4507" s="17" t="s">
        <v>173</v>
      </c>
    </row>
    <row r="4508" spans="1:14" ht="14.25" customHeight="1">
      <c r="A4508" s="17">
        <v>14507</v>
      </c>
      <c r="B4508" s="18">
        <v>45835</v>
      </c>
      <c r="C4508" s="17" t="s">
        <v>45</v>
      </c>
      <c r="D4508" s="17" t="s">
        <v>89</v>
      </c>
      <c r="E4508" s="17" t="s">
        <v>162</v>
      </c>
      <c r="F4508" s="17" t="s">
        <v>163</v>
      </c>
      <c r="G4508" s="17">
        <v>7</v>
      </c>
      <c r="H4508" s="17">
        <v>44413</v>
      </c>
      <c r="I4508" s="17">
        <v>310891</v>
      </c>
      <c r="J4508" s="17">
        <v>4464</v>
      </c>
      <c r="K4508" s="17">
        <v>306427</v>
      </c>
      <c r="L4508" s="17">
        <v>34437.183380000002</v>
      </c>
      <c r="M4508" s="17">
        <v>2025</v>
      </c>
      <c r="N4508" s="17" t="s">
        <v>120</v>
      </c>
    </row>
    <row r="4509" spans="1:14" ht="14.25" customHeight="1">
      <c r="A4509" s="17">
        <v>14508</v>
      </c>
      <c r="B4509" s="18">
        <v>45858</v>
      </c>
      <c r="C4509" s="17" t="s">
        <v>50</v>
      </c>
      <c r="D4509" s="17" t="s">
        <v>86</v>
      </c>
      <c r="E4509" s="17" t="s">
        <v>165</v>
      </c>
      <c r="F4509" s="17" t="s">
        <v>166</v>
      </c>
      <c r="G4509" s="17">
        <v>5</v>
      </c>
      <c r="H4509" s="17">
        <v>61822</v>
      </c>
      <c r="I4509" s="17">
        <v>309110</v>
      </c>
      <c r="J4509" s="17">
        <v>64</v>
      </c>
      <c r="K4509" s="17">
        <v>309046</v>
      </c>
      <c r="L4509" s="17">
        <v>58205.647169999997</v>
      </c>
      <c r="M4509" s="17">
        <v>2025</v>
      </c>
      <c r="N4509" s="17" t="s">
        <v>123</v>
      </c>
    </row>
    <row r="4510" spans="1:14" ht="14.25" customHeight="1">
      <c r="A4510" s="17">
        <v>14509</v>
      </c>
      <c r="B4510" s="18">
        <v>45680</v>
      </c>
      <c r="C4510" s="17" t="s">
        <v>167</v>
      </c>
      <c r="D4510" s="17" t="s">
        <v>83</v>
      </c>
      <c r="E4510" s="17" t="s">
        <v>162</v>
      </c>
      <c r="F4510" s="17" t="s">
        <v>163</v>
      </c>
      <c r="G4510" s="17">
        <v>3</v>
      </c>
      <c r="H4510" s="17">
        <v>40689</v>
      </c>
      <c r="I4510" s="17">
        <v>122067</v>
      </c>
      <c r="J4510" s="17">
        <v>4257</v>
      </c>
      <c r="K4510" s="17">
        <v>117810</v>
      </c>
      <c r="L4510" s="17">
        <v>20122.111069999999</v>
      </c>
      <c r="M4510" s="17">
        <v>2025</v>
      </c>
      <c r="N4510" s="17" t="s">
        <v>171</v>
      </c>
    </row>
    <row r="4511" spans="1:14" ht="14.25" customHeight="1">
      <c r="A4511" s="17">
        <v>14510</v>
      </c>
      <c r="B4511" s="18">
        <v>45839</v>
      </c>
      <c r="C4511" s="17" t="s">
        <v>58</v>
      </c>
      <c r="D4511" s="17" t="s">
        <v>111</v>
      </c>
      <c r="E4511" s="17" t="s">
        <v>165</v>
      </c>
      <c r="F4511" s="17" t="s">
        <v>163</v>
      </c>
      <c r="G4511" s="17">
        <v>8</v>
      </c>
      <c r="H4511" s="17">
        <v>78702</v>
      </c>
      <c r="I4511" s="17">
        <v>629616</v>
      </c>
      <c r="J4511" s="17">
        <v>661</v>
      </c>
      <c r="K4511" s="17">
        <v>628955</v>
      </c>
      <c r="L4511" s="17">
        <v>133712.12640000001</v>
      </c>
      <c r="M4511" s="17">
        <v>2025</v>
      </c>
      <c r="N4511" s="17" t="s">
        <v>123</v>
      </c>
    </row>
    <row r="4512" spans="1:14" ht="14.25" customHeight="1">
      <c r="A4512" s="17">
        <v>14511</v>
      </c>
      <c r="B4512" s="18">
        <v>45913</v>
      </c>
      <c r="C4512" s="17" t="s">
        <v>39</v>
      </c>
      <c r="D4512" s="17" t="s">
        <v>89</v>
      </c>
      <c r="E4512" s="17" t="s">
        <v>168</v>
      </c>
      <c r="F4512" s="17" t="s">
        <v>163</v>
      </c>
      <c r="G4512" s="17">
        <v>1</v>
      </c>
      <c r="H4512" s="17">
        <v>61396</v>
      </c>
      <c r="I4512" s="17">
        <v>61396</v>
      </c>
      <c r="J4512" s="17">
        <v>3489</v>
      </c>
      <c r="K4512" s="17">
        <v>57907</v>
      </c>
      <c r="L4512" s="17">
        <v>14364.68801</v>
      </c>
      <c r="M4512" s="17">
        <v>2025</v>
      </c>
      <c r="N4512" s="17" t="s">
        <v>129</v>
      </c>
    </row>
    <row r="4513" spans="1:14" ht="14.25" customHeight="1">
      <c r="A4513" s="17">
        <v>14512</v>
      </c>
      <c r="B4513" s="18">
        <v>45468</v>
      </c>
      <c r="C4513" s="17" t="s">
        <v>58</v>
      </c>
      <c r="D4513" s="17" t="s">
        <v>86</v>
      </c>
      <c r="E4513" s="17" t="s">
        <v>162</v>
      </c>
      <c r="F4513" s="17" t="s">
        <v>163</v>
      </c>
      <c r="G4513" s="17">
        <v>1</v>
      </c>
      <c r="H4513" s="17">
        <v>17637</v>
      </c>
      <c r="I4513" s="17">
        <v>17637</v>
      </c>
      <c r="J4513" s="17">
        <v>480</v>
      </c>
      <c r="K4513" s="17">
        <v>17157</v>
      </c>
      <c r="L4513" s="17">
        <v>2023.326748</v>
      </c>
      <c r="M4513" s="17">
        <v>2024</v>
      </c>
      <c r="N4513" s="17" t="s">
        <v>120</v>
      </c>
    </row>
    <row r="4514" spans="1:14" ht="14.25" customHeight="1">
      <c r="A4514" s="17">
        <v>14513</v>
      </c>
      <c r="B4514" s="18">
        <v>45653</v>
      </c>
      <c r="C4514" s="17" t="s">
        <v>167</v>
      </c>
      <c r="D4514" s="17" t="s">
        <v>83</v>
      </c>
      <c r="E4514" s="17" t="s">
        <v>168</v>
      </c>
      <c r="F4514" s="17" t="s">
        <v>172</v>
      </c>
      <c r="G4514" s="17">
        <v>6</v>
      </c>
      <c r="H4514" s="17">
        <v>51534</v>
      </c>
      <c r="I4514" s="17">
        <v>309204</v>
      </c>
      <c r="J4514" s="17">
        <v>4662</v>
      </c>
      <c r="K4514" s="17">
        <v>304542</v>
      </c>
      <c r="L4514" s="17">
        <v>42898.932220000002</v>
      </c>
      <c r="M4514" s="17">
        <v>2024</v>
      </c>
      <c r="N4514" s="17" t="s">
        <v>169</v>
      </c>
    </row>
    <row r="4515" spans="1:14" ht="14.25" customHeight="1">
      <c r="A4515" s="17">
        <v>14514</v>
      </c>
      <c r="B4515" s="18">
        <v>45605</v>
      </c>
      <c r="C4515" s="17" t="s">
        <v>58</v>
      </c>
      <c r="D4515" s="17" t="s">
        <v>170</v>
      </c>
      <c r="E4515" s="17" t="s">
        <v>168</v>
      </c>
      <c r="F4515" s="17" t="s">
        <v>164</v>
      </c>
      <c r="G4515" s="17">
        <v>1</v>
      </c>
      <c r="H4515" s="17">
        <v>71414</v>
      </c>
      <c r="I4515" s="17">
        <v>71414</v>
      </c>
      <c r="J4515" s="17">
        <v>3261</v>
      </c>
      <c r="K4515" s="17">
        <v>68153</v>
      </c>
      <c r="L4515" s="17">
        <v>13791.994430000001</v>
      </c>
      <c r="M4515" s="17">
        <v>2024</v>
      </c>
      <c r="N4515" s="17" t="s">
        <v>173</v>
      </c>
    </row>
    <row r="4516" spans="1:14" ht="14.25" customHeight="1">
      <c r="A4516" s="17">
        <v>14515</v>
      </c>
      <c r="B4516" s="18">
        <v>45388</v>
      </c>
      <c r="C4516" s="17" t="s">
        <v>50</v>
      </c>
      <c r="D4516" s="17" t="s">
        <v>86</v>
      </c>
      <c r="E4516" s="17" t="s">
        <v>165</v>
      </c>
      <c r="F4516" s="17" t="s">
        <v>172</v>
      </c>
      <c r="G4516" s="17">
        <v>4</v>
      </c>
      <c r="H4516" s="17">
        <v>79038</v>
      </c>
      <c r="I4516" s="17">
        <v>316152</v>
      </c>
      <c r="J4516" s="17">
        <v>405</v>
      </c>
      <c r="K4516" s="17">
        <v>315747</v>
      </c>
      <c r="L4516" s="17">
        <v>42814.283239999997</v>
      </c>
      <c r="M4516" s="17">
        <v>2024</v>
      </c>
      <c r="N4516" s="17" t="s">
        <v>114</v>
      </c>
    </row>
    <row r="4517" spans="1:14" ht="14.25" customHeight="1">
      <c r="A4517" s="17">
        <v>14516</v>
      </c>
      <c r="B4517" s="18">
        <v>45504</v>
      </c>
      <c r="C4517" s="17" t="s">
        <v>45</v>
      </c>
      <c r="D4517" s="17" t="s">
        <v>86</v>
      </c>
      <c r="E4517" s="17" t="s">
        <v>162</v>
      </c>
      <c r="F4517" s="17" t="s">
        <v>164</v>
      </c>
      <c r="G4517" s="17">
        <v>6</v>
      </c>
      <c r="H4517" s="17">
        <v>20266</v>
      </c>
      <c r="I4517" s="17">
        <v>121596</v>
      </c>
      <c r="J4517" s="17">
        <v>4860</v>
      </c>
      <c r="K4517" s="17">
        <v>116736</v>
      </c>
      <c r="L4517" s="17">
        <v>12201.495059999999</v>
      </c>
      <c r="M4517" s="17">
        <v>2024</v>
      </c>
      <c r="N4517" s="17" t="s">
        <v>123</v>
      </c>
    </row>
    <row r="4518" spans="1:14" ht="14.25" customHeight="1">
      <c r="A4518" s="17">
        <v>14517</v>
      </c>
      <c r="B4518" s="18">
        <v>45428</v>
      </c>
      <c r="C4518" s="17" t="s">
        <v>167</v>
      </c>
      <c r="D4518" s="17" t="s">
        <v>86</v>
      </c>
      <c r="E4518" s="17" t="s">
        <v>162</v>
      </c>
      <c r="F4518" s="17" t="s">
        <v>164</v>
      </c>
      <c r="G4518" s="17">
        <v>1</v>
      </c>
      <c r="H4518" s="17">
        <v>53068</v>
      </c>
      <c r="I4518" s="17">
        <v>53068</v>
      </c>
      <c r="J4518" s="17">
        <v>3560</v>
      </c>
      <c r="K4518" s="17">
        <v>49508</v>
      </c>
      <c r="L4518" s="17">
        <v>5766.2459509999999</v>
      </c>
      <c r="M4518" s="17">
        <v>2024</v>
      </c>
      <c r="N4518" s="17" t="s">
        <v>117</v>
      </c>
    </row>
    <row r="4519" spans="1:14" ht="14.25" customHeight="1">
      <c r="A4519" s="17">
        <v>14518</v>
      </c>
      <c r="B4519" s="18">
        <v>45297</v>
      </c>
      <c r="C4519" s="17" t="s">
        <v>167</v>
      </c>
      <c r="D4519" s="17" t="s">
        <v>170</v>
      </c>
      <c r="E4519" s="17" t="s">
        <v>162</v>
      </c>
      <c r="F4519" s="17" t="s">
        <v>166</v>
      </c>
      <c r="G4519" s="17">
        <v>9</v>
      </c>
      <c r="H4519" s="17">
        <v>49356</v>
      </c>
      <c r="I4519" s="17">
        <v>444204</v>
      </c>
      <c r="J4519" s="17">
        <v>3383</v>
      </c>
      <c r="K4519" s="17">
        <v>440821</v>
      </c>
      <c r="L4519" s="17">
        <v>72754.878370000006</v>
      </c>
      <c r="M4519" s="17">
        <v>2024</v>
      </c>
      <c r="N4519" s="17" t="s">
        <v>171</v>
      </c>
    </row>
    <row r="4520" spans="1:14" ht="14.25" customHeight="1">
      <c r="A4520" s="17">
        <v>14519</v>
      </c>
      <c r="B4520" s="18">
        <v>45400</v>
      </c>
      <c r="C4520" s="17" t="s">
        <v>58</v>
      </c>
      <c r="D4520" s="17" t="s">
        <v>111</v>
      </c>
      <c r="E4520" s="17" t="s">
        <v>162</v>
      </c>
      <c r="F4520" s="17" t="s">
        <v>166</v>
      </c>
      <c r="G4520" s="17">
        <v>4</v>
      </c>
      <c r="H4520" s="17">
        <v>20046</v>
      </c>
      <c r="I4520" s="17">
        <v>80184</v>
      </c>
      <c r="J4520" s="17">
        <v>3667</v>
      </c>
      <c r="K4520" s="17">
        <v>76517</v>
      </c>
      <c r="L4520" s="17">
        <v>12596.052379999999</v>
      </c>
      <c r="M4520" s="17">
        <v>2024</v>
      </c>
      <c r="N4520" s="17" t="s">
        <v>114</v>
      </c>
    </row>
    <row r="4521" spans="1:14" ht="14.25" customHeight="1">
      <c r="A4521" s="17">
        <v>14520</v>
      </c>
      <c r="B4521" s="18">
        <v>45838</v>
      </c>
      <c r="C4521" s="17" t="s">
        <v>50</v>
      </c>
      <c r="D4521" s="17" t="s">
        <v>89</v>
      </c>
      <c r="E4521" s="17" t="s">
        <v>162</v>
      </c>
      <c r="F4521" s="17" t="s">
        <v>166</v>
      </c>
      <c r="G4521" s="17">
        <v>9</v>
      </c>
      <c r="H4521" s="17">
        <v>30270</v>
      </c>
      <c r="I4521" s="17">
        <v>272430</v>
      </c>
      <c r="J4521" s="17">
        <v>4961</v>
      </c>
      <c r="K4521" s="17">
        <v>267469</v>
      </c>
      <c r="L4521" s="17">
        <v>65756.104489999998</v>
      </c>
      <c r="M4521" s="17">
        <v>2025</v>
      </c>
      <c r="N4521" s="17" t="s">
        <v>120</v>
      </c>
    </row>
    <row r="4522" spans="1:14" ht="14.25" customHeight="1">
      <c r="A4522" s="17">
        <v>14521</v>
      </c>
      <c r="B4522" s="18">
        <v>45330</v>
      </c>
      <c r="C4522" s="17" t="s">
        <v>58</v>
      </c>
      <c r="D4522" s="17" t="s">
        <v>111</v>
      </c>
      <c r="E4522" s="17" t="s">
        <v>165</v>
      </c>
      <c r="F4522" s="17" t="s">
        <v>166</v>
      </c>
      <c r="G4522" s="17">
        <v>9</v>
      </c>
      <c r="H4522" s="17">
        <v>42988</v>
      </c>
      <c r="I4522" s="17">
        <v>386892</v>
      </c>
      <c r="J4522" s="17">
        <v>1117</v>
      </c>
      <c r="K4522" s="17">
        <v>385775</v>
      </c>
      <c r="L4522" s="17">
        <v>65540.281149999995</v>
      </c>
      <c r="M4522" s="17">
        <v>2024</v>
      </c>
      <c r="N4522" s="17" t="s">
        <v>175</v>
      </c>
    </row>
    <row r="4523" spans="1:14" ht="14.25" customHeight="1">
      <c r="A4523" s="17">
        <v>14522</v>
      </c>
      <c r="B4523" s="18">
        <v>45953</v>
      </c>
      <c r="C4523" s="17" t="s">
        <v>58</v>
      </c>
      <c r="D4523" s="17" t="s">
        <v>83</v>
      </c>
      <c r="E4523" s="17" t="s">
        <v>162</v>
      </c>
      <c r="F4523" s="17" t="s">
        <v>166</v>
      </c>
      <c r="G4523" s="17">
        <v>6</v>
      </c>
      <c r="H4523" s="17">
        <v>57179</v>
      </c>
      <c r="I4523" s="17">
        <v>343074</v>
      </c>
      <c r="J4523" s="17">
        <v>2437</v>
      </c>
      <c r="K4523" s="17">
        <v>340637</v>
      </c>
      <c r="L4523" s="17">
        <v>68709.942450000002</v>
      </c>
      <c r="M4523" s="17">
        <v>2025</v>
      </c>
      <c r="N4523" s="17" t="s">
        <v>174</v>
      </c>
    </row>
    <row r="4524" spans="1:14" ht="14.25" customHeight="1">
      <c r="A4524" s="17">
        <v>14523</v>
      </c>
      <c r="B4524" s="18">
        <v>45716</v>
      </c>
      <c r="C4524" s="17" t="s">
        <v>167</v>
      </c>
      <c r="D4524" s="17" t="s">
        <v>89</v>
      </c>
      <c r="E4524" s="17" t="s">
        <v>168</v>
      </c>
      <c r="F4524" s="17" t="s">
        <v>172</v>
      </c>
      <c r="G4524" s="17">
        <v>7</v>
      </c>
      <c r="H4524" s="17">
        <v>40892</v>
      </c>
      <c r="I4524" s="17">
        <v>286244</v>
      </c>
      <c r="J4524" s="17">
        <v>3482</v>
      </c>
      <c r="K4524" s="17">
        <v>282762</v>
      </c>
      <c r="L4524" s="17">
        <v>49152.560949999999</v>
      </c>
      <c r="M4524" s="17">
        <v>2025</v>
      </c>
      <c r="N4524" s="17" t="s">
        <v>175</v>
      </c>
    </row>
    <row r="4525" spans="1:14" ht="14.25" customHeight="1">
      <c r="A4525" s="17">
        <v>14524</v>
      </c>
      <c r="B4525" s="18">
        <v>45921</v>
      </c>
      <c r="C4525" s="17" t="s">
        <v>58</v>
      </c>
      <c r="D4525" s="17" t="s">
        <v>83</v>
      </c>
      <c r="E4525" s="17" t="s">
        <v>168</v>
      </c>
      <c r="F4525" s="17" t="s">
        <v>172</v>
      </c>
      <c r="G4525" s="17">
        <v>1</v>
      </c>
      <c r="H4525" s="17">
        <v>34512</v>
      </c>
      <c r="I4525" s="17">
        <v>34512</v>
      </c>
      <c r="J4525" s="17">
        <v>3709</v>
      </c>
      <c r="K4525" s="17">
        <v>30803</v>
      </c>
      <c r="L4525" s="17">
        <v>4327.4449279999999</v>
      </c>
      <c r="M4525" s="17">
        <v>2025</v>
      </c>
      <c r="N4525" s="17" t="s">
        <v>129</v>
      </c>
    </row>
    <row r="4526" spans="1:14" ht="14.25" customHeight="1">
      <c r="A4526" s="17">
        <v>14525</v>
      </c>
      <c r="B4526" s="18">
        <v>45552</v>
      </c>
      <c r="C4526" s="17" t="s">
        <v>45</v>
      </c>
      <c r="D4526" s="17" t="s">
        <v>170</v>
      </c>
      <c r="E4526" s="17" t="s">
        <v>162</v>
      </c>
      <c r="F4526" s="17" t="s">
        <v>163</v>
      </c>
      <c r="G4526" s="17">
        <v>5</v>
      </c>
      <c r="H4526" s="17">
        <v>64165</v>
      </c>
      <c r="I4526" s="17">
        <v>320825</v>
      </c>
      <c r="J4526" s="17">
        <v>3440</v>
      </c>
      <c r="K4526" s="17">
        <v>317385</v>
      </c>
      <c r="L4526" s="17">
        <v>36758.787949999998</v>
      </c>
      <c r="M4526" s="17">
        <v>2024</v>
      </c>
      <c r="N4526" s="17" t="s">
        <v>129</v>
      </c>
    </row>
    <row r="4527" spans="1:14" ht="14.25" customHeight="1">
      <c r="A4527" s="17">
        <v>14526</v>
      </c>
      <c r="B4527" s="18">
        <v>45717</v>
      </c>
      <c r="C4527" s="17" t="s">
        <v>58</v>
      </c>
      <c r="D4527" s="17" t="s">
        <v>111</v>
      </c>
      <c r="E4527" s="17" t="s">
        <v>165</v>
      </c>
      <c r="F4527" s="17" t="s">
        <v>172</v>
      </c>
      <c r="G4527" s="17">
        <v>3</v>
      </c>
      <c r="H4527" s="17">
        <v>10099</v>
      </c>
      <c r="I4527" s="17">
        <v>30297</v>
      </c>
      <c r="J4527" s="17">
        <v>741</v>
      </c>
      <c r="K4527" s="17">
        <v>29556</v>
      </c>
      <c r="L4527" s="17">
        <v>6764.2187430000004</v>
      </c>
      <c r="M4527" s="17">
        <v>2025</v>
      </c>
      <c r="N4527" s="17" t="s">
        <v>112</v>
      </c>
    </row>
    <row r="4528" spans="1:14" ht="14.25" customHeight="1">
      <c r="A4528" s="17">
        <v>14527</v>
      </c>
      <c r="B4528" s="18">
        <v>45378</v>
      </c>
      <c r="C4528" s="17" t="s">
        <v>45</v>
      </c>
      <c r="D4528" s="17" t="s">
        <v>86</v>
      </c>
      <c r="E4528" s="17" t="s">
        <v>165</v>
      </c>
      <c r="F4528" s="17" t="s">
        <v>172</v>
      </c>
      <c r="G4528" s="17">
        <v>6</v>
      </c>
      <c r="H4528" s="17">
        <v>58487</v>
      </c>
      <c r="I4528" s="17">
        <v>350922</v>
      </c>
      <c r="J4528" s="17">
        <v>3239</v>
      </c>
      <c r="K4528" s="17">
        <v>347683</v>
      </c>
      <c r="L4528" s="17">
        <v>42730.033539999997</v>
      </c>
      <c r="M4528" s="17">
        <v>2024</v>
      </c>
      <c r="N4528" s="17" t="s">
        <v>112</v>
      </c>
    </row>
    <row r="4529" spans="1:14" ht="14.25" customHeight="1">
      <c r="A4529" s="17">
        <v>14528</v>
      </c>
      <c r="B4529" s="18">
        <v>45756</v>
      </c>
      <c r="C4529" s="17" t="s">
        <v>167</v>
      </c>
      <c r="D4529" s="17" t="s">
        <v>89</v>
      </c>
      <c r="E4529" s="17" t="s">
        <v>162</v>
      </c>
      <c r="F4529" s="17" t="s">
        <v>166</v>
      </c>
      <c r="G4529" s="17">
        <v>4</v>
      </c>
      <c r="H4529" s="17">
        <v>79088</v>
      </c>
      <c r="I4529" s="17">
        <v>316352</v>
      </c>
      <c r="J4529" s="17">
        <v>2921</v>
      </c>
      <c r="K4529" s="17">
        <v>313431</v>
      </c>
      <c r="L4529" s="17">
        <v>35898.519439999996</v>
      </c>
      <c r="M4529" s="17">
        <v>2025</v>
      </c>
      <c r="N4529" s="17" t="s">
        <v>114</v>
      </c>
    </row>
    <row r="4530" spans="1:14" ht="14.25" customHeight="1">
      <c r="A4530" s="17">
        <v>14529</v>
      </c>
      <c r="B4530" s="18">
        <v>45367</v>
      </c>
      <c r="C4530" s="17" t="s">
        <v>50</v>
      </c>
      <c r="D4530" s="17" t="s">
        <v>86</v>
      </c>
      <c r="E4530" s="17" t="s">
        <v>168</v>
      </c>
      <c r="F4530" s="17" t="s">
        <v>163</v>
      </c>
      <c r="G4530" s="17">
        <v>9</v>
      </c>
      <c r="H4530" s="17">
        <v>55003</v>
      </c>
      <c r="I4530" s="17">
        <v>495027</v>
      </c>
      <c r="J4530" s="17">
        <v>1831</v>
      </c>
      <c r="K4530" s="17">
        <v>493196</v>
      </c>
      <c r="L4530" s="17">
        <v>65138.512349999997</v>
      </c>
      <c r="M4530" s="17">
        <v>2024</v>
      </c>
      <c r="N4530" s="17" t="s">
        <v>112</v>
      </c>
    </row>
    <row r="4531" spans="1:14" ht="14.25" customHeight="1">
      <c r="A4531" s="17">
        <v>14530</v>
      </c>
      <c r="B4531" s="18">
        <v>45762</v>
      </c>
      <c r="C4531" s="17" t="s">
        <v>45</v>
      </c>
      <c r="D4531" s="17" t="s">
        <v>83</v>
      </c>
      <c r="E4531" s="17" t="s">
        <v>162</v>
      </c>
      <c r="F4531" s="17" t="s">
        <v>172</v>
      </c>
      <c r="G4531" s="17">
        <v>7</v>
      </c>
      <c r="H4531" s="17">
        <v>71886</v>
      </c>
      <c r="I4531" s="17">
        <v>503202</v>
      </c>
      <c r="J4531" s="17">
        <v>4138</v>
      </c>
      <c r="K4531" s="17">
        <v>499064</v>
      </c>
      <c r="L4531" s="17">
        <v>50092.698539999998</v>
      </c>
      <c r="M4531" s="17">
        <v>2025</v>
      </c>
      <c r="N4531" s="17" t="s">
        <v>114</v>
      </c>
    </row>
    <row r="4532" spans="1:14" ht="14.25" customHeight="1">
      <c r="A4532" s="17">
        <v>14531</v>
      </c>
      <c r="B4532" s="18">
        <v>45705</v>
      </c>
      <c r="C4532" s="17" t="s">
        <v>50</v>
      </c>
      <c r="D4532" s="17" t="s">
        <v>86</v>
      </c>
      <c r="E4532" s="17" t="s">
        <v>162</v>
      </c>
      <c r="F4532" s="17" t="s">
        <v>172</v>
      </c>
      <c r="G4532" s="17">
        <v>4</v>
      </c>
      <c r="H4532" s="17">
        <v>16739</v>
      </c>
      <c r="I4532" s="17">
        <v>66956</v>
      </c>
      <c r="J4532" s="17">
        <v>910</v>
      </c>
      <c r="K4532" s="17">
        <v>66046</v>
      </c>
      <c r="L4532" s="17">
        <v>7317.5515429999996</v>
      </c>
      <c r="M4532" s="17">
        <v>2025</v>
      </c>
      <c r="N4532" s="17" t="s">
        <v>175</v>
      </c>
    </row>
    <row r="4533" spans="1:14" ht="14.25" customHeight="1">
      <c r="A4533" s="17">
        <v>14532</v>
      </c>
      <c r="B4533" s="18">
        <v>46017</v>
      </c>
      <c r="C4533" s="17" t="s">
        <v>50</v>
      </c>
      <c r="D4533" s="17" t="s">
        <v>86</v>
      </c>
      <c r="E4533" s="17" t="s">
        <v>162</v>
      </c>
      <c r="F4533" s="17" t="s">
        <v>163</v>
      </c>
      <c r="G4533" s="17">
        <v>6</v>
      </c>
      <c r="H4533" s="17">
        <v>17384</v>
      </c>
      <c r="I4533" s="17">
        <v>104304</v>
      </c>
      <c r="J4533" s="17">
        <v>4012</v>
      </c>
      <c r="K4533" s="17">
        <v>100292</v>
      </c>
      <c r="L4533" s="17">
        <v>19584.973139999998</v>
      </c>
      <c r="M4533" s="17">
        <v>2025</v>
      </c>
      <c r="N4533" s="17" t="s">
        <v>169</v>
      </c>
    </row>
    <row r="4534" spans="1:14" ht="14.25" customHeight="1">
      <c r="A4534" s="17">
        <v>14533</v>
      </c>
      <c r="B4534" s="18">
        <v>45748</v>
      </c>
      <c r="C4534" s="17" t="s">
        <v>45</v>
      </c>
      <c r="D4534" s="17" t="s">
        <v>170</v>
      </c>
      <c r="E4534" s="17" t="s">
        <v>165</v>
      </c>
      <c r="F4534" s="17" t="s">
        <v>164</v>
      </c>
      <c r="G4534" s="17">
        <v>2</v>
      </c>
      <c r="H4534" s="17">
        <v>38094</v>
      </c>
      <c r="I4534" s="17">
        <v>76188</v>
      </c>
      <c r="J4534" s="17">
        <v>4702</v>
      </c>
      <c r="K4534" s="17">
        <v>71486</v>
      </c>
      <c r="L4534" s="17">
        <v>9760.1366340000004</v>
      </c>
      <c r="M4534" s="17">
        <v>2025</v>
      </c>
      <c r="N4534" s="17" t="s">
        <v>114</v>
      </c>
    </row>
    <row r="4535" spans="1:14" ht="14.25" customHeight="1">
      <c r="A4535" s="17">
        <v>14534</v>
      </c>
      <c r="B4535" s="18">
        <v>45576</v>
      </c>
      <c r="C4535" s="17" t="s">
        <v>167</v>
      </c>
      <c r="D4535" s="17" t="s">
        <v>170</v>
      </c>
      <c r="E4535" s="17" t="s">
        <v>165</v>
      </c>
      <c r="F4535" s="17" t="s">
        <v>166</v>
      </c>
      <c r="G4535" s="17">
        <v>3</v>
      </c>
      <c r="H4535" s="17">
        <v>7120</v>
      </c>
      <c r="I4535" s="17">
        <v>21360</v>
      </c>
      <c r="J4535" s="17">
        <v>1418</v>
      </c>
      <c r="K4535" s="17">
        <v>19942</v>
      </c>
      <c r="L4535" s="17">
        <v>3006.791232</v>
      </c>
      <c r="M4535" s="17">
        <v>2024</v>
      </c>
      <c r="N4535" s="17" t="s">
        <v>174</v>
      </c>
    </row>
    <row r="4536" spans="1:14" ht="14.25" customHeight="1">
      <c r="A4536" s="17">
        <v>14535</v>
      </c>
      <c r="B4536" s="18">
        <v>45530</v>
      </c>
      <c r="C4536" s="17" t="s">
        <v>39</v>
      </c>
      <c r="D4536" s="17" t="s">
        <v>111</v>
      </c>
      <c r="E4536" s="17" t="s">
        <v>168</v>
      </c>
      <c r="F4536" s="17" t="s">
        <v>172</v>
      </c>
      <c r="G4536" s="17">
        <v>7</v>
      </c>
      <c r="H4536" s="17">
        <v>5993</v>
      </c>
      <c r="I4536" s="17">
        <v>41951</v>
      </c>
      <c r="J4536" s="17">
        <v>4814</v>
      </c>
      <c r="K4536" s="17">
        <v>37137</v>
      </c>
      <c r="L4536" s="17">
        <v>8366.7790490000007</v>
      </c>
      <c r="M4536" s="17">
        <v>2024</v>
      </c>
      <c r="N4536" s="17" t="s">
        <v>126</v>
      </c>
    </row>
    <row r="4537" spans="1:14" ht="14.25" customHeight="1">
      <c r="A4537" s="17">
        <v>14536</v>
      </c>
      <c r="B4537" s="18">
        <v>45968</v>
      </c>
      <c r="C4537" s="17" t="s">
        <v>50</v>
      </c>
      <c r="D4537" s="17" t="s">
        <v>83</v>
      </c>
      <c r="E4537" s="17" t="s">
        <v>168</v>
      </c>
      <c r="F4537" s="17" t="s">
        <v>172</v>
      </c>
      <c r="G4537" s="17">
        <v>4</v>
      </c>
      <c r="H4537" s="17">
        <v>23150</v>
      </c>
      <c r="I4537" s="17">
        <v>92600</v>
      </c>
      <c r="J4537" s="17">
        <v>4309</v>
      </c>
      <c r="K4537" s="17">
        <v>88291</v>
      </c>
      <c r="L4537" s="17">
        <v>19065.111560000001</v>
      </c>
      <c r="M4537" s="17">
        <v>2025</v>
      </c>
      <c r="N4537" s="17" t="s">
        <v>173</v>
      </c>
    </row>
    <row r="4538" spans="1:14" ht="14.25" customHeight="1">
      <c r="A4538" s="17">
        <v>14537</v>
      </c>
      <c r="B4538" s="18">
        <v>45890</v>
      </c>
      <c r="C4538" s="17" t="s">
        <v>50</v>
      </c>
      <c r="D4538" s="17" t="s">
        <v>170</v>
      </c>
      <c r="E4538" s="17" t="s">
        <v>162</v>
      </c>
      <c r="F4538" s="17" t="s">
        <v>163</v>
      </c>
      <c r="G4538" s="17">
        <v>7</v>
      </c>
      <c r="H4538" s="17">
        <v>69681</v>
      </c>
      <c r="I4538" s="17">
        <v>487767</v>
      </c>
      <c r="J4538" s="17">
        <v>4038</v>
      </c>
      <c r="K4538" s="17">
        <v>483729</v>
      </c>
      <c r="L4538" s="17">
        <v>84090.102249999996</v>
      </c>
      <c r="M4538" s="17">
        <v>2025</v>
      </c>
      <c r="N4538" s="17" t="s">
        <v>126</v>
      </c>
    </row>
    <row r="4539" spans="1:14" ht="14.25" customHeight="1">
      <c r="A4539" s="17">
        <v>14538</v>
      </c>
      <c r="B4539" s="18">
        <v>45944</v>
      </c>
      <c r="C4539" s="17" t="s">
        <v>167</v>
      </c>
      <c r="D4539" s="17" t="s">
        <v>170</v>
      </c>
      <c r="E4539" s="17" t="s">
        <v>168</v>
      </c>
      <c r="F4539" s="17" t="s">
        <v>172</v>
      </c>
      <c r="G4539" s="17">
        <v>9</v>
      </c>
      <c r="H4539" s="17">
        <v>50388</v>
      </c>
      <c r="I4539" s="17">
        <v>453492</v>
      </c>
      <c r="J4539" s="17">
        <v>3639</v>
      </c>
      <c r="K4539" s="17">
        <v>449853</v>
      </c>
      <c r="L4539" s="17">
        <v>86347.708299999998</v>
      </c>
      <c r="M4539" s="17">
        <v>2025</v>
      </c>
      <c r="N4539" s="17" t="s">
        <v>174</v>
      </c>
    </row>
    <row r="4540" spans="1:14" ht="14.25" customHeight="1">
      <c r="A4540" s="17">
        <v>14539</v>
      </c>
      <c r="B4540" s="18">
        <v>45963</v>
      </c>
      <c r="C4540" s="17" t="s">
        <v>167</v>
      </c>
      <c r="D4540" s="17" t="s">
        <v>111</v>
      </c>
      <c r="E4540" s="17" t="s">
        <v>162</v>
      </c>
      <c r="F4540" s="17" t="s">
        <v>166</v>
      </c>
      <c r="G4540" s="17">
        <v>5</v>
      </c>
      <c r="H4540" s="17">
        <v>56116</v>
      </c>
      <c r="I4540" s="17">
        <v>280580</v>
      </c>
      <c r="J4540" s="17">
        <v>3445</v>
      </c>
      <c r="K4540" s="17">
        <v>277135</v>
      </c>
      <c r="L4540" s="17">
        <v>31280.6963</v>
      </c>
      <c r="M4540" s="17">
        <v>2025</v>
      </c>
      <c r="N4540" s="17" t="s">
        <v>173</v>
      </c>
    </row>
    <row r="4541" spans="1:14" ht="14.25" customHeight="1">
      <c r="A4541" s="17">
        <v>14540</v>
      </c>
      <c r="B4541" s="18">
        <v>45849</v>
      </c>
      <c r="C4541" s="17" t="s">
        <v>58</v>
      </c>
      <c r="D4541" s="17" t="s">
        <v>89</v>
      </c>
      <c r="E4541" s="17" t="s">
        <v>168</v>
      </c>
      <c r="F4541" s="17" t="s">
        <v>172</v>
      </c>
      <c r="G4541" s="17">
        <v>1</v>
      </c>
      <c r="H4541" s="17">
        <v>60753</v>
      </c>
      <c r="I4541" s="17">
        <v>60753</v>
      </c>
      <c r="J4541" s="17">
        <v>131</v>
      </c>
      <c r="K4541" s="17">
        <v>60622</v>
      </c>
      <c r="L4541" s="17">
        <v>12987.6091</v>
      </c>
      <c r="M4541" s="17">
        <v>2025</v>
      </c>
      <c r="N4541" s="17" t="s">
        <v>123</v>
      </c>
    </row>
    <row r="4542" spans="1:14" ht="14.25" customHeight="1">
      <c r="A4542" s="17">
        <v>14541</v>
      </c>
      <c r="B4542" s="18">
        <v>45663</v>
      </c>
      <c r="C4542" s="17" t="s">
        <v>167</v>
      </c>
      <c r="D4542" s="17" t="s">
        <v>111</v>
      </c>
      <c r="E4542" s="17" t="s">
        <v>162</v>
      </c>
      <c r="F4542" s="17" t="s">
        <v>164</v>
      </c>
      <c r="G4542" s="17">
        <v>5</v>
      </c>
      <c r="H4542" s="17">
        <v>44787</v>
      </c>
      <c r="I4542" s="17">
        <v>223935</v>
      </c>
      <c r="J4542" s="17">
        <v>2056</v>
      </c>
      <c r="K4542" s="17">
        <v>221879</v>
      </c>
      <c r="L4542" s="17">
        <v>39367.706969999999</v>
      </c>
      <c r="M4542" s="17">
        <v>2025</v>
      </c>
      <c r="N4542" s="17" t="s">
        <v>171</v>
      </c>
    </row>
    <row r="4543" spans="1:14" ht="14.25" customHeight="1">
      <c r="A4543" s="17">
        <v>14542</v>
      </c>
      <c r="B4543" s="18">
        <v>45786</v>
      </c>
      <c r="C4543" s="17" t="s">
        <v>50</v>
      </c>
      <c r="D4543" s="17" t="s">
        <v>86</v>
      </c>
      <c r="E4543" s="17" t="s">
        <v>165</v>
      </c>
      <c r="F4543" s="17" t="s">
        <v>166</v>
      </c>
      <c r="G4543" s="17">
        <v>6</v>
      </c>
      <c r="H4543" s="17">
        <v>40673</v>
      </c>
      <c r="I4543" s="17">
        <v>244038</v>
      </c>
      <c r="J4543" s="17">
        <v>152</v>
      </c>
      <c r="K4543" s="17">
        <v>243886</v>
      </c>
      <c r="L4543" s="17">
        <v>45275.573900000003</v>
      </c>
      <c r="M4543" s="17">
        <v>2025</v>
      </c>
      <c r="N4543" s="17" t="s">
        <v>117</v>
      </c>
    </row>
    <row r="4544" spans="1:14" ht="14.25" customHeight="1">
      <c r="A4544" s="17">
        <v>14543</v>
      </c>
      <c r="B4544" s="18">
        <v>45915</v>
      </c>
      <c r="C4544" s="17" t="s">
        <v>45</v>
      </c>
      <c r="D4544" s="17" t="s">
        <v>86</v>
      </c>
      <c r="E4544" s="17" t="s">
        <v>162</v>
      </c>
      <c r="F4544" s="17" t="s">
        <v>164</v>
      </c>
      <c r="G4544" s="17">
        <v>2</v>
      </c>
      <c r="H4544" s="17">
        <v>13290</v>
      </c>
      <c r="I4544" s="17">
        <v>26580</v>
      </c>
      <c r="J4544" s="17">
        <v>2478</v>
      </c>
      <c r="K4544" s="17">
        <v>24102</v>
      </c>
      <c r="L4544" s="17">
        <v>4816.279638</v>
      </c>
      <c r="M4544" s="17">
        <v>2025</v>
      </c>
      <c r="N4544" s="17" t="s">
        <v>129</v>
      </c>
    </row>
    <row r="4545" spans="1:14" ht="14.25" customHeight="1">
      <c r="A4545" s="17">
        <v>14544</v>
      </c>
      <c r="B4545" s="18">
        <v>45336</v>
      </c>
      <c r="C4545" s="17" t="s">
        <v>39</v>
      </c>
      <c r="D4545" s="17" t="s">
        <v>170</v>
      </c>
      <c r="E4545" s="17" t="s">
        <v>165</v>
      </c>
      <c r="F4545" s="17" t="s">
        <v>163</v>
      </c>
      <c r="G4545" s="17">
        <v>8</v>
      </c>
      <c r="H4545" s="17">
        <v>65123</v>
      </c>
      <c r="I4545" s="17">
        <v>520984</v>
      </c>
      <c r="J4545" s="17">
        <v>482</v>
      </c>
      <c r="K4545" s="17">
        <v>520502</v>
      </c>
      <c r="L4545" s="17">
        <v>91101.536529999998</v>
      </c>
      <c r="M4545" s="17">
        <v>2024</v>
      </c>
      <c r="N4545" s="17" t="s">
        <v>175</v>
      </c>
    </row>
    <row r="4546" spans="1:14" ht="14.25" customHeight="1">
      <c r="A4546" s="17">
        <v>14545</v>
      </c>
      <c r="B4546" s="18">
        <v>45692</v>
      </c>
      <c r="C4546" s="17" t="s">
        <v>58</v>
      </c>
      <c r="D4546" s="17" t="s">
        <v>170</v>
      </c>
      <c r="E4546" s="17" t="s">
        <v>165</v>
      </c>
      <c r="F4546" s="17" t="s">
        <v>166</v>
      </c>
      <c r="G4546" s="17">
        <v>2</v>
      </c>
      <c r="H4546" s="17">
        <v>21627</v>
      </c>
      <c r="I4546" s="17">
        <v>43254</v>
      </c>
      <c r="J4546" s="17">
        <v>304</v>
      </c>
      <c r="K4546" s="17">
        <v>42950</v>
      </c>
      <c r="L4546" s="17">
        <v>7656.0047699999996</v>
      </c>
      <c r="M4546" s="17">
        <v>2025</v>
      </c>
      <c r="N4546" s="17" t="s">
        <v>175</v>
      </c>
    </row>
    <row r="4547" spans="1:14" ht="14.25" customHeight="1">
      <c r="A4547" s="17">
        <v>14546</v>
      </c>
      <c r="B4547" s="18">
        <v>45538</v>
      </c>
      <c r="C4547" s="17" t="s">
        <v>45</v>
      </c>
      <c r="D4547" s="17" t="s">
        <v>111</v>
      </c>
      <c r="E4547" s="17" t="s">
        <v>168</v>
      </c>
      <c r="F4547" s="17" t="s">
        <v>172</v>
      </c>
      <c r="G4547" s="17">
        <v>9</v>
      </c>
      <c r="H4547" s="17">
        <v>78474</v>
      </c>
      <c r="I4547" s="17">
        <v>706266</v>
      </c>
      <c r="J4547" s="17">
        <v>2519</v>
      </c>
      <c r="K4547" s="17">
        <v>703747</v>
      </c>
      <c r="L4547" s="17">
        <v>123117.2568</v>
      </c>
      <c r="M4547" s="17">
        <v>2024</v>
      </c>
      <c r="N4547" s="17" t="s">
        <v>129</v>
      </c>
    </row>
    <row r="4548" spans="1:14" ht="14.25" customHeight="1">
      <c r="A4548" s="17">
        <v>14547</v>
      </c>
      <c r="B4548" s="18">
        <v>45907</v>
      </c>
      <c r="C4548" s="17" t="s">
        <v>39</v>
      </c>
      <c r="D4548" s="17" t="s">
        <v>111</v>
      </c>
      <c r="E4548" s="17" t="s">
        <v>168</v>
      </c>
      <c r="F4548" s="17" t="s">
        <v>166</v>
      </c>
      <c r="G4548" s="17">
        <v>2</v>
      </c>
      <c r="H4548" s="17">
        <v>63844</v>
      </c>
      <c r="I4548" s="17">
        <v>127688</v>
      </c>
      <c r="J4548" s="17">
        <v>992</v>
      </c>
      <c r="K4548" s="17">
        <v>126696</v>
      </c>
      <c r="L4548" s="17">
        <v>22111.318080000001</v>
      </c>
      <c r="M4548" s="17">
        <v>2025</v>
      </c>
      <c r="N4548" s="17" t="s">
        <v>129</v>
      </c>
    </row>
    <row r="4549" spans="1:14" ht="14.25" customHeight="1">
      <c r="A4549" s="17">
        <v>14548</v>
      </c>
      <c r="B4549" s="18">
        <v>45888</v>
      </c>
      <c r="C4549" s="17" t="s">
        <v>39</v>
      </c>
      <c r="D4549" s="17" t="s">
        <v>83</v>
      </c>
      <c r="E4549" s="17" t="s">
        <v>165</v>
      </c>
      <c r="F4549" s="17" t="s">
        <v>166</v>
      </c>
      <c r="G4549" s="17">
        <v>3</v>
      </c>
      <c r="H4549" s="17">
        <v>67904</v>
      </c>
      <c r="I4549" s="17">
        <v>203712</v>
      </c>
      <c r="J4549" s="17">
        <v>2237</v>
      </c>
      <c r="K4549" s="17">
        <v>201475</v>
      </c>
      <c r="L4549" s="17">
        <v>42819.641940000001</v>
      </c>
      <c r="M4549" s="17">
        <v>2025</v>
      </c>
      <c r="N4549" s="17" t="s">
        <v>126</v>
      </c>
    </row>
    <row r="4550" spans="1:14" ht="14.25" customHeight="1">
      <c r="A4550" s="17">
        <v>14549</v>
      </c>
      <c r="B4550" s="18">
        <v>45741</v>
      </c>
      <c r="C4550" s="17" t="s">
        <v>39</v>
      </c>
      <c r="D4550" s="17" t="s">
        <v>86</v>
      </c>
      <c r="E4550" s="17" t="s">
        <v>162</v>
      </c>
      <c r="F4550" s="17" t="s">
        <v>166</v>
      </c>
      <c r="G4550" s="17">
        <v>8</v>
      </c>
      <c r="H4550" s="17">
        <v>69705</v>
      </c>
      <c r="I4550" s="17">
        <v>557640</v>
      </c>
      <c r="J4550" s="17">
        <v>2559</v>
      </c>
      <c r="K4550" s="17">
        <v>555081</v>
      </c>
      <c r="L4550" s="17">
        <v>91078.400469999993</v>
      </c>
      <c r="M4550" s="17">
        <v>2025</v>
      </c>
      <c r="N4550" s="17" t="s">
        <v>112</v>
      </c>
    </row>
    <row r="4551" spans="1:14" ht="14.25" customHeight="1">
      <c r="A4551" s="17">
        <v>14550</v>
      </c>
      <c r="B4551" s="18">
        <v>45776</v>
      </c>
      <c r="C4551" s="17" t="s">
        <v>45</v>
      </c>
      <c r="D4551" s="17" t="s">
        <v>111</v>
      </c>
      <c r="E4551" s="17" t="s">
        <v>162</v>
      </c>
      <c r="F4551" s="17" t="s">
        <v>164</v>
      </c>
      <c r="G4551" s="17">
        <v>6</v>
      </c>
      <c r="H4551" s="17">
        <v>73245</v>
      </c>
      <c r="I4551" s="17">
        <v>439470</v>
      </c>
      <c r="J4551" s="17">
        <v>4438</v>
      </c>
      <c r="K4551" s="17">
        <v>435032</v>
      </c>
      <c r="L4551" s="17">
        <v>43692.002919999999</v>
      </c>
      <c r="M4551" s="17">
        <v>2025</v>
      </c>
      <c r="N4551" s="17" t="s">
        <v>114</v>
      </c>
    </row>
    <row r="4552" spans="1:14" ht="14.25" customHeight="1">
      <c r="A4552" s="17">
        <v>14551</v>
      </c>
      <c r="B4552" s="18">
        <v>45937</v>
      </c>
      <c r="C4552" s="17" t="s">
        <v>58</v>
      </c>
      <c r="D4552" s="17" t="s">
        <v>89</v>
      </c>
      <c r="E4552" s="17" t="s">
        <v>168</v>
      </c>
      <c r="F4552" s="17" t="s">
        <v>163</v>
      </c>
      <c r="G4552" s="17">
        <v>1</v>
      </c>
      <c r="H4552" s="17">
        <v>32629</v>
      </c>
      <c r="I4552" s="17">
        <v>32629</v>
      </c>
      <c r="J4552" s="17">
        <v>714</v>
      </c>
      <c r="K4552" s="17">
        <v>31915</v>
      </c>
      <c r="L4552" s="17">
        <v>6121.59944</v>
      </c>
      <c r="M4552" s="17">
        <v>2025</v>
      </c>
      <c r="N4552" s="17" t="s">
        <v>174</v>
      </c>
    </row>
    <row r="4553" spans="1:14" ht="14.25" customHeight="1">
      <c r="A4553" s="17">
        <v>14552</v>
      </c>
      <c r="B4553" s="18">
        <v>45911</v>
      </c>
      <c r="C4553" s="17" t="s">
        <v>58</v>
      </c>
      <c r="D4553" s="17" t="s">
        <v>83</v>
      </c>
      <c r="E4553" s="17" t="s">
        <v>162</v>
      </c>
      <c r="F4553" s="17" t="s">
        <v>166</v>
      </c>
      <c r="G4553" s="17">
        <v>4</v>
      </c>
      <c r="H4553" s="17">
        <v>49186</v>
      </c>
      <c r="I4553" s="17">
        <v>196744</v>
      </c>
      <c r="J4553" s="17">
        <v>1709</v>
      </c>
      <c r="K4553" s="17">
        <v>195035</v>
      </c>
      <c r="L4553" s="17">
        <v>47373.87887</v>
      </c>
      <c r="M4553" s="17">
        <v>2025</v>
      </c>
      <c r="N4553" s="17" t="s">
        <v>129</v>
      </c>
    </row>
    <row r="4554" spans="1:14" ht="14.25" customHeight="1">
      <c r="A4554" s="17">
        <v>14553</v>
      </c>
      <c r="B4554" s="18">
        <v>45309</v>
      </c>
      <c r="C4554" s="17" t="s">
        <v>39</v>
      </c>
      <c r="D4554" s="17" t="s">
        <v>111</v>
      </c>
      <c r="E4554" s="17" t="s">
        <v>162</v>
      </c>
      <c r="F4554" s="17" t="s">
        <v>172</v>
      </c>
      <c r="G4554" s="17">
        <v>5</v>
      </c>
      <c r="H4554" s="17">
        <v>51537</v>
      </c>
      <c r="I4554" s="17">
        <v>257685</v>
      </c>
      <c r="J4554" s="17">
        <v>1057</v>
      </c>
      <c r="K4554" s="17">
        <v>256628</v>
      </c>
      <c r="L4554" s="17">
        <v>35554.263120000003</v>
      </c>
      <c r="M4554" s="17">
        <v>2024</v>
      </c>
      <c r="N4554" s="17" t="s">
        <v>171</v>
      </c>
    </row>
    <row r="4555" spans="1:14" ht="14.25" customHeight="1">
      <c r="A4555" s="17">
        <v>14554</v>
      </c>
      <c r="B4555" s="18">
        <v>45897</v>
      </c>
      <c r="C4555" s="17" t="s">
        <v>45</v>
      </c>
      <c r="D4555" s="17" t="s">
        <v>170</v>
      </c>
      <c r="E4555" s="17" t="s">
        <v>162</v>
      </c>
      <c r="F4555" s="17" t="s">
        <v>166</v>
      </c>
      <c r="G4555" s="17">
        <v>3</v>
      </c>
      <c r="H4555" s="17">
        <v>35832</v>
      </c>
      <c r="I4555" s="17">
        <v>107496</v>
      </c>
      <c r="J4555" s="17">
        <v>470</v>
      </c>
      <c r="K4555" s="17">
        <v>107026</v>
      </c>
      <c r="L4555" s="17">
        <v>23805.686119999998</v>
      </c>
      <c r="M4555" s="17">
        <v>2025</v>
      </c>
      <c r="N4555" s="17" t="s">
        <v>126</v>
      </c>
    </row>
    <row r="4556" spans="1:14" ht="14.25" customHeight="1">
      <c r="A4556" s="17">
        <v>14555</v>
      </c>
      <c r="B4556" s="18">
        <v>45953</v>
      </c>
      <c r="C4556" s="17" t="s">
        <v>39</v>
      </c>
      <c r="D4556" s="17" t="s">
        <v>111</v>
      </c>
      <c r="E4556" s="17" t="s">
        <v>165</v>
      </c>
      <c r="F4556" s="17" t="s">
        <v>166</v>
      </c>
      <c r="G4556" s="17">
        <v>1</v>
      </c>
      <c r="H4556" s="17">
        <v>28472</v>
      </c>
      <c r="I4556" s="17">
        <v>28472</v>
      </c>
      <c r="J4556" s="17">
        <v>3465</v>
      </c>
      <c r="K4556" s="17">
        <v>25007</v>
      </c>
      <c r="L4556" s="17">
        <v>4209.2665459999998</v>
      </c>
      <c r="M4556" s="17">
        <v>2025</v>
      </c>
      <c r="N4556" s="17" t="s">
        <v>174</v>
      </c>
    </row>
    <row r="4557" spans="1:14" ht="14.25" customHeight="1">
      <c r="A4557" s="17">
        <v>14556</v>
      </c>
      <c r="B4557" s="18">
        <v>45580</v>
      </c>
      <c r="C4557" s="17" t="s">
        <v>167</v>
      </c>
      <c r="D4557" s="17" t="s">
        <v>170</v>
      </c>
      <c r="E4557" s="17" t="s">
        <v>165</v>
      </c>
      <c r="F4557" s="17" t="s">
        <v>163</v>
      </c>
      <c r="G4557" s="17">
        <v>3</v>
      </c>
      <c r="H4557" s="17">
        <v>53850</v>
      </c>
      <c r="I4557" s="17">
        <v>161550</v>
      </c>
      <c r="J4557" s="17">
        <v>740</v>
      </c>
      <c r="K4557" s="17">
        <v>160810</v>
      </c>
      <c r="L4557" s="17">
        <v>31590.691999999999</v>
      </c>
      <c r="M4557" s="17">
        <v>2024</v>
      </c>
      <c r="N4557" s="17" t="s">
        <v>174</v>
      </c>
    </row>
    <row r="4558" spans="1:14" ht="14.25" customHeight="1">
      <c r="A4558" s="17">
        <v>14557</v>
      </c>
      <c r="B4558" s="18">
        <v>45705</v>
      </c>
      <c r="C4558" s="17" t="s">
        <v>58</v>
      </c>
      <c r="D4558" s="17" t="s">
        <v>170</v>
      </c>
      <c r="E4558" s="17" t="s">
        <v>162</v>
      </c>
      <c r="F4558" s="17" t="s">
        <v>172</v>
      </c>
      <c r="G4558" s="17">
        <v>9</v>
      </c>
      <c r="H4558" s="17">
        <v>14507</v>
      </c>
      <c r="I4558" s="17">
        <v>130563</v>
      </c>
      <c r="J4558" s="17">
        <v>3566</v>
      </c>
      <c r="K4558" s="17">
        <v>126997</v>
      </c>
      <c r="L4558" s="17">
        <v>29670.44368</v>
      </c>
      <c r="M4558" s="17">
        <v>2025</v>
      </c>
      <c r="N4558" s="17" t="s">
        <v>175</v>
      </c>
    </row>
    <row r="4559" spans="1:14" ht="14.25" customHeight="1">
      <c r="A4559" s="17">
        <v>14558</v>
      </c>
      <c r="B4559" s="18">
        <v>46012</v>
      </c>
      <c r="C4559" s="17" t="s">
        <v>50</v>
      </c>
      <c r="D4559" s="17" t="s">
        <v>86</v>
      </c>
      <c r="E4559" s="17" t="s">
        <v>168</v>
      </c>
      <c r="F4559" s="17" t="s">
        <v>172</v>
      </c>
      <c r="G4559" s="17">
        <v>2</v>
      </c>
      <c r="H4559" s="17">
        <v>60696</v>
      </c>
      <c r="I4559" s="17">
        <v>121392</v>
      </c>
      <c r="J4559" s="17">
        <v>512</v>
      </c>
      <c r="K4559" s="17">
        <v>120880</v>
      </c>
      <c r="L4559" s="17">
        <v>26068.018830000001</v>
      </c>
      <c r="M4559" s="17">
        <v>2025</v>
      </c>
      <c r="N4559" s="17" t="s">
        <v>169</v>
      </c>
    </row>
    <row r="4560" spans="1:14" ht="14.25" customHeight="1">
      <c r="A4560" s="17">
        <v>14559</v>
      </c>
      <c r="B4560" s="18">
        <v>45929</v>
      </c>
      <c r="C4560" s="17" t="s">
        <v>39</v>
      </c>
      <c r="D4560" s="17" t="s">
        <v>86</v>
      </c>
      <c r="E4560" s="17" t="s">
        <v>162</v>
      </c>
      <c r="F4560" s="17" t="s">
        <v>164</v>
      </c>
      <c r="G4560" s="17">
        <v>1</v>
      </c>
      <c r="H4560" s="17">
        <v>77247</v>
      </c>
      <c r="I4560" s="17">
        <v>77247</v>
      </c>
      <c r="J4560" s="17">
        <v>3393</v>
      </c>
      <c r="K4560" s="17">
        <v>73854</v>
      </c>
      <c r="L4560" s="17">
        <v>17184.792450000001</v>
      </c>
      <c r="M4560" s="17">
        <v>2025</v>
      </c>
      <c r="N4560" s="17" t="s">
        <v>129</v>
      </c>
    </row>
    <row r="4561" spans="1:14" ht="14.25" customHeight="1">
      <c r="A4561" s="17">
        <v>14560</v>
      </c>
      <c r="B4561" s="18">
        <v>45526</v>
      </c>
      <c r="C4561" s="17" t="s">
        <v>167</v>
      </c>
      <c r="D4561" s="17" t="s">
        <v>111</v>
      </c>
      <c r="E4561" s="17" t="s">
        <v>168</v>
      </c>
      <c r="F4561" s="17" t="s">
        <v>172</v>
      </c>
      <c r="G4561" s="17">
        <v>7</v>
      </c>
      <c r="H4561" s="17">
        <v>61373</v>
      </c>
      <c r="I4561" s="17">
        <v>429611</v>
      </c>
      <c r="J4561" s="17">
        <v>3285</v>
      </c>
      <c r="K4561" s="17">
        <v>426326</v>
      </c>
      <c r="L4561" s="17">
        <v>43241.392180000003</v>
      </c>
      <c r="M4561" s="17">
        <v>2024</v>
      </c>
      <c r="N4561" s="17" t="s">
        <v>126</v>
      </c>
    </row>
    <row r="4562" spans="1:14" ht="14.25" customHeight="1">
      <c r="A4562" s="17">
        <v>14561</v>
      </c>
      <c r="B4562" s="18">
        <v>45707</v>
      </c>
      <c r="C4562" s="17" t="s">
        <v>58</v>
      </c>
      <c r="D4562" s="17" t="s">
        <v>111</v>
      </c>
      <c r="E4562" s="17" t="s">
        <v>165</v>
      </c>
      <c r="F4562" s="17" t="s">
        <v>172</v>
      </c>
      <c r="G4562" s="17">
        <v>7</v>
      </c>
      <c r="H4562" s="17">
        <v>66264</v>
      </c>
      <c r="I4562" s="17">
        <v>463848</v>
      </c>
      <c r="J4562" s="17">
        <v>3837</v>
      </c>
      <c r="K4562" s="17">
        <v>460011</v>
      </c>
      <c r="L4562" s="17">
        <v>58926.14301</v>
      </c>
      <c r="M4562" s="17">
        <v>2025</v>
      </c>
      <c r="N4562" s="17" t="s">
        <v>175</v>
      </c>
    </row>
    <row r="4563" spans="1:14" ht="14.25" customHeight="1">
      <c r="A4563" s="17">
        <v>14562</v>
      </c>
      <c r="B4563" s="18">
        <v>45790</v>
      </c>
      <c r="C4563" s="17" t="s">
        <v>45</v>
      </c>
      <c r="D4563" s="17" t="s">
        <v>89</v>
      </c>
      <c r="E4563" s="17" t="s">
        <v>162</v>
      </c>
      <c r="F4563" s="17" t="s">
        <v>172</v>
      </c>
      <c r="G4563" s="17">
        <v>5</v>
      </c>
      <c r="H4563" s="17">
        <v>20979</v>
      </c>
      <c r="I4563" s="17">
        <v>104895</v>
      </c>
      <c r="J4563" s="17">
        <v>2192</v>
      </c>
      <c r="K4563" s="17">
        <v>102703</v>
      </c>
      <c r="L4563" s="17">
        <v>16794.421999999999</v>
      </c>
      <c r="M4563" s="17">
        <v>2025</v>
      </c>
      <c r="N4563" s="17" t="s">
        <v>117</v>
      </c>
    </row>
    <row r="4564" spans="1:14" ht="14.25" customHeight="1">
      <c r="A4564" s="17">
        <v>14563</v>
      </c>
      <c r="B4564" s="18">
        <v>45925</v>
      </c>
      <c r="C4564" s="17" t="s">
        <v>58</v>
      </c>
      <c r="D4564" s="17" t="s">
        <v>83</v>
      </c>
      <c r="E4564" s="17" t="s">
        <v>162</v>
      </c>
      <c r="F4564" s="17" t="s">
        <v>166</v>
      </c>
      <c r="G4564" s="17">
        <v>2</v>
      </c>
      <c r="H4564" s="17">
        <v>20049</v>
      </c>
      <c r="I4564" s="17">
        <v>40098</v>
      </c>
      <c r="J4564" s="17">
        <v>4654</v>
      </c>
      <c r="K4564" s="17">
        <v>35444</v>
      </c>
      <c r="L4564" s="17">
        <v>8052.0357000000004</v>
      </c>
      <c r="M4564" s="17">
        <v>2025</v>
      </c>
      <c r="N4564" s="17" t="s">
        <v>129</v>
      </c>
    </row>
    <row r="4565" spans="1:14" ht="14.25" customHeight="1">
      <c r="A4565" s="17">
        <v>14564</v>
      </c>
      <c r="B4565" s="18">
        <v>45941</v>
      </c>
      <c r="C4565" s="17" t="s">
        <v>45</v>
      </c>
      <c r="D4565" s="17" t="s">
        <v>83</v>
      </c>
      <c r="E4565" s="17" t="s">
        <v>168</v>
      </c>
      <c r="F4565" s="17" t="s">
        <v>164</v>
      </c>
      <c r="G4565" s="17">
        <v>1</v>
      </c>
      <c r="H4565" s="17">
        <v>64081</v>
      </c>
      <c r="I4565" s="17">
        <v>64081</v>
      </c>
      <c r="J4565" s="17">
        <v>4887</v>
      </c>
      <c r="K4565" s="17">
        <v>59194</v>
      </c>
      <c r="L4565" s="17">
        <v>13363.5658</v>
      </c>
      <c r="M4565" s="17">
        <v>2025</v>
      </c>
      <c r="N4565" s="17" t="s">
        <v>174</v>
      </c>
    </row>
    <row r="4566" spans="1:14" ht="14.25" customHeight="1">
      <c r="A4566" s="17">
        <v>14565</v>
      </c>
      <c r="B4566" s="18">
        <v>45406</v>
      </c>
      <c r="C4566" s="17" t="s">
        <v>45</v>
      </c>
      <c r="D4566" s="17" t="s">
        <v>111</v>
      </c>
      <c r="E4566" s="17" t="s">
        <v>168</v>
      </c>
      <c r="F4566" s="17" t="s">
        <v>172</v>
      </c>
      <c r="G4566" s="17">
        <v>5</v>
      </c>
      <c r="H4566" s="17">
        <v>29997</v>
      </c>
      <c r="I4566" s="17">
        <v>149985</v>
      </c>
      <c r="J4566" s="17">
        <v>359</v>
      </c>
      <c r="K4566" s="17">
        <v>149626</v>
      </c>
      <c r="L4566" s="17">
        <v>19117.8711</v>
      </c>
      <c r="M4566" s="17">
        <v>2024</v>
      </c>
      <c r="N4566" s="17" t="s">
        <v>114</v>
      </c>
    </row>
    <row r="4567" spans="1:14" ht="14.25" customHeight="1">
      <c r="A4567" s="17">
        <v>14566</v>
      </c>
      <c r="B4567" s="18">
        <v>45965</v>
      </c>
      <c r="C4567" s="17" t="s">
        <v>39</v>
      </c>
      <c r="D4567" s="17" t="s">
        <v>86</v>
      </c>
      <c r="E4567" s="17" t="s">
        <v>162</v>
      </c>
      <c r="F4567" s="17" t="s">
        <v>172</v>
      </c>
      <c r="G4567" s="17">
        <v>4</v>
      </c>
      <c r="H4567" s="17">
        <v>61144</v>
      </c>
      <c r="I4567" s="17">
        <v>244576</v>
      </c>
      <c r="J4567" s="17">
        <v>284</v>
      </c>
      <c r="K4567" s="17">
        <v>244292</v>
      </c>
      <c r="L4567" s="17">
        <v>29641.503270000001</v>
      </c>
      <c r="M4567" s="17">
        <v>2025</v>
      </c>
      <c r="N4567" s="17" t="s">
        <v>173</v>
      </c>
    </row>
    <row r="4568" spans="1:14" ht="14.25" customHeight="1">
      <c r="A4568" s="17">
        <v>14567</v>
      </c>
      <c r="B4568" s="18">
        <v>46004</v>
      </c>
      <c r="C4568" s="17" t="s">
        <v>39</v>
      </c>
      <c r="D4568" s="17" t="s">
        <v>89</v>
      </c>
      <c r="E4568" s="17" t="s">
        <v>162</v>
      </c>
      <c r="F4568" s="17" t="s">
        <v>172</v>
      </c>
      <c r="G4568" s="17">
        <v>9</v>
      </c>
      <c r="H4568" s="17">
        <v>45830</v>
      </c>
      <c r="I4568" s="17">
        <v>412470</v>
      </c>
      <c r="J4568" s="17">
        <v>3316</v>
      </c>
      <c r="K4568" s="17">
        <v>409154</v>
      </c>
      <c r="L4568" s="17">
        <v>92143.676030000002</v>
      </c>
      <c r="M4568" s="17">
        <v>2025</v>
      </c>
      <c r="N4568" s="17" t="s">
        <v>169</v>
      </c>
    </row>
    <row r="4569" spans="1:14" ht="14.25" customHeight="1">
      <c r="A4569" s="17">
        <v>14568</v>
      </c>
      <c r="B4569" s="18">
        <v>45525</v>
      </c>
      <c r="C4569" s="17" t="s">
        <v>58</v>
      </c>
      <c r="D4569" s="17" t="s">
        <v>83</v>
      </c>
      <c r="E4569" s="17" t="s">
        <v>168</v>
      </c>
      <c r="F4569" s="17" t="s">
        <v>166</v>
      </c>
      <c r="G4569" s="17">
        <v>5</v>
      </c>
      <c r="H4569" s="17">
        <v>26746</v>
      </c>
      <c r="I4569" s="17">
        <v>133730</v>
      </c>
      <c r="J4569" s="17">
        <v>3277</v>
      </c>
      <c r="K4569" s="17">
        <v>130453</v>
      </c>
      <c r="L4569" s="17">
        <v>23640.05919</v>
      </c>
      <c r="M4569" s="17">
        <v>2024</v>
      </c>
      <c r="N4569" s="17" t="s">
        <v>126</v>
      </c>
    </row>
    <row r="4570" spans="1:14" ht="14.25" customHeight="1">
      <c r="A4570" s="17">
        <v>14569</v>
      </c>
      <c r="B4570" s="18">
        <v>45831</v>
      </c>
      <c r="C4570" s="17" t="s">
        <v>167</v>
      </c>
      <c r="D4570" s="17" t="s">
        <v>111</v>
      </c>
      <c r="E4570" s="17" t="s">
        <v>165</v>
      </c>
      <c r="F4570" s="17" t="s">
        <v>166</v>
      </c>
      <c r="G4570" s="17">
        <v>2</v>
      </c>
      <c r="H4570" s="17">
        <v>14603</v>
      </c>
      <c r="I4570" s="17">
        <v>29206</v>
      </c>
      <c r="J4570" s="17">
        <v>2631</v>
      </c>
      <c r="K4570" s="17">
        <v>26575</v>
      </c>
      <c r="L4570" s="17">
        <v>5155.9609389999996</v>
      </c>
      <c r="M4570" s="17">
        <v>2025</v>
      </c>
      <c r="N4570" s="17" t="s">
        <v>120</v>
      </c>
    </row>
    <row r="4571" spans="1:14" ht="14.25" customHeight="1">
      <c r="A4571" s="17">
        <v>14570</v>
      </c>
      <c r="B4571" s="18">
        <v>45302</v>
      </c>
      <c r="C4571" s="17" t="s">
        <v>58</v>
      </c>
      <c r="D4571" s="17" t="s">
        <v>86</v>
      </c>
      <c r="E4571" s="17" t="s">
        <v>168</v>
      </c>
      <c r="F4571" s="17" t="s">
        <v>164</v>
      </c>
      <c r="G4571" s="17">
        <v>4</v>
      </c>
      <c r="H4571" s="17">
        <v>9570</v>
      </c>
      <c r="I4571" s="17">
        <v>38280</v>
      </c>
      <c r="J4571" s="17">
        <v>1757</v>
      </c>
      <c r="K4571" s="17">
        <v>36523</v>
      </c>
      <c r="L4571" s="17">
        <v>8085.4950200000003</v>
      </c>
      <c r="M4571" s="17">
        <v>2024</v>
      </c>
      <c r="N4571" s="17" t="s">
        <v>171</v>
      </c>
    </row>
    <row r="4572" spans="1:14" ht="14.25" customHeight="1">
      <c r="A4572" s="17">
        <v>14571</v>
      </c>
      <c r="B4572" s="18">
        <v>45497</v>
      </c>
      <c r="C4572" s="17" t="s">
        <v>50</v>
      </c>
      <c r="D4572" s="17" t="s">
        <v>86</v>
      </c>
      <c r="E4572" s="17" t="s">
        <v>162</v>
      </c>
      <c r="F4572" s="17" t="s">
        <v>163</v>
      </c>
      <c r="G4572" s="17">
        <v>9</v>
      </c>
      <c r="H4572" s="17">
        <v>37316</v>
      </c>
      <c r="I4572" s="17">
        <v>335844</v>
      </c>
      <c r="J4572" s="17">
        <v>2774</v>
      </c>
      <c r="K4572" s="17">
        <v>333070</v>
      </c>
      <c r="L4572" s="17">
        <v>43885.959190000001</v>
      </c>
      <c r="M4572" s="17">
        <v>2024</v>
      </c>
      <c r="N4572" s="17" t="s">
        <v>123</v>
      </c>
    </row>
    <row r="4573" spans="1:14" ht="14.25" customHeight="1">
      <c r="A4573" s="17">
        <v>14572</v>
      </c>
      <c r="B4573" s="18">
        <v>45970</v>
      </c>
      <c r="C4573" s="17" t="s">
        <v>45</v>
      </c>
      <c r="D4573" s="17" t="s">
        <v>86</v>
      </c>
      <c r="E4573" s="17" t="s">
        <v>165</v>
      </c>
      <c r="F4573" s="17" t="s">
        <v>164</v>
      </c>
      <c r="G4573" s="17">
        <v>8</v>
      </c>
      <c r="H4573" s="17">
        <v>56604</v>
      </c>
      <c r="I4573" s="17">
        <v>452832</v>
      </c>
      <c r="J4573" s="17">
        <v>1522</v>
      </c>
      <c r="K4573" s="17">
        <v>451310</v>
      </c>
      <c r="L4573" s="17">
        <v>54370.543259999999</v>
      </c>
      <c r="M4573" s="17">
        <v>2025</v>
      </c>
      <c r="N4573" s="17" t="s">
        <v>173</v>
      </c>
    </row>
    <row r="4574" spans="1:14" ht="14.25" customHeight="1">
      <c r="A4574" s="17">
        <v>14573</v>
      </c>
      <c r="B4574" s="18">
        <v>45538</v>
      </c>
      <c r="C4574" s="17" t="s">
        <v>45</v>
      </c>
      <c r="D4574" s="17" t="s">
        <v>170</v>
      </c>
      <c r="E4574" s="17" t="s">
        <v>165</v>
      </c>
      <c r="F4574" s="17" t="s">
        <v>166</v>
      </c>
      <c r="G4574" s="17">
        <v>3</v>
      </c>
      <c r="H4574" s="17">
        <v>23467</v>
      </c>
      <c r="I4574" s="17">
        <v>70401</v>
      </c>
      <c r="J4574" s="17">
        <v>1245</v>
      </c>
      <c r="K4574" s="17">
        <v>69156</v>
      </c>
      <c r="L4574" s="17">
        <v>15826.80976</v>
      </c>
      <c r="M4574" s="17">
        <v>2024</v>
      </c>
      <c r="N4574" s="17" t="s">
        <v>129</v>
      </c>
    </row>
    <row r="4575" spans="1:14" ht="14.25" customHeight="1">
      <c r="A4575" s="17">
        <v>14574</v>
      </c>
      <c r="B4575" s="18">
        <v>45850</v>
      </c>
      <c r="C4575" s="17" t="s">
        <v>39</v>
      </c>
      <c r="D4575" s="17" t="s">
        <v>86</v>
      </c>
      <c r="E4575" s="17" t="s">
        <v>165</v>
      </c>
      <c r="F4575" s="17" t="s">
        <v>172</v>
      </c>
      <c r="G4575" s="17">
        <v>8</v>
      </c>
      <c r="H4575" s="17">
        <v>49638</v>
      </c>
      <c r="I4575" s="17">
        <v>397104</v>
      </c>
      <c r="J4575" s="17">
        <v>1412</v>
      </c>
      <c r="K4575" s="17">
        <v>395692</v>
      </c>
      <c r="L4575" s="17">
        <v>46203.417930000003</v>
      </c>
      <c r="M4575" s="17">
        <v>2025</v>
      </c>
      <c r="N4575" s="17" t="s">
        <v>123</v>
      </c>
    </row>
    <row r="4576" spans="1:14" ht="14.25" customHeight="1">
      <c r="A4576" s="17">
        <v>14575</v>
      </c>
      <c r="B4576" s="18">
        <v>45418</v>
      </c>
      <c r="C4576" s="17" t="s">
        <v>167</v>
      </c>
      <c r="D4576" s="17" t="s">
        <v>111</v>
      </c>
      <c r="E4576" s="17" t="s">
        <v>165</v>
      </c>
      <c r="F4576" s="17" t="s">
        <v>172</v>
      </c>
      <c r="G4576" s="17">
        <v>2</v>
      </c>
      <c r="H4576" s="17">
        <v>31943</v>
      </c>
      <c r="I4576" s="17">
        <v>63886</v>
      </c>
      <c r="J4576" s="17">
        <v>4838</v>
      </c>
      <c r="K4576" s="17">
        <v>59048</v>
      </c>
      <c r="L4576" s="17">
        <v>6685.8354310000004</v>
      </c>
      <c r="M4576" s="17">
        <v>2024</v>
      </c>
      <c r="N4576" s="17" t="s">
        <v>117</v>
      </c>
    </row>
    <row r="4577" spans="1:14" ht="14.25" customHeight="1">
      <c r="A4577" s="17">
        <v>14576</v>
      </c>
      <c r="B4577" s="18">
        <v>45438</v>
      </c>
      <c r="C4577" s="17" t="s">
        <v>39</v>
      </c>
      <c r="D4577" s="17" t="s">
        <v>89</v>
      </c>
      <c r="E4577" s="17" t="s">
        <v>162</v>
      </c>
      <c r="F4577" s="17" t="s">
        <v>164</v>
      </c>
      <c r="G4577" s="17">
        <v>3</v>
      </c>
      <c r="H4577" s="17">
        <v>75369</v>
      </c>
      <c r="I4577" s="17">
        <v>226107</v>
      </c>
      <c r="J4577" s="17">
        <v>1416</v>
      </c>
      <c r="K4577" s="17">
        <v>224691</v>
      </c>
      <c r="L4577" s="17">
        <v>31807.544740000001</v>
      </c>
      <c r="M4577" s="17">
        <v>2024</v>
      </c>
      <c r="N4577" s="17" t="s">
        <v>117</v>
      </c>
    </row>
    <row r="4578" spans="1:14" ht="14.25" customHeight="1">
      <c r="A4578" s="17">
        <v>14577</v>
      </c>
      <c r="B4578" s="18">
        <v>45409</v>
      </c>
      <c r="C4578" s="17" t="s">
        <v>50</v>
      </c>
      <c r="D4578" s="17" t="s">
        <v>111</v>
      </c>
      <c r="E4578" s="17" t="s">
        <v>165</v>
      </c>
      <c r="F4578" s="17" t="s">
        <v>172</v>
      </c>
      <c r="G4578" s="17">
        <v>5</v>
      </c>
      <c r="H4578" s="17">
        <v>8340</v>
      </c>
      <c r="I4578" s="17">
        <v>41700</v>
      </c>
      <c r="J4578" s="17">
        <v>357</v>
      </c>
      <c r="K4578" s="17">
        <v>41343</v>
      </c>
      <c r="L4578" s="17">
        <v>6099.2223640000002</v>
      </c>
      <c r="M4578" s="17">
        <v>2024</v>
      </c>
      <c r="N4578" s="17" t="s">
        <v>114</v>
      </c>
    </row>
    <row r="4579" spans="1:14" ht="14.25" customHeight="1">
      <c r="A4579" s="17">
        <v>14578</v>
      </c>
      <c r="B4579" s="18">
        <v>45673</v>
      </c>
      <c r="C4579" s="17" t="s">
        <v>58</v>
      </c>
      <c r="D4579" s="17" t="s">
        <v>86</v>
      </c>
      <c r="E4579" s="17" t="s">
        <v>168</v>
      </c>
      <c r="F4579" s="17" t="s">
        <v>166</v>
      </c>
      <c r="G4579" s="17">
        <v>8</v>
      </c>
      <c r="H4579" s="17">
        <v>48532</v>
      </c>
      <c r="I4579" s="17">
        <v>388256</v>
      </c>
      <c r="J4579" s="17">
        <v>3465</v>
      </c>
      <c r="K4579" s="17">
        <v>384791</v>
      </c>
      <c r="L4579" s="17">
        <v>52397.107100000001</v>
      </c>
      <c r="M4579" s="17">
        <v>2025</v>
      </c>
      <c r="N4579" s="17" t="s">
        <v>171</v>
      </c>
    </row>
    <row r="4580" spans="1:14" ht="14.25" customHeight="1">
      <c r="A4580" s="17">
        <v>14579</v>
      </c>
      <c r="B4580" s="18">
        <v>45703</v>
      </c>
      <c r="C4580" s="17" t="s">
        <v>58</v>
      </c>
      <c r="D4580" s="17" t="s">
        <v>89</v>
      </c>
      <c r="E4580" s="17" t="s">
        <v>168</v>
      </c>
      <c r="F4580" s="17" t="s">
        <v>164</v>
      </c>
      <c r="G4580" s="17">
        <v>1</v>
      </c>
      <c r="H4580" s="17">
        <v>71175</v>
      </c>
      <c r="I4580" s="17">
        <v>71175</v>
      </c>
      <c r="J4580" s="17">
        <v>4135</v>
      </c>
      <c r="K4580" s="17">
        <v>67040</v>
      </c>
      <c r="L4580" s="17">
        <v>14161.763629999999</v>
      </c>
      <c r="M4580" s="17">
        <v>2025</v>
      </c>
      <c r="N4580" s="17" t="s">
        <v>175</v>
      </c>
    </row>
    <row r="4581" spans="1:14" ht="14.25" customHeight="1">
      <c r="A4581" s="17">
        <v>14580</v>
      </c>
      <c r="B4581" s="18">
        <v>45955</v>
      </c>
      <c r="C4581" s="17" t="s">
        <v>167</v>
      </c>
      <c r="D4581" s="17" t="s">
        <v>83</v>
      </c>
      <c r="E4581" s="17" t="s">
        <v>168</v>
      </c>
      <c r="F4581" s="17" t="s">
        <v>163</v>
      </c>
      <c r="G4581" s="17">
        <v>4</v>
      </c>
      <c r="H4581" s="17">
        <v>63918</v>
      </c>
      <c r="I4581" s="17">
        <v>255672</v>
      </c>
      <c r="J4581" s="17">
        <v>2949</v>
      </c>
      <c r="K4581" s="17">
        <v>252723</v>
      </c>
      <c r="L4581" s="17">
        <v>62170.64572</v>
      </c>
      <c r="M4581" s="17">
        <v>2025</v>
      </c>
      <c r="N4581" s="17" t="s">
        <v>174</v>
      </c>
    </row>
    <row r="4582" spans="1:14" ht="14.25" customHeight="1">
      <c r="A4582" s="17">
        <v>14581</v>
      </c>
      <c r="B4582" s="18">
        <v>45875</v>
      </c>
      <c r="C4582" s="17" t="s">
        <v>39</v>
      </c>
      <c r="D4582" s="17" t="s">
        <v>83</v>
      </c>
      <c r="E4582" s="17" t="s">
        <v>162</v>
      </c>
      <c r="F4582" s="17" t="s">
        <v>166</v>
      </c>
      <c r="G4582" s="17">
        <v>1</v>
      </c>
      <c r="H4582" s="17">
        <v>49188</v>
      </c>
      <c r="I4582" s="17">
        <v>49188</v>
      </c>
      <c r="J4582" s="17">
        <v>3141</v>
      </c>
      <c r="K4582" s="17">
        <v>46047</v>
      </c>
      <c r="L4582" s="17">
        <v>5983.2873840000002</v>
      </c>
      <c r="M4582" s="17">
        <v>2025</v>
      </c>
      <c r="N4582" s="17" t="s">
        <v>126</v>
      </c>
    </row>
    <row r="4583" spans="1:14" ht="14.25" customHeight="1">
      <c r="A4583" s="17">
        <v>14582</v>
      </c>
      <c r="B4583" s="18">
        <v>45654</v>
      </c>
      <c r="C4583" s="17" t="s">
        <v>39</v>
      </c>
      <c r="D4583" s="17" t="s">
        <v>111</v>
      </c>
      <c r="E4583" s="17" t="s">
        <v>165</v>
      </c>
      <c r="F4583" s="17" t="s">
        <v>166</v>
      </c>
      <c r="G4583" s="17">
        <v>1</v>
      </c>
      <c r="H4583" s="17">
        <v>20211</v>
      </c>
      <c r="I4583" s="17">
        <v>20211</v>
      </c>
      <c r="J4583" s="17">
        <v>2876</v>
      </c>
      <c r="K4583" s="17">
        <v>17335</v>
      </c>
      <c r="L4583" s="17">
        <v>3766.511156</v>
      </c>
      <c r="M4583" s="17">
        <v>2024</v>
      </c>
      <c r="N4583" s="17" t="s">
        <v>169</v>
      </c>
    </row>
    <row r="4584" spans="1:14" ht="14.25" customHeight="1">
      <c r="A4584" s="17">
        <v>14583</v>
      </c>
      <c r="B4584" s="18">
        <v>45800</v>
      </c>
      <c r="C4584" s="17" t="s">
        <v>50</v>
      </c>
      <c r="D4584" s="17" t="s">
        <v>89</v>
      </c>
      <c r="E4584" s="17" t="s">
        <v>168</v>
      </c>
      <c r="F4584" s="17" t="s">
        <v>172</v>
      </c>
      <c r="G4584" s="17">
        <v>5</v>
      </c>
      <c r="H4584" s="17">
        <v>18496</v>
      </c>
      <c r="I4584" s="17">
        <v>92480</v>
      </c>
      <c r="J4584" s="17">
        <v>4553</v>
      </c>
      <c r="K4584" s="17">
        <v>87927</v>
      </c>
      <c r="L4584" s="17">
        <v>9376.2127230000006</v>
      </c>
      <c r="M4584" s="17">
        <v>2025</v>
      </c>
      <c r="N4584" s="17" t="s">
        <v>117</v>
      </c>
    </row>
    <row r="4585" spans="1:14" ht="14.25" customHeight="1">
      <c r="A4585" s="17">
        <v>14584</v>
      </c>
      <c r="B4585" s="18">
        <v>45428</v>
      </c>
      <c r="C4585" s="17" t="s">
        <v>58</v>
      </c>
      <c r="D4585" s="17" t="s">
        <v>111</v>
      </c>
      <c r="E4585" s="17" t="s">
        <v>168</v>
      </c>
      <c r="F4585" s="17" t="s">
        <v>166</v>
      </c>
      <c r="G4585" s="17">
        <v>6</v>
      </c>
      <c r="H4585" s="17">
        <v>62248</v>
      </c>
      <c r="I4585" s="17">
        <v>373488</v>
      </c>
      <c r="J4585" s="17">
        <v>196</v>
      </c>
      <c r="K4585" s="17">
        <v>373292</v>
      </c>
      <c r="L4585" s="17">
        <v>43987.011789999997</v>
      </c>
      <c r="M4585" s="17">
        <v>2024</v>
      </c>
      <c r="N4585" s="17" t="s">
        <v>117</v>
      </c>
    </row>
    <row r="4586" spans="1:14" ht="14.25" customHeight="1">
      <c r="A4586" s="17">
        <v>14585</v>
      </c>
      <c r="B4586" s="18">
        <v>45466</v>
      </c>
      <c r="C4586" s="17" t="s">
        <v>39</v>
      </c>
      <c r="D4586" s="17" t="s">
        <v>89</v>
      </c>
      <c r="E4586" s="17" t="s">
        <v>168</v>
      </c>
      <c r="F4586" s="17" t="s">
        <v>166</v>
      </c>
      <c r="G4586" s="17">
        <v>1</v>
      </c>
      <c r="H4586" s="17">
        <v>46145</v>
      </c>
      <c r="I4586" s="17">
        <v>46145</v>
      </c>
      <c r="J4586" s="17">
        <v>1874</v>
      </c>
      <c r="K4586" s="17">
        <v>44271</v>
      </c>
      <c r="L4586" s="17">
        <v>7847.8144750000001</v>
      </c>
      <c r="M4586" s="17">
        <v>2024</v>
      </c>
      <c r="N4586" s="17" t="s">
        <v>120</v>
      </c>
    </row>
    <row r="4587" spans="1:14" ht="14.25" customHeight="1">
      <c r="A4587" s="17">
        <v>14586</v>
      </c>
      <c r="B4587" s="18">
        <v>45580</v>
      </c>
      <c r="C4587" s="17" t="s">
        <v>167</v>
      </c>
      <c r="D4587" s="17" t="s">
        <v>89</v>
      </c>
      <c r="E4587" s="17" t="s">
        <v>165</v>
      </c>
      <c r="F4587" s="17" t="s">
        <v>163</v>
      </c>
      <c r="G4587" s="17">
        <v>6</v>
      </c>
      <c r="H4587" s="17">
        <v>34672</v>
      </c>
      <c r="I4587" s="17">
        <v>208032</v>
      </c>
      <c r="J4587" s="17">
        <v>937</v>
      </c>
      <c r="K4587" s="17">
        <v>207095</v>
      </c>
      <c r="L4587" s="17">
        <v>51761.599820000003</v>
      </c>
      <c r="M4587" s="17">
        <v>2024</v>
      </c>
      <c r="N4587" s="17" t="s">
        <v>174</v>
      </c>
    </row>
    <row r="4588" spans="1:14" ht="14.25" customHeight="1">
      <c r="A4588" s="17">
        <v>14587</v>
      </c>
      <c r="B4588" s="18">
        <v>45772</v>
      </c>
      <c r="C4588" s="17" t="s">
        <v>58</v>
      </c>
      <c r="D4588" s="17" t="s">
        <v>111</v>
      </c>
      <c r="E4588" s="17" t="s">
        <v>168</v>
      </c>
      <c r="F4588" s="17" t="s">
        <v>172</v>
      </c>
      <c r="G4588" s="17">
        <v>5</v>
      </c>
      <c r="H4588" s="17">
        <v>79255</v>
      </c>
      <c r="I4588" s="17">
        <v>396275</v>
      </c>
      <c r="J4588" s="17">
        <v>2194</v>
      </c>
      <c r="K4588" s="17">
        <v>394081</v>
      </c>
      <c r="L4588" s="17">
        <v>95527.144690000001</v>
      </c>
      <c r="M4588" s="17">
        <v>2025</v>
      </c>
      <c r="N4588" s="17" t="s">
        <v>114</v>
      </c>
    </row>
    <row r="4589" spans="1:14" ht="14.25" customHeight="1">
      <c r="A4589" s="17">
        <v>14588</v>
      </c>
      <c r="B4589" s="18">
        <v>45310</v>
      </c>
      <c r="C4589" s="17" t="s">
        <v>50</v>
      </c>
      <c r="D4589" s="17" t="s">
        <v>89</v>
      </c>
      <c r="E4589" s="17" t="s">
        <v>165</v>
      </c>
      <c r="F4589" s="17" t="s">
        <v>166</v>
      </c>
      <c r="G4589" s="17">
        <v>4</v>
      </c>
      <c r="H4589" s="17">
        <v>41027</v>
      </c>
      <c r="I4589" s="17">
        <v>164108</v>
      </c>
      <c r="J4589" s="17">
        <v>3530</v>
      </c>
      <c r="K4589" s="17">
        <v>160578</v>
      </c>
      <c r="L4589" s="17">
        <v>18754.136020000002</v>
      </c>
      <c r="M4589" s="17">
        <v>2024</v>
      </c>
      <c r="N4589" s="17" t="s">
        <v>171</v>
      </c>
    </row>
    <row r="4590" spans="1:14" ht="14.25" customHeight="1">
      <c r="A4590" s="17">
        <v>14589</v>
      </c>
      <c r="B4590" s="18">
        <v>45486</v>
      </c>
      <c r="C4590" s="17" t="s">
        <v>167</v>
      </c>
      <c r="D4590" s="17" t="s">
        <v>86</v>
      </c>
      <c r="E4590" s="17" t="s">
        <v>165</v>
      </c>
      <c r="F4590" s="17" t="s">
        <v>172</v>
      </c>
      <c r="G4590" s="17">
        <v>5</v>
      </c>
      <c r="H4590" s="17">
        <v>41251</v>
      </c>
      <c r="I4590" s="17">
        <v>206255</v>
      </c>
      <c r="J4590" s="17">
        <v>4125</v>
      </c>
      <c r="K4590" s="17">
        <v>202130</v>
      </c>
      <c r="L4590" s="17">
        <v>27480.187450000001</v>
      </c>
      <c r="M4590" s="17">
        <v>2024</v>
      </c>
      <c r="N4590" s="17" t="s">
        <v>123</v>
      </c>
    </row>
    <row r="4591" spans="1:14" ht="14.25" customHeight="1">
      <c r="A4591" s="17">
        <v>14590</v>
      </c>
      <c r="B4591" s="18">
        <v>45621</v>
      </c>
      <c r="C4591" s="17" t="s">
        <v>45</v>
      </c>
      <c r="D4591" s="17" t="s">
        <v>89</v>
      </c>
      <c r="E4591" s="17" t="s">
        <v>165</v>
      </c>
      <c r="F4591" s="17" t="s">
        <v>166</v>
      </c>
      <c r="G4591" s="17">
        <v>8</v>
      </c>
      <c r="H4591" s="17">
        <v>24403</v>
      </c>
      <c r="I4591" s="17">
        <v>195224</v>
      </c>
      <c r="J4591" s="17">
        <v>389</v>
      </c>
      <c r="K4591" s="17">
        <v>194835</v>
      </c>
      <c r="L4591" s="17">
        <v>47124.503259999998</v>
      </c>
      <c r="M4591" s="17">
        <v>2024</v>
      </c>
      <c r="N4591" s="17" t="s">
        <v>173</v>
      </c>
    </row>
    <row r="4592" spans="1:14" ht="14.25" customHeight="1">
      <c r="A4592" s="17">
        <v>14591</v>
      </c>
      <c r="B4592" s="18">
        <v>45466</v>
      </c>
      <c r="C4592" s="17" t="s">
        <v>50</v>
      </c>
      <c r="D4592" s="17" t="s">
        <v>89</v>
      </c>
      <c r="E4592" s="17" t="s">
        <v>162</v>
      </c>
      <c r="F4592" s="17" t="s">
        <v>163</v>
      </c>
      <c r="G4592" s="17">
        <v>9</v>
      </c>
      <c r="H4592" s="17">
        <v>30150</v>
      </c>
      <c r="I4592" s="17">
        <v>271350</v>
      </c>
      <c r="J4592" s="17">
        <v>2926</v>
      </c>
      <c r="K4592" s="17">
        <v>268424</v>
      </c>
      <c r="L4592" s="17">
        <v>32911.087059999998</v>
      </c>
      <c r="M4592" s="17">
        <v>2024</v>
      </c>
      <c r="N4592" s="17" t="s">
        <v>120</v>
      </c>
    </row>
    <row r="4593" spans="1:14" ht="14.25" customHeight="1">
      <c r="A4593" s="17">
        <v>14592</v>
      </c>
      <c r="B4593" s="18">
        <v>45740</v>
      </c>
      <c r="C4593" s="17" t="s">
        <v>167</v>
      </c>
      <c r="D4593" s="17" t="s">
        <v>111</v>
      </c>
      <c r="E4593" s="17" t="s">
        <v>162</v>
      </c>
      <c r="F4593" s="17" t="s">
        <v>172</v>
      </c>
      <c r="G4593" s="17">
        <v>2</v>
      </c>
      <c r="H4593" s="17">
        <v>51940</v>
      </c>
      <c r="I4593" s="17">
        <v>103880</v>
      </c>
      <c r="J4593" s="17">
        <v>346</v>
      </c>
      <c r="K4593" s="17">
        <v>103534</v>
      </c>
      <c r="L4593" s="17">
        <v>21888.987059999999</v>
      </c>
      <c r="M4593" s="17">
        <v>2025</v>
      </c>
      <c r="N4593" s="17" t="s">
        <v>112</v>
      </c>
    </row>
    <row r="4594" spans="1:14" ht="14.25" customHeight="1">
      <c r="A4594" s="17">
        <v>14593</v>
      </c>
      <c r="B4594" s="18">
        <v>45645</v>
      </c>
      <c r="C4594" s="17" t="s">
        <v>39</v>
      </c>
      <c r="D4594" s="17" t="s">
        <v>83</v>
      </c>
      <c r="E4594" s="17" t="s">
        <v>165</v>
      </c>
      <c r="F4594" s="17" t="s">
        <v>172</v>
      </c>
      <c r="G4594" s="17">
        <v>6</v>
      </c>
      <c r="H4594" s="17">
        <v>55476</v>
      </c>
      <c r="I4594" s="17">
        <v>332856</v>
      </c>
      <c r="J4594" s="17">
        <v>2844</v>
      </c>
      <c r="K4594" s="17">
        <v>330012</v>
      </c>
      <c r="L4594" s="17">
        <v>33056.049149999999</v>
      </c>
      <c r="M4594" s="17">
        <v>2024</v>
      </c>
      <c r="N4594" s="17" t="s">
        <v>169</v>
      </c>
    </row>
    <row r="4595" spans="1:14" ht="14.25" customHeight="1">
      <c r="A4595" s="17">
        <v>14594</v>
      </c>
      <c r="B4595" s="18">
        <v>45790</v>
      </c>
      <c r="C4595" s="17" t="s">
        <v>45</v>
      </c>
      <c r="D4595" s="17" t="s">
        <v>170</v>
      </c>
      <c r="E4595" s="17" t="s">
        <v>165</v>
      </c>
      <c r="F4595" s="17" t="s">
        <v>163</v>
      </c>
      <c r="G4595" s="17">
        <v>3</v>
      </c>
      <c r="H4595" s="17">
        <v>39202</v>
      </c>
      <c r="I4595" s="17">
        <v>117606</v>
      </c>
      <c r="J4595" s="17">
        <v>118</v>
      </c>
      <c r="K4595" s="17">
        <v>117488</v>
      </c>
      <c r="L4595" s="17">
        <v>22881.588729999999</v>
      </c>
      <c r="M4595" s="17">
        <v>2025</v>
      </c>
      <c r="N4595" s="17" t="s">
        <v>117</v>
      </c>
    </row>
    <row r="4596" spans="1:14" ht="14.25" customHeight="1">
      <c r="A4596" s="17">
        <v>14595</v>
      </c>
      <c r="B4596" s="18">
        <v>45432</v>
      </c>
      <c r="C4596" s="17" t="s">
        <v>50</v>
      </c>
      <c r="D4596" s="17" t="s">
        <v>89</v>
      </c>
      <c r="E4596" s="17" t="s">
        <v>162</v>
      </c>
      <c r="F4596" s="17" t="s">
        <v>164</v>
      </c>
      <c r="G4596" s="17">
        <v>2</v>
      </c>
      <c r="H4596" s="17">
        <v>13729</v>
      </c>
      <c r="I4596" s="17">
        <v>27458</v>
      </c>
      <c r="J4596" s="17">
        <v>4615</v>
      </c>
      <c r="K4596" s="17">
        <v>22843</v>
      </c>
      <c r="L4596" s="17">
        <v>3979.0236150000001</v>
      </c>
      <c r="M4596" s="17">
        <v>2024</v>
      </c>
      <c r="N4596" s="17" t="s">
        <v>117</v>
      </c>
    </row>
    <row r="4597" spans="1:14" ht="14.25" customHeight="1">
      <c r="A4597" s="17">
        <v>14596</v>
      </c>
      <c r="B4597" s="18">
        <v>45384</v>
      </c>
      <c r="C4597" s="17" t="s">
        <v>39</v>
      </c>
      <c r="D4597" s="17" t="s">
        <v>170</v>
      </c>
      <c r="E4597" s="17" t="s">
        <v>162</v>
      </c>
      <c r="F4597" s="17" t="s">
        <v>166</v>
      </c>
      <c r="G4597" s="17">
        <v>1</v>
      </c>
      <c r="H4597" s="17">
        <v>28938</v>
      </c>
      <c r="I4597" s="17">
        <v>28938</v>
      </c>
      <c r="J4597" s="17">
        <v>1238</v>
      </c>
      <c r="K4597" s="17">
        <v>27700</v>
      </c>
      <c r="L4597" s="17">
        <v>4727.1100370000004</v>
      </c>
      <c r="M4597" s="17">
        <v>2024</v>
      </c>
      <c r="N4597" s="17" t="s">
        <v>114</v>
      </c>
    </row>
    <row r="4598" spans="1:14" ht="14.25" customHeight="1">
      <c r="A4598" s="17">
        <v>14597</v>
      </c>
      <c r="B4598" s="18">
        <v>45530</v>
      </c>
      <c r="C4598" s="17" t="s">
        <v>45</v>
      </c>
      <c r="D4598" s="17" t="s">
        <v>89</v>
      </c>
      <c r="E4598" s="17" t="s">
        <v>165</v>
      </c>
      <c r="F4598" s="17" t="s">
        <v>166</v>
      </c>
      <c r="G4598" s="17">
        <v>4</v>
      </c>
      <c r="H4598" s="17">
        <v>78920</v>
      </c>
      <c r="I4598" s="17">
        <v>315680</v>
      </c>
      <c r="J4598" s="17">
        <v>2780</v>
      </c>
      <c r="K4598" s="17">
        <v>312900</v>
      </c>
      <c r="L4598" s="17">
        <v>70208.114820000003</v>
      </c>
      <c r="M4598" s="17">
        <v>2024</v>
      </c>
      <c r="N4598" s="17" t="s">
        <v>126</v>
      </c>
    </row>
    <row r="4599" spans="1:14" ht="14.25" customHeight="1">
      <c r="A4599" s="17">
        <v>14598</v>
      </c>
      <c r="B4599" s="18">
        <v>45496</v>
      </c>
      <c r="C4599" s="17" t="s">
        <v>58</v>
      </c>
      <c r="D4599" s="17" t="s">
        <v>111</v>
      </c>
      <c r="E4599" s="17" t="s">
        <v>162</v>
      </c>
      <c r="F4599" s="17" t="s">
        <v>164</v>
      </c>
      <c r="G4599" s="17">
        <v>8</v>
      </c>
      <c r="H4599" s="17">
        <v>30762</v>
      </c>
      <c r="I4599" s="17">
        <v>246096</v>
      </c>
      <c r="J4599" s="17">
        <v>2127</v>
      </c>
      <c r="K4599" s="17">
        <v>243969</v>
      </c>
      <c r="L4599" s="17">
        <v>27351.401620000001</v>
      </c>
      <c r="M4599" s="17">
        <v>2024</v>
      </c>
      <c r="N4599" s="17" t="s">
        <v>123</v>
      </c>
    </row>
    <row r="4600" spans="1:14" ht="14.25" customHeight="1">
      <c r="A4600" s="17">
        <v>14599</v>
      </c>
      <c r="B4600" s="18">
        <v>45851</v>
      </c>
      <c r="C4600" s="17" t="s">
        <v>39</v>
      </c>
      <c r="D4600" s="17" t="s">
        <v>111</v>
      </c>
      <c r="E4600" s="17" t="s">
        <v>168</v>
      </c>
      <c r="F4600" s="17" t="s">
        <v>172</v>
      </c>
      <c r="G4600" s="17">
        <v>3</v>
      </c>
      <c r="H4600" s="17">
        <v>33724</v>
      </c>
      <c r="I4600" s="17">
        <v>101172</v>
      </c>
      <c r="J4600" s="17">
        <v>2466</v>
      </c>
      <c r="K4600" s="17">
        <v>98706</v>
      </c>
      <c r="L4600" s="17">
        <v>15457.341990000001</v>
      </c>
      <c r="M4600" s="17">
        <v>2025</v>
      </c>
      <c r="N4600" s="17" t="s">
        <v>123</v>
      </c>
    </row>
    <row r="4601" spans="1:14" ht="14.25" customHeight="1">
      <c r="A4601" s="17">
        <v>14600</v>
      </c>
      <c r="B4601" s="18">
        <v>45724</v>
      </c>
      <c r="C4601" s="17" t="s">
        <v>167</v>
      </c>
      <c r="D4601" s="17" t="s">
        <v>89</v>
      </c>
      <c r="E4601" s="17" t="s">
        <v>165</v>
      </c>
      <c r="F4601" s="17" t="s">
        <v>172</v>
      </c>
      <c r="G4601" s="17">
        <v>5</v>
      </c>
      <c r="H4601" s="17">
        <v>25653</v>
      </c>
      <c r="I4601" s="17">
        <v>128265</v>
      </c>
      <c r="J4601" s="17">
        <v>583</v>
      </c>
      <c r="K4601" s="17">
        <v>127682</v>
      </c>
      <c r="L4601" s="17">
        <v>21310.864020000001</v>
      </c>
      <c r="M4601" s="17">
        <v>2025</v>
      </c>
      <c r="N4601" s="17" t="s">
        <v>112</v>
      </c>
    </row>
    <row r="4602" spans="1:14" ht="14.25" customHeight="1">
      <c r="A4602" s="17">
        <v>14601</v>
      </c>
      <c r="B4602" s="18">
        <v>45536</v>
      </c>
      <c r="C4602" s="17" t="s">
        <v>50</v>
      </c>
      <c r="D4602" s="17" t="s">
        <v>111</v>
      </c>
      <c r="E4602" s="17" t="s">
        <v>165</v>
      </c>
      <c r="F4602" s="17" t="s">
        <v>163</v>
      </c>
      <c r="G4602" s="17">
        <v>5</v>
      </c>
      <c r="H4602" s="17">
        <v>18507</v>
      </c>
      <c r="I4602" s="17">
        <v>92535</v>
      </c>
      <c r="J4602" s="17">
        <v>2759</v>
      </c>
      <c r="K4602" s="17">
        <v>89776</v>
      </c>
      <c r="L4602" s="17">
        <v>10646.44462</v>
      </c>
      <c r="M4602" s="17">
        <v>2024</v>
      </c>
      <c r="N4602" s="17" t="s">
        <v>129</v>
      </c>
    </row>
    <row r="4603" spans="1:14" ht="14.25" customHeight="1">
      <c r="A4603" s="17">
        <v>14602</v>
      </c>
      <c r="B4603" s="18">
        <v>45608</v>
      </c>
      <c r="C4603" s="17" t="s">
        <v>45</v>
      </c>
      <c r="D4603" s="17" t="s">
        <v>111</v>
      </c>
      <c r="E4603" s="17" t="s">
        <v>162</v>
      </c>
      <c r="F4603" s="17" t="s">
        <v>163</v>
      </c>
      <c r="G4603" s="17">
        <v>5</v>
      </c>
      <c r="H4603" s="17">
        <v>77914</v>
      </c>
      <c r="I4603" s="17">
        <v>389570</v>
      </c>
      <c r="J4603" s="17">
        <v>1708</v>
      </c>
      <c r="K4603" s="17">
        <v>387862</v>
      </c>
      <c r="L4603" s="17">
        <v>43770.219700000001</v>
      </c>
      <c r="M4603" s="17">
        <v>2024</v>
      </c>
      <c r="N4603" s="17" t="s">
        <v>173</v>
      </c>
    </row>
    <row r="4604" spans="1:14" ht="14.25" customHeight="1">
      <c r="A4604" s="17">
        <v>14603</v>
      </c>
      <c r="B4604" s="18">
        <v>45586</v>
      </c>
      <c r="C4604" s="17" t="s">
        <v>39</v>
      </c>
      <c r="D4604" s="17" t="s">
        <v>89</v>
      </c>
      <c r="E4604" s="17" t="s">
        <v>168</v>
      </c>
      <c r="F4604" s="17" t="s">
        <v>163</v>
      </c>
      <c r="G4604" s="17">
        <v>9</v>
      </c>
      <c r="H4604" s="17">
        <v>47773</v>
      </c>
      <c r="I4604" s="17">
        <v>429957</v>
      </c>
      <c r="J4604" s="17">
        <v>2704</v>
      </c>
      <c r="K4604" s="17">
        <v>427253</v>
      </c>
      <c r="L4604" s="17">
        <v>54236.41257</v>
      </c>
      <c r="M4604" s="17">
        <v>2024</v>
      </c>
      <c r="N4604" s="17" t="s">
        <v>174</v>
      </c>
    </row>
    <row r="4605" spans="1:14" ht="14.25" customHeight="1">
      <c r="A4605" s="17">
        <v>14604</v>
      </c>
      <c r="B4605" s="18">
        <v>45931</v>
      </c>
      <c r="C4605" s="17" t="s">
        <v>58</v>
      </c>
      <c r="D4605" s="17" t="s">
        <v>83</v>
      </c>
      <c r="E4605" s="17" t="s">
        <v>162</v>
      </c>
      <c r="F4605" s="17" t="s">
        <v>164</v>
      </c>
      <c r="G4605" s="17">
        <v>8</v>
      </c>
      <c r="H4605" s="17">
        <v>40205</v>
      </c>
      <c r="I4605" s="17">
        <v>321640</v>
      </c>
      <c r="J4605" s="17">
        <v>4837</v>
      </c>
      <c r="K4605" s="17">
        <v>316803</v>
      </c>
      <c r="L4605" s="17">
        <v>43134.996359999997</v>
      </c>
      <c r="M4605" s="17">
        <v>2025</v>
      </c>
      <c r="N4605" s="17" t="s">
        <v>174</v>
      </c>
    </row>
    <row r="4606" spans="1:14" ht="14.25" customHeight="1">
      <c r="A4606" s="17">
        <v>14605</v>
      </c>
      <c r="B4606" s="18">
        <v>45573</v>
      </c>
      <c r="C4606" s="17" t="s">
        <v>50</v>
      </c>
      <c r="D4606" s="17" t="s">
        <v>89</v>
      </c>
      <c r="E4606" s="17" t="s">
        <v>168</v>
      </c>
      <c r="F4606" s="17" t="s">
        <v>164</v>
      </c>
      <c r="G4606" s="17">
        <v>8</v>
      </c>
      <c r="H4606" s="17">
        <v>16571</v>
      </c>
      <c r="I4606" s="17">
        <v>132568</v>
      </c>
      <c r="J4606" s="17">
        <v>671</v>
      </c>
      <c r="K4606" s="17">
        <v>131897</v>
      </c>
      <c r="L4606" s="17">
        <v>32302.773799999999</v>
      </c>
      <c r="M4606" s="17">
        <v>2024</v>
      </c>
      <c r="N4606" s="17" t="s">
        <v>174</v>
      </c>
    </row>
    <row r="4607" spans="1:14" ht="14.25" customHeight="1">
      <c r="A4607" s="17">
        <v>14606</v>
      </c>
      <c r="B4607" s="18">
        <v>45308</v>
      </c>
      <c r="C4607" s="17" t="s">
        <v>50</v>
      </c>
      <c r="D4607" s="17" t="s">
        <v>83</v>
      </c>
      <c r="E4607" s="17" t="s">
        <v>168</v>
      </c>
      <c r="F4607" s="17" t="s">
        <v>172</v>
      </c>
      <c r="G4607" s="17">
        <v>1</v>
      </c>
      <c r="H4607" s="17">
        <v>42320</v>
      </c>
      <c r="I4607" s="17">
        <v>42320</v>
      </c>
      <c r="J4607" s="17">
        <v>1771</v>
      </c>
      <c r="K4607" s="17">
        <v>40549</v>
      </c>
      <c r="L4607" s="17">
        <v>6947.749057</v>
      </c>
      <c r="M4607" s="17">
        <v>2024</v>
      </c>
      <c r="N4607" s="17" t="s">
        <v>171</v>
      </c>
    </row>
    <row r="4608" spans="1:14" ht="14.25" customHeight="1">
      <c r="A4608" s="17">
        <v>14607</v>
      </c>
      <c r="B4608" s="18">
        <v>45362</v>
      </c>
      <c r="C4608" s="17" t="s">
        <v>39</v>
      </c>
      <c r="D4608" s="17" t="s">
        <v>111</v>
      </c>
      <c r="E4608" s="17" t="s">
        <v>165</v>
      </c>
      <c r="F4608" s="17" t="s">
        <v>163</v>
      </c>
      <c r="G4608" s="17">
        <v>1</v>
      </c>
      <c r="H4608" s="17">
        <v>53853</v>
      </c>
      <c r="I4608" s="17">
        <v>53853</v>
      </c>
      <c r="J4608" s="17">
        <v>1685</v>
      </c>
      <c r="K4608" s="17">
        <v>52168</v>
      </c>
      <c r="L4608" s="17">
        <v>9209.9137379999993</v>
      </c>
      <c r="M4608" s="17">
        <v>2024</v>
      </c>
      <c r="N4608" s="17" t="s">
        <v>112</v>
      </c>
    </row>
    <row r="4609" spans="1:14" ht="14.25" customHeight="1">
      <c r="A4609" s="17">
        <v>14608</v>
      </c>
      <c r="B4609" s="18">
        <v>45560</v>
      </c>
      <c r="C4609" s="17" t="s">
        <v>58</v>
      </c>
      <c r="D4609" s="17" t="s">
        <v>83</v>
      </c>
      <c r="E4609" s="17" t="s">
        <v>168</v>
      </c>
      <c r="F4609" s="17" t="s">
        <v>172</v>
      </c>
      <c r="G4609" s="17">
        <v>2</v>
      </c>
      <c r="H4609" s="17">
        <v>35190</v>
      </c>
      <c r="I4609" s="17">
        <v>70380</v>
      </c>
      <c r="J4609" s="17">
        <v>2077</v>
      </c>
      <c r="K4609" s="17">
        <v>68303</v>
      </c>
      <c r="L4609" s="17">
        <v>14073.814759999999</v>
      </c>
      <c r="M4609" s="17">
        <v>2024</v>
      </c>
      <c r="N4609" s="17" t="s">
        <v>129</v>
      </c>
    </row>
    <row r="4610" spans="1:14" ht="14.25" customHeight="1">
      <c r="A4610" s="17">
        <v>14609</v>
      </c>
      <c r="B4610" s="18">
        <v>45616</v>
      </c>
      <c r="C4610" s="17" t="s">
        <v>45</v>
      </c>
      <c r="D4610" s="17" t="s">
        <v>111</v>
      </c>
      <c r="E4610" s="17" t="s">
        <v>165</v>
      </c>
      <c r="F4610" s="17" t="s">
        <v>164</v>
      </c>
      <c r="G4610" s="17">
        <v>8</v>
      </c>
      <c r="H4610" s="17">
        <v>41522</v>
      </c>
      <c r="I4610" s="17">
        <v>332176</v>
      </c>
      <c r="J4610" s="17">
        <v>2485</v>
      </c>
      <c r="K4610" s="17">
        <v>329691</v>
      </c>
      <c r="L4610" s="17">
        <v>66808.590729999996</v>
      </c>
      <c r="M4610" s="17">
        <v>2024</v>
      </c>
      <c r="N4610" s="17" t="s">
        <v>173</v>
      </c>
    </row>
    <row r="4611" spans="1:14" ht="14.25" customHeight="1">
      <c r="A4611" s="17">
        <v>14610</v>
      </c>
      <c r="B4611" s="18">
        <v>45596</v>
      </c>
      <c r="C4611" s="17" t="s">
        <v>39</v>
      </c>
      <c r="D4611" s="17" t="s">
        <v>83</v>
      </c>
      <c r="E4611" s="17" t="s">
        <v>168</v>
      </c>
      <c r="F4611" s="17" t="s">
        <v>166</v>
      </c>
      <c r="G4611" s="17">
        <v>1</v>
      </c>
      <c r="H4611" s="17">
        <v>76801</v>
      </c>
      <c r="I4611" s="17">
        <v>76801</v>
      </c>
      <c r="J4611" s="17">
        <v>1696</v>
      </c>
      <c r="K4611" s="17">
        <v>75105</v>
      </c>
      <c r="L4611" s="17">
        <v>13174.66452</v>
      </c>
      <c r="M4611" s="17">
        <v>2024</v>
      </c>
      <c r="N4611" s="17" t="s">
        <v>174</v>
      </c>
    </row>
    <row r="4612" spans="1:14" ht="14.25" customHeight="1">
      <c r="A4612" s="17">
        <v>14611</v>
      </c>
      <c r="B4612" s="18">
        <v>45742</v>
      </c>
      <c r="C4612" s="17" t="s">
        <v>45</v>
      </c>
      <c r="D4612" s="17" t="s">
        <v>83</v>
      </c>
      <c r="E4612" s="17" t="s">
        <v>165</v>
      </c>
      <c r="F4612" s="17" t="s">
        <v>172</v>
      </c>
      <c r="G4612" s="17">
        <v>4</v>
      </c>
      <c r="H4612" s="17">
        <v>49489</v>
      </c>
      <c r="I4612" s="17">
        <v>197956</v>
      </c>
      <c r="J4612" s="17">
        <v>3601</v>
      </c>
      <c r="K4612" s="17">
        <v>194355</v>
      </c>
      <c r="L4612" s="17">
        <v>29342.893670000001</v>
      </c>
      <c r="M4612" s="17">
        <v>2025</v>
      </c>
      <c r="N4612" s="17" t="s">
        <v>112</v>
      </c>
    </row>
    <row r="4613" spans="1:14" ht="14.25" customHeight="1">
      <c r="A4613" s="17">
        <v>14612</v>
      </c>
      <c r="B4613" s="18">
        <v>45298</v>
      </c>
      <c r="C4613" s="17" t="s">
        <v>50</v>
      </c>
      <c r="D4613" s="17" t="s">
        <v>89</v>
      </c>
      <c r="E4613" s="17" t="s">
        <v>168</v>
      </c>
      <c r="F4613" s="17" t="s">
        <v>164</v>
      </c>
      <c r="G4613" s="17">
        <v>9</v>
      </c>
      <c r="H4613" s="17">
        <v>77277</v>
      </c>
      <c r="I4613" s="17">
        <v>695493</v>
      </c>
      <c r="J4613" s="17">
        <v>4158</v>
      </c>
      <c r="K4613" s="17">
        <v>691335</v>
      </c>
      <c r="L4613" s="17">
        <v>103463.6434</v>
      </c>
      <c r="M4613" s="17">
        <v>2024</v>
      </c>
      <c r="N4613" s="17" t="s">
        <v>171</v>
      </c>
    </row>
    <row r="4614" spans="1:14" ht="14.25" customHeight="1">
      <c r="A4614" s="17">
        <v>14613</v>
      </c>
      <c r="B4614" s="18">
        <v>45605</v>
      </c>
      <c r="C4614" s="17" t="s">
        <v>45</v>
      </c>
      <c r="D4614" s="17" t="s">
        <v>83</v>
      </c>
      <c r="E4614" s="17" t="s">
        <v>162</v>
      </c>
      <c r="F4614" s="17" t="s">
        <v>163</v>
      </c>
      <c r="G4614" s="17">
        <v>2</v>
      </c>
      <c r="H4614" s="17">
        <v>6837</v>
      </c>
      <c r="I4614" s="17">
        <v>13674</v>
      </c>
      <c r="J4614" s="17">
        <v>1453</v>
      </c>
      <c r="K4614" s="17">
        <v>12221</v>
      </c>
      <c r="L4614" s="17">
        <v>1327.8924320000001</v>
      </c>
      <c r="M4614" s="17">
        <v>2024</v>
      </c>
      <c r="N4614" s="17" t="s">
        <v>173</v>
      </c>
    </row>
    <row r="4615" spans="1:14" ht="14.25" customHeight="1">
      <c r="A4615" s="17">
        <v>14614</v>
      </c>
      <c r="B4615" s="18">
        <v>45394</v>
      </c>
      <c r="C4615" s="17" t="s">
        <v>58</v>
      </c>
      <c r="D4615" s="17" t="s">
        <v>111</v>
      </c>
      <c r="E4615" s="17" t="s">
        <v>168</v>
      </c>
      <c r="F4615" s="17" t="s">
        <v>166</v>
      </c>
      <c r="G4615" s="17">
        <v>3</v>
      </c>
      <c r="H4615" s="17">
        <v>58763</v>
      </c>
      <c r="I4615" s="17">
        <v>176289</v>
      </c>
      <c r="J4615" s="17">
        <v>3206</v>
      </c>
      <c r="K4615" s="17">
        <v>173083</v>
      </c>
      <c r="L4615" s="17">
        <v>40664.90251</v>
      </c>
      <c r="M4615" s="17">
        <v>2024</v>
      </c>
      <c r="N4615" s="17" t="s">
        <v>114</v>
      </c>
    </row>
    <row r="4616" spans="1:14" ht="14.25" customHeight="1">
      <c r="A4616" s="17">
        <v>14615</v>
      </c>
      <c r="B4616" s="18">
        <v>45484</v>
      </c>
      <c r="C4616" s="17" t="s">
        <v>167</v>
      </c>
      <c r="D4616" s="17" t="s">
        <v>89</v>
      </c>
      <c r="E4616" s="17" t="s">
        <v>162</v>
      </c>
      <c r="F4616" s="17" t="s">
        <v>166</v>
      </c>
      <c r="G4616" s="17">
        <v>6</v>
      </c>
      <c r="H4616" s="17">
        <v>61964</v>
      </c>
      <c r="I4616" s="17">
        <v>371784</v>
      </c>
      <c r="J4616" s="17">
        <v>4252</v>
      </c>
      <c r="K4616" s="17">
        <v>367532</v>
      </c>
      <c r="L4616" s="17">
        <v>79169.766210000002</v>
      </c>
      <c r="M4616" s="17">
        <v>2024</v>
      </c>
      <c r="N4616" s="17" t="s">
        <v>123</v>
      </c>
    </row>
    <row r="4617" spans="1:14" ht="14.25" customHeight="1">
      <c r="A4617" s="17">
        <v>14616</v>
      </c>
      <c r="B4617" s="18">
        <v>45865</v>
      </c>
      <c r="C4617" s="17" t="s">
        <v>58</v>
      </c>
      <c r="D4617" s="17" t="s">
        <v>83</v>
      </c>
      <c r="E4617" s="17" t="s">
        <v>168</v>
      </c>
      <c r="F4617" s="17" t="s">
        <v>166</v>
      </c>
      <c r="G4617" s="17">
        <v>3</v>
      </c>
      <c r="H4617" s="17">
        <v>61398</v>
      </c>
      <c r="I4617" s="17">
        <v>184194</v>
      </c>
      <c r="J4617" s="17">
        <v>2990</v>
      </c>
      <c r="K4617" s="17">
        <v>181204</v>
      </c>
      <c r="L4617" s="17">
        <v>35063.243300000002</v>
      </c>
      <c r="M4617" s="17">
        <v>2025</v>
      </c>
      <c r="N4617" s="17" t="s">
        <v>123</v>
      </c>
    </row>
    <row r="4618" spans="1:14" ht="14.25" customHeight="1">
      <c r="A4618" s="17">
        <v>14617</v>
      </c>
      <c r="B4618" s="18">
        <v>45820</v>
      </c>
      <c r="C4618" s="17" t="s">
        <v>45</v>
      </c>
      <c r="D4618" s="17" t="s">
        <v>89</v>
      </c>
      <c r="E4618" s="17" t="s">
        <v>168</v>
      </c>
      <c r="F4618" s="17" t="s">
        <v>163</v>
      </c>
      <c r="G4618" s="17">
        <v>4</v>
      </c>
      <c r="H4618" s="17">
        <v>58198</v>
      </c>
      <c r="I4618" s="17">
        <v>232792</v>
      </c>
      <c r="J4618" s="17">
        <v>4872</v>
      </c>
      <c r="K4618" s="17">
        <v>227920</v>
      </c>
      <c r="L4618" s="17">
        <v>36333.242639999997</v>
      </c>
      <c r="M4618" s="17">
        <v>2025</v>
      </c>
      <c r="N4618" s="17" t="s">
        <v>120</v>
      </c>
    </row>
    <row r="4619" spans="1:14" ht="14.25" customHeight="1">
      <c r="A4619" s="17">
        <v>14618</v>
      </c>
      <c r="B4619" s="18">
        <v>45462</v>
      </c>
      <c r="C4619" s="17" t="s">
        <v>39</v>
      </c>
      <c r="D4619" s="17" t="s">
        <v>170</v>
      </c>
      <c r="E4619" s="17" t="s">
        <v>165</v>
      </c>
      <c r="F4619" s="17" t="s">
        <v>166</v>
      </c>
      <c r="G4619" s="17">
        <v>9</v>
      </c>
      <c r="H4619" s="17">
        <v>40143</v>
      </c>
      <c r="I4619" s="17">
        <v>361287</v>
      </c>
      <c r="J4619" s="17">
        <v>2301</v>
      </c>
      <c r="K4619" s="17">
        <v>358986</v>
      </c>
      <c r="L4619" s="17">
        <v>67263.156419999999</v>
      </c>
      <c r="M4619" s="17">
        <v>2024</v>
      </c>
      <c r="N4619" s="17" t="s">
        <v>120</v>
      </c>
    </row>
    <row r="4620" spans="1:14" ht="14.25" customHeight="1">
      <c r="A4620" s="17">
        <v>14619</v>
      </c>
      <c r="B4620" s="18">
        <v>45828</v>
      </c>
      <c r="C4620" s="17" t="s">
        <v>50</v>
      </c>
      <c r="D4620" s="17" t="s">
        <v>89</v>
      </c>
      <c r="E4620" s="17" t="s">
        <v>168</v>
      </c>
      <c r="F4620" s="17" t="s">
        <v>164</v>
      </c>
      <c r="G4620" s="17">
        <v>9</v>
      </c>
      <c r="H4620" s="17">
        <v>54427</v>
      </c>
      <c r="I4620" s="17">
        <v>489843</v>
      </c>
      <c r="J4620" s="17">
        <v>3258</v>
      </c>
      <c r="K4620" s="17">
        <v>486585</v>
      </c>
      <c r="L4620" s="17">
        <v>84064.113410000005</v>
      </c>
      <c r="M4620" s="17">
        <v>2025</v>
      </c>
      <c r="N4620" s="17" t="s">
        <v>120</v>
      </c>
    </row>
    <row r="4621" spans="1:14" ht="14.25" customHeight="1">
      <c r="A4621" s="17">
        <v>14620</v>
      </c>
      <c r="B4621" s="18">
        <v>45542</v>
      </c>
      <c r="C4621" s="17" t="s">
        <v>167</v>
      </c>
      <c r="D4621" s="17" t="s">
        <v>170</v>
      </c>
      <c r="E4621" s="17" t="s">
        <v>168</v>
      </c>
      <c r="F4621" s="17" t="s">
        <v>172</v>
      </c>
      <c r="G4621" s="17">
        <v>5</v>
      </c>
      <c r="H4621" s="17">
        <v>11859</v>
      </c>
      <c r="I4621" s="17">
        <v>59295</v>
      </c>
      <c r="J4621" s="17">
        <v>1350</v>
      </c>
      <c r="K4621" s="17">
        <v>57945</v>
      </c>
      <c r="L4621" s="17">
        <v>8175.4743490000001</v>
      </c>
      <c r="M4621" s="17">
        <v>2024</v>
      </c>
      <c r="N4621" s="17" t="s">
        <v>129</v>
      </c>
    </row>
    <row r="4622" spans="1:14" ht="14.25" customHeight="1">
      <c r="A4622" s="17">
        <v>14621</v>
      </c>
      <c r="B4622" s="18">
        <v>45678</v>
      </c>
      <c r="C4622" s="17" t="s">
        <v>39</v>
      </c>
      <c r="D4622" s="17" t="s">
        <v>170</v>
      </c>
      <c r="E4622" s="17" t="s">
        <v>168</v>
      </c>
      <c r="F4622" s="17" t="s">
        <v>166</v>
      </c>
      <c r="G4622" s="17">
        <v>7</v>
      </c>
      <c r="H4622" s="17">
        <v>50507</v>
      </c>
      <c r="I4622" s="17">
        <v>353549</v>
      </c>
      <c r="J4622" s="17">
        <v>4101</v>
      </c>
      <c r="K4622" s="17">
        <v>349448</v>
      </c>
      <c r="L4622" s="17">
        <v>50595.147380000002</v>
      </c>
      <c r="M4622" s="17">
        <v>2025</v>
      </c>
      <c r="N4622" s="17" t="s">
        <v>171</v>
      </c>
    </row>
    <row r="4623" spans="1:14" ht="14.25" customHeight="1">
      <c r="A4623" s="17">
        <v>14622</v>
      </c>
      <c r="B4623" s="18">
        <v>45498</v>
      </c>
      <c r="C4623" s="17" t="s">
        <v>39</v>
      </c>
      <c r="D4623" s="17" t="s">
        <v>89</v>
      </c>
      <c r="E4623" s="17" t="s">
        <v>162</v>
      </c>
      <c r="F4623" s="17" t="s">
        <v>166</v>
      </c>
      <c r="G4623" s="17">
        <v>9</v>
      </c>
      <c r="H4623" s="17">
        <v>39356</v>
      </c>
      <c r="I4623" s="17">
        <v>354204</v>
      </c>
      <c r="J4623" s="17">
        <v>3949</v>
      </c>
      <c r="K4623" s="17">
        <v>350255</v>
      </c>
      <c r="L4623" s="17">
        <v>80969.133440000005</v>
      </c>
      <c r="M4623" s="17">
        <v>2024</v>
      </c>
      <c r="N4623" s="17" t="s">
        <v>123</v>
      </c>
    </row>
    <row r="4624" spans="1:14" ht="14.25" customHeight="1">
      <c r="A4624" s="17">
        <v>14623</v>
      </c>
      <c r="B4624" s="18">
        <v>45832</v>
      </c>
      <c r="C4624" s="17" t="s">
        <v>58</v>
      </c>
      <c r="D4624" s="17" t="s">
        <v>111</v>
      </c>
      <c r="E4624" s="17" t="s">
        <v>165</v>
      </c>
      <c r="F4624" s="17" t="s">
        <v>164</v>
      </c>
      <c r="G4624" s="17">
        <v>8</v>
      </c>
      <c r="H4624" s="17">
        <v>67570</v>
      </c>
      <c r="I4624" s="17">
        <v>540560</v>
      </c>
      <c r="J4624" s="17">
        <v>1279</v>
      </c>
      <c r="K4624" s="17">
        <v>539281</v>
      </c>
      <c r="L4624" s="17">
        <v>105287.179</v>
      </c>
      <c r="M4624" s="17">
        <v>2025</v>
      </c>
      <c r="N4624" s="17" t="s">
        <v>120</v>
      </c>
    </row>
    <row r="4625" spans="1:14" ht="14.25" customHeight="1">
      <c r="A4625" s="17">
        <v>14624</v>
      </c>
      <c r="B4625" s="18">
        <v>45920</v>
      </c>
      <c r="C4625" s="17" t="s">
        <v>45</v>
      </c>
      <c r="D4625" s="17" t="s">
        <v>111</v>
      </c>
      <c r="E4625" s="17" t="s">
        <v>165</v>
      </c>
      <c r="F4625" s="17" t="s">
        <v>163</v>
      </c>
      <c r="G4625" s="17">
        <v>7</v>
      </c>
      <c r="H4625" s="17">
        <v>17854</v>
      </c>
      <c r="I4625" s="17">
        <v>124978</v>
      </c>
      <c r="J4625" s="17">
        <v>820</v>
      </c>
      <c r="K4625" s="17">
        <v>124158</v>
      </c>
      <c r="L4625" s="17">
        <v>12442.291929999999</v>
      </c>
      <c r="M4625" s="17">
        <v>2025</v>
      </c>
      <c r="N4625" s="17" t="s">
        <v>129</v>
      </c>
    </row>
    <row r="4626" spans="1:14" ht="14.25" customHeight="1">
      <c r="A4626" s="17">
        <v>14625</v>
      </c>
      <c r="B4626" s="18">
        <v>45707</v>
      </c>
      <c r="C4626" s="17" t="s">
        <v>58</v>
      </c>
      <c r="D4626" s="17" t="s">
        <v>111</v>
      </c>
      <c r="E4626" s="17" t="s">
        <v>168</v>
      </c>
      <c r="F4626" s="17" t="s">
        <v>166</v>
      </c>
      <c r="G4626" s="17">
        <v>8</v>
      </c>
      <c r="H4626" s="17">
        <v>38013</v>
      </c>
      <c r="I4626" s="17">
        <v>304104</v>
      </c>
      <c r="J4626" s="17">
        <v>1343</v>
      </c>
      <c r="K4626" s="17">
        <v>302761</v>
      </c>
      <c r="L4626" s="17">
        <v>45120.703370000003</v>
      </c>
      <c r="M4626" s="17">
        <v>2025</v>
      </c>
      <c r="N4626" s="17" t="s">
        <v>175</v>
      </c>
    </row>
    <row r="4627" spans="1:14" ht="14.25" customHeight="1">
      <c r="A4627" s="17">
        <v>14626</v>
      </c>
      <c r="B4627" s="18">
        <v>45671</v>
      </c>
      <c r="C4627" s="17" t="s">
        <v>45</v>
      </c>
      <c r="D4627" s="17" t="s">
        <v>86</v>
      </c>
      <c r="E4627" s="17" t="s">
        <v>168</v>
      </c>
      <c r="F4627" s="17" t="s">
        <v>164</v>
      </c>
      <c r="G4627" s="17">
        <v>5</v>
      </c>
      <c r="H4627" s="17">
        <v>36654</v>
      </c>
      <c r="I4627" s="17">
        <v>183270</v>
      </c>
      <c r="J4627" s="17">
        <v>2295</v>
      </c>
      <c r="K4627" s="17">
        <v>180975</v>
      </c>
      <c r="L4627" s="17">
        <v>27325.744569999999</v>
      </c>
      <c r="M4627" s="17">
        <v>2025</v>
      </c>
      <c r="N4627" s="17" t="s">
        <v>171</v>
      </c>
    </row>
    <row r="4628" spans="1:14" ht="14.25" customHeight="1">
      <c r="A4628" s="17">
        <v>14627</v>
      </c>
      <c r="B4628" s="18">
        <v>45435</v>
      </c>
      <c r="C4628" s="17" t="s">
        <v>58</v>
      </c>
      <c r="D4628" s="17" t="s">
        <v>170</v>
      </c>
      <c r="E4628" s="17" t="s">
        <v>162</v>
      </c>
      <c r="F4628" s="17" t="s">
        <v>164</v>
      </c>
      <c r="G4628" s="17">
        <v>5</v>
      </c>
      <c r="H4628" s="17">
        <v>28054</v>
      </c>
      <c r="I4628" s="17">
        <v>140270</v>
      </c>
      <c r="J4628" s="17">
        <v>3</v>
      </c>
      <c r="K4628" s="17">
        <v>140267</v>
      </c>
      <c r="L4628" s="17">
        <v>28888.035489999998</v>
      </c>
      <c r="M4628" s="17">
        <v>2024</v>
      </c>
      <c r="N4628" s="17" t="s">
        <v>117</v>
      </c>
    </row>
    <row r="4629" spans="1:14" ht="14.25" customHeight="1">
      <c r="A4629" s="17">
        <v>14628</v>
      </c>
      <c r="B4629" s="18">
        <v>45316</v>
      </c>
      <c r="C4629" s="17" t="s">
        <v>39</v>
      </c>
      <c r="D4629" s="17" t="s">
        <v>89</v>
      </c>
      <c r="E4629" s="17" t="s">
        <v>168</v>
      </c>
      <c r="F4629" s="17" t="s">
        <v>163</v>
      </c>
      <c r="G4629" s="17">
        <v>5</v>
      </c>
      <c r="H4629" s="17">
        <v>78728</v>
      </c>
      <c r="I4629" s="17">
        <v>393640</v>
      </c>
      <c r="J4629" s="17">
        <v>2560</v>
      </c>
      <c r="K4629" s="17">
        <v>391080</v>
      </c>
      <c r="L4629" s="17">
        <v>80197.993979999999</v>
      </c>
      <c r="M4629" s="17">
        <v>2024</v>
      </c>
      <c r="N4629" s="17" t="s">
        <v>171</v>
      </c>
    </row>
    <row r="4630" spans="1:14" ht="14.25" customHeight="1">
      <c r="A4630" s="17">
        <v>14629</v>
      </c>
      <c r="B4630" s="18">
        <v>45959</v>
      </c>
      <c r="C4630" s="17" t="s">
        <v>50</v>
      </c>
      <c r="D4630" s="17" t="s">
        <v>111</v>
      </c>
      <c r="E4630" s="17" t="s">
        <v>165</v>
      </c>
      <c r="F4630" s="17" t="s">
        <v>163</v>
      </c>
      <c r="G4630" s="17">
        <v>1</v>
      </c>
      <c r="H4630" s="17">
        <v>65254</v>
      </c>
      <c r="I4630" s="17">
        <v>65254</v>
      </c>
      <c r="J4630" s="17">
        <v>2553</v>
      </c>
      <c r="K4630" s="17">
        <v>62701</v>
      </c>
      <c r="L4630" s="17">
        <v>10635.54602</v>
      </c>
      <c r="M4630" s="17">
        <v>2025</v>
      </c>
      <c r="N4630" s="17" t="s">
        <v>174</v>
      </c>
    </row>
    <row r="4631" spans="1:14" ht="14.25" customHeight="1">
      <c r="A4631" s="17">
        <v>14630</v>
      </c>
      <c r="B4631" s="18">
        <v>45364</v>
      </c>
      <c r="C4631" s="17" t="s">
        <v>45</v>
      </c>
      <c r="D4631" s="17" t="s">
        <v>111</v>
      </c>
      <c r="E4631" s="17" t="s">
        <v>165</v>
      </c>
      <c r="F4631" s="17" t="s">
        <v>172</v>
      </c>
      <c r="G4631" s="17">
        <v>6</v>
      </c>
      <c r="H4631" s="17">
        <v>72720</v>
      </c>
      <c r="I4631" s="17">
        <v>436320</v>
      </c>
      <c r="J4631" s="17">
        <v>30</v>
      </c>
      <c r="K4631" s="17">
        <v>436290</v>
      </c>
      <c r="L4631" s="17">
        <v>105864.4212</v>
      </c>
      <c r="M4631" s="17">
        <v>2024</v>
      </c>
      <c r="N4631" s="17" t="s">
        <v>112</v>
      </c>
    </row>
    <row r="4632" spans="1:14" ht="14.25" customHeight="1">
      <c r="A4632" s="17">
        <v>14631</v>
      </c>
      <c r="B4632" s="18">
        <v>45923</v>
      </c>
      <c r="C4632" s="17" t="s">
        <v>167</v>
      </c>
      <c r="D4632" s="17" t="s">
        <v>89</v>
      </c>
      <c r="E4632" s="17" t="s">
        <v>162</v>
      </c>
      <c r="F4632" s="17" t="s">
        <v>166</v>
      </c>
      <c r="G4632" s="17">
        <v>5</v>
      </c>
      <c r="H4632" s="17">
        <v>50206</v>
      </c>
      <c r="I4632" s="17">
        <v>251030</v>
      </c>
      <c r="J4632" s="17">
        <v>1652</v>
      </c>
      <c r="K4632" s="17">
        <v>249378</v>
      </c>
      <c r="L4632" s="17">
        <v>57565.014880000002</v>
      </c>
      <c r="M4632" s="17">
        <v>2025</v>
      </c>
      <c r="N4632" s="17" t="s">
        <v>129</v>
      </c>
    </row>
    <row r="4633" spans="1:14" ht="14.25" customHeight="1">
      <c r="A4633" s="17">
        <v>14632</v>
      </c>
      <c r="B4633" s="18">
        <v>45384</v>
      </c>
      <c r="C4633" s="17" t="s">
        <v>167</v>
      </c>
      <c r="D4633" s="17" t="s">
        <v>170</v>
      </c>
      <c r="E4633" s="17" t="s">
        <v>162</v>
      </c>
      <c r="F4633" s="17" t="s">
        <v>172</v>
      </c>
      <c r="G4633" s="17">
        <v>8</v>
      </c>
      <c r="H4633" s="17">
        <v>41019</v>
      </c>
      <c r="I4633" s="17">
        <v>328152</v>
      </c>
      <c r="J4633" s="17">
        <v>1298</v>
      </c>
      <c r="K4633" s="17">
        <v>326854</v>
      </c>
      <c r="L4633" s="17">
        <v>75154.065539999996</v>
      </c>
      <c r="M4633" s="17">
        <v>2024</v>
      </c>
      <c r="N4633" s="17" t="s">
        <v>114</v>
      </c>
    </row>
    <row r="4634" spans="1:14" ht="14.25" customHeight="1">
      <c r="A4634" s="17">
        <v>14633</v>
      </c>
      <c r="B4634" s="18">
        <v>45796</v>
      </c>
      <c r="C4634" s="17" t="s">
        <v>39</v>
      </c>
      <c r="D4634" s="17" t="s">
        <v>89</v>
      </c>
      <c r="E4634" s="17" t="s">
        <v>165</v>
      </c>
      <c r="F4634" s="17" t="s">
        <v>164</v>
      </c>
      <c r="G4634" s="17">
        <v>8</v>
      </c>
      <c r="H4634" s="17">
        <v>21281</v>
      </c>
      <c r="I4634" s="17">
        <v>170248</v>
      </c>
      <c r="J4634" s="17">
        <v>4804</v>
      </c>
      <c r="K4634" s="17">
        <v>165444</v>
      </c>
      <c r="L4634" s="17">
        <v>25187.16588</v>
      </c>
      <c r="M4634" s="17">
        <v>2025</v>
      </c>
      <c r="N4634" s="17" t="s">
        <v>117</v>
      </c>
    </row>
    <row r="4635" spans="1:14" ht="14.25" customHeight="1">
      <c r="A4635" s="17">
        <v>14634</v>
      </c>
      <c r="B4635" s="18">
        <v>45889</v>
      </c>
      <c r="C4635" s="17" t="s">
        <v>58</v>
      </c>
      <c r="D4635" s="17" t="s">
        <v>86</v>
      </c>
      <c r="E4635" s="17" t="s">
        <v>162</v>
      </c>
      <c r="F4635" s="17" t="s">
        <v>166</v>
      </c>
      <c r="G4635" s="17">
        <v>2</v>
      </c>
      <c r="H4635" s="17">
        <v>10863</v>
      </c>
      <c r="I4635" s="17">
        <v>21726</v>
      </c>
      <c r="J4635" s="17">
        <v>885</v>
      </c>
      <c r="K4635" s="17">
        <v>20841</v>
      </c>
      <c r="L4635" s="17">
        <v>3431.4699909999999</v>
      </c>
      <c r="M4635" s="17">
        <v>2025</v>
      </c>
      <c r="N4635" s="17" t="s">
        <v>126</v>
      </c>
    </row>
    <row r="4636" spans="1:14" ht="14.25" customHeight="1">
      <c r="A4636" s="17">
        <v>14635</v>
      </c>
      <c r="B4636" s="18">
        <v>45627</v>
      </c>
      <c r="C4636" s="17" t="s">
        <v>58</v>
      </c>
      <c r="D4636" s="17" t="s">
        <v>86</v>
      </c>
      <c r="E4636" s="17" t="s">
        <v>168</v>
      </c>
      <c r="F4636" s="17" t="s">
        <v>164</v>
      </c>
      <c r="G4636" s="17">
        <v>6</v>
      </c>
      <c r="H4636" s="17">
        <v>57203</v>
      </c>
      <c r="I4636" s="17">
        <v>343218</v>
      </c>
      <c r="J4636" s="17">
        <v>1200</v>
      </c>
      <c r="K4636" s="17">
        <v>342018</v>
      </c>
      <c r="L4636" s="17">
        <v>55695.677929999998</v>
      </c>
      <c r="M4636" s="17">
        <v>2024</v>
      </c>
      <c r="N4636" s="17" t="s">
        <v>169</v>
      </c>
    </row>
    <row r="4637" spans="1:14" ht="14.25" customHeight="1">
      <c r="A4637" s="17">
        <v>14636</v>
      </c>
      <c r="B4637" s="18">
        <v>45716</v>
      </c>
      <c r="C4637" s="17" t="s">
        <v>39</v>
      </c>
      <c r="D4637" s="17" t="s">
        <v>89</v>
      </c>
      <c r="E4637" s="17" t="s">
        <v>168</v>
      </c>
      <c r="F4637" s="17" t="s">
        <v>164</v>
      </c>
      <c r="G4637" s="17">
        <v>6</v>
      </c>
      <c r="H4637" s="17">
        <v>41539</v>
      </c>
      <c r="I4637" s="17">
        <v>249234</v>
      </c>
      <c r="J4637" s="17">
        <v>3358</v>
      </c>
      <c r="K4637" s="17">
        <v>245876</v>
      </c>
      <c r="L4637" s="17">
        <v>40825.258999999998</v>
      </c>
      <c r="M4637" s="17">
        <v>2025</v>
      </c>
      <c r="N4637" s="17" t="s">
        <v>175</v>
      </c>
    </row>
    <row r="4638" spans="1:14" ht="14.25" customHeight="1">
      <c r="A4638" s="17">
        <v>14637</v>
      </c>
      <c r="B4638" s="18">
        <v>45790</v>
      </c>
      <c r="C4638" s="17" t="s">
        <v>167</v>
      </c>
      <c r="D4638" s="17" t="s">
        <v>170</v>
      </c>
      <c r="E4638" s="17" t="s">
        <v>162</v>
      </c>
      <c r="F4638" s="17" t="s">
        <v>164</v>
      </c>
      <c r="G4638" s="17">
        <v>3</v>
      </c>
      <c r="H4638" s="17">
        <v>47088</v>
      </c>
      <c r="I4638" s="17">
        <v>141264</v>
      </c>
      <c r="J4638" s="17">
        <v>1979</v>
      </c>
      <c r="K4638" s="17">
        <v>139285</v>
      </c>
      <c r="L4638" s="17">
        <v>32506.558840000002</v>
      </c>
      <c r="M4638" s="17">
        <v>2025</v>
      </c>
      <c r="N4638" s="17" t="s">
        <v>117</v>
      </c>
    </row>
    <row r="4639" spans="1:14" ht="14.25" customHeight="1">
      <c r="A4639" s="17">
        <v>14638</v>
      </c>
      <c r="B4639" s="18">
        <v>45655</v>
      </c>
      <c r="C4639" s="17" t="s">
        <v>167</v>
      </c>
      <c r="D4639" s="17" t="s">
        <v>111</v>
      </c>
      <c r="E4639" s="17" t="s">
        <v>165</v>
      </c>
      <c r="F4639" s="17" t="s">
        <v>163</v>
      </c>
      <c r="G4639" s="17">
        <v>1</v>
      </c>
      <c r="H4639" s="17">
        <v>67438</v>
      </c>
      <c r="I4639" s="17">
        <v>67438</v>
      </c>
      <c r="J4639" s="17">
        <v>4843</v>
      </c>
      <c r="K4639" s="17">
        <v>62595</v>
      </c>
      <c r="L4639" s="17">
        <v>8598.5565279999992</v>
      </c>
      <c r="M4639" s="17">
        <v>2024</v>
      </c>
      <c r="N4639" s="17" t="s">
        <v>169</v>
      </c>
    </row>
    <row r="4640" spans="1:14" ht="14.25" customHeight="1">
      <c r="A4640" s="17">
        <v>14639</v>
      </c>
      <c r="B4640" s="18">
        <v>45921</v>
      </c>
      <c r="C4640" s="17" t="s">
        <v>58</v>
      </c>
      <c r="D4640" s="17" t="s">
        <v>86</v>
      </c>
      <c r="E4640" s="17" t="s">
        <v>162</v>
      </c>
      <c r="F4640" s="17" t="s">
        <v>163</v>
      </c>
      <c r="G4640" s="17">
        <v>7</v>
      </c>
      <c r="H4640" s="17">
        <v>21077</v>
      </c>
      <c r="I4640" s="17">
        <v>147539</v>
      </c>
      <c r="J4640" s="17">
        <v>4038</v>
      </c>
      <c r="K4640" s="17">
        <v>143501</v>
      </c>
      <c r="L4640" s="17">
        <v>31617.469229999999</v>
      </c>
      <c r="M4640" s="17">
        <v>2025</v>
      </c>
      <c r="N4640" s="17" t="s">
        <v>129</v>
      </c>
    </row>
    <row r="4641" spans="1:14" ht="14.25" customHeight="1">
      <c r="A4641" s="17">
        <v>14640</v>
      </c>
      <c r="B4641" s="18">
        <v>45490</v>
      </c>
      <c r="C4641" s="17" t="s">
        <v>45</v>
      </c>
      <c r="D4641" s="17" t="s">
        <v>86</v>
      </c>
      <c r="E4641" s="17" t="s">
        <v>165</v>
      </c>
      <c r="F4641" s="17" t="s">
        <v>166</v>
      </c>
      <c r="G4641" s="17">
        <v>5</v>
      </c>
      <c r="H4641" s="17">
        <v>30273</v>
      </c>
      <c r="I4641" s="17">
        <v>151365</v>
      </c>
      <c r="J4641" s="17">
        <v>2126</v>
      </c>
      <c r="K4641" s="17">
        <v>149239</v>
      </c>
      <c r="L4641" s="17">
        <v>26431.121780000001</v>
      </c>
      <c r="M4641" s="17">
        <v>2024</v>
      </c>
      <c r="N4641" s="17" t="s">
        <v>123</v>
      </c>
    </row>
    <row r="4642" spans="1:14" ht="14.25" customHeight="1">
      <c r="A4642" s="17">
        <v>14641</v>
      </c>
      <c r="B4642" s="18">
        <v>46009</v>
      </c>
      <c r="C4642" s="17" t="s">
        <v>50</v>
      </c>
      <c r="D4642" s="17" t="s">
        <v>170</v>
      </c>
      <c r="E4642" s="17" t="s">
        <v>162</v>
      </c>
      <c r="F4642" s="17" t="s">
        <v>164</v>
      </c>
      <c r="G4642" s="17">
        <v>5</v>
      </c>
      <c r="H4642" s="17">
        <v>36052</v>
      </c>
      <c r="I4642" s="17">
        <v>180260</v>
      </c>
      <c r="J4642" s="17">
        <v>2290</v>
      </c>
      <c r="K4642" s="17">
        <v>177970</v>
      </c>
      <c r="L4642" s="17">
        <v>24446.426879999999</v>
      </c>
      <c r="M4642" s="17">
        <v>2025</v>
      </c>
      <c r="N4642" s="17" t="s">
        <v>169</v>
      </c>
    </row>
    <row r="4643" spans="1:14" ht="14.25" customHeight="1">
      <c r="A4643" s="17">
        <v>14642</v>
      </c>
      <c r="B4643" s="18">
        <v>45704</v>
      </c>
      <c r="C4643" s="17" t="s">
        <v>45</v>
      </c>
      <c r="D4643" s="17" t="s">
        <v>86</v>
      </c>
      <c r="E4643" s="17" t="s">
        <v>162</v>
      </c>
      <c r="F4643" s="17" t="s">
        <v>164</v>
      </c>
      <c r="G4643" s="17">
        <v>8</v>
      </c>
      <c r="H4643" s="17">
        <v>72955</v>
      </c>
      <c r="I4643" s="17">
        <v>583640</v>
      </c>
      <c r="J4643" s="17">
        <v>3894</v>
      </c>
      <c r="K4643" s="17">
        <v>579746</v>
      </c>
      <c r="L4643" s="17">
        <v>103829.0689</v>
      </c>
      <c r="M4643" s="17">
        <v>2025</v>
      </c>
      <c r="N4643" s="17" t="s">
        <v>175</v>
      </c>
    </row>
    <row r="4644" spans="1:14" ht="14.25" customHeight="1">
      <c r="A4644" s="17">
        <v>14643</v>
      </c>
      <c r="B4644" s="18">
        <v>45630</v>
      </c>
      <c r="C4644" s="17" t="s">
        <v>167</v>
      </c>
      <c r="D4644" s="17" t="s">
        <v>86</v>
      </c>
      <c r="E4644" s="17" t="s">
        <v>162</v>
      </c>
      <c r="F4644" s="17" t="s">
        <v>166</v>
      </c>
      <c r="G4644" s="17">
        <v>5</v>
      </c>
      <c r="H4644" s="17">
        <v>18518</v>
      </c>
      <c r="I4644" s="17">
        <v>92590</v>
      </c>
      <c r="J4644" s="17">
        <v>4596</v>
      </c>
      <c r="K4644" s="17">
        <v>87994</v>
      </c>
      <c r="L4644" s="17">
        <v>11379.0535</v>
      </c>
      <c r="M4644" s="17">
        <v>2024</v>
      </c>
      <c r="N4644" s="17" t="s">
        <v>169</v>
      </c>
    </row>
    <row r="4645" spans="1:14" ht="14.25" customHeight="1">
      <c r="A4645" s="17">
        <v>14644</v>
      </c>
      <c r="B4645" s="18">
        <v>45950</v>
      </c>
      <c r="C4645" s="17" t="s">
        <v>45</v>
      </c>
      <c r="D4645" s="17" t="s">
        <v>170</v>
      </c>
      <c r="E4645" s="17" t="s">
        <v>168</v>
      </c>
      <c r="F4645" s="17" t="s">
        <v>172</v>
      </c>
      <c r="G4645" s="17">
        <v>5</v>
      </c>
      <c r="H4645" s="17">
        <v>12396</v>
      </c>
      <c r="I4645" s="17">
        <v>61980</v>
      </c>
      <c r="J4645" s="17">
        <v>204</v>
      </c>
      <c r="K4645" s="17">
        <v>61776</v>
      </c>
      <c r="L4645" s="17">
        <v>7180.0326420000001</v>
      </c>
      <c r="M4645" s="17">
        <v>2025</v>
      </c>
      <c r="N4645" s="17" t="s">
        <v>174</v>
      </c>
    </row>
    <row r="4646" spans="1:14" ht="14.25" customHeight="1">
      <c r="A4646" s="17">
        <v>14645</v>
      </c>
      <c r="B4646" s="18">
        <v>45720</v>
      </c>
      <c r="C4646" s="17" t="s">
        <v>50</v>
      </c>
      <c r="D4646" s="17" t="s">
        <v>89</v>
      </c>
      <c r="E4646" s="17" t="s">
        <v>168</v>
      </c>
      <c r="F4646" s="17" t="s">
        <v>164</v>
      </c>
      <c r="G4646" s="17">
        <v>1</v>
      </c>
      <c r="H4646" s="17">
        <v>45077</v>
      </c>
      <c r="I4646" s="17">
        <v>45077</v>
      </c>
      <c r="J4646" s="17">
        <v>1483</v>
      </c>
      <c r="K4646" s="17">
        <v>43594</v>
      </c>
      <c r="L4646" s="17">
        <v>9840.3259529999996</v>
      </c>
      <c r="M4646" s="17">
        <v>2025</v>
      </c>
      <c r="N4646" s="17" t="s">
        <v>112</v>
      </c>
    </row>
    <row r="4647" spans="1:14" ht="14.25" customHeight="1">
      <c r="A4647" s="17">
        <v>14646</v>
      </c>
      <c r="B4647" s="18">
        <v>45430</v>
      </c>
      <c r="C4647" s="17" t="s">
        <v>45</v>
      </c>
      <c r="D4647" s="17" t="s">
        <v>111</v>
      </c>
      <c r="E4647" s="17" t="s">
        <v>165</v>
      </c>
      <c r="F4647" s="17" t="s">
        <v>163</v>
      </c>
      <c r="G4647" s="17">
        <v>2</v>
      </c>
      <c r="H4647" s="17">
        <v>16981</v>
      </c>
      <c r="I4647" s="17">
        <v>33962</v>
      </c>
      <c r="J4647" s="17">
        <v>2770</v>
      </c>
      <c r="K4647" s="17">
        <v>31192</v>
      </c>
      <c r="L4647" s="17">
        <v>6391.1878829999996</v>
      </c>
      <c r="M4647" s="17">
        <v>2024</v>
      </c>
      <c r="N4647" s="17" t="s">
        <v>117</v>
      </c>
    </row>
    <row r="4648" spans="1:14" ht="14.25" customHeight="1">
      <c r="A4648" s="17">
        <v>14647</v>
      </c>
      <c r="B4648" s="18">
        <v>45984</v>
      </c>
      <c r="C4648" s="17" t="s">
        <v>45</v>
      </c>
      <c r="D4648" s="17" t="s">
        <v>111</v>
      </c>
      <c r="E4648" s="17" t="s">
        <v>162</v>
      </c>
      <c r="F4648" s="17" t="s">
        <v>172</v>
      </c>
      <c r="G4648" s="17">
        <v>5</v>
      </c>
      <c r="H4648" s="17">
        <v>73292</v>
      </c>
      <c r="I4648" s="17">
        <v>366460</v>
      </c>
      <c r="J4648" s="17">
        <v>4428</v>
      </c>
      <c r="K4648" s="17">
        <v>362032</v>
      </c>
      <c r="L4648" s="17">
        <v>47334.54307</v>
      </c>
      <c r="M4648" s="17">
        <v>2025</v>
      </c>
      <c r="N4648" s="17" t="s">
        <v>173</v>
      </c>
    </row>
    <row r="4649" spans="1:14" ht="14.25" customHeight="1">
      <c r="A4649" s="17">
        <v>14648</v>
      </c>
      <c r="B4649" s="18">
        <v>45833</v>
      </c>
      <c r="C4649" s="17" t="s">
        <v>45</v>
      </c>
      <c r="D4649" s="17" t="s">
        <v>86</v>
      </c>
      <c r="E4649" s="17" t="s">
        <v>168</v>
      </c>
      <c r="F4649" s="17" t="s">
        <v>172</v>
      </c>
      <c r="G4649" s="17">
        <v>7</v>
      </c>
      <c r="H4649" s="17">
        <v>69842</v>
      </c>
      <c r="I4649" s="17">
        <v>488894</v>
      </c>
      <c r="J4649" s="17">
        <v>2650</v>
      </c>
      <c r="K4649" s="17">
        <v>486244</v>
      </c>
      <c r="L4649" s="17">
        <v>117352.1738</v>
      </c>
      <c r="M4649" s="17">
        <v>2025</v>
      </c>
      <c r="N4649" s="17" t="s">
        <v>120</v>
      </c>
    </row>
    <row r="4650" spans="1:14" ht="14.25" customHeight="1">
      <c r="A4650" s="17">
        <v>14649</v>
      </c>
      <c r="B4650" s="18">
        <v>45348</v>
      </c>
      <c r="C4650" s="17" t="s">
        <v>45</v>
      </c>
      <c r="D4650" s="17" t="s">
        <v>111</v>
      </c>
      <c r="E4650" s="17" t="s">
        <v>162</v>
      </c>
      <c r="F4650" s="17" t="s">
        <v>172</v>
      </c>
      <c r="G4650" s="17">
        <v>3</v>
      </c>
      <c r="H4650" s="17">
        <v>10023</v>
      </c>
      <c r="I4650" s="17">
        <v>30069</v>
      </c>
      <c r="J4650" s="17">
        <v>4261</v>
      </c>
      <c r="K4650" s="17">
        <v>25808</v>
      </c>
      <c r="L4650" s="17">
        <v>2675.2509829999999</v>
      </c>
      <c r="M4650" s="17">
        <v>2024</v>
      </c>
      <c r="N4650" s="17" t="s">
        <v>175</v>
      </c>
    </row>
    <row r="4651" spans="1:14" ht="14.25" customHeight="1">
      <c r="A4651" s="17">
        <v>14650</v>
      </c>
      <c r="B4651" s="18">
        <v>45523</v>
      </c>
      <c r="C4651" s="17" t="s">
        <v>39</v>
      </c>
      <c r="D4651" s="17" t="s">
        <v>89</v>
      </c>
      <c r="E4651" s="17" t="s">
        <v>165</v>
      </c>
      <c r="F4651" s="17" t="s">
        <v>172</v>
      </c>
      <c r="G4651" s="17">
        <v>1</v>
      </c>
      <c r="H4651" s="17">
        <v>26219</v>
      </c>
      <c r="I4651" s="17">
        <v>26219</v>
      </c>
      <c r="J4651" s="17">
        <v>2208</v>
      </c>
      <c r="K4651" s="17">
        <v>24011</v>
      </c>
      <c r="L4651" s="17">
        <v>3601.4585860000002</v>
      </c>
      <c r="M4651" s="17">
        <v>2024</v>
      </c>
      <c r="N4651" s="17" t="s">
        <v>126</v>
      </c>
    </row>
    <row r="4652" spans="1:14" ht="14.25" customHeight="1">
      <c r="A4652" s="17">
        <v>14651</v>
      </c>
      <c r="B4652" s="18">
        <v>45949</v>
      </c>
      <c r="C4652" s="17" t="s">
        <v>167</v>
      </c>
      <c r="D4652" s="17" t="s">
        <v>86</v>
      </c>
      <c r="E4652" s="17" t="s">
        <v>168</v>
      </c>
      <c r="F4652" s="17" t="s">
        <v>172</v>
      </c>
      <c r="G4652" s="17">
        <v>2</v>
      </c>
      <c r="H4652" s="17">
        <v>22094</v>
      </c>
      <c r="I4652" s="17">
        <v>44188</v>
      </c>
      <c r="J4652" s="17">
        <v>5</v>
      </c>
      <c r="K4652" s="17">
        <v>44183</v>
      </c>
      <c r="L4652" s="17">
        <v>4561.8044300000001</v>
      </c>
      <c r="M4652" s="17">
        <v>2025</v>
      </c>
      <c r="N4652" s="17" t="s">
        <v>174</v>
      </c>
    </row>
    <row r="4653" spans="1:14" ht="14.25" customHeight="1">
      <c r="A4653" s="17">
        <v>14652</v>
      </c>
      <c r="B4653" s="18">
        <v>45726</v>
      </c>
      <c r="C4653" s="17" t="s">
        <v>50</v>
      </c>
      <c r="D4653" s="17" t="s">
        <v>111</v>
      </c>
      <c r="E4653" s="17" t="s">
        <v>165</v>
      </c>
      <c r="F4653" s="17" t="s">
        <v>172</v>
      </c>
      <c r="G4653" s="17">
        <v>3</v>
      </c>
      <c r="H4653" s="17">
        <v>42853</v>
      </c>
      <c r="I4653" s="17">
        <v>128559</v>
      </c>
      <c r="J4653" s="17">
        <v>531</v>
      </c>
      <c r="K4653" s="17">
        <v>128028</v>
      </c>
      <c r="L4653" s="17">
        <v>15535.51144</v>
      </c>
      <c r="M4653" s="17">
        <v>2025</v>
      </c>
      <c r="N4653" s="17" t="s">
        <v>112</v>
      </c>
    </row>
    <row r="4654" spans="1:14" ht="14.25" customHeight="1">
      <c r="A4654" s="17">
        <v>14653</v>
      </c>
      <c r="B4654" s="18">
        <v>45675</v>
      </c>
      <c r="C4654" s="17" t="s">
        <v>167</v>
      </c>
      <c r="D4654" s="17" t="s">
        <v>83</v>
      </c>
      <c r="E4654" s="17" t="s">
        <v>168</v>
      </c>
      <c r="F4654" s="17" t="s">
        <v>166</v>
      </c>
      <c r="G4654" s="17">
        <v>9</v>
      </c>
      <c r="H4654" s="17">
        <v>10646</v>
      </c>
      <c r="I4654" s="17">
        <v>95814</v>
      </c>
      <c r="J4654" s="17">
        <v>2092</v>
      </c>
      <c r="K4654" s="17">
        <v>93722</v>
      </c>
      <c r="L4654" s="17">
        <v>11903.80989</v>
      </c>
      <c r="M4654" s="17">
        <v>2025</v>
      </c>
      <c r="N4654" s="17" t="s">
        <v>171</v>
      </c>
    </row>
    <row r="4655" spans="1:14" ht="14.25" customHeight="1">
      <c r="A4655" s="17">
        <v>14654</v>
      </c>
      <c r="B4655" s="18">
        <v>45851</v>
      </c>
      <c r="C4655" s="17" t="s">
        <v>39</v>
      </c>
      <c r="D4655" s="17" t="s">
        <v>83</v>
      </c>
      <c r="E4655" s="17" t="s">
        <v>162</v>
      </c>
      <c r="F4655" s="17" t="s">
        <v>166</v>
      </c>
      <c r="G4655" s="17">
        <v>8</v>
      </c>
      <c r="H4655" s="17">
        <v>59045</v>
      </c>
      <c r="I4655" s="17">
        <v>472360</v>
      </c>
      <c r="J4655" s="17">
        <v>4552</v>
      </c>
      <c r="K4655" s="17">
        <v>467808</v>
      </c>
      <c r="L4655" s="17">
        <v>103642.97010000001</v>
      </c>
      <c r="M4655" s="17">
        <v>2025</v>
      </c>
      <c r="N4655" s="17" t="s">
        <v>123</v>
      </c>
    </row>
    <row r="4656" spans="1:14" ht="14.25" customHeight="1">
      <c r="A4656" s="17">
        <v>14655</v>
      </c>
      <c r="B4656" s="18">
        <v>45485</v>
      </c>
      <c r="C4656" s="17" t="s">
        <v>39</v>
      </c>
      <c r="D4656" s="17" t="s">
        <v>83</v>
      </c>
      <c r="E4656" s="17" t="s">
        <v>165</v>
      </c>
      <c r="F4656" s="17" t="s">
        <v>172</v>
      </c>
      <c r="G4656" s="17">
        <v>4</v>
      </c>
      <c r="H4656" s="17">
        <v>51925</v>
      </c>
      <c r="I4656" s="17">
        <v>207700</v>
      </c>
      <c r="J4656" s="17">
        <v>226</v>
      </c>
      <c r="K4656" s="17">
        <v>207474</v>
      </c>
      <c r="L4656" s="17">
        <v>51651.886890000002</v>
      </c>
      <c r="M4656" s="17">
        <v>2024</v>
      </c>
      <c r="N4656" s="17" t="s">
        <v>123</v>
      </c>
    </row>
    <row r="4657" spans="1:14" ht="14.25" customHeight="1">
      <c r="A4657" s="17">
        <v>14656</v>
      </c>
      <c r="B4657" s="18">
        <v>45939</v>
      </c>
      <c r="C4657" s="17" t="s">
        <v>39</v>
      </c>
      <c r="D4657" s="17" t="s">
        <v>83</v>
      </c>
      <c r="E4657" s="17" t="s">
        <v>168</v>
      </c>
      <c r="F4657" s="17" t="s">
        <v>163</v>
      </c>
      <c r="G4657" s="17">
        <v>8</v>
      </c>
      <c r="H4657" s="17">
        <v>48927</v>
      </c>
      <c r="I4657" s="17">
        <v>391416</v>
      </c>
      <c r="J4657" s="17">
        <v>2099</v>
      </c>
      <c r="K4657" s="17">
        <v>389317</v>
      </c>
      <c r="L4657" s="17">
        <v>89581.079100000003</v>
      </c>
      <c r="M4657" s="17">
        <v>2025</v>
      </c>
      <c r="N4657" s="17" t="s">
        <v>174</v>
      </c>
    </row>
    <row r="4658" spans="1:14" ht="14.25" customHeight="1">
      <c r="A4658" s="17">
        <v>14657</v>
      </c>
      <c r="B4658" s="18">
        <v>45825</v>
      </c>
      <c r="C4658" s="17" t="s">
        <v>39</v>
      </c>
      <c r="D4658" s="17" t="s">
        <v>83</v>
      </c>
      <c r="E4658" s="17" t="s">
        <v>168</v>
      </c>
      <c r="F4658" s="17" t="s">
        <v>166</v>
      </c>
      <c r="G4658" s="17">
        <v>9</v>
      </c>
      <c r="H4658" s="17">
        <v>16991</v>
      </c>
      <c r="I4658" s="17">
        <v>152919</v>
      </c>
      <c r="J4658" s="17">
        <v>4566</v>
      </c>
      <c r="K4658" s="17">
        <v>148353</v>
      </c>
      <c r="L4658" s="17">
        <v>28968.88264</v>
      </c>
      <c r="M4658" s="17">
        <v>2025</v>
      </c>
      <c r="N4658" s="17" t="s">
        <v>120</v>
      </c>
    </row>
    <row r="4659" spans="1:14" ht="14.25" customHeight="1">
      <c r="A4659" s="17">
        <v>14658</v>
      </c>
      <c r="B4659" s="18">
        <v>45809</v>
      </c>
      <c r="C4659" s="17" t="s">
        <v>45</v>
      </c>
      <c r="D4659" s="17" t="s">
        <v>86</v>
      </c>
      <c r="E4659" s="17" t="s">
        <v>162</v>
      </c>
      <c r="F4659" s="17" t="s">
        <v>166</v>
      </c>
      <c r="G4659" s="17">
        <v>3</v>
      </c>
      <c r="H4659" s="17">
        <v>23978</v>
      </c>
      <c r="I4659" s="17">
        <v>71934</v>
      </c>
      <c r="J4659" s="17">
        <v>896</v>
      </c>
      <c r="K4659" s="17">
        <v>71038</v>
      </c>
      <c r="L4659" s="17">
        <v>14807.055189999999</v>
      </c>
      <c r="M4659" s="17">
        <v>2025</v>
      </c>
      <c r="N4659" s="17" t="s">
        <v>120</v>
      </c>
    </row>
    <row r="4660" spans="1:14" ht="14.25" customHeight="1">
      <c r="A4660" s="17">
        <v>14659</v>
      </c>
      <c r="B4660" s="18">
        <v>46007</v>
      </c>
      <c r="C4660" s="17" t="s">
        <v>167</v>
      </c>
      <c r="D4660" s="17" t="s">
        <v>170</v>
      </c>
      <c r="E4660" s="17" t="s">
        <v>165</v>
      </c>
      <c r="F4660" s="17" t="s">
        <v>172</v>
      </c>
      <c r="G4660" s="17">
        <v>6</v>
      </c>
      <c r="H4660" s="17">
        <v>40723</v>
      </c>
      <c r="I4660" s="17">
        <v>244338</v>
      </c>
      <c r="J4660" s="17">
        <v>1320</v>
      </c>
      <c r="K4660" s="17">
        <v>243018</v>
      </c>
      <c r="L4660" s="17">
        <v>43360.036849999997</v>
      </c>
      <c r="M4660" s="17">
        <v>2025</v>
      </c>
      <c r="N4660" s="17" t="s">
        <v>169</v>
      </c>
    </row>
    <row r="4661" spans="1:14" ht="14.25" customHeight="1">
      <c r="A4661" s="17">
        <v>14660</v>
      </c>
      <c r="B4661" s="18">
        <v>45476</v>
      </c>
      <c r="C4661" s="17" t="s">
        <v>58</v>
      </c>
      <c r="D4661" s="17" t="s">
        <v>170</v>
      </c>
      <c r="E4661" s="17" t="s">
        <v>165</v>
      </c>
      <c r="F4661" s="17" t="s">
        <v>163</v>
      </c>
      <c r="G4661" s="17">
        <v>8</v>
      </c>
      <c r="H4661" s="17">
        <v>29787</v>
      </c>
      <c r="I4661" s="17">
        <v>238296</v>
      </c>
      <c r="J4661" s="17">
        <v>2661</v>
      </c>
      <c r="K4661" s="17">
        <v>235635</v>
      </c>
      <c r="L4661" s="17">
        <v>38498.40941</v>
      </c>
      <c r="M4661" s="17">
        <v>2024</v>
      </c>
      <c r="N4661" s="17" t="s">
        <v>123</v>
      </c>
    </row>
    <row r="4662" spans="1:14" ht="14.25" customHeight="1">
      <c r="A4662" s="17">
        <v>14661</v>
      </c>
      <c r="B4662" s="18">
        <v>45583</v>
      </c>
      <c r="C4662" s="17" t="s">
        <v>50</v>
      </c>
      <c r="D4662" s="17" t="s">
        <v>86</v>
      </c>
      <c r="E4662" s="17" t="s">
        <v>165</v>
      </c>
      <c r="F4662" s="17" t="s">
        <v>172</v>
      </c>
      <c r="G4662" s="17">
        <v>7</v>
      </c>
      <c r="H4662" s="17">
        <v>54092</v>
      </c>
      <c r="I4662" s="17">
        <v>378644</v>
      </c>
      <c r="J4662" s="17">
        <v>2559</v>
      </c>
      <c r="K4662" s="17">
        <v>376085</v>
      </c>
      <c r="L4662" s="17">
        <v>76655.652849999999</v>
      </c>
      <c r="M4662" s="17">
        <v>2024</v>
      </c>
      <c r="N4662" s="17" t="s">
        <v>174</v>
      </c>
    </row>
    <row r="4663" spans="1:14" ht="14.25" customHeight="1">
      <c r="A4663" s="17">
        <v>14662</v>
      </c>
      <c r="B4663" s="18">
        <v>45626</v>
      </c>
      <c r="C4663" s="17" t="s">
        <v>39</v>
      </c>
      <c r="D4663" s="17" t="s">
        <v>86</v>
      </c>
      <c r="E4663" s="17" t="s">
        <v>162</v>
      </c>
      <c r="F4663" s="17" t="s">
        <v>163</v>
      </c>
      <c r="G4663" s="17">
        <v>9</v>
      </c>
      <c r="H4663" s="17">
        <v>49791</v>
      </c>
      <c r="I4663" s="17">
        <v>448119</v>
      </c>
      <c r="J4663" s="17">
        <v>1664</v>
      </c>
      <c r="K4663" s="17">
        <v>446455</v>
      </c>
      <c r="L4663" s="17">
        <v>109813.4215</v>
      </c>
      <c r="M4663" s="17">
        <v>2024</v>
      </c>
      <c r="N4663" s="17" t="s">
        <v>173</v>
      </c>
    </row>
    <row r="4664" spans="1:14" ht="14.25" customHeight="1">
      <c r="A4664" s="17">
        <v>14663</v>
      </c>
      <c r="B4664" s="18">
        <v>45407</v>
      </c>
      <c r="C4664" s="17" t="s">
        <v>167</v>
      </c>
      <c r="D4664" s="17" t="s">
        <v>89</v>
      </c>
      <c r="E4664" s="17" t="s">
        <v>168</v>
      </c>
      <c r="F4664" s="17" t="s">
        <v>163</v>
      </c>
      <c r="G4664" s="17">
        <v>7</v>
      </c>
      <c r="H4664" s="17">
        <v>19932</v>
      </c>
      <c r="I4664" s="17">
        <v>139524</v>
      </c>
      <c r="J4664" s="17">
        <v>1525</v>
      </c>
      <c r="K4664" s="17">
        <v>137999</v>
      </c>
      <c r="L4664" s="17">
        <v>14398.002339999999</v>
      </c>
      <c r="M4664" s="17">
        <v>2024</v>
      </c>
      <c r="N4664" s="17" t="s">
        <v>114</v>
      </c>
    </row>
    <row r="4665" spans="1:14" ht="14.25" customHeight="1">
      <c r="A4665" s="17">
        <v>14664</v>
      </c>
      <c r="B4665" s="18">
        <v>45340</v>
      </c>
      <c r="C4665" s="17" t="s">
        <v>39</v>
      </c>
      <c r="D4665" s="17" t="s">
        <v>170</v>
      </c>
      <c r="E4665" s="17" t="s">
        <v>168</v>
      </c>
      <c r="F4665" s="17" t="s">
        <v>164</v>
      </c>
      <c r="G4665" s="17">
        <v>1</v>
      </c>
      <c r="H4665" s="17">
        <v>41911</v>
      </c>
      <c r="I4665" s="17">
        <v>41911</v>
      </c>
      <c r="J4665" s="17">
        <v>3750</v>
      </c>
      <c r="K4665" s="17">
        <v>38161</v>
      </c>
      <c r="L4665" s="17">
        <v>5613.969368</v>
      </c>
      <c r="M4665" s="17">
        <v>2024</v>
      </c>
      <c r="N4665" s="17" t="s">
        <v>175</v>
      </c>
    </row>
    <row r="4666" spans="1:14" ht="14.25" customHeight="1">
      <c r="A4666" s="17">
        <v>14665</v>
      </c>
      <c r="B4666" s="18">
        <v>45976</v>
      </c>
      <c r="C4666" s="17" t="s">
        <v>39</v>
      </c>
      <c r="D4666" s="17" t="s">
        <v>83</v>
      </c>
      <c r="E4666" s="17" t="s">
        <v>165</v>
      </c>
      <c r="F4666" s="17" t="s">
        <v>166</v>
      </c>
      <c r="G4666" s="17">
        <v>9</v>
      </c>
      <c r="H4666" s="17">
        <v>14946</v>
      </c>
      <c r="I4666" s="17">
        <v>134514</v>
      </c>
      <c r="J4666" s="17">
        <v>3654</v>
      </c>
      <c r="K4666" s="17">
        <v>130860</v>
      </c>
      <c r="L4666" s="17">
        <v>19564.743869999998</v>
      </c>
      <c r="M4666" s="17">
        <v>2025</v>
      </c>
      <c r="N4666" s="17" t="s">
        <v>173</v>
      </c>
    </row>
    <row r="4667" spans="1:14" ht="14.25" customHeight="1">
      <c r="A4667" s="17">
        <v>14666</v>
      </c>
      <c r="B4667" s="18">
        <v>45373</v>
      </c>
      <c r="C4667" s="17" t="s">
        <v>39</v>
      </c>
      <c r="D4667" s="17" t="s">
        <v>86</v>
      </c>
      <c r="E4667" s="17" t="s">
        <v>168</v>
      </c>
      <c r="F4667" s="17" t="s">
        <v>172</v>
      </c>
      <c r="G4667" s="17">
        <v>5</v>
      </c>
      <c r="H4667" s="17">
        <v>19387</v>
      </c>
      <c r="I4667" s="17">
        <v>96935</v>
      </c>
      <c r="J4667" s="17">
        <v>2567</v>
      </c>
      <c r="K4667" s="17">
        <v>94368</v>
      </c>
      <c r="L4667" s="17">
        <v>15300.603709999999</v>
      </c>
      <c r="M4667" s="17">
        <v>2024</v>
      </c>
      <c r="N4667" s="17" t="s">
        <v>112</v>
      </c>
    </row>
    <row r="4668" spans="1:14" ht="14.25" customHeight="1">
      <c r="A4668" s="17">
        <v>14667</v>
      </c>
      <c r="B4668" s="18">
        <v>45624</v>
      </c>
      <c r="C4668" s="17" t="s">
        <v>39</v>
      </c>
      <c r="D4668" s="17" t="s">
        <v>83</v>
      </c>
      <c r="E4668" s="17" t="s">
        <v>165</v>
      </c>
      <c r="F4668" s="17" t="s">
        <v>166</v>
      </c>
      <c r="G4668" s="17">
        <v>6</v>
      </c>
      <c r="H4668" s="17">
        <v>74141</v>
      </c>
      <c r="I4668" s="17">
        <v>444846</v>
      </c>
      <c r="J4668" s="17">
        <v>4769</v>
      </c>
      <c r="K4668" s="17">
        <v>440077</v>
      </c>
      <c r="L4668" s="17">
        <v>85389.8223</v>
      </c>
      <c r="M4668" s="17">
        <v>2024</v>
      </c>
      <c r="N4668" s="17" t="s">
        <v>173</v>
      </c>
    </row>
    <row r="4669" spans="1:14" ht="14.25" customHeight="1">
      <c r="A4669" s="17">
        <v>14668</v>
      </c>
      <c r="B4669" s="18">
        <v>45848</v>
      </c>
      <c r="C4669" s="17" t="s">
        <v>39</v>
      </c>
      <c r="D4669" s="17" t="s">
        <v>170</v>
      </c>
      <c r="E4669" s="17" t="s">
        <v>162</v>
      </c>
      <c r="F4669" s="17" t="s">
        <v>166</v>
      </c>
      <c r="G4669" s="17">
        <v>2</v>
      </c>
      <c r="H4669" s="17">
        <v>54573</v>
      </c>
      <c r="I4669" s="17">
        <v>109146</v>
      </c>
      <c r="J4669" s="17">
        <v>1096</v>
      </c>
      <c r="K4669" s="17">
        <v>108050</v>
      </c>
      <c r="L4669" s="17">
        <v>19131.65438</v>
      </c>
      <c r="M4669" s="17">
        <v>2025</v>
      </c>
      <c r="N4669" s="17" t="s">
        <v>123</v>
      </c>
    </row>
    <row r="4670" spans="1:14" ht="14.25" customHeight="1">
      <c r="A4670" s="17">
        <v>14669</v>
      </c>
      <c r="B4670" s="18">
        <v>45626</v>
      </c>
      <c r="C4670" s="17" t="s">
        <v>50</v>
      </c>
      <c r="D4670" s="17" t="s">
        <v>111</v>
      </c>
      <c r="E4670" s="17" t="s">
        <v>162</v>
      </c>
      <c r="F4670" s="17" t="s">
        <v>163</v>
      </c>
      <c r="G4670" s="17">
        <v>2</v>
      </c>
      <c r="H4670" s="17">
        <v>46405</v>
      </c>
      <c r="I4670" s="17">
        <v>92810</v>
      </c>
      <c r="J4670" s="17">
        <v>3098</v>
      </c>
      <c r="K4670" s="17">
        <v>89712</v>
      </c>
      <c r="L4670" s="17">
        <v>9223.2330669999992</v>
      </c>
      <c r="M4670" s="17">
        <v>2024</v>
      </c>
      <c r="N4670" s="17" t="s">
        <v>173</v>
      </c>
    </row>
    <row r="4671" spans="1:14" ht="14.25" customHeight="1">
      <c r="A4671" s="17">
        <v>14670</v>
      </c>
      <c r="B4671" s="18">
        <v>45823</v>
      </c>
      <c r="C4671" s="17" t="s">
        <v>167</v>
      </c>
      <c r="D4671" s="17" t="s">
        <v>111</v>
      </c>
      <c r="E4671" s="17" t="s">
        <v>162</v>
      </c>
      <c r="F4671" s="17" t="s">
        <v>166</v>
      </c>
      <c r="G4671" s="17">
        <v>4</v>
      </c>
      <c r="H4671" s="17">
        <v>14152</v>
      </c>
      <c r="I4671" s="17">
        <v>56608</v>
      </c>
      <c r="J4671" s="17">
        <v>3240</v>
      </c>
      <c r="K4671" s="17">
        <v>53368</v>
      </c>
      <c r="L4671" s="17">
        <v>8631.8169969999999</v>
      </c>
      <c r="M4671" s="17">
        <v>2025</v>
      </c>
      <c r="N4671" s="17" t="s">
        <v>120</v>
      </c>
    </row>
    <row r="4672" spans="1:14" ht="14.25" customHeight="1">
      <c r="A4672" s="17">
        <v>14671</v>
      </c>
      <c r="B4672" s="18">
        <v>45512</v>
      </c>
      <c r="C4672" s="17" t="s">
        <v>39</v>
      </c>
      <c r="D4672" s="17" t="s">
        <v>86</v>
      </c>
      <c r="E4672" s="17" t="s">
        <v>165</v>
      </c>
      <c r="F4672" s="17" t="s">
        <v>164</v>
      </c>
      <c r="G4672" s="17">
        <v>4</v>
      </c>
      <c r="H4672" s="17">
        <v>40415</v>
      </c>
      <c r="I4672" s="17">
        <v>161660</v>
      </c>
      <c r="J4672" s="17">
        <v>2822</v>
      </c>
      <c r="K4672" s="17">
        <v>158838</v>
      </c>
      <c r="L4672" s="17">
        <v>30642.598999999998</v>
      </c>
      <c r="M4672" s="17">
        <v>2024</v>
      </c>
      <c r="N4672" s="17" t="s">
        <v>126</v>
      </c>
    </row>
    <row r="4673" spans="1:14" ht="14.25" customHeight="1">
      <c r="A4673" s="17">
        <v>14672</v>
      </c>
      <c r="B4673" s="18">
        <v>45926</v>
      </c>
      <c r="C4673" s="17" t="s">
        <v>39</v>
      </c>
      <c r="D4673" s="17" t="s">
        <v>89</v>
      </c>
      <c r="E4673" s="17" t="s">
        <v>168</v>
      </c>
      <c r="F4673" s="17" t="s">
        <v>172</v>
      </c>
      <c r="G4673" s="17">
        <v>5</v>
      </c>
      <c r="H4673" s="17">
        <v>36848</v>
      </c>
      <c r="I4673" s="17">
        <v>184240</v>
      </c>
      <c r="J4673" s="17">
        <v>2927</v>
      </c>
      <c r="K4673" s="17">
        <v>181313</v>
      </c>
      <c r="L4673" s="17">
        <v>31860.9928</v>
      </c>
      <c r="M4673" s="17">
        <v>2025</v>
      </c>
      <c r="N4673" s="17" t="s">
        <v>129</v>
      </c>
    </row>
    <row r="4674" spans="1:14" ht="14.25" customHeight="1">
      <c r="A4674" s="17">
        <v>14673</v>
      </c>
      <c r="B4674" s="18">
        <v>45614</v>
      </c>
      <c r="C4674" s="17" t="s">
        <v>39</v>
      </c>
      <c r="D4674" s="17" t="s">
        <v>83</v>
      </c>
      <c r="E4674" s="17" t="s">
        <v>162</v>
      </c>
      <c r="F4674" s="17" t="s">
        <v>166</v>
      </c>
      <c r="G4674" s="17">
        <v>7</v>
      </c>
      <c r="H4674" s="17">
        <v>48394</v>
      </c>
      <c r="I4674" s="17">
        <v>338758</v>
      </c>
      <c r="J4674" s="17">
        <v>4993</v>
      </c>
      <c r="K4674" s="17">
        <v>333765</v>
      </c>
      <c r="L4674" s="17">
        <v>77036.059210000007</v>
      </c>
      <c r="M4674" s="17">
        <v>2024</v>
      </c>
      <c r="N4674" s="17" t="s">
        <v>173</v>
      </c>
    </row>
    <row r="4675" spans="1:14" ht="14.25" customHeight="1">
      <c r="A4675" s="17">
        <v>14674</v>
      </c>
      <c r="B4675" s="18">
        <v>45294</v>
      </c>
      <c r="C4675" s="17" t="s">
        <v>39</v>
      </c>
      <c r="D4675" s="17" t="s">
        <v>86</v>
      </c>
      <c r="E4675" s="17" t="s">
        <v>165</v>
      </c>
      <c r="F4675" s="17" t="s">
        <v>172</v>
      </c>
      <c r="G4675" s="17">
        <v>1</v>
      </c>
      <c r="H4675" s="17">
        <v>74265</v>
      </c>
      <c r="I4675" s="17">
        <v>74265</v>
      </c>
      <c r="J4675" s="17">
        <v>3614</v>
      </c>
      <c r="K4675" s="17">
        <v>70651</v>
      </c>
      <c r="L4675" s="17">
        <v>11289.277410000001</v>
      </c>
      <c r="M4675" s="17">
        <v>2024</v>
      </c>
      <c r="N4675" s="17" t="s">
        <v>171</v>
      </c>
    </row>
    <row r="4676" spans="1:14" ht="14.25" customHeight="1">
      <c r="A4676" s="17">
        <v>14675</v>
      </c>
      <c r="B4676" s="18">
        <v>45985</v>
      </c>
      <c r="C4676" s="17" t="s">
        <v>45</v>
      </c>
      <c r="D4676" s="17" t="s">
        <v>89</v>
      </c>
      <c r="E4676" s="17" t="s">
        <v>165</v>
      </c>
      <c r="F4676" s="17" t="s">
        <v>166</v>
      </c>
      <c r="G4676" s="17">
        <v>4</v>
      </c>
      <c r="H4676" s="17">
        <v>36455</v>
      </c>
      <c r="I4676" s="17">
        <v>145820</v>
      </c>
      <c r="J4676" s="17">
        <v>847</v>
      </c>
      <c r="K4676" s="17">
        <v>144973</v>
      </c>
      <c r="L4676" s="17">
        <v>14770.40042</v>
      </c>
      <c r="M4676" s="17">
        <v>2025</v>
      </c>
      <c r="N4676" s="17" t="s">
        <v>173</v>
      </c>
    </row>
    <row r="4677" spans="1:14" ht="14.25" customHeight="1">
      <c r="A4677" s="17">
        <v>14676</v>
      </c>
      <c r="B4677" s="18">
        <v>45497</v>
      </c>
      <c r="C4677" s="17" t="s">
        <v>45</v>
      </c>
      <c r="D4677" s="17" t="s">
        <v>83</v>
      </c>
      <c r="E4677" s="17" t="s">
        <v>162</v>
      </c>
      <c r="F4677" s="17" t="s">
        <v>172</v>
      </c>
      <c r="G4677" s="17">
        <v>9</v>
      </c>
      <c r="H4677" s="17">
        <v>71560</v>
      </c>
      <c r="I4677" s="17">
        <v>644040</v>
      </c>
      <c r="J4677" s="17">
        <v>3616</v>
      </c>
      <c r="K4677" s="17">
        <v>640424</v>
      </c>
      <c r="L4677" s="17">
        <v>91410.777230000007</v>
      </c>
      <c r="M4677" s="17">
        <v>2024</v>
      </c>
      <c r="N4677" s="17" t="s">
        <v>123</v>
      </c>
    </row>
    <row r="4678" spans="1:14" ht="14.25" customHeight="1">
      <c r="A4678" s="17">
        <v>14677</v>
      </c>
      <c r="B4678" s="18">
        <v>45331</v>
      </c>
      <c r="C4678" s="17" t="s">
        <v>58</v>
      </c>
      <c r="D4678" s="17" t="s">
        <v>170</v>
      </c>
      <c r="E4678" s="17" t="s">
        <v>162</v>
      </c>
      <c r="F4678" s="17" t="s">
        <v>172</v>
      </c>
      <c r="G4678" s="17">
        <v>8</v>
      </c>
      <c r="H4678" s="17">
        <v>21921</v>
      </c>
      <c r="I4678" s="17">
        <v>175368</v>
      </c>
      <c r="J4678" s="17">
        <v>2704</v>
      </c>
      <c r="K4678" s="17">
        <v>172664</v>
      </c>
      <c r="L4678" s="17">
        <v>20780.266769999998</v>
      </c>
      <c r="M4678" s="17">
        <v>2024</v>
      </c>
      <c r="N4678" s="17" t="s">
        <v>175</v>
      </c>
    </row>
    <row r="4679" spans="1:14" ht="14.25" customHeight="1">
      <c r="A4679" s="17">
        <v>14678</v>
      </c>
      <c r="B4679" s="18">
        <v>45350</v>
      </c>
      <c r="C4679" s="17" t="s">
        <v>39</v>
      </c>
      <c r="D4679" s="17" t="s">
        <v>111</v>
      </c>
      <c r="E4679" s="17" t="s">
        <v>162</v>
      </c>
      <c r="F4679" s="17" t="s">
        <v>172</v>
      </c>
      <c r="G4679" s="17">
        <v>3</v>
      </c>
      <c r="H4679" s="17">
        <v>37179</v>
      </c>
      <c r="I4679" s="17">
        <v>111537</v>
      </c>
      <c r="J4679" s="17">
        <v>3893</v>
      </c>
      <c r="K4679" s="17">
        <v>107644</v>
      </c>
      <c r="L4679" s="17">
        <v>14804.76894</v>
      </c>
      <c r="M4679" s="17">
        <v>2024</v>
      </c>
      <c r="N4679" s="17" t="s">
        <v>175</v>
      </c>
    </row>
    <row r="4680" spans="1:14" ht="14.25" customHeight="1">
      <c r="A4680" s="17">
        <v>14679</v>
      </c>
      <c r="B4680" s="18">
        <v>45865</v>
      </c>
      <c r="C4680" s="17" t="s">
        <v>58</v>
      </c>
      <c r="D4680" s="17" t="s">
        <v>89</v>
      </c>
      <c r="E4680" s="17" t="s">
        <v>168</v>
      </c>
      <c r="F4680" s="17" t="s">
        <v>166</v>
      </c>
      <c r="G4680" s="17">
        <v>6</v>
      </c>
      <c r="H4680" s="17">
        <v>57235</v>
      </c>
      <c r="I4680" s="17">
        <v>343410</v>
      </c>
      <c r="J4680" s="17">
        <v>3381</v>
      </c>
      <c r="K4680" s="17">
        <v>340029</v>
      </c>
      <c r="L4680" s="17">
        <v>52470.964</v>
      </c>
      <c r="M4680" s="17">
        <v>2025</v>
      </c>
      <c r="N4680" s="17" t="s">
        <v>123</v>
      </c>
    </row>
    <row r="4681" spans="1:14" ht="14.25" customHeight="1">
      <c r="A4681" s="17">
        <v>14680</v>
      </c>
      <c r="B4681" s="18">
        <v>45935</v>
      </c>
      <c r="C4681" s="17" t="s">
        <v>50</v>
      </c>
      <c r="D4681" s="17" t="s">
        <v>83</v>
      </c>
      <c r="E4681" s="17" t="s">
        <v>168</v>
      </c>
      <c r="F4681" s="17" t="s">
        <v>164</v>
      </c>
      <c r="G4681" s="17">
        <v>9</v>
      </c>
      <c r="H4681" s="17">
        <v>37037</v>
      </c>
      <c r="I4681" s="17">
        <v>333333</v>
      </c>
      <c r="J4681" s="17">
        <v>3071</v>
      </c>
      <c r="K4681" s="17">
        <v>330262</v>
      </c>
      <c r="L4681" s="17">
        <v>66547.247359999994</v>
      </c>
      <c r="M4681" s="17">
        <v>2025</v>
      </c>
      <c r="N4681" s="17" t="s">
        <v>174</v>
      </c>
    </row>
    <row r="4682" spans="1:14" ht="14.25" customHeight="1">
      <c r="A4682" s="17">
        <v>14681</v>
      </c>
      <c r="B4682" s="18">
        <v>45798</v>
      </c>
      <c r="C4682" s="17" t="s">
        <v>58</v>
      </c>
      <c r="D4682" s="17" t="s">
        <v>86</v>
      </c>
      <c r="E4682" s="17" t="s">
        <v>165</v>
      </c>
      <c r="F4682" s="17" t="s">
        <v>172</v>
      </c>
      <c r="G4682" s="17">
        <v>8</v>
      </c>
      <c r="H4682" s="17">
        <v>38275</v>
      </c>
      <c r="I4682" s="17">
        <v>306200</v>
      </c>
      <c r="J4682" s="17">
        <v>2994</v>
      </c>
      <c r="K4682" s="17">
        <v>303206</v>
      </c>
      <c r="L4682" s="17">
        <v>45064.14314</v>
      </c>
      <c r="M4682" s="17">
        <v>2025</v>
      </c>
      <c r="N4682" s="17" t="s">
        <v>117</v>
      </c>
    </row>
    <row r="4683" spans="1:14" ht="14.25" customHeight="1">
      <c r="A4683" s="17">
        <v>14682</v>
      </c>
      <c r="B4683" s="18">
        <v>45863</v>
      </c>
      <c r="C4683" s="17" t="s">
        <v>167</v>
      </c>
      <c r="D4683" s="17" t="s">
        <v>83</v>
      </c>
      <c r="E4683" s="17" t="s">
        <v>162</v>
      </c>
      <c r="F4683" s="17" t="s">
        <v>163</v>
      </c>
      <c r="G4683" s="17">
        <v>7</v>
      </c>
      <c r="H4683" s="17">
        <v>41692</v>
      </c>
      <c r="I4683" s="17">
        <v>291844</v>
      </c>
      <c r="J4683" s="17">
        <v>4742</v>
      </c>
      <c r="K4683" s="17">
        <v>287102</v>
      </c>
      <c r="L4683" s="17">
        <v>66784.626860000004</v>
      </c>
      <c r="M4683" s="17">
        <v>2025</v>
      </c>
      <c r="N4683" s="17" t="s">
        <v>123</v>
      </c>
    </row>
    <row r="4684" spans="1:14" ht="14.25" customHeight="1">
      <c r="A4684" s="17">
        <v>14683</v>
      </c>
      <c r="B4684" s="18">
        <v>45413</v>
      </c>
      <c r="C4684" s="17" t="s">
        <v>45</v>
      </c>
      <c r="D4684" s="17" t="s">
        <v>86</v>
      </c>
      <c r="E4684" s="17" t="s">
        <v>162</v>
      </c>
      <c r="F4684" s="17" t="s">
        <v>163</v>
      </c>
      <c r="G4684" s="17">
        <v>7</v>
      </c>
      <c r="H4684" s="17">
        <v>13872</v>
      </c>
      <c r="I4684" s="17">
        <v>97104</v>
      </c>
      <c r="J4684" s="17">
        <v>4533</v>
      </c>
      <c r="K4684" s="17">
        <v>92571</v>
      </c>
      <c r="L4684" s="17">
        <v>13416.79514</v>
      </c>
      <c r="M4684" s="17">
        <v>2024</v>
      </c>
      <c r="N4684" s="17" t="s">
        <v>117</v>
      </c>
    </row>
    <row r="4685" spans="1:14" ht="14.25" customHeight="1">
      <c r="A4685" s="17">
        <v>14684</v>
      </c>
      <c r="B4685" s="18">
        <v>45770</v>
      </c>
      <c r="C4685" s="17" t="s">
        <v>45</v>
      </c>
      <c r="D4685" s="17" t="s">
        <v>111</v>
      </c>
      <c r="E4685" s="17" t="s">
        <v>168</v>
      </c>
      <c r="F4685" s="17" t="s">
        <v>163</v>
      </c>
      <c r="G4685" s="17">
        <v>1</v>
      </c>
      <c r="H4685" s="17">
        <v>56764</v>
      </c>
      <c r="I4685" s="17">
        <v>56764</v>
      </c>
      <c r="J4685" s="17">
        <v>1500</v>
      </c>
      <c r="K4685" s="17">
        <v>55264</v>
      </c>
      <c r="L4685" s="17">
        <v>6661.5232130000004</v>
      </c>
      <c r="M4685" s="17">
        <v>2025</v>
      </c>
      <c r="N4685" s="17" t="s">
        <v>114</v>
      </c>
    </row>
    <row r="4686" spans="1:14" ht="14.25" customHeight="1">
      <c r="A4686" s="17">
        <v>14685</v>
      </c>
      <c r="B4686" s="18">
        <v>45910</v>
      </c>
      <c r="C4686" s="17" t="s">
        <v>39</v>
      </c>
      <c r="D4686" s="17" t="s">
        <v>111</v>
      </c>
      <c r="E4686" s="17" t="s">
        <v>162</v>
      </c>
      <c r="F4686" s="17" t="s">
        <v>164</v>
      </c>
      <c r="G4686" s="17">
        <v>5</v>
      </c>
      <c r="H4686" s="17">
        <v>57299</v>
      </c>
      <c r="I4686" s="17">
        <v>286495</v>
      </c>
      <c r="J4686" s="17">
        <v>2442</v>
      </c>
      <c r="K4686" s="17">
        <v>284053</v>
      </c>
      <c r="L4686" s="17">
        <v>35600.309260000002</v>
      </c>
      <c r="M4686" s="17">
        <v>2025</v>
      </c>
      <c r="N4686" s="17" t="s">
        <v>129</v>
      </c>
    </row>
    <row r="4687" spans="1:14" ht="14.25" customHeight="1">
      <c r="A4687" s="17">
        <v>14686</v>
      </c>
      <c r="B4687" s="18">
        <v>45387</v>
      </c>
      <c r="C4687" s="17" t="s">
        <v>39</v>
      </c>
      <c r="D4687" s="17" t="s">
        <v>83</v>
      </c>
      <c r="E4687" s="17" t="s">
        <v>165</v>
      </c>
      <c r="F4687" s="17" t="s">
        <v>172</v>
      </c>
      <c r="G4687" s="17">
        <v>7</v>
      </c>
      <c r="H4687" s="17">
        <v>39961</v>
      </c>
      <c r="I4687" s="17">
        <v>279727</v>
      </c>
      <c r="J4687" s="17">
        <v>1725</v>
      </c>
      <c r="K4687" s="17">
        <v>278002</v>
      </c>
      <c r="L4687" s="17">
        <v>66772.460699999996</v>
      </c>
      <c r="M4687" s="17">
        <v>2024</v>
      </c>
      <c r="N4687" s="17" t="s">
        <v>114</v>
      </c>
    </row>
    <row r="4688" spans="1:14" ht="14.25" customHeight="1">
      <c r="A4688" s="17">
        <v>14687</v>
      </c>
      <c r="B4688" s="18">
        <v>45705</v>
      </c>
      <c r="C4688" s="17" t="s">
        <v>50</v>
      </c>
      <c r="D4688" s="17" t="s">
        <v>83</v>
      </c>
      <c r="E4688" s="17" t="s">
        <v>162</v>
      </c>
      <c r="F4688" s="17" t="s">
        <v>164</v>
      </c>
      <c r="G4688" s="17">
        <v>2</v>
      </c>
      <c r="H4688" s="17">
        <v>29466</v>
      </c>
      <c r="I4688" s="17">
        <v>58932</v>
      </c>
      <c r="J4688" s="17">
        <v>1565</v>
      </c>
      <c r="K4688" s="17">
        <v>57367</v>
      </c>
      <c r="L4688" s="17">
        <v>9650.4012660000008</v>
      </c>
      <c r="M4688" s="17">
        <v>2025</v>
      </c>
      <c r="N4688" s="17" t="s">
        <v>175</v>
      </c>
    </row>
    <row r="4689" spans="1:14" ht="14.25" customHeight="1">
      <c r="A4689" s="17">
        <v>14688</v>
      </c>
      <c r="B4689" s="18">
        <v>45526</v>
      </c>
      <c r="C4689" s="17" t="s">
        <v>50</v>
      </c>
      <c r="D4689" s="17" t="s">
        <v>86</v>
      </c>
      <c r="E4689" s="17" t="s">
        <v>168</v>
      </c>
      <c r="F4689" s="17" t="s">
        <v>172</v>
      </c>
      <c r="G4689" s="17">
        <v>6</v>
      </c>
      <c r="H4689" s="17">
        <v>20762</v>
      </c>
      <c r="I4689" s="17">
        <v>124572</v>
      </c>
      <c r="J4689" s="17">
        <v>1743</v>
      </c>
      <c r="K4689" s="17">
        <v>122829</v>
      </c>
      <c r="L4689" s="17">
        <v>19710.235769999999</v>
      </c>
      <c r="M4689" s="17">
        <v>2024</v>
      </c>
      <c r="N4689" s="17" t="s">
        <v>126</v>
      </c>
    </row>
    <row r="4690" spans="1:14" ht="14.25" customHeight="1">
      <c r="A4690" s="17">
        <v>14689</v>
      </c>
      <c r="B4690" s="18">
        <v>45353</v>
      </c>
      <c r="C4690" s="17" t="s">
        <v>167</v>
      </c>
      <c r="D4690" s="17" t="s">
        <v>86</v>
      </c>
      <c r="E4690" s="17" t="s">
        <v>165</v>
      </c>
      <c r="F4690" s="17" t="s">
        <v>164</v>
      </c>
      <c r="G4690" s="17">
        <v>2</v>
      </c>
      <c r="H4690" s="17">
        <v>23930</v>
      </c>
      <c r="I4690" s="17">
        <v>47860</v>
      </c>
      <c r="J4690" s="17">
        <v>325</v>
      </c>
      <c r="K4690" s="17">
        <v>47535</v>
      </c>
      <c r="L4690" s="17">
        <v>5244.7805070000004</v>
      </c>
      <c r="M4690" s="17">
        <v>2024</v>
      </c>
      <c r="N4690" s="17" t="s">
        <v>112</v>
      </c>
    </row>
    <row r="4691" spans="1:14" ht="14.25" customHeight="1">
      <c r="A4691" s="17">
        <v>14690</v>
      </c>
      <c r="B4691" s="18">
        <v>45547</v>
      </c>
      <c r="C4691" s="17" t="s">
        <v>39</v>
      </c>
      <c r="D4691" s="17" t="s">
        <v>89</v>
      </c>
      <c r="E4691" s="17" t="s">
        <v>165</v>
      </c>
      <c r="F4691" s="17" t="s">
        <v>172</v>
      </c>
      <c r="G4691" s="17">
        <v>3</v>
      </c>
      <c r="H4691" s="17">
        <v>59213</v>
      </c>
      <c r="I4691" s="17">
        <v>177639</v>
      </c>
      <c r="J4691" s="17">
        <v>4417</v>
      </c>
      <c r="K4691" s="17">
        <v>173222</v>
      </c>
      <c r="L4691" s="17">
        <v>36376.301330000002</v>
      </c>
      <c r="M4691" s="17">
        <v>2024</v>
      </c>
      <c r="N4691" s="17" t="s">
        <v>129</v>
      </c>
    </row>
    <row r="4692" spans="1:14" ht="14.25" customHeight="1">
      <c r="A4692" s="17">
        <v>14691</v>
      </c>
      <c r="B4692" s="18">
        <v>45852</v>
      </c>
      <c r="C4692" s="17" t="s">
        <v>39</v>
      </c>
      <c r="D4692" s="17" t="s">
        <v>89</v>
      </c>
      <c r="E4692" s="17" t="s">
        <v>162</v>
      </c>
      <c r="F4692" s="17" t="s">
        <v>163</v>
      </c>
      <c r="G4692" s="17">
        <v>1</v>
      </c>
      <c r="H4692" s="17">
        <v>75191</v>
      </c>
      <c r="I4692" s="17">
        <v>75191</v>
      </c>
      <c r="J4692" s="17">
        <v>2230</v>
      </c>
      <c r="K4692" s="17">
        <v>72961</v>
      </c>
      <c r="L4692" s="17">
        <v>14898.48144</v>
      </c>
      <c r="M4692" s="17">
        <v>2025</v>
      </c>
      <c r="N4692" s="17" t="s">
        <v>123</v>
      </c>
    </row>
    <row r="4693" spans="1:14" ht="14.25" customHeight="1">
      <c r="A4693" s="17">
        <v>14692</v>
      </c>
      <c r="B4693" s="18">
        <v>45639</v>
      </c>
      <c r="C4693" s="17" t="s">
        <v>50</v>
      </c>
      <c r="D4693" s="17" t="s">
        <v>89</v>
      </c>
      <c r="E4693" s="17" t="s">
        <v>165</v>
      </c>
      <c r="F4693" s="17" t="s">
        <v>172</v>
      </c>
      <c r="G4693" s="17">
        <v>3</v>
      </c>
      <c r="H4693" s="17">
        <v>55374</v>
      </c>
      <c r="I4693" s="17">
        <v>166122</v>
      </c>
      <c r="J4693" s="17">
        <v>2666</v>
      </c>
      <c r="K4693" s="17">
        <v>163456</v>
      </c>
      <c r="L4693" s="17">
        <v>25558.157090000001</v>
      </c>
      <c r="M4693" s="17">
        <v>2024</v>
      </c>
      <c r="N4693" s="17" t="s">
        <v>169</v>
      </c>
    </row>
    <row r="4694" spans="1:14" ht="14.25" customHeight="1">
      <c r="A4694" s="17">
        <v>14693</v>
      </c>
      <c r="B4694" s="18">
        <v>45962</v>
      </c>
      <c r="C4694" s="17" t="s">
        <v>50</v>
      </c>
      <c r="D4694" s="17" t="s">
        <v>83</v>
      </c>
      <c r="E4694" s="17" t="s">
        <v>162</v>
      </c>
      <c r="F4694" s="17" t="s">
        <v>164</v>
      </c>
      <c r="G4694" s="17">
        <v>7</v>
      </c>
      <c r="H4694" s="17">
        <v>61902</v>
      </c>
      <c r="I4694" s="17">
        <v>433314</v>
      </c>
      <c r="J4694" s="17">
        <v>1209</v>
      </c>
      <c r="K4694" s="17">
        <v>432105</v>
      </c>
      <c r="L4694" s="17">
        <v>88047.673299999995</v>
      </c>
      <c r="M4694" s="17">
        <v>2025</v>
      </c>
      <c r="N4694" s="17" t="s">
        <v>173</v>
      </c>
    </row>
    <row r="4695" spans="1:14" ht="14.25" customHeight="1">
      <c r="A4695" s="17">
        <v>14694</v>
      </c>
      <c r="B4695" s="18">
        <v>45415</v>
      </c>
      <c r="C4695" s="17" t="s">
        <v>50</v>
      </c>
      <c r="D4695" s="17" t="s">
        <v>89</v>
      </c>
      <c r="E4695" s="17" t="s">
        <v>162</v>
      </c>
      <c r="F4695" s="17" t="s">
        <v>172</v>
      </c>
      <c r="G4695" s="17">
        <v>5</v>
      </c>
      <c r="H4695" s="17">
        <v>75555</v>
      </c>
      <c r="I4695" s="17">
        <v>377775</v>
      </c>
      <c r="J4695" s="17">
        <v>4361</v>
      </c>
      <c r="K4695" s="17">
        <v>373414</v>
      </c>
      <c r="L4695" s="17">
        <v>57923.144760000003</v>
      </c>
      <c r="M4695" s="17">
        <v>2024</v>
      </c>
      <c r="N4695" s="17" t="s">
        <v>117</v>
      </c>
    </row>
    <row r="4696" spans="1:14" ht="14.25" customHeight="1">
      <c r="A4696" s="17">
        <v>14695</v>
      </c>
      <c r="B4696" s="18">
        <v>45773</v>
      </c>
      <c r="C4696" s="17" t="s">
        <v>45</v>
      </c>
      <c r="D4696" s="17" t="s">
        <v>83</v>
      </c>
      <c r="E4696" s="17" t="s">
        <v>168</v>
      </c>
      <c r="F4696" s="17" t="s">
        <v>166</v>
      </c>
      <c r="G4696" s="17">
        <v>4</v>
      </c>
      <c r="H4696" s="17">
        <v>59875</v>
      </c>
      <c r="I4696" s="17">
        <v>239500</v>
      </c>
      <c r="J4696" s="17">
        <v>841</v>
      </c>
      <c r="K4696" s="17">
        <v>238659</v>
      </c>
      <c r="L4696" s="17">
        <v>26484.873029999999</v>
      </c>
      <c r="M4696" s="17">
        <v>2025</v>
      </c>
      <c r="N4696" s="17" t="s">
        <v>114</v>
      </c>
    </row>
    <row r="4697" spans="1:14" ht="14.25" customHeight="1">
      <c r="A4697" s="17">
        <v>14696</v>
      </c>
      <c r="B4697" s="18">
        <v>45608</v>
      </c>
      <c r="C4697" s="17" t="s">
        <v>58</v>
      </c>
      <c r="D4697" s="17" t="s">
        <v>111</v>
      </c>
      <c r="E4697" s="17" t="s">
        <v>165</v>
      </c>
      <c r="F4697" s="17" t="s">
        <v>172</v>
      </c>
      <c r="G4697" s="17">
        <v>8</v>
      </c>
      <c r="H4697" s="17">
        <v>44314</v>
      </c>
      <c r="I4697" s="17">
        <v>354512</v>
      </c>
      <c r="J4697" s="17">
        <v>4424</v>
      </c>
      <c r="K4697" s="17">
        <v>350088</v>
      </c>
      <c r="L4697" s="17">
        <v>73768.760219999996</v>
      </c>
      <c r="M4697" s="17">
        <v>2024</v>
      </c>
      <c r="N4697" s="17" t="s">
        <v>173</v>
      </c>
    </row>
    <row r="4698" spans="1:14" ht="14.25" customHeight="1">
      <c r="A4698" s="17">
        <v>14697</v>
      </c>
      <c r="B4698" s="18">
        <v>45795</v>
      </c>
      <c r="C4698" s="17" t="s">
        <v>58</v>
      </c>
      <c r="D4698" s="17" t="s">
        <v>170</v>
      </c>
      <c r="E4698" s="17" t="s">
        <v>162</v>
      </c>
      <c r="F4698" s="17" t="s">
        <v>163</v>
      </c>
      <c r="G4698" s="17">
        <v>8</v>
      </c>
      <c r="H4698" s="17">
        <v>57175</v>
      </c>
      <c r="I4698" s="17">
        <v>457400</v>
      </c>
      <c r="J4698" s="17">
        <v>3901</v>
      </c>
      <c r="K4698" s="17">
        <v>453499</v>
      </c>
      <c r="L4698" s="17">
        <v>111007.5732</v>
      </c>
      <c r="M4698" s="17">
        <v>2025</v>
      </c>
      <c r="N4698" s="17" t="s">
        <v>117</v>
      </c>
    </row>
    <row r="4699" spans="1:14" ht="14.25" customHeight="1">
      <c r="A4699" s="17">
        <v>14698</v>
      </c>
      <c r="B4699" s="18">
        <v>46010</v>
      </c>
      <c r="C4699" s="17" t="s">
        <v>39</v>
      </c>
      <c r="D4699" s="17" t="s">
        <v>111</v>
      </c>
      <c r="E4699" s="17" t="s">
        <v>162</v>
      </c>
      <c r="F4699" s="17" t="s">
        <v>172</v>
      </c>
      <c r="G4699" s="17">
        <v>1</v>
      </c>
      <c r="H4699" s="17">
        <v>53978</v>
      </c>
      <c r="I4699" s="17">
        <v>53978</v>
      </c>
      <c r="J4699" s="17">
        <v>3436</v>
      </c>
      <c r="K4699" s="17">
        <v>50542</v>
      </c>
      <c r="L4699" s="17">
        <v>9969.084981</v>
      </c>
      <c r="M4699" s="17">
        <v>2025</v>
      </c>
      <c r="N4699" s="17" t="s">
        <v>169</v>
      </c>
    </row>
    <row r="4700" spans="1:14" ht="14.25" customHeight="1">
      <c r="A4700" s="17">
        <v>14699</v>
      </c>
      <c r="B4700" s="18">
        <v>45339</v>
      </c>
      <c r="C4700" s="17" t="s">
        <v>45</v>
      </c>
      <c r="D4700" s="17" t="s">
        <v>83</v>
      </c>
      <c r="E4700" s="17" t="s">
        <v>162</v>
      </c>
      <c r="F4700" s="17" t="s">
        <v>166</v>
      </c>
      <c r="G4700" s="17">
        <v>9</v>
      </c>
      <c r="H4700" s="17">
        <v>63415</v>
      </c>
      <c r="I4700" s="17">
        <v>570735</v>
      </c>
      <c r="J4700" s="17">
        <v>4778</v>
      </c>
      <c r="K4700" s="17">
        <v>565957</v>
      </c>
      <c r="L4700" s="17">
        <v>80065.475690000007</v>
      </c>
      <c r="M4700" s="17">
        <v>2024</v>
      </c>
      <c r="N4700" s="17" t="s">
        <v>175</v>
      </c>
    </row>
    <row r="4701" spans="1:14" ht="14.25" customHeight="1">
      <c r="A4701" s="17">
        <v>14700</v>
      </c>
      <c r="B4701" s="18">
        <v>45700</v>
      </c>
      <c r="C4701" s="17" t="s">
        <v>50</v>
      </c>
      <c r="D4701" s="17" t="s">
        <v>83</v>
      </c>
      <c r="E4701" s="17" t="s">
        <v>165</v>
      </c>
      <c r="F4701" s="17" t="s">
        <v>166</v>
      </c>
      <c r="G4701" s="17">
        <v>9</v>
      </c>
      <c r="H4701" s="17">
        <v>51255</v>
      </c>
      <c r="I4701" s="17">
        <v>461295</v>
      </c>
      <c r="J4701" s="17">
        <v>2071</v>
      </c>
      <c r="K4701" s="17">
        <v>459224</v>
      </c>
      <c r="L4701" s="17">
        <v>64515.48098</v>
      </c>
      <c r="M4701" s="17">
        <v>2025</v>
      </c>
      <c r="N4701" s="17" t="s">
        <v>175</v>
      </c>
    </row>
    <row r="4702" spans="1:14" ht="14.25" customHeight="1">
      <c r="A4702" s="17">
        <v>14701</v>
      </c>
      <c r="B4702" s="18">
        <v>45427</v>
      </c>
      <c r="C4702" s="17" t="s">
        <v>39</v>
      </c>
      <c r="D4702" s="17" t="s">
        <v>170</v>
      </c>
      <c r="E4702" s="17" t="s">
        <v>165</v>
      </c>
      <c r="F4702" s="17" t="s">
        <v>166</v>
      </c>
      <c r="G4702" s="17">
        <v>2</v>
      </c>
      <c r="H4702" s="17">
        <v>54662</v>
      </c>
      <c r="I4702" s="17">
        <v>109324</v>
      </c>
      <c r="J4702" s="17">
        <v>1284</v>
      </c>
      <c r="K4702" s="17">
        <v>108040</v>
      </c>
      <c r="L4702" s="17">
        <v>25859.01093</v>
      </c>
      <c r="M4702" s="17">
        <v>2024</v>
      </c>
      <c r="N4702" s="17" t="s">
        <v>117</v>
      </c>
    </row>
    <row r="4703" spans="1:14" ht="14.25" customHeight="1">
      <c r="A4703" s="17">
        <v>14702</v>
      </c>
      <c r="B4703" s="18">
        <v>45492</v>
      </c>
      <c r="C4703" s="17" t="s">
        <v>45</v>
      </c>
      <c r="D4703" s="17" t="s">
        <v>86</v>
      </c>
      <c r="E4703" s="17" t="s">
        <v>165</v>
      </c>
      <c r="F4703" s="17" t="s">
        <v>164</v>
      </c>
      <c r="G4703" s="17">
        <v>2</v>
      </c>
      <c r="H4703" s="17">
        <v>54496</v>
      </c>
      <c r="I4703" s="17">
        <v>108992</v>
      </c>
      <c r="J4703" s="17">
        <v>1378</v>
      </c>
      <c r="K4703" s="17">
        <v>107614</v>
      </c>
      <c r="L4703" s="17">
        <v>15657.142470000001</v>
      </c>
      <c r="M4703" s="17">
        <v>2024</v>
      </c>
      <c r="N4703" s="17" t="s">
        <v>123</v>
      </c>
    </row>
    <row r="4704" spans="1:14" ht="14.25" customHeight="1">
      <c r="A4704" s="17">
        <v>14703</v>
      </c>
      <c r="B4704" s="18">
        <v>45541</v>
      </c>
      <c r="C4704" s="17" t="s">
        <v>167</v>
      </c>
      <c r="D4704" s="17" t="s">
        <v>86</v>
      </c>
      <c r="E4704" s="17" t="s">
        <v>162</v>
      </c>
      <c r="F4704" s="17" t="s">
        <v>166</v>
      </c>
      <c r="G4704" s="17">
        <v>8</v>
      </c>
      <c r="H4704" s="17">
        <v>52791</v>
      </c>
      <c r="I4704" s="17">
        <v>422328</v>
      </c>
      <c r="J4704" s="17">
        <v>2658</v>
      </c>
      <c r="K4704" s="17">
        <v>419670</v>
      </c>
      <c r="L4704" s="17">
        <v>90325.085189999998</v>
      </c>
      <c r="M4704" s="17">
        <v>2024</v>
      </c>
      <c r="N4704" s="17" t="s">
        <v>129</v>
      </c>
    </row>
    <row r="4705" spans="1:14" ht="14.25" customHeight="1">
      <c r="A4705" s="17">
        <v>14704</v>
      </c>
      <c r="B4705" s="18">
        <v>45605</v>
      </c>
      <c r="C4705" s="17" t="s">
        <v>45</v>
      </c>
      <c r="D4705" s="17" t="s">
        <v>86</v>
      </c>
      <c r="E4705" s="17" t="s">
        <v>165</v>
      </c>
      <c r="F4705" s="17" t="s">
        <v>164</v>
      </c>
      <c r="G4705" s="17">
        <v>6</v>
      </c>
      <c r="H4705" s="17">
        <v>62235</v>
      </c>
      <c r="I4705" s="17">
        <v>373410</v>
      </c>
      <c r="J4705" s="17">
        <v>3561</v>
      </c>
      <c r="K4705" s="17">
        <v>369849</v>
      </c>
      <c r="L4705" s="17">
        <v>72652.119489999997</v>
      </c>
      <c r="M4705" s="17">
        <v>2024</v>
      </c>
      <c r="N4705" s="17" t="s">
        <v>173</v>
      </c>
    </row>
    <row r="4706" spans="1:14" ht="14.25" customHeight="1">
      <c r="A4706" s="17">
        <v>14705</v>
      </c>
      <c r="B4706" s="18">
        <v>45659</v>
      </c>
      <c r="C4706" s="17" t="s">
        <v>39</v>
      </c>
      <c r="D4706" s="17" t="s">
        <v>89</v>
      </c>
      <c r="E4706" s="17" t="s">
        <v>162</v>
      </c>
      <c r="F4706" s="17" t="s">
        <v>166</v>
      </c>
      <c r="G4706" s="17">
        <v>3</v>
      </c>
      <c r="H4706" s="17">
        <v>44140</v>
      </c>
      <c r="I4706" s="17">
        <v>132420</v>
      </c>
      <c r="J4706" s="17">
        <v>1887</v>
      </c>
      <c r="K4706" s="17">
        <v>130533</v>
      </c>
      <c r="L4706" s="17">
        <v>24656.413830000001</v>
      </c>
      <c r="M4706" s="17">
        <v>2025</v>
      </c>
      <c r="N4706" s="17" t="s">
        <v>171</v>
      </c>
    </row>
    <row r="4707" spans="1:14" ht="14.25" customHeight="1">
      <c r="A4707" s="17">
        <v>14706</v>
      </c>
      <c r="B4707" s="18">
        <v>45720</v>
      </c>
      <c r="C4707" s="17" t="s">
        <v>58</v>
      </c>
      <c r="D4707" s="17" t="s">
        <v>86</v>
      </c>
      <c r="E4707" s="17" t="s">
        <v>165</v>
      </c>
      <c r="F4707" s="17" t="s">
        <v>164</v>
      </c>
      <c r="G4707" s="17">
        <v>2</v>
      </c>
      <c r="H4707" s="17">
        <v>37076</v>
      </c>
      <c r="I4707" s="17">
        <v>74152</v>
      </c>
      <c r="J4707" s="17">
        <v>4012</v>
      </c>
      <c r="K4707" s="17">
        <v>70140</v>
      </c>
      <c r="L4707" s="17">
        <v>8919.0888269999996</v>
      </c>
      <c r="M4707" s="17">
        <v>2025</v>
      </c>
      <c r="N4707" s="17" t="s">
        <v>112</v>
      </c>
    </row>
    <row r="4708" spans="1:14" ht="14.25" customHeight="1">
      <c r="A4708" s="17">
        <v>14707</v>
      </c>
      <c r="B4708" s="18">
        <v>45771</v>
      </c>
      <c r="C4708" s="17" t="s">
        <v>50</v>
      </c>
      <c r="D4708" s="17" t="s">
        <v>89</v>
      </c>
      <c r="E4708" s="17" t="s">
        <v>165</v>
      </c>
      <c r="F4708" s="17" t="s">
        <v>166</v>
      </c>
      <c r="G4708" s="17">
        <v>5</v>
      </c>
      <c r="H4708" s="17">
        <v>49782</v>
      </c>
      <c r="I4708" s="17">
        <v>248910</v>
      </c>
      <c r="J4708" s="17">
        <v>1978</v>
      </c>
      <c r="K4708" s="17">
        <v>246932</v>
      </c>
      <c r="L4708" s="17">
        <v>25967.778259999999</v>
      </c>
      <c r="M4708" s="17">
        <v>2025</v>
      </c>
      <c r="N4708" s="17" t="s">
        <v>114</v>
      </c>
    </row>
    <row r="4709" spans="1:14" ht="14.25" customHeight="1">
      <c r="A4709" s="17">
        <v>14708</v>
      </c>
      <c r="B4709" s="18">
        <v>45605</v>
      </c>
      <c r="C4709" s="17" t="s">
        <v>167</v>
      </c>
      <c r="D4709" s="17" t="s">
        <v>89</v>
      </c>
      <c r="E4709" s="17" t="s">
        <v>162</v>
      </c>
      <c r="F4709" s="17" t="s">
        <v>166</v>
      </c>
      <c r="G4709" s="17">
        <v>8</v>
      </c>
      <c r="H4709" s="17">
        <v>56632</v>
      </c>
      <c r="I4709" s="17">
        <v>453056</v>
      </c>
      <c r="J4709" s="17">
        <v>4727</v>
      </c>
      <c r="K4709" s="17">
        <v>448329</v>
      </c>
      <c r="L4709" s="17">
        <v>77696.119439999995</v>
      </c>
      <c r="M4709" s="17">
        <v>2024</v>
      </c>
      <c r="N4709" s="17" t="s">
        <v>173</v>
      </c>
    </row>
    <row r="4710" spans="1:14" ht="14.25" customHeight="1">
      <c r="A4710" s="17">
        <v>14709</v>
      </c>
      <c r="B4710" s="18">
        <v>45791</v>
      </c>
      <c r="C4710" s="17" t="s">
        <v>45</v>
      </c>
      <c r="D4710" s="17" t="s">
        <v>86</v>
      </c>
      <c r="E4710" s="17" t="s">
        <v>165</v>
      </c>
      <c r="F4710" s="17" t="s">
        <v>172</v>
      </c>
      <c r="G4710" s="17">
        <v>6</v>
      </c>
      <c r="H4710" s="17">
        <v>27203</v>
      </c>
      <c r="I4710" s="17">
        <v>163218</v>
      </c>
      <c r="J4710" s="17">
        <v>4416</v>
      </c>
      <c r="K4710" s="17">
        <v>158802</v>
      </c>
      <c r="L4710" s="17">
        <v>39418.43447</v>
      </c>
      <c r="M4710" s="17">
        <v>2025</v>
      </c>
      <c r="N4710" s="17" t="s">
        <v>117</v>
      </c>
    </row>
    <row r="4711" spans="1:14" ht="14.25" customHeight="1">
      <c r="A4711" s="17">
        <v>14710</v>
      </c>
      <c r="B4711" s="18">
        <v>46012</v>
      </c>
      <c r="C4711" s="17" t="s">
        <v>39</v>
      </c>
      <c r="D4711" s="17" t="s">
        <v>86</v>
      </c>
      <c r="E4711" s="17" t="s">
        <v>162</v>
      </c>
      <c r="F4711" s="17" t="s">
        <v>166</v>
      </c>
      <c r="G4711" s="17">
        <v>3</v>
      </c>
      <c r="H4711" s="17">
        <v>50642</v>
      </c>
      <c r="I4711" s="17">
        <v>151926</v>
      </c>
      <c r="J4711" s="17">
        <v>4298</v>
      </c>
      <c r="K4711" s="17">
        <v>147628</v>
      </c>
      <c r="L4711" s="17">
        <v>19097.746469999998</v>
      </c>
      <c r="M4711" s="17">
        <v>2025</v>
      </c>
      <c r="N4711" s="17" t="s">
        <v>169</v>
      </c>
    </row>
    <row r="4712" spans="1:14" ht="14.25" customHeight="1">
      <c r="A4712" s="17">
        <v>14711</v>
      </c>
      <c r="B4712" s="18">
        <v>45646</v>
      </c>
      <c r="C4712" s="17" t="s">
        <v>39</v>
      </c>
      <c r="D4712" s="17" t="s">
        <v>170</v>
      </c>
      <c r="E4712" s="17" t="s">
        <v>165</v>
      </c>
      <c r="F4712" s="17" t="s">
        <v>172</v>
      </c>
      <c r="G4712" s="17">
        <v>9</v>
      </c>
      <c r="H4712" s="17">
        <v>14486</v>
      </c>
      <c r="I4712" s="17">
        <v>130374</v>
      </c>
      <c r="J4712" s="17">
        <v>3161</v>
      </c>
      <c r="K4712" s="17">
        <v>127213</v>
      </c>
      <c r="L4712" s="17">
        <v>22965.865699999998</v>
      </c>
      <c r="M4712" s="17">
        <v>2024</v>
      </c>
      <c r="N4712" s="17" t="s">
        <v>169</v>
      </c>
    </row>
    <row r="4713" spans="1:14" ht="14.25" customHeight="1">
      <c r="A4713" s="17">
        <v>14712</v>
      </c>
      <c r="B4713" s="18">
        <v>45776</v>
      </c>
      <c r="C4713" s="17" t="s">
        <v>50</v>
      </c>
      <c r="D4713" s="17" t="s">
        <v>170</v>
      </c>
      <c r="E4713" s="17" t="s">
        <v>165</v>
      </c>
      <c r="F4713" s="17" t="s">
        <v>166</v>
      </c>
      <c r="G4713" s="17">
        <v>8</v>
      </c>
      <c r="H4713" s="17">
        <v>65595</v>
      </c>
      <c r="I4713" s="17">
        <v>524760</v>
      </c>
      <c r="J4713" s="17">
        <v>2224</v>
      </c>
      <c r="K4713" s="17">
        <v>522536</v>
      </c>
      <c r="L4713" s="17">
        <v>104845.2255</v>
      </c>
      <c r="M4713" s="17">
        <v>2025</v>
      </c>
      <c r="N4713" s="17" t="s">
        <v>114</v>
      </c>
    </row>
    <row r="4714" spans="1:14" ht="14.25" customHeight="1">
      <c r="A4714" s="17">
        <v>14713</v>
      </c>
      <c r="B4714" s="18">
        <v>45502</v>
      </c>
      <c r="C4714" s="17" t="s">
        <v>39</v>
      </c>
      <c r="D4714" s="17" t="s">
        <v>89</v>
      </c>
      <c r="E4714" s="17" t="s">
        <v>165</v>
      </c>
      <c r="F4714" s="17" t="s">
        <v>166</v>
      </c>
      <c r="G4714" s="17">
        <v>6</v>
      </c>
      <c r="H4714" s="17">
        <v>37158</v>
      </c>
      <c r="I4714" s="17">
        <v>222948</v>
      </c>
      <c r="J4714" s="17">
        <v>4722</v>
      </c>
      <c r="K4714" s="17">
        <v>218226</v>
      </c>
      <c r="L4714" s="17">
        <v>37655.258000000002</v>
      </c>
      <c r="M4714" s="17">
        <v>2024</v>
      </c>
      <c r="N4714" s="17" t="s">
        <v>123</v>
      </c>
    </row>
    <row r="4715" spans="1:14" ht="14.25" customHeight="1">
      <c r="A4715" s="17">
        <v>14714</v>
      </c>
      <c r="B4715" s="18">
        <v>45995</v>
      </c>
      <c r="C4715" s="17" t="s">
        <v>39</v>
      </c>
      <c r="D4715" s="17" t="s">
        <v>170</v>
      </c>
      <c r="E4715" s="17" t="s">
        <v>165</v>
      </c>
      <c r="F4715" s="17" t="s">
        <v>172</v>
      </c>
      <c r="G4715" s="17">
        <v>1</v>
      </c>
      <c r="H4715" s="17">
        <v>19681</v>
      </c>
      <c r="I4715" s="17">
        <v>19681</v>
      </c>
      <c r="J4715" s="17">
        <v>2079</v>
      </c>
      <c r="K4715" s="17">
        <v>17602</v>
      </c>
      <c r="L4715" s="17">
        <v>3098.65733</v>
      </c>
      <c r="M4715" s="17">
        <v>2025</v>
      </c>
      <c r="N4715" s="17" t="s">
        <v>169</v>
      </c>
    </row>
    <row r="4716" spans="1:14" ht="14.25" customHeight="1">
      <c r="A4716" s="17">
        <v>14715</v>
      </c>
      <c r="B4716" s="18">
        <v>45335</v>
      </c>
      <c r="C4716" s="17" t="s">
        <v>50</v>
      </c>
      <c r="D4716" s="17" t="s">
        <v>89</v>
      </c>
      <c r="E4716" s="17" t="s">
        <v>168</v>
      </c>
      <c r="F4716" s="17" t="s">
        <v>172</v>
      </c>
      <c r="G4716" s="17">
        <v>2</v>
      </c>
      <c r="H4716" s="17">
        <v>59790</v>
      </c>
      <c r="I4716" s="17">
        <v>119580</v>
      </c>
      <c r="J4716" s="17">
        <v>4822</v>
      </c>
      <c r="K4716" s="17">
        <v>114758</v>
      </c>
      <c r="L4716" s="17">
        <v>22857.971890000001</v>
      </c>
      <c r="M4716" s="17">
        <v>2024</v>
      </c>
      <c r="N4716" s="17" t="s">
        <v>175</v>
      </c>
    </row>
    <row r="4717" spans="1:14" ht="14.25" customHeight="1">
      <c r="A4717" s="17">
        <v>14716</v>
      </c>
      <c r="B4717" s="18">
        <v>45832</v>
      </c>
      <c r="C4717" s="17" t="s">
        <v>167</v>
      </c>
      <c r="D4717" s="17" t="s">
        <v>83</v>
      </c>
      <c r="E4717" s="17" t="s">
        <v>162</v>
      </c>
      <c r="F4717" s="17" t="s">
        <v>164</v>
      </c>
      <c r="G4717" s="17">
        <v>4</v>
      </c>
      <c r="H4717" s="17">
        <v>60052</v>
      </c>
      <c r="I4717" s="17">
        <v>240208</v>
      </c>
      <c r="J4717" s="17">
        <v>953</v>
      </c>
      <c r="K4717" s="17">
        <v>239255</v>
      </c>
      <c r="L4717" s="17">
        <v>53171.032200000001</v>
      </c>
      <c r="M4717" s="17">
        <v>2025</v>
      </c>
      <c r="N4717" s="17" t="s">
        <v>120</v>
      </c>
    </row>
    <row r="4718" spans="1:14" ht="14.25" customHeight="1">
      <c r="A4718" s="17">
        <v>14717</v>
      </c>
      <c r="B4718" s="18">
        <v>45862</v>
      </c>
      <c r="C4718" s="17" t="s">
        <v>58</v>
      </c>
      <c r="D4718" s="17" t="s">
        <v>89</v>
      </c>
      <c r="E4718" s="17" t="s">
        <v>168</v>
      </c>
      <c r="F4718" s="17" t="s">
        <v>163</v>
      </c>
      <c r="G4718" s="17">
        <v>2</v>
      </c>
      <c r="H4718" s="17">
        <v>20372</v>
      </c>
      <c r="I4718" s="17">
        <v>40744</v>
      </c>
      <c r="J4718" s="17">
        <v>2867</v>
      </c>
      <c r="K4718" s="17">
        <v>37877</v>
      </c>
      <c r="L4718" s="17">
        <v>5681.2902400000003</v>
      </c>
      <c r="M4718" s="17">
        <v>2025</v>
      </c>
      <c r="N4718" s="17" t="s">
        <v>123</v>
      </c>
    </row>
    <row r="4719" spans="1:14" ht="14.25" customHeight="1">
      <c r="A4719" s="17">
        <v>14718</v>
      </c>
      <c r="B4719" s="18">
        <v>45874</v>
      </c>
      <c r="C4719" s="17" t="s">
        <v>58</v>
      </c>
      <c r="D4719" s="17" t="s">
        <v>89</v>
      </c>
      <c r="E4719" s="17" t="s">
        <v>165</v>
      </c>
      <c r="F4719" s="17" t="s">
        <v>172</v>
      </c>
      <c r="G4719" s="17">
        <v>3</v>
      </c>
      <c r="H4719" s="17">
        <v>31611</v>
      </c>
      <c r="I4719" s="17">
        <v>94833</v>
      </c>
      <c r="J4719" s="17">
        <v>2290</v>
      </c>
      <c r="K4719" s="17">
        <v>92543</v>
      </c>
      <c r="L4719" s="17">
        <v>21737.544160000001</v>
      </c>
      <c r="M4719" s="17">
        <v>2025</v>
      </c>
      <c r="N4719" s="17" t="s">
        <v>126</v>
      </c>
    </row>
    <row r="4720" spans="1:14" ht="14.25" customHeight="1">
      <c r="A4720" s="17">
        <v>14719</v>
      </c>
      <c r="B4720" s="18">
        <v>45383</v>
      </c>
      <c r="C4720" s="17" t="s">
        <v>45</v>
      </c>
      <c r="D4720" s="17" t="s">
        <v>170</v>
      </c>
      <c r="E4720" s="17" t="s">
        <v>165</v>
      </c>
      <c r="F4720" s="17" t="s">
        <v>164</v>
      </c>
      <c r="G4720" s="17">
        <v>8</v>
      </c>
      <c r="H4720" s="17">
        <v>10523</v>
      </c>
      <c r="I4720" s="17">
        <v>84184</v>
      </c>
      <c r="J4720" s="17">
        <v>69</v>
      </c>
      <c r="K4720" s="17">
        <v>84115</v>
      </c>
      <c r="L4720" s="17">
        <v>14529.615540000001</v>
      </c>
      <c r="M4720" s="17">
        <v>2024</v>
      </c>
      <c r="N4720" s="17" t="s">
        <v>114</v>
      </c>
    </row>
    <row r="4721" spans="1:14" ht="14.25" customHeight="1">
      <c r="A4721" s="17">
        <v>14720</v>
      </c>
      <c r="B4721" s="18">
        <v>45556</v>
      </c>
      <c r="C4721" s="17" t="s">
        <v>167</v>
      </c>
      <c r="D4721" s="17" t="s">
        <v>83</v>
      </c>
      <c r="E4721" s="17" t="s">
        <v>162</v>
      </c>
      <c r="F4721" s="17" t="s">
        <v>166</v>
      </c>
      <c r="G4721" s="17">
        <v>9</v>
      </c>
      <c r="H4721" s="17">
        <v>50793</v>
      </c>
      <c r="I4721" s="17">
        <v>457137</v>
      </c>
      <c r="J4721" s="17">
        <v>1094</v>
      </c>
      <c r="K4721" s="17">
        <v>456043</v>
      </c>
      <c r="L4721" s="17">
        <v>90880.988209999996</v>
      </c>
      <c r="M4721" s="17">
        <v>2024</v>
      </c>
      <c r="N4721" s="17" t="s">
        <v>129</v>
      </c>
    </row>
    <row r="4722" spans="1:14" ht="14.25" customHeight="1">
      <c r="A4722" s="17">
        <v>14721</v>
      </c>
      <c r="B4722" s="18">
        <v>45511</v>
      </c>
      <c r="C4722" s="17" t="s">
        <v>45</v>
      </c>
      <c r="D4722" s="17" t="s">
        <v>111</v>
      </c>
      <c r="E4722" s="17" t="s">
        <v>162</v>
      </c>
      <c r="F4722" s="17" t="s">
        <v>172</v>
      </c>
      <c r="G4722" s="17">
        <v>6</v>
      </c>
      <c r="H4722" s="17">
        <v>25233</v>
      </c>
      <c r="I4722" s="17">
        <v>151398</v>
      </c>
      <c r="J4722" s="17">
        <v>4253</v>
      </c>
      <c r="K4722" s="17">
        <v>147145</v>
      </c>
      <c r="L4722" s="17">
        <v>17065.442299999999</v>
      </c>
      <c r="M4722" s="17">
        <v>2024</v>
      </c>
      <c r="N4722" s="17" t="s">
        <v>126</v>
      </c>
    </row>
    <row r="4723" spans="1:14" ht="14.25" customHeight="1">
      <c r="A4723" s="17">
        <v>14722</v>
      </c>
      <c r="B4723" s="18">
        <v>45733</v>
      </c>
      <c r="C4723" s="17" t="s">
        <v>58</v>
      </c>
      <c r="D4723" s="17" t="s">
        <v>111</v>
      </c>
      <c r="E4723" s="17" t="s">
        <v>162</v>
      </c>
      <c r="F4723" s="17" t="s">
        <v>172</v>
      </c>
      <c r="G4723" s="17">
        <v>4</v>
      </c>
      <c r="H4723" s="17">
        <v>29955</v>
      </c>
      <c r="I4723" s="17">
        <v>119820</v>
      </c>
      <c r="J4723" s="17">
        <v>548</v>
      </c>
      <c r="K4723" s="17">
        <v>119272</v>
      </c>
      <c r="L4723" s="17">
        <v>20738.048419999999</v>
      </c>
      <c r="M4723" s="17">
        <v>2025</v>
      </c>
      <c r="N4723" s="17" t="s">
        <v>112</v>
      </c>
    </row>
    <row r="4724" spans="1:14" ht="14.25" customHeight="1">
      <c r="A4724" s="17">
        <v>14723</v>
      </c>
      <c r="B4724" s="18">
        <v>45692</v>
      </c>
      <c r="C4724" s="17" t="s">
        <v>50</v>
      </c>
      <c r="D4724" s="17" t="s">
        <v>111</v>
      </c>
      <c r="E4724" s="17" t="s">
        <v>162</v>
      </c>
      <c r="F4724" s="17" t="s">
        <v>166</v>
      </c>
      <c r="G4724" s="17">
        <v>2</v>
      </c>
      <c r="H4724" s="17">
        <v>74299</v>
      </c>
      <c r="I4724" s="17">
        <v>148598</v>
      </c>
      <c r="J4724" s="17">
        <v>1839</v>
      </c>
      <c r="K4724" s="17">
        <v>146759</v>
      </c>
      <c r="L4724" s="17">
        <v>15030.464889999999</v>
      </c>
      <c r="M4724" s="17">
        <v>2025</v>
      </c>
      <c r="N4724" s="17" t="s">
        <v>175</v>
      </c>
    </row>
    <row r="4725" spans="1:14" ht="14.25" customHeight="1">
      <c r="A4725" s="17">
        <v>14724</v>
      </c>
      <c r="B4725" s="18">
        <v>45691</v>
      </c>
      <c r="C4725" s="17" t="s">
        <v>39</v>
      </c>
      <c r="D4725" s="17" t="s">
        <v>83</v>
      </c>
      <c r="E4725" s="17" t="s">
        <v>165</v>
      </c>
      <c r="F4725" s="17" t="s">
        <v>166</v>
      </c>
      <c r="G4725" s="17">
        <v>7</v>
      </c>
      <c r="H4725" s="17">
        <v>52524</v>
      </c>
      <c r="I4725" s="17">
        <v>367668</v>
      </c>
      <c r="J4725" s="17">
        <v>1951</v>
      </c>
      <c r="K4725" s="17">
        <v>365717</v>
      </c>
      <c r="L4725" s="17">
        <v>58022.35916</v>
      </c>
      <c r="M4725" s="17">
        <v>2025</v>
      </c>
      <c r="N4725" s="17" t="s">
        <v>175</v>
      </c>
    </row>
    <row r="4726" spans="1:14" ht="14.25" customHeight="1">
      <c r="A4726" s="17">
        <v>14725</v>
      </c>
      <c r="B4726" s="18">
        <v>46018</v>
      </c>
      <c r="C4726" s="17" t="s">
        <v>58</v>
      </c>
      <c r="D4726" s="17" t="s">
        <v>86</v>
      </c>
      <c r="E4726" s="17" t="s">
        <v>162</v>
      </c>
      <c r="F4726" s="17" t="s">
        <v>166</v>
      </c>
      <c r="G4726" s="17">
        <v>7</v>
      </c>
      <c r="H4726" s="17">
        <v>47621</v>
      </c>
      <c r="I4726" s="17">
        <v>333347</v>
      </c>
      <c r="J4726" s="17">
        <v>1058</v>
      </c>
      <c r="K4726" s="17">
        <v>332289</v>
      </c>
      <c r="L4726" s="17">
        <v>35944.575080000002</v>
      </c>
      <c r="M4726" s="17">
        <v>2025</v>
      </c>
      <c r="N4726" s="17" t="s">
        <v>169</v>
      </c>
    </row>
    <row r="4727" spans="1:14" ht="14.25" customHeight="1">
      <c r="A4727" s="17">
        <v>14726</v>
      </c>
      <c r="B4727" s="18">
        <v>45867</v>
      </c>
      <c r="C4727" s="17" t="s">
        <v>167</v>
      </c>
      <c r="D4727" s="17" t="s">
        <v>83</v>
      </c>
      <c r="E4727" s="17" t="s">
        <v>168</v>
      </c>
      <c r="F4727" s="17" t="s">
        <v>166</v>
      </c>
      <c r="G4727" s="17">
        <v>9</v>
      </c>
      <c r="H4727" s="17">
        <v>73001</v>
      </c>
      <c r="I4727" s="17">
        <v>657009</v>
      </c>
      <c r="J4727" s="17">
        <v>3551</v>
      </c>
      <c r="K4727" s="17">
        <v>653458</v>
      </c>
      <c r="L4727" s="17">
        <v>153266.69560000001</v>
      </c>
      <c r="M4727" s="17">
        <v>2025</v>
      </c>
      <c r="N4727" s="17" t="s">
        <v>123</v>
      </c>
    </row>
    <row r="4728" spans="1:14" ht="14.25" customHeight="1">
      <c r="A4728" s="17">
        <v>14727</v>
      </c>
      <c r="B4728" s="18">
        <v>45781</v>
      </c>
      <c r="C4728" s="17" t="s">
        <v>58</v>
      </c>
      <c r="D4728" s="17" t="s">
        <v>170</v>
      </c>
      <c r="E4728" s="17" t="s">
        <v>162</v>
      </c>
      <c r="F4728" s="17" t="s">
        <v>163</v>
      </c>
      <c r="G4728" s="17">
        <v>5</v>
      </c>
      <c r="H4728" s="17">
        <v>74987</v>
      </c>
      <c r="I4728" s="17">
        <v>374935</v>
      </c>
      <c r="J4728" s="17">
        <v>2507</v>
      </c>
      <c r="K4728" s="17">
        <v>372428</v>
      </c>
      <c r="L4728" s="17">
        <v>74828.519830000005</v>
      </c>
      <c r="M4728" s="17">
        <v>2025</v>
      </c>
      <c r="N4728" s="17" t="s">
        <v>117</v>
      </c>
    </row>
    <row r="4729" spans="1:14" ht="14.25" customHeight="1">
      <c r="A4729" s="17">
        <v>14728</v>
      </c>
      <c r="B4729" s="18">
        <v>45776</v>
      </c>
      <c r="C4729" s="17" t="s">
        <v>167</v>
      </c>
      <c r="D4729" s="17" t="s">
        <v>89</v>
      </c>
      <c r="E4729" s="17" t="s">
        <v>162</v>
      </c>
      <c r="F4729" s="17" t="s">
        <v>172</v>
      </c>
      <c r="G4729" s="17">
        <v>4</v>
      </c>
      <c r="H4729" s="17">
        <v>5015</v>
      </c>
      <c r="I4729" s="17">
        <v>20060</v>
      </c>
      <c r="J4729" s="17">
        <v>3907</v>
      </c>
      <c r="K4729" s="17">
        <v>16153</v>
      </c>
      <c r="L4729" s="17">
        <v>3533.9768170000002</v>
      </c>
      <c r="M4729" s="17">
        <v>2025</v>
      </c>
      <c r="N4729" s="17" t="s">
        <v>114</v>
      </c>
    </row>
    <row r="4730" spans="1:14" ht="14.25" customHeight="1">
      <c r="A4730" s="17">
        <v>14729</v>
      </c>
      <c r="B4730" s="18">
        <v>45761</v>
      </c>
      <c r="C4730" s="17" t="s">
        <v>167</v>
      </c>
      <c r="D4730" s="17" t="s">
        <v>89</v>
      </c>
      <c r="E4730" s="17" t="s">
        <v>168</v>
      </c>
      <c r="F4730" s="17" t="s">
        <v>166</v>
      </c>
      <c r="G4730" s="17">
        <v>6</v>
      </c>
      <c r="H4730" s="17">
        <v>9410</v>
      </c>
      <c r="I4730" s="17">
        <v>56460</v>
      </c>
      <c r="J4730" s="17">
        <v>4981</v>
      </c>
      <c r="K4730" s="17">
        <v>51479</v>
      </c>
      <c r="L4730" s="17">
        <v>8759.2508269999998</v>
      </c>
      <c r="M4730" s="17">
        <v>2025</v>
      </c>
      <c r="N4730" s="17" t="s">
        <v>114</v>
      </c>
    </row>
    <row r="4731" spans="1:14" ht="14.25" customHeight="1">
      <c r="A4731" s="17">
        <v>14730</v>
      </c>
      <c r="B4731" s="18">
        <v>45865</v>
      </c>
      <c r="C4731" s="17" t="s">
        <v>167</v>
      </c>
      <c r="D4731" s="17" t="s">
        <v>170</v>
      </c>
      <c r="E4731" s="17" t="s">
        <v>168</v>
      </c>
      <c r="F4731" s="17" t="s">
        <v>166</v>
      </c>
      <c r="G4731" s="17">
        <v>2</v>
      </c>
      <c r="H4731" s="17">
        <v>23964</v>
      </c>
      <c r="I4731" s="17">
        <v>47928</v>
      </c>
      <c r="J4731" s="17">
        <v>3490</v>
      </c>
      <c r="K4731" s="17">
        <v>44438</v>
      </c>
      <c r="L4731" s="17">
        <v>10122.294760000001</v>
      </c>
      <c r="M4731" s="17">
        <v>2025</v>
      </c>
      <c r="N4731" s="17" t="s">
        <v>123</v>
      </c>
    </row>
    <row r="4732" spans="1:14" ht="14.25" customHeight="1">
      <c r="A4732" s="17">
        <v>14731</v>
      </c>
      <c r="B4732" s="18">
        <v>45973</v>
      </c>
      <c r="C4732" s="17" t="s">
        <v>45</v>
      </c>
      <c r="D4732" s="17" t="s">
        <v>170</v>
      </c>
      <c r="E4732" s="17" t="s">
        <v>168</v>
      </c>
      <c r="F4732" s="17" t="s">
        <v>163</v>
      </c>
      <c r="G4732" s="17">
        <v>2</v>
      </c>
      <c r="H4732" s="17">
        <v>75671</v>
      </c>
      <c r="I4732" s="17">
        <v>151342</v>
      </c>
      <c r="J4732" s="17">
        <v>4606</v>
      </c>
      <c r="K4732" s="17">
        <v>146736</v>
      </c>
      <c r="L4732" s="17">
        <v>33889.5726</v>
      </c>
      <c r="M4732" s="17">
        <v>2025</v>
      </c>
      <c r="N4732" s="17" t="s">
        <v>173</v>
      </c>
    </row>
    <row r="4733" spans="1:14" ht="14.25" customHeight="1">
      <c r="A4733" s="17">
        <v>14732</v>
      </c>
      <c r="B4733" s="18">
        <v>45736</v>
      </c>
      <c r="C4733" s="17" t="s">
        <v>50</v>
      </c>
      <c r="D4733" s="17" t="s">
        <v>89</v>
      </c>
      <c r="E4733" s="17" t="s">
        <v>168</v>
      </c>
      <c r="F4733" s="17" t="s">
        <v>172</v>
      </c>
      <c r="G4733" s="17">
        <v>9</v>
      </c>
      <c r="H4733" s="17">
        <v>78484</v>
      </c>
      <c r="I4733" s="17">
        <v>706356</v>
      </c>
      <c r="J4733" s="17">
        <v>4463</v>
      </c>
      <c r="K4733" s="17">
        <v>701893</v>
      </c>
      <c r="L4733" s="17">
        <v>107756.5337</v>
      </c>
      <c r="M4733" s="17">
        <v>2025</v>
      </c>
      <c r="N4733" s="17" t="s">
        <v>112</v>
      </c>
    </row>
    <row r="4734" spans="1:14" ht="14.25" customHeight="1">
      <c r="A4734" s="17">
        <v>14733</v>
      </c>
      <c r="B4734" s="18">
        <v>45560</v>
      </c>
      <c r="C4734" s="17" t="s">
        <v>58</v>
      </c>
      <c r="D4734" s="17" t="s">
        <v>86</v>
      </c>
      <c r="E4734" s="17" t="s">
        <v>162</v>
      </c>
      <c r="F4734" s="17" t="s">
        <v>164</v>
      </c>
      <c r="G4734" s="17">
        <v>7</v>
      </c>
      <c r="H4734" s="17">
        <v>75325</v>
      </c>
      <c r="I4734" s="17">
        <v>527275</v>
      </c>
      <c r="J4734" s="17">
        <v>2959</v>
      </c>
      <c r="K4734" s="17">
        <v>524316</v>
      </c>
      <c r="L4734" s="17">
        <v>82070.258719999998</v>
      </c>
      <c r="M4734" s="17">
        <v>2024</v>
      </c>
      <c r="N4734" s="17" t="s">
        <v>129</v>
      </c>
    </row>
    <row r="4735" spans="1:14" ht="14.25" customHeight="1">
      <c r="A4735" s="17">
        <v>14734</v>
      </c>
      <c r="B4735" s="18">
        <v>45558</v>
      </c>
      <c r="C4735" s="17" t="s">
        <v>50</v>
      </c>
      <c r="D4735" s="17" t="s">
        <v>86</v>
      </c>
      <c r="E4735" s="17" t="s">
        <v>168</v>
      </c>
      <c r="F4735" s="17" t="s">
        <v>172</v>
      </c>
      <c r="G4735" s="17">
        <v>7</v>
      </c>
      <c r="H4735" s="17">
        <v>13602</v>
      </c>
      <c r="I4735" s="17">
        <v>95214</v>
      </c>
      <c r="J4735" s="17">
        <v>882</v>
      </c>
      <c r="K4735" s="17">
        <v>94332</v>
      </c>
      <c r="L4735" s="17">
        <v>16624.704379999999</v>
      </c>
      <c r="M4735" s="17">
        <v>2024</v>
      </c>
      <c r="N4735" s="17" t="s">
        <v>129</v>
      </c>
    </row>
    <row r="4736" spans="1:14" ht="14.25" customHeight="1">
      <c r="A4736" s="17">
        <v>14735</v>
      </c>
      <c r="B4736" s="18">
        <v>45345</v>
      </c>
      <c r="C4736" s="17" t="s">
        <v>39</v>
      </c>
      <c r="D4736" s="17" t="s">
        <v>86</v>
      </c>
      <c r="E4736" s="17" t="s">
        <v>165</v>
      </c>
      <c r="F4736" s="17" t="s">
        <v>164</v>
      </c>
      <c r="G4736" s="17">
        <v>5</v>
      </c>
      <c r="H4736" s="17">
        <v>12232</v>
      </c>
      <c r="I4736" s="17">
        <v>61160</v>
      </c>
      <c r="J4736" s="17">
        <v>2625</v>
      </c>
      <c r="K4736" s="17">
        <v>58535</v>
      </c>
      <c r="L4736" s="17">
        <v>6224.4084469999998</v>
      </c>
      <c r="M4736" s="17">
        <v>2024</v>
      </c>
      <c r="N4736" s="17" t="s">
        <v>175</v>
      </c>
    </row>
    <row r="4737" spans="1:14" ht="14.25" customHeight="1">
      <c r="A4737" s="17">
        <v>14736</v>
      </c>
      <c r="B4737" s="18">
        <v>45819</v>
      </c>
      <c r="C4737" s="17" t="s">
        <v>58</v>
      </c>
      <c r="D4737" s="17" t="s">
        <v>170</v>
      </c>
      <c r="E4737" s="17" t="s">
        <v>162</v>
      </c>
      <c r="F4737" s="17" t="s">
        <v>163</v>
      </c>
      <c r="G4737" s="17">
        <v>7</v>
      </c>
      <c r="H4737" s="17">
        <v>62245</v>
      </c>
      <c r="I4737" s="17">
        <v>435715</v>
      </c>
      <c r="J4737" s="17">
        <v>4764</v>
      </c>
      <c r="K4737" s="17">
        <v>430951</v>
      </c>
      <c r="L4737" s="17">
        <v>107464.2015</v>
      </c>
      <c r="M4737" s="17">
        <v>2025</v>
      </c>
      <c r="N4737" s="17" t="s">
        <v>120</v>
      </c>
    </row>
    <row r="4738" spans="1:14" ht="14.25" customHeight="1">
      <c r="A4738" s="17">
        <v>14737</v>
      </c>
      <c r="B4738" s="18">
        <v>45811</v>
      </c>
      <c r="C4738" s="17" t="s">
        <v>50</v>
      </c>
      <c r="D4738" s="17" t="s">
        <v>89</v>
      </c>
      <c r="E4738" s="17" t="s">
        <v>165</v>
      </c>
      <c r="F4738" s="17" t="s">
        <v>166</v>
      </c>
      <c r="G4738" s="17">
        <v>9</v>
      </c>
      <c r="H4738" s="17">
        <v>52950</v>
      </c>
      <c r="I4738" s="17">
        <v>476550</v>
      </c>
      <c r="J4738" s="17">
        <v>2153</v>
      </c>
      <c r="K4738" s="17">
        <v>474397</v>
      </c>
      <c r="L4738" s="17">
        <v>72998.874979999993</v>
      </c>
      <c r="M4738" s="17">
        <v>2025</v>
      </c>
      <c r="N4738" s="17" t="s">
        <v>120</v>
      </c>
    </row>
    <row r="4739" spans="1:14" ht="14.25" customHeight="1">
      <c r="A4739" s="17">
        <v>14738</v>
      </c>
      <c r="B4739" s="18">
        <v>45907</v>
      </c>
      <c r="C4739" s="17" t="s">
        <v>50</v>
      </c>
      <c r="D4739" s="17" t="s">
        <v>89</v>
      </c>
      <c r="E4739" s="17" t="s">
        <v>162</v>
      </c>
      <c r="F4739" s="17" t="s">
        <v>163</v>
      </c>
      <c r="G4739" s="17">
        <v>5</v>
      </c>
      <c r="H4739" s="17">
        <v>75371</v>
      </c>
      <c r="I4739" s="17">
        <v>376855</v>
      </c>
      <c r="J4739" s="17">
        <v>4761</v>
      </c>
      <c r="K4739" s="17">
        <v>372094</v>
      </c>
      <c r="L4739" s="17">
        <v>63489.095780000003</v>
      </c>
      <c r="M4739" s="17">
        <v>2025</v>
      </c>
      <c r="N4739" s="17" t="s">
        <v>129</v>
      </c>
    </row>
    <row r="4740" spans="1:14" ht="14.25" customHeight="1">
      <c r="A4740" s="17">
        <v>14739</v>
      </c>
      <c r="B4740" s="18">
        <v>45350</v>
      </c>
      <c r="C4740" s="17" t="s">
        <v>39</v>
      </c>
      <c r="D4740" s="17" t="s">
        <v>89</v>
      </c>
      <c r="E4740" s="17" t="s">
        <v>162</v>
      </c>
      <c r="F4740" s="17" t="s">
        <v>172</v>
      </c>
      <c r="G4740" s="17">
        <v>9</v>
      </c>
      <c r="H4740" s="17">
        <v>33381</v>
      </c>
      <c r="I4740" s="17">
        <v>300429</v>
      </c>
      <c r="J4740" s="17">
        <v>3566</v>
      </c>
      <c r="K4740" s="17">
        <v>296863</v>
      </c>
      <c r="L4740" s="17">
        <v>63295.217570000001</v>
      </c>
      <c r="M4740" s="17">
        <v>2024</v>
      </c>
      <c r="N4740" s="17" t="s">
        <v>175</v>
      </c>
    </row>
    <row r="4741" spans="1:14" ht="14.25" customHeight="1">
      <c r="A4741" s="17">
        <v>14740</v>
      </c>
      <c r="B4741" s="18">
        <v>45331</v>
      </c>
      <c r="C4741" s="17" t="s">
        <v>167</v>
      </c>
      <c r="D4741" s="17" t="s">
        <v>83</v>
      </c>
      <c r="E4741" s="17" t="s">
        <v>165</v>
      </c>
      <c r="F4741" s="17" t="s">
        <v>166</v>
      </c>
      <c r="G4741" s="17">
        <v>1</v>
      </c>
      <c r="H4741" s="17">
        <v>61025</v>
      </c>
      <c r="I4741" s="17">
        <v>61025</v>
      </c>
      <c r="J4741" s="17">
        <v>259</v>
      </c>
      <c r="K4741" s="17">
        <v>60766</v>
      </c>
      <c r="L4741" s="17">
        <v>8788.4058100000002</v>
      </c>
      <c r="M4741" s="17">
        <v>2024</v>
      </c>
      <c r="N4741" s="17" t="s">
        <v>175</v>
      </c>
    </row>
    <row r="4742" spans="1:14" ht="14.25" customHeight="1">
      <c r="A4742" s="17">
        <v>14741</v>
      </c>
      <c r="B4742" s="18">
        <v>45528</v>
      </c>
      <c r="C4742" s="17" t="s">
        <v>58</v>
      </c>
      <c r="D4742" s="17" t="s">
        <v>83</v>
      </c>
      <c r="E4742" s="17" t="s">
        <v>168</v>
      </c>
      <c r="F4742" s="17" t="s">
        <v>172</v>
      </c>
      <c r="G4742" s="17">
        <v>3</v>
      </c>
      <c r="H4742" s="17">
        <v>58706</v>
      </c>
      <c r="I4742" s="17">
        <v>176118</v>
      </c>
      <c r="J4742" s="17">
        <v>1508</v>
      </c>
      <c r="K4742" s="17">
        <v>174610</v>
      </c>
      <c r="L4742" s="17">
        <v>22742.029429999999</v>
      </c>
      <c r="M4742" s="17">
        <v>2024</v>
      </c>
      <c r="N4742" s="17" t="s">
        <v>126</v>
      </c>
    </row>
    <row r="4743" spans="1:14" ht="14.25" customHeight="1">
      <c r="A4743" s="17">
        <v>14742</v>
      </c>
      <c r="B4743" s="18">
        <v>45677</v>
      </c>
      <c r="C4743" s="17" t="s">
        <v>58</v>
      </c>
      <c r="D4743" s="17" t="s">
        <v>111</v>
      </c>
      <c r="E4743" s="17" t="s">
        <v>168</v>
      </c>
      <c r="F4743" s="17" t="s">
        <v>164</v>
      </c>
      <c r="G4743" s="17">
        <v>7</v>
      </c>
      <c r="H4743" s="17">
        <v>5819</v>
      </c>
      <c r="I4743" s="17">
        <v>40733</v>
      </c>
      <c r="J4743" s="17">
        <v>312</v>
      </c>
      <c r="K4743" s="17">
        <v>40421</v>
      </c>
      <c r="L4743" s="17">
        <v>4814.849201</v>
      </c>
      <c r="M4743" s="17">
        <v>2025</v>
      </c>
      <c r="N4743" s="17" t="s">
        <v>171</v>
      </c>
    </row>
    <row r="4744" spans="1:14" ht="14.25" customHeight="1">
      <c r="A4744" s="17">
        <v>14743</v>
      </c>
      <c r="B4744" s="18">
        <v>45897</v>
      </c>
      <c r="C4744" s="17" t="s">
        <v>39</v>
      </c>
      <c r="D4744" s="17" t="s">
        <v>83</v>
      </c>
      <c r="E4744" s="17" t="s">
        <v>165</v>
      </c>
      <c r="F4744" s="17" t="s">
        <v>172</v>
      </c>
      <c r="G4744" s="17">
        <v>4</v>
      </c>
      <c r="H4744" s="17">
        <v>40383</v>
      </c>
      <c r="I4744" s="17">
        <v>161532</v>
      </c>
      <c r="J4744" s="17">
        <v>2678</v>
      </c>
      <c r="K4744" s="17">
        <v>158854</v>
      </c>
      <c r="L4744" s="17">
        <v>28467.04924</v>
      </c>
      <c r="M4744" s="17">
        <v>2025</v>
      </c>
      <c r="N4744" s="17" t="s">
        <v>126</v>
      </c>
    </row>
    <row r="4745" spans="1:14" ht="14.25" customHeight="1">
      <c r="A4745" s="17">
        <v>14744</v>
      </c>
      <c r="B4745" s="18">
        <v>46007</v>
      </c>
      <c r="C4745" s="17" t="s">
        <v>167</v>
      </c>
      <c r="D4745" s="17" t="s">
        <v>86</v>
      </c>
      <c r="E4745" s="17" t="s">
        <v>168</v>
      </c>
      <c r="F4745" s="17" t="s">
        <v>163</v>
      </c>
      <c r="G4745" s="17">
        <v>2</v>
      </c>
      <c r="H4745" s="17">
        <v>76605</v>
      </c>
      <c r="I4745" s="17">
        <v>153210</v>
      </c>
      <c r="J4745" s="17">
        <v>1844</v>
      </c>
      <c r="K4745" s="17">
        <v>151366</v>
      </c>
      <c r="L4745" s="17">
        <v>15261.43807</v>
      </c>
      <c r="M4745" s="17">
        <v>2025</v>
      </c>
      <c r="N4745" s="17" t="s">
        <v>169</v>
      </c>
    </row>
    <row r="4746" spans="1:14" ht="14.25" customHeight="1">
      <c r="A4746" s="17">
        <v>14745</v>
      </c>
      <c r="B4746" s="18">
        <v>45941</v>
      </c>
      <c r="C4746" s="17" t="s">
        <v>58</v>
      </c>
      <c r="D4746" s="17" t="s">
        <v>86</v>
      </c>
      <c r="E4746" s="17" t="s">
        <v>162</v>
      </c>
      <c r="F4746" s="17" t="s">
        <v>163</v>
      </c>
      <c r="G4746" s="17">
        <v>3</v>
      </c>
      <c r="H4746" s="17">
        <v>10640</v>
      </c>
      <c r="I4746" s="17">
        <v>31920</v>
      </c>
      <c r="J4746" s="17">
        <v>2584</v>
      </c>
      <c r="K4746" s="17">
        <v>29336</v>
      </c>
      <c r="L4746" s="17">
        <v>6055.7748490000004</v>
      </c>
      <c r="M4746" s="17">
        <v>2025</v>
      </c>
      <c r="N4746" s="17" t="s">
        <v>174</v>
      </c>
    </row>
    <row r="4747" spans="1:14" ht="14.25" customHeight="1">
      <c r="A4747" s="17">
        <v>14746</v>
      </c>
      <c r="B4747" s="18">
        <v>45591</v>
      </c>
      <c r="C4747" s="17" t="s">
        <v>58</v>
      </c>
      <c r="D4747" s="17" t="s">
        <v>86</v>
      </c>
      <c r="E4747" s="17" t="s">
        <v>162</v>
      </c>
      <c r="F4747" s="17" t="s">
        <v>163</v>
      </c>
      <c r="G4747" s="17">
        <v>7</v>
      </c>
      <c r="H4747" s="17">
        <v>64888</v>
      </c>
      <c r="I4747" s="17">
        <v>454216</v>
      </c>
      <c r="J4747" s="17">
        <v>4014</v>
      </c>
      <c r="K4747" s="17">
        <v>450202</v>
      </c>
      <c r="L4747" s="17">
        <v>76177.971380000003</v>
      </c>
      <c r="M4747" s="17">
        <v>2024</v>
      </c>
      <c r="N4747" s="17" t="s">
        <v>174</v>
      </c>
    </row>
    <row r="4748" spans="1:14" ht="14.25" customHeight="1">
      <c r="A4748" s="17">
        <v>14747</v>
      </c>
      <c r="B4748" s="18">
        <v>45686</v>
      </c>
      <c r="C4748" s="17" t="s">
        <v>58</v>
      </c>
      <c r="D4748" s="17" t="s">
        <v>86</v>
      </c>
      <c r="E4748" s="17" t="s">
        <v>162</v>
      </c>
      <c r="F4748" s="17" t="s">
        <v>166</v>
      </c>
      <c r="G4748" s="17">
        <v>8</v>
      </c>
      <c r="H4748" s="17">
        <v>67244</v>
      </c>
      <c r="I4748" s="17">
        <v>537952</v>
      </c>
      <c r="J4748" s="17">
        <v>3251</v>
      </c>
      <c r="K4748" s="17">
        <v>534701</v>
      </c>
      <c r="L4748" s="17">
        <v>96125.029500000004</v>
      </c>
      <c r="M4748" s="17">
        <v>2025</v>
      </c>
      <c r="N4748" s="17" t="s">
        <v>171</v>
      </c>
    </row>
    <row r="4749" spans="1:14" ht="14.25" customHeight="1">
      <c r="A4749" s="17">
        <v>14748</v>
      </c>
      <c r="B4749" s="18">
        <v>45498</v>
      </c>
      <c r="C4749" s="17" t="s">
        <v>167</v>
      </c>
      <c r="D4749" s="17" t="s">
        <v>111</v>
      </c>
      <c r="E4749" s="17" t="s">
        <v>168</v>
      </c>
      <c r="F4749" s="17" t="s">
        <v>172</v>
      </c>
      <c r="G4749" s="17">
        <v>9</v>
      </c>
      <c r="H4749" s="17">
        <v>78237</v>
      </c>
      <c r="I4749" s="17">
        <v>704133</v>
      </c>
      <c r="J4749" s="17">
        <v>1533</v>
      </c>
      <c r="K4749" s="17">
        <v>702600</v>
      </c>
      <c r="L4749" s="17">
        <v>97999.137950000004</v>
      </c>
      <c r="M4749" s="17">
        <v>2024</v>
      </c>
      <c r="N4749" s="17" t="s">
        <v>123</v>
      </c>
    </row>
    <row r="4750" spans="1:14" ht="14.25" customHeight="1">
      <c r="A4750" s="17">
        <v>14749</v>
      </c>
      <c r="B4750" s="18">
        <v>45627</v>
      </c>
      <c r="C4750" s="17" t="s">
        <v>39</v>
      </c>
      <c r="D4750" s="17" t="s">
        <v>86</v>
      </c>
      <c r="E4750" s="17" t="s">
        <v>168</v>
      </c>
      <c r="F4750" s="17" t="s">
        <v>166</v>
      </c>
      <c r="G4750" s="17">
        <v>6</v>
      </c>
      <c r="H4750" s="17">
        <v>73575</v>
      </c>
      <c r="I4750" s="17">
        <v>441450</v>
      </c>
      <c r="J4750" s="17">
        <v>4769</v>
      </c>
      <c r="K4750" s="17">
        <v>436681</v>
      </c>
      <c r="L4750" s="17">
        <v>55344.058349999999</v>
      </c>
      <c r="M4750" s="17">
        <v>2024</v>
      </c>
      <c r="N4750" s="17" t="s">
        <v>169</v>
      </c>
    </row>
    <row r="4751" spans="1:14" ht="14.25" customHeight="1">
      <c r="A4751" s="17">
        <v>14750</v>
      </c>
      <c r="B4751" s="18">
        <v>45884</v>
      </c>
      <c r="C4751" s="17" t="s">
        <v>58</v>
      </c>
      <c r="D4751" s="17" t="s">
        <v>170</v>
      </c>
      <c r="E4751" s="17" t="s">
        <v>165</v>
      </c>
      <c r="F4751" s="17" t="s">
        <v>172</v>
      </c>
      <c r="G4751" s="17">
        <v>9</v>
      </c>
      <c r="H4751" s="17">
        <v>59087</v>
      </c>
      <c r="I4751" s="17">
        <v>531783</v>
      </c>
      <c r="J4751" s="17">
        <v>1423</v>
      </c>
      <c r="K4751" s="17">
        <v>530360</v>
      </c>
      <c r="L4751" s="17">
        <v>108722.9783</v>
      </c>
      <c r="M4751" s="17">
        <v>2025</v>
      </c>
      <c r="N4751" s="17" t="s">
        <v>126</v>
      </c>
    </row>
    <row r="4752" spans="1:14" ht="14.25" customHeight="1">
      <c r="A4752" s="17">
        <v>14751</v>
      </c>
      <c r="B4752" s="18">
        <v>46021</v>
      </c>
      <c r="C4752" s="17" t="s">
        <v>50</v>
      </c>
      <c r="D4752" s="17" t="s">
        <v>170</v>
      </c>
      <c r="E4752" s="17" t="s">
        <v>162</v>
      </c>
      <c r="F4752" s="17" t="s">
        <v>164</v>
      </c>
      <c r="G4752" s="17">
        <v>4</v>
      </c>
      <c r="H4752" s="17">
        <v>36915</v>
      </c>
      <c r="I4752" s="17">
        <v>147660</v>
      </c>
      <c r="J4752" s="17">
        <v>2020</v>
      </c>
      <c r="K4752" s="17">
        <v>145640</v>
      </c>
      <c r="L4752" s="17">
        <v>19157.635620000001</v>
      </c>
      <c r="M4752" s="17">
        <v>2025</v>
      </c>
      <c r="N4752" s="17" t="s">
        <v>169</v>
      </c>
    </row>
    <row r="4753" spans="1:14" ht="14.25" customHeight="1">
      <c r="A4753" s="17">
        <v>14752</v>
      </c>
      <c r="B4753" s="18">
        <v>45805</v>
      </c>
      <c r="C4753" s="17" t="s">
        <v>167</v>
      </c>
      <c r="D4753" s="17" t="s">
        <v>170</v>
      </c>
      <c r="E4753" s="17" t="s">
        <v>165</v>
      </c>
      <c r="F4753" s="17" t="s">
        <v>172</v>
      </c>
      <c r="G4753" s="17">
        <v>5</v>
      </c>
      <c r="H4753" s="17">
        <v>48642</v>
      </c>
      <c r="I4753" s="17">
        <v>243210</v>
      </c>
      <c r="J4753" s="17">
        <v>1691</v>
      </c>
      <c r="K4753" s="17">
        <v>241519</v>
      </c>
      <c r="L4753" s="17">
        <v>52412.737090000002</v>
      </c>
      <c r="M4753" s="17">
        <v>2025</v>
      </c>
      <c r="N4753" s="17" t="s">
        <v>117</v>
      </c>
    </row>
    <row r="4754" spans="1:14" ht="14.25" customHeight="1">
      <c r="A4754" s="17">
        <v>14753</v>
      </c>
      <c r="B4754" s="18">
        <v>45469</v>
      </c>
      <c r="C4754" s="17" t="s">
        <v>45</v>
      </c>
      <c r="D4754" s="17" t="s">
        <v>83</v>
      </c>
      <c r="E4754" s="17" t="s">
        <v>168</v>
      </c>
      <c r="F4754" s="17" t="s">
        <v>172</v>
      </c>
      <c r="G4754" s="17">
        <v>1</v>
      </c>
      <c r="H4754" s="17">
        <v>61611</v>
      </c>
      <c r="I4754" s="17">
        <v>61611</v>
      </c>
      <c r="J4754" s="17">
        <v>1728</v>
      </c>
      <c r="K4754" s="17">
        <v>59883</v>
      </c>
      <c r="L4754" s="17">
        <v>7817.7782230000003</v>
      </c>
      <c r="M4754" s="17">
        <v>2024</v>
      </c>
      <c r="N4754" s="17" t="s">
        <v>120</v>
      </c>
    </row>
    <row r="4755" spans="1:14" ht="14.25" customHeight="1">
      <c r="A4755" s="17">
        <v>14754</v>
      </c>
      <c r="B4755" s="18">
        <v>45687</v>
      </c>
      <c r="C4755" s="17" t="s">
        <v>39</v>
      </c>
      <c r="D4755" s="17" t="s">
        <v>89</v>
      </c>
      <c r="E4755" s="17" t="s">
        <v>165</v>
      </c>
      <c r="F4755" s="17" t="s">
        <v>172</v>
      </c>
      <c r="G4755" s="17">
        <v>9</v>
      </c>
      <c r="H4755" s="17">
        <v>51889</v>
      </c>
      <c r="I4755" s="17">
        <v>467001</v>
      </c>
      <c r="J4755" s="17">
        <v>327</v>
      </c>
      <c r="K4755" s="17">
        <v>466674</v>
      </c>
      <c r="L4755" s="17">
        <v>89555.891170000003</v>
      </c>
      <c r="M4755" s="17">
        <v>2025</v>
      </c>
      <c r="N4755" s="17" t="s">
        <v>171</v>
      </c>
    </row>
    <row r="4756" spans="1:14" ht="14.25" customHeight="1">
      <c r="A4756" s="17">
        <v>14755</v>
      </c>
      <c r="B4756" s="18">
        <v>45662</v>
      </c>
      <c r="C4756" s="17" t="s">
        <v>50</v>
      </c>
      <c r="D4756" s="17" t="s">
        <v>111</v>
      </c>
      <c r="E4756" s="17" t="s">
        <v>168</v>
      </c>
      <c r="F4756" s="17" t="s">
        <v>172</v>
      </c>
      <c r="G4756" s="17">
        <v>9</v>
      </c>
      <c r="H4756" s="17">
        <v>46215</v>
      </c>
      <c r="I4756" s="17">
        <v>415935</v>
      </c>
      <c r="J4756" s="17">
        <v>1588</v>
      </c>
      <c r="K4756" s="17">
        <v>414347</v>
      </c>
      <c r="L4756" s="17">
        <v>81452.668720000001</v>
      </c>
      <c r="M4756" s="17">
        <v>2025</v>
      </c>
      <c r="N4756" s="17" t="s">
        <v>171</v>
      </c>
    </row>
    <row r="4757" spans="1:14" ht="14.25" customHeight="1">
      <c r="A4757" s="17">
        <v>14756</v>
      </c>
      <c r="B4757" s="18">
        <v>45949</v>
      </c>
      <c r="C4757" s="17" t="s">
        <v>58</v>
      </c>
      <c r="D4757" s="17" t="s">
        <v>170</v>
      </c>
      <c r="E4757" s="17" t="s">
        <v>162</v>
      </c>
      <c r="F4757" s="17" t="s">
        <v>164</v>
      </c>
      <c r="G4757" s="17">
        <v>9</v>
      </c>
      <c r="H4757" s="17">
        <v>7487</v>
      </c>
      <c r="I4757" s="17">
        <v>67383</v>
      </c>
      <c r="J4757" s="17">
        <v>3753</v>
      </c>
      <c r="K4757" s="17">
        <v>63630</v>
      </c>
      <c r="L4757" s="17">
        <v>11189.134340000001</v>
      </c>
      <c r="M4757" s="17">
        <v>2025</v>
      </c>
      <c r="N4757" s="17" t="s">
        <v>174</v>
      </c>
    </row>
    <row r="4758" spans="1:14" ht="14.25" customHeight="1">
      <c r="A4758" s="17">
        <v>14757</v>
      </c>
      <c r="B4758" s="18">
        <v>45609</v>
      </c>
      <c r="C4758" s="17" t="s">
        <v>45</v>
      </c>
      <c r="D4758" s="17" t="s">
        <v>170</v>
      </c>
      <c r="E4758" s="17" t="s">
        <v>162</v>
      </c>
      <c r="F4758" s="17" t="s">
        <v>166</v>
      </c>
      <c r="G4758" s="17">
        <v>3</v>
      </c>
      <c r="H4758" s="17">
        <v>66045</v>
      </c>
      <c r="I4758" s="17">
        <v>198135</v>
      </c>
      <c r="J4758" s="17">
        <v>2894</v>
      </c>
      <c r="K4758" s="17">
        <v>195241</v>
      </c>
      <c r="L4758" s="17">
        <v>48716.263870000002</v>
      </c>
      <c r="M4758" s="17">
        <v>2024</v>
      </c>
      <c r="N4758" s="17" t="s">
        <v>173</v>
      </c>
    </row>
    <row r="4759" spans="1:14" ht="14.25" customHeight="1">
      <c r="A4759" s="17">
        <v>14758</v>
      </c>
      <c r="B4759" s="18">
        <v>45660</v>
      </c>
      <c r="C4759" s="17" t="s">
        <v>39</v>
      </c>
      <c r="D4759" s="17" t="s">
        <v>86</v>
      </c>
      <c r="E4759" s="17" t="s">
        <v>168</v>
      </c>
      <c r="F4759" s="17" t="s">
        <v>163</v>
      </c>
      <c r="G4759" s="17">
        <v>8</v>
      </c>
      <c r="H4759" s="17">
        <v>79035</v>
      </c>
      <c r="I4759" s="17">
        <v>632280</v>
      </c>
      <c r="J4759" s="17">
        <v>97</v>
      </c>
      <c r="K4759" s="17">
        <v>632183</v>
      </c>
      <c r="L4759" s="17">
        <v>98858.534360000005</v>
      </c>
      <c r="M4759" s="17">
        <v>2025</v>
      </c>
      <c r="N4759" s="17" t="s">
        <v>171</v>
      </c>
    </row>
    <row r="4760" spans="1:14" ht="14.25" customHeight="1">
      <c r="A4760" s="17">
        <v>14759</v>
      </c>
      <c r="B4760" s="18">
        <v>45675</v>
      </c>
      <c r="C4760" s="17" t="s">
        <v>167</v>
      </c>
      <c r="D4760" s="17" t="s">
        <v>170</v>
      </c>
      <c r="E4760" s="17" t="s">
        <v>168</v>
      </c>
      <c r="F4760" s="17" t="s">
        <v>172</v>
      </c>
      <c r="G4760" s="17">
        <v>3</v>
      </c>
      <c r="H4760" s="17">
        <v>76667</v>
      </c>
      <c r="I4760" s="17">
        <v>230001</v>
      </c>
      <c r="J4760" s="17">
        <v>4754</v>
      </c>
      <c r="K4760" s="17">
        <v>225247</v>
      </c>
      <c r="L4760" s="17">
        <v>52369.515700000004</v>
      </c>
      <c r="M4760" s="17">
        <v>2025</v>
      </c>
      <c r="N4760" s="17" t="s">
        <v>171</v>
      </c>
    </row>
    <row r="4761" spans="1:14" ht="14.25" customHeight="1">
      <c r="A4761" s="17">
        <v>14760</v>
      </c>
      <c r="B4761" s="18">
        <v>45353</v>
      </c>
      <c r="C4761" s="17" t="s">
        <v>45</v>
      </c>
      <c r="D4761" s="17" t="s">
        <v>86</v>
      </c>
      <c r="E4761" s="17" t="s">
        <v>168</v>
      </c>
      <c r="F4761" s="17" t="s">
        <v>163</v>
      </c>
      <c r="G4761" s="17">
        <v>6</v>
      </c>
      <c r="H4761" s="17">
        <v>64040</v>
      </c>
      <c r="I4761" s="17">
        <v>384240</v>
      </c>
      <c r="J4761" s="17">
        <v>2347</v>
      </c>
      <c r="K4761" s="17">
        <v>381893</v>
      </c>
      <c r="L4761" s="17">
        <v>47883.35931</v>
      </c>
      <c r="M4761" s="17">
        <v>2024</v>
      </c>
      <c r="N4761" s="17" t="s">
        <v>112</v>
      </c>
    </row>
    <row r="4762" spans="1:14" ht="14.25" customHeight="1">
      <c r="A4762" s="17">
        <v>14761</v>
      </c>
      <c r="B4762" s="18">
        <v>45796</v>
      </c>
      <c r="C4762" s="17" t="s">
        <v>45</v>
      </c>
      <c r="D4762" s="17" t="s">
        <v>86</v>
      </c>
      <c r="E4762" s="17" t="s">
        <v>162</v>
      </c>
      <c r="F4762" s="17" t="s">
        <v>163</v>
      </c>
      <c r="G4762" s="17">
        <v>5</v>
      </c>
      <c r="H4762" s="17">
        <v>66295</v>
      </c>
      <c r="I4762" s="17">
        <v>331475</v>
      </c>
      <c r="J4762" s="17">
        <v>1097</v>
      </c>
      <c r="K4762" s="17">
        <v>330378</v>
      </c>
      <c r="L4762" s="17">
        <v>49748.858039999999</v>
      </c>
      <c r="M4762" s="17">
        <v>2025</v>
      </c>
      <c r="N4762" s="17" t="s">
        <v>117</v>
      </c>
    </row>
    <row r="4763" spans="1:14" ht="14.25" customHeight="1">
      <c r="A4763" s="17">
        <v>14762</v>
      </c>
      <c r="B4763" s="18">
        <v>45530</v>
      </c>
      <c r="C4763" s="17" t="s">
        <v>50</v>
      </c>
      <c r="D4763" s="17" t="s">
        <v>89</v>
      </c>
      <c r="E4763" s="17" t="s">
        <v>168</v>
      </c>
      <c r="F4763" s="17" t="s">
        <v>163</v>
      </c>
      <c r="G4763" s="17">
        <v>8</v>
      </c>
      <c r="H4763" s="17">
        <v>5825</v>
      </c>
      <c r="I4763" s="17">
        <v>46600</v>
      </c>
      <c r="J4763" s="17">
        <v>4734</v>
      </c>
      <c r="K4763" s="17">
        <v>41866</v>
      </c>
      <c r="L4763" s="17">
        <v>5099.4909829999997</v>
      </c>
      <c r="M4763" s="17">
        <v>2024</v>
      </c>
      <c r="N4763" s="17" t="s">
        <v>126</v>
      </c>
    </row>
    <row r="4764" spans="1:14" ht="14.25" customHeight="1">
      <c r="A4764" s="17">
        <v>14763</v>
      </c>
      <c r="B4764" s="18">
        <v>45486</v>
      </c>
      <c r="C4764" s="17" t="s">
        <v>39</v>
      </c>
      <c r="D4764" s="17" t="s">
        <v>83</v>
      </c>
      <c r="E4764" s="17" t="s">
        <v>162</v>
      </c>
      <c r="F4764" s="17" t="s">
        <v>163</v>
      </c>
      <c r="G4764" s="17">
        <v>3</v>
      </c>
      <c r="H4764" s="17">
        <v>6191</v>
      </c>
      <c r="I4764" s="17">
        <v>18573</v>
      </c>
      <c r="J4764" s="17">
        <v>84</v>
      </c>
      <c r="K4764" s="17">
        <v>18489</v>
      </c>
      <c r="L4764" s="17">
        <v>3522.962066</v>
      </c>
      <c r="M4764" s="17">
        <v>2024</v>
      </c>
      <c r="N4764" s="17" t="s">
        <v>123</v>
      </c>
    </row>
    <row r="4765" spans="1:14" ht="14.25" customHeight="1">
      <c r="A4765" s="17">
        <v>14764</v>
      </c>
      <c r="B4765" s="18">
        <v>45969</v>
      </c>
      <c r="C4765" s="17" t="s">
        <v>50</v>
      </c>
      <c r="D4765" s="17" t="s">
        <v>86</v>
      </c>
      <c r="E4765" s="17" t="s">
        <v>165</v>
      </c>
      <c r="F4765" s="17" t="s">
        <v>172</v>
      </c>
      <c r="G4765" s="17">
        <v>1</v>
      </c>
      <c r="H4765" s="17">
        <v>48094</v>
      </c>
      <c r="I4765" s="17">
        <v>48094</v>
      </c>
      <c r="J4765" s="17">
        <v>1277</v>
      </c>
      <c r="K4765" s="17">
        <v>46817</v>
      </c>
      <c r="L4765" s="17">
        <v>9163.8938030000008</v>
      </c>
      <c r="M4765" s="17">
        <v>2025</v>
      </c>
      <c r="N4765" s="17" t="s">
        <v>173</v>
      </c>
    </row>
    <row r="4766" spans="1:14" ht="14.25" customHeight="1">
      <c r="A4766" s="17">
        <v>14765</v>
      </c>
      <c r="B4766" s="18">
        <v>45513</v>
      </c>
      <c r="C4766" s="17" t="s">
        <v>50</v>
      </c>
      <c r="D4766" s="17" t="s">
        <v>86</v>
      </c>
      <c r="E4766" s="17" t="s">
        <v>162</v>
      </c>
      <c r="F4766" s="17" t="s">
        <v>163</v>
      </c>
      <c r="G4766" s="17">
        <v>9</v>
      </c>
      <c r="H4766" s="17">
        <v>68490</v>
      </c>
      <c r="I4766" s="17">
        <v>616410</v>
      </c>
      <c r="J4766" s="17">
        <v>2711</v>
      </c>
      <c r="K4766" s="17">
        <v>613699</v>
      </c>
      <c r="L4766" s="17">
        <v>103117.1413</v>
      </c>
      <c r="M4766" s="17">
        <v>2024</v>
      </c>
      <c r="N4766" s="17" t="s">
        <v>126</v>
      </c>
    </row>
    <row r="4767" spans="1:14" ht="14.25" customHeight="1">
      <c r="A4767" s="17">
        <v>14766</v>
      </c>
      <c r="B4767" s="18">
        <v>45352</v>
      </c>
      <c r="C4767" s="17" t="s">
        <v>58</v>
      </c>
      <c r="D4767" s="17" t="s">
        <v>89</v>
      </c>
      <c r="E4767" s="17" t="s">
        <v>165</v>
      </c>
      <c r="F4767" s="17" t="s">
        <v>172</v>
      </c>
      <c r="G4767" s="17">
        <v>9</v>
      </c>
      <c r="H4767" s="17">
        <v>59799</v>
      </c>
      <c r="I4767" s="17">
        <v>538191</v>
      </c>
      <c r="J4767" s="17">
        <v>518</v>
      </c>
      <c r="K4767" s="17">
        <v>537673</v>
      </c>
      <c r="L4767" s="17">
        <v>111848.9728</v>
      </c>
      <c r="M4767" s="17">
        <v>2024</v>
      </c>
      <c r="N4767" s="17" t="s">
        <v>112</v>
      </c>
    </row>
    <row r="4768" spans="1:14" ht="14.25" customHeight="1">
      <c r="A4768" s="17">
        <v>14767</v>
      </c>
      <c r="B4768" s="18">
        <v>45420</v>
      </c>
      <c r="C4768" s="17" t="s">
        <v>167</v>
      </c>
      <c r="D4768" s="17" t="s">
        <v>86</v>
      </c>
      <c r="E4768" s="17" t="s">
        <v>162</v>
      </c>
      <c r="F4768" s="17" t="s">
        <v>164</v>
      </c>
      <c r="G4768" s="17">
        <v>3</v>
      </c>
      <c r="H4768" s="17">
        <v>44553</v>
      </c>
      <c r="I4768" s="17">
        <v>133659</v>
      </c>
      <c r="J4768" s="17">
        <v>3523</v>
      </c>
      <c r="K4768" s="17">
        <v>130136</v>
      </c>
      <c r="L4768" s="17">
        <v>29950.522970000002</v>
      </c>
      <c r="M4768" s="17">
        <v>2024</v>
      </c>
      <c r="N4768" s="17" t="s">
        <v>117</v>
      </c>
    </row>
    <row r="4769" spans="1:14" ht="14.25" customHeight="1">
      <c r="A4769" s="17">
        <v>14768</v>
      </c>
      <c r="B4769" s="18">
        <v>45976</v>
      </c>
      <c r="C4769" s="17" t="s">
        <v>45</v>
      </c>
      <c r="D4769" s="17" t="s">
        <v>111</v>
      </c>
      <c r="E4769" s="17" t="s">
        <v>162</v>
      </c>
      <c r="F4769" s="17" t="s">
        <v>166</v>
      </c>
      <c r="G4769" s="17">
        <v>2</v>
      </c>
      <c r="H4769" s="17">
        <v>11813</v>
      </c>
      <c r="I4769" s="17">
        <v>23626</v>
      </c>
      <c r="J4769" s="17">
        <v>183</v>
      </c>
      <c r="K4769" s="17">
        <v>23443</v>
      </c>
      <c r="L4769" s="17">
        <v>5075.031986</v>
      </c>
      <c r="M4769" s="17">
        <v>2025</v>
      </c>
      <c r="N4769" s="17" t="s">
        <v>173</v>
      </c>
    </row>
    <row r="4770" spans="1:14" ht="14.25" customHeight="1">
      <c r="A4770" s="17">
        <v>14769</v>
      </c>
      <c r="B4770" s="18">
        <v>45447</v>
      </c>
      <c r="C4770" s="17" t="s">
        <v>39</v>
      </c>
      <c r="D4770" s="17" t="s">
        <v>83</v>
      </c>
      <c r="E4770" s="17" t="s">
        <v>168</v>
      </c>
      <c r="F4770" s="17" t="s">
        <v>166</v>
      </c>
      <c r="G4770" s="17">
        <v>4</v>
      </c>
      <c r="H4770" s="17">
        <v>31350</v>
      </c>
      <c r="I4770" s="17">
        <v>125400</v>
      </c>
      <c r="J4770" s="17">
        <v>972</v>
      </c>
      <c r="K4770" s="17">
        <v>124428</v>
      </c>
      <c r="L4770" s="17">
        <v>16953.234560000001</v>
      </c>
      <c r="M4770" s="17">
        <v>2024</v>
      </c>
      <c r="N4770" s="17" t="s">
        <v>120</v>
      </c>
    </row>
    <row r="4771" spans="1:14" ht="14.25" customHeight="1">
      <c r="A4771" s="17">
        <v>14770</v>
      </c>
      <c r="B4771" s="18">
        <v>45669</v>
      </c>
      <c r="C4771" s="17" t="s">
        <v>167</v>
      </c>
      <c r="D4771" s="17" t="s">
        <v>111</v>
      </c>
      <c r="E4771" s="17" t="s">
        <v>162</v>
      </c>
      <c r="F4771" s="17" t="s">
        <v>172</v>
      </c>
      <c r="G4771" s="17">
        <v>8</v>
      </c>
      <c r="H4771" s="17">
        <v>33992</v>
      </c>
      <c r="I4771" s="17">
        <v>271936</v>
      </c>
      <c r="J4771" s="17">
        <v>3385</v>
      </c>
      <c r="K4771" s="17">
        <v>268551</v>
      </c>
      <c r="L4771" s="17">
        <v>39761.631050000004</v>
      </c>
      <c r="M4771" s="17">
        <v>2025</v>
      </c>
      <c r="N4771" s="17" t="s">
        <v>171</v>
      </c>
    </row>
    <row r="4772" spans="1:14" ht="14.25" customHeight="1">
      <c r="A4772" s="17">
        <v>14771</v>
      </c>
      <c r="B4772" s="18">
        <v>45913</v>
      </c>
      <c r="C4772" s="17" t="s">
        <v>167</v>
      </c>
      <c r="D4772" s="17" t="s">
        <v>170</v>
      </c>
      <c r="E4772" s="17" t="s">
        <v>168</v>
      </c>
      <c r="F4772" s="17" t="s">
        <v>172</v>
      </c>
      <c r="G4772" s="17">
        <v>6</v>
      </c>
      <c r="H4772" s="17">
        <v>38975</v>
      </c>
      <c r="I4772" s="17">
        <v>233850</v>
      </c>
      <c r="J4772" s="17">
        <v>2388</v>
      </c>
      <c r="K4772" s="17">
        <v>231462</v>
      </c>
      <c r="L4772" s="17">
        <v>36349.135759999997</v>
      </c>
      <c r="M4772" s="17">
        <v>2025</v>
      </c>
      <c r="N4772" s="17" t="s">
        <v>129</v>
      </c>
    </row>
    <row r="4773" spans="1:14" ht="14.25" customHeight="1">
      <c r="A4773" s="17">
        <v>14772</v>
      </c>
      <c r="B4773" s="18">
        <v>45877</v>
      </c>
      <c r="C4773" s="17" t="s">
        <v>39</v>
      </c>
      <c r="D4773" s="17" t="s">
        <v>83</v>
      </c>
      <c r="E4773" s="17" t="s">
        <v>168</v>
      </c>
      <c r="F4773" s="17" t="s">
        <v>166</v>
      </c>
      <c r="G4773" s="17">
        <v>1</v>
      </c>
      <c r="H4773" s="17">
        <v>29992</v>
      </c>
      <c r="I4773" s="17">
        <v>29992</v>
      </c>
      <c r="J4773" s="17">
        <v>4322</v>
      </c>
      <c r="K4773" s="17">
        <v>25670</v>
      </c>
      <c r="L4773" s="17">
        <v>3351.6019820000001</v>
      </c>
      <c r="M4773" s="17">
        <v>2025</v>
      </c>
      <c r="N4773" s="17" t="s">
        <v>126</v>
      </c>
    </row>
    <row r="4774" spans="1:14" ht="14.25" customHeight="1">
      <c r="A4774" s="17">
        <v>14773</v>
      </c>
      <c r="B4774" s="18">
        <v>45728</v>
      </c>
      <c r="C4774" s="17" t="s">
        <v>167</v>
      </c>
      <c r="D4774" s="17" t="s">
        <v>170</v>
      </c>
      <c r="E4774" s="17" t="s">
        <v>168</v>
      </c>
      <c r="F4774" s="17" t="s">
        <v>163</v>
      </c>
      <c r="G4774" s="17">
        <v>8</v>
      </c>
      <c r="H4774" s="17">
        <v>48736</v>
      </c>
      <c r="I4774" s="17">
        <v>389888</v>
      </c>
      <c r="J4774" s="17">
        <v>4932</v>
      </c>
      <c r="K4774" s="17">
        <v>384956</v>
      </c>
      <c r="L4774" s="17">
        <v>59354.608500000002</v>
      </c>
      <c r="M4774" s="17">
        <v>2025</v>
      </c>
      <c r="N4774" s="17" t="s">
        <v>112</v>
      </c>
    </row>
    <row r="4775" spans="1:14" ht="14.25" customHeight="1">
      <c r="A4775" s="17">
        <v>14774</v>
      </c>
      <c r="B4775" s="18">
        <v>45498</v>
      </c>
      <c r="C4775" s="17" t="s">
        <v>58</v>
      </c>
      <c r="D4775" s="17" t="s">
        <v>86</v>
      </c>
      <c r="E4775" s="17" t="s">
        <v>162</v>
      </c>
      <c r="F4775" s="17" t="s">
        <v>172</v>
      </c>
      <c r="G4775" s="17">
        <v>5</v>
      </c>
      <c r="H4775" s="17">
        <v>6237</v>
      </c>
      <c r="I4775" s="17">
        <v>31185</v>
      </c>
      <c r="J4775" s="17">
        <v>3827</v>
      </c>
      <c r="K4775" s="17">
        <v>27358</v>
      </c>
      <c r="L4775" s="17">
        <v>3712.668044</v>
      </c>
      <c r="M4775" s="17">
        <v>2024</v>
      </c>
      <c r="N4775" s="17" t="s">
        <v>123</v>
      </c>
    </row>
    <row r="4776" spans="1:14" ht="14.25" customHeight="1">
      <c r="A4776" s="17">
        <v>14775</v>
      </c>
      <c r="B4776" s="18">
        <v>45679</v>
      </c>
      <c r="C4776" s="17" t="s">
        <v>167</v>
      </c>
      <c r="D4776" s="17" t="s">
        <v>89</v>
      </c>
      <c r="E4776" s="17" t="s">
        <v>168</v>
      </c>
      <c r="F4776" s="17" t="s">
        <v>163</v>
      </c>
      <c r="G4776" s="17">
        <v>6</v>
      </c>
      <c r="H4776" s="17">
        <v>9943</v>
      </c>
      <c r="I4776" s="17">
        <v>59658</v>
      </c>
      <c r="J4776" s="17">
        <v>2311</v>
      </c>
      <c r="K4776" s="17">
        <v>57347</v>
      </c>
      <c r="L4776" s="17">
        <v>14300.0008</v>
      </c>
      <c r="M4776" s="17">
        <v>2025</v>
      </c>
      <c r="N4776" s="17" t="s">
        <v>171</v>
      </c>
    </row>
    <row r="4777" spans="1:14" ht="14.25" customHeight="1">
      <c r="A4777" s="17">
        <v>14776</v>
      </c>
      <c r="B4777" s="18">
        <v>45771</v>
      </c>
      <c r="C4777" s="17" t="s">
        <v>58</v>
      </c>
      <c r="D4777" s="17" t="s">
        <v>111</v>
      </c>
      <c r="E4777" s="17" t="s">
        <v>165</v>
      </c>
      <c r="F4777" s="17" t="s">
        <v>172</v>
      </c>
      <c r="G4777" s="17">
        <v>5</v>
      </c>
      <c r="H4777" s="17">
        <v>58917</v>
      </c>
      <c r="I4777" s="17">
        <v>294585</v>
      </c>
      <c r="J4777" s="17">
        <v>2497</v>
      </c>
      <c r="K4777" s="17">
        <v>292088</v>
      </c>
      <c r="L4777" s="17">
        <v>63525.503810000002</v>
      </c>
      <c r="M4777" s="17">
        <v>2025</v>
      </c>
      <c r="N4777" s="17" t="s">
        <v>114</v>
      </c>
    </row>
    <row r="4778" spans="1:14" ht="14.25" customHeight="1">
      <c r="A4778" s="17">
        <v>14777</v>
      </c>
      <c r="B4778" s="18">
        <v>45631</v>
      </c>
      <c r="C4778" s="17" t="s">
        <v>45</v>
      </c>
      <c r="D4778" s="17" t="s">
        <v>170</v>
      </c>
      <c r="E4778" s="17" t="s">
        <v>165</v>
      </c>
      <c r="F4778" s="17" t="s">
        <v>172</v>
      </c>
      <c r="G4778" s="17">
        <v>5</v>
      </c>
      <c r="H4778" s="17">
        <v>26220</v>
      </c>
      <c r="I4778" s="17">
        <v>131100</v>
      </c>
      <c r="J4778" s="17">
        <v>3479</v>
      </c>
      <c r="K4778" s="17">
        <v>127621</v>
      </c>
      <c r="L4778" s="17">
        <v>29225.535769999999</v>
      </c>
      <c r="M4778" s="17">
        <v>2024</v>
      </c>
      <c r="N4778" s="17" t="s">
        <v>169</v>
      </c>
    </row>
    <row r="4779" spans="1:14" ht="14.25" customHeight="1">
      <c r="A4779" s="17">
        <v>14778</v>
      </c>
      <c r="B4779" s="18">
        <v>45631</v>
      </c>
      <c r="C4779" s="17" t="s">
        <v>45</v>
      </c>
      <c r="D4779" s="17" t="s">
        <v>86</v>
      </c>
      <c r="E4779" s="17" t="s">
        <v>162</v>
      </c>
      <c r="F4779" s="17" t="s">
        <v>164</v>
      </c>
      <c r="G4779" s="17">
        <v>3</v>
      </c>
      <c r="H4779" s="17">
        <v>52798</v>
      </c>
      <c r="I4779" s="17">
        <v>158394</v>
      </c>
      <c r="J4779" s="17">
        <v>4265</v>
      </c>
      <c r="K4779" s="17">
        <v>154129</v>
      </c>
      <c r="L4779" s="17">
        <v>36732.336860000003</v>
      </c>
      <c r="M4779" s="17">
        <v>2024</v>
      </c>
      <c r="N4779" s="17" t="s">
        <v>169</v>
      </c>
    </row>
    <row r="4780" spans="1:14" ht="14.25" customHeight="1">
      <c r="A4780" s="17">
        <v>14779</v>
      </c>
      <c r="B4780" s="18">
        <v>45495</v>
      </c>
      <c r="C4780" s="17" t="s">
        <v>50</v>
      </c>
      <c r="D4780" s="17" t="s">
        <v>111</v>
      </c>
      <c r="E4780" s="17" t="s">
        <v>168</v>
      </c>
      <c r="F4780" s="17" t="s">
        <v>164</v>
      </c>
      <c r="G4780" s="17">
        <v>4</v>
      </c>
      <c r="H4780" s="17">
        <v>33694</v>
      </c>
      <c r="I4780" s="17">
        <v>134776</v>
      </c>
      <c r="J4780" s="17">
        <v>565</v>
      </c>
      <c r="K4780" s="17">
        <v>134211</v>
      </c>
      <c r="L4780" s="17">
        <v>26808.66721</v>
      </c>
      <c r="M4780" s="17">
        <v>2024</v>
      </c>
      <c r="N4780" s="17" t="s">
        <v>123</v>
      </c>
    </row>
    <row r="4781" spans="1:14" ht="14.25" customHeight="1">
      <c r="A4781" s="17">
        <v>14780</v>
      </c>
      <c r="B4781" s="18">
        <v>45452</v>
      </c>
      <c r="C4781" s="17" t="s">
        <v>58</v>
      </c>
      <c r="D4781" s="17" t="s">
        <v>111</v>
      </c>
      <c r="E4781" s="17" t="s">
        <v>165</v>
      </c>
      <c r="F4781" s="17" t="s">
        <v>166</v>
      </c>
      <c r="G4781" s="17">
        <v>5</v>
      </c>
      <c r="H4781" s="17">
        <v>33250</v>
      </c>
      <c r="I4781" s="17">
        <v>166250</v>
      </c>
      <c r="J4781" s="17">
        <v>1935</v>
      </c>
      <c r="K4781" s="17">
        <v>164315</v>
      </c>
      <c r="L4781" s="17">
        <v>20768.838459999999</v>
      </c>
      <c r="M4781" s="17">
        <v>2024</v>
      </c>
      <c r="N4781" s="17" t="s">
        <v>120</v>
      </c>
    </row>
    <row r="4782" spans="1:14" ht="14.25" customHeight="1">
      <c r="A4782" s="17">
        <v>14781</v>
      </c>
      <c r="B4782" s="18">
        <v>45831</v>
      </c>
      <c r="C4782" s="17" t="s">
        <v>45</v>
      </c>
      <c r="D4782" s="17" t="s">
        <v>170</v>
      </c>
      <c r="E4782" s="17" t="s">
        <v>162</v>
      </c>
      <c r="F4782" s="17" t="s">
        <v>164</v>
      </c>
      <c r="G4782" s="17">
        <v>2</v>
      </c>
      <c r="H4782" s="17">
        <v>38227</v>
      </c>
      <c r="I4782" s="17">
        <v>76454</v>
      </c>
      <c r="J4782" s="17">
        <v>826</v>
      </c>
      <c r="K4782" s="17">
        <v>75628</v>
      </c>
      <c r="L4782" s="17">
        <v>16167.67144</v>
      </c>
      <c r="M4782" s="17">
        <v>2025</v>
      </c>
      <c r="N4782" s="17" t="s">
        <v>120</v>
      </c>
    </row>
    <row r="4783" spans="1:14" ht="14.25" customHeight="1">
      <c r="A4783" s="17">
        <v>14782</v>
      </c>
      <c r="B4783" s="18">
        <v>45683</v>
      </c>
      <c r="C4783" s="17" t="s">
        <v>167</v>
      </c>
      <c r="D4783" s="17" t="s">
        <v>86</v>
      </c>
      <c r="E4783" s="17" t="s">
        <v>162</v>
      </c>
      <c r="F4783" s="17" t="s">
        <v>164</v>
      </c>
      <c r="G4783" s="17">
        <v>6</v>
      </c>
      <c r="H4783" s="17">
        <v>58920</v>
      </c>
      <c r="I4783" s="17">
        <v>353520</v>
      </c>
      <c r="J4783" s="17">
        <v>4701</v>
      </c>
      <c r="K4783" s="17">
        <v>348819</v>
      </c>
      <c r="L4783" s="17">
        <v>35698.736429999997</v>
      </c>
      <c r="M4783" s="17">
        <v>2025</v>
      </c>
      <c r="N4783" s="17" t="s">
        <v>171</v>
      </c>
    </row>
    <row r="4784" spans="1:14" ht="14.25" customHeight="1">
      <c r="A4784" s="17">
        <v>14783</v>
      </c>
      <c r="B4784" s="18">
        <v>45968</v>
      </c>
      <c r="C4784" s="17" t="s">
        <v>39</v>
      </c>
      <c r="D4784" s="17" t="s">
        <v>89</v>
      </c>
      <c r="E4784" s="17" t="s">
        <v>162</v>
      </c>
      <c r="F4784" s="17" t="s">
        <v>166</v>
      </c>
      <c r="G4784" s="17">
        <v>2</v>
      </c>
      <c r="H4784" s="17">
        <v>15447</v>
      </c>
      <c r="I4784" s="17">
        <v>30894</v>
      </c>
      <c r="J4784" s="17">
        <v>3117</v>
      </c>
      <c r="K4784" s="17">
        <v>27777</v>
      </c>
      <c r="L4784" s="17">
        <v>3249.480286</v>
      </c>
      <c r="M4784" s="17">
        <v>2025</v>
      </c>
      <c r="N4784" s="17" t="s">
        <v>173</v>
      </c>
    </row>
    <row r="4785" spans="1:14" ht="14.25" customHeight="1">
      <c r="A4785" s="17">
        <v>14784</v>
      </c>
      <c r="B4785" s="18">
        <v>45866</v>
      </c>
      <c r="C4785" s="17" t="s">
        <v>39</v>
      </c>
      <c r="D4785" s="17" t="s">
        <v>170</v>
      </c>
      <c r="E4785" s="17" t="s">
        <v>162</v>
      </c>
      <c r="F4785" s="17" t="s">
        <v>163</v>
      </c>
      <c r="G4785" s="17">
        <v>4</v>
      </c>
      <c r="H4785" s="17">
        <v>79045</v>
      </c>
      <c r="I4785" s="17">
        <v>316180</v>
      </c>
      <c r="J4785" s="17">
        <v>349</v>
      </c>
      <c r="K4785" s="17">
        <v>315831</v>
      </c>
      <c r="L4785" s="17">
        <v>32984.653359999997</v>
      </c>
      <c r="M4785" s="17">
        <v>2025</v>
      </c>
      <c r="N4785" s="17" t="s">
        <v>123</v>
      </c>
    </row>
    <row r="4786" spans="1:14" ht="14.25" customHeight="1">
      <c r="A4786" s="17">
        <v>14785</v>
      </c>
      <c r="B4786" s="18">
        <v>45825</v>
      </c>
      <c r="C4786" s="17" t="s">
        <v>58</v>
      </c>
      <c r="D4786" s="17" t="s">
        <v>111</v>
      </c>
      <c r="E4786" s="17" t="s">
        <v>162</v>
      </c>
      <c r="F4786" s="17" t="s">
        <v>164</v>
      </c>
      <c r="G4786" s="17">
        <v>1</v>
      </c>
      <c r="H4786" s="17">
        <v>27865</v>
      </c>
      <c r="I4786" s="17">
        <v>27865</v>
      </c>
      <c r="J4786" s="17">
        <v>98</v>
      </c>
      <c r="K4786" s="17">
        <v>27767</v>
      </c>
      <c r="L4786" s="17">
        <v>3340.8356819999999</v>
      </c>
      <c r="M4786" s="17">
        <v>2025</v>
      </c>
      <c r="N4786" s="17" t="s">
        <v>120</v>
      </c>
    </row>
    <row r="4787" spans="1:14" ht="14.25" customHeight="1">
      <c r="A4787" s="17">
        <v>14786</v>
      </c>
      <c r="B4787" s="18">
        <v>45361</v>
      </c>
      <c r="C4787" s="17" t="s">
        <v>50</v>
      </c>
      <c r="D4787" s="17" t="s">
        <v>111</v>
      </c>
      <c r="E4787" s="17" t="s">
        <v>168</v>
      </c>
      <c r="F4787" s="17" t="s">
        <v>163</v>
      </c>
      <c r="G4787" s="17">
        <v>4</v>
      </c>
      <c r="H4787" s="17">
        <v>60450</v>
      </c>
      <c r="I4787" s="17">
        <v>241800</v>
      </c>
      <c r="J4787" s="17">
        <v>1769</v>
      </c>
      <c r="K4787" s="17">
        <v>240031</v>
      </c>
      <c r="L4787" s="17">
        <v>51078.749450000003</v>
      </c>
      <c r="M4787" s="17">
        <v>2024</v>
      </c>
      <c r="N4787" s="17" t="s">
        <v>112</v>
      </c>
    </row>
    <row r="4788" spans="1:14" ht="14.25" customHeight="1">
      <c r="A4788" s="17">
        <v>14787</v>
      </c>
      <c r="B4788" s="18">
        <v>45696</v>
      </c>
      <c r="C4788" s="17" t="s">
        <v>167</v>
      </c>
      <c r="D4788" s="17" t="s">
        <v>83</v>
      </c>
      <c r="E4788" s="17" t="s">
        <v>168</v>
      </c>
      <c r="F4788" s="17" t="s">
        <v>166</v>
      </c>
      <c r="G4788" s="17">
        <v>7</v>
      </c>
      <c r="H4788" s="17">
        <v>21134</v>
      </c>
      <c r="I4788" s="17">
        <v>147938</v>
      </c>
      <c r="J4788" s="17">
        <v>1804</v>
      </c>
      <c r="K4788" s="17">
        <v>146134</v>
      </c>
      <c r="L4788" s="17">
        <v>34023.222609999997</v>
      </c>
      <c r="M4788" s="17">
        <v>2025</v>
      </c>
      <c r="N4788" s="17" t="s">
        <v>175</v>
      </c>
    </row>
    <row r="4789" spans="1:14" ht="14.25" customHeight="1">
      <c r="A4789" s="17">
        <v>14788</v>
      </c>
      <c r="B4789" s="18">
        <v>45899</v>
      </c>
      <c r="C4789" s="17" t="s">
        <v>58</v>
      </c>
      <c r="D4789" s="17" t="s">
        <v>86</v>
      </c>
      <c r="E4789" s="17" t="s">
        <v>168</v>
      </c>
      <c r="F4789" s="17" t="s">
        <v>172</v>
      </c>
      <c r="G4789" s="17">
        <v>8</v>
      </c>
      <c r="H4789" s="17">
        <v>57378</v>
      </c>
      <c r="I4789" s="17">
        <v>459024</v>
      </c>
      <c r="J4789" s="17">
        <v>1060</v>
      </c>
      <c r="K4789" s="17">
        <v>457964</v>
      </c>
      <c r="L4789" s="17">
        <v>64951.221530000003</v>
      </c>
      <c r="M4789" s="17">
        <v>2025</v>
      </c>
      <c r="N4789" s="17" t="s">
        <v>126</v>
      </c>
    </row>
    <row r="4790" spans="1:14" ht="14.25" customHeight="1">
      <c r="A4790" s="17">
        <v>14789</v>
      </c>
      <c r="B4790" s="18">
        <v>45966</v>
      </c>
      <c r="C4790" s="17" t="s">
        <v>39</v>
      </c>
      <c r="D4790" s="17" t="s">
        <v>83</v>
      </c>
      <c r="E4790" s="17" t="s">
        <v>168</v>
      </c>
      <c r="F4790" s="17" t="s">
        <v>163</v>
      </c>
      <c r="G4790" s="17">
        <v>2</v>
      </c>
      <c r="H4790" s="17">
        <v>21201</v>
      </c>
      <c r="I4790" s="17">
        <v>42402</v>
      </c>
      <c r="J4790" s="17">
        <v>3509</v>
      </c>
      <c r="K4790" s="17">
        <v>38893</v>
      </c>
      <c r="L4790" s="17">
        <v>4584.2821089999998</v>
      </c>
      <c r="M4790" s="17">
        <v>2025</v>
      </c>
      <c r="N4790" s="17" t="s">
        <v>173</v>
      </c>
    </row>
    <row r="4791" spans="1:14" ht="14.25" customHeight="1">
      <c r="A4791" s="17">
        <v>14790</v>
      </c>
      <c r="B4791" s="18">
        <v>45882</v>
      </c>
      <c r="C4791" s="17" t="s">
        <v>58</v>
      </c>
      <c r="D4791" s="17" t="s">
        <v>89</v>
      </c>
      <c r="E4791" s="17" t="s">
        <v>162</v>
      </c>
      <c r="F4791" s="17" t="s">
        <v>166</v>
      </c>
      <c r="G4791" s="17">
        <v>3</v>
      </c>
      <c r="H4791" s="17">
        <v>23936</v>
      </c>
      <c r="I4791" s="17">
        <v>71808</v>
      </c>
      <c r="J4791" s="17">
        <v>3056</v>
      </c>
      <c r="K4791" s="17">
        <v>68752</v>
      </c>
      <c r="L4791" s="17">
        <v>9690.1786769999999</v>
      </c>
      <c r="M4791" s="17">
        <v>2025</v>
      </c>
      <c r="N4791" s="17" t="s">
        <v>126</v>
      </c>
    </row>
    <row r="4792" spans="1:14" ht="14.25" customHeight="1">
      <c r="A4792" s="17">
        <v>14791</v>
      </c>
      <c r="B4792" s="18">
        <v>45808</v>
      </c>
      <c r="C4792" s="17" t="s">
        <v>167</v>
      </c>
      <c r="D4792" s="17" t="s">
        <v>170</v>
      </c>
      <c r="E4792" s="17" t="s">
        <v>162</v>
      </c>
      <c r="F4792" s="17" t="s">
        <v>163</v>
      </c>
      <c r="G4792" s="17">
        <v>1</v>
      </c>
      <c r="H4792" s="17">
        <v>66752</v>
      </c>
      <c r="I4792" s="17">
        <v>66752</v>
      </c>
      <c r="J4792" s="17">
        <v>4170</v>
      </c>
      <c r="K4792" s="17">
        <v>62582</v>
      </c>
      <c r="L4792" s="17">
        <v>12332.850930000001</v>
      </c>
      <c r="M4792" s="17">
        <v>2025</v>
      </c>
      <c r="N4792" s="17" t="s">
        <v>117</v>
      </c>
    </row>
    <row r="4793" spans="1:14" ht="14.25" customHeight="1">
      <c r="A4793" s="17">
        <v>14792</v>
      </c>
      <c r="B4793" s="18">
        <v>45411</v>
      </c>
      <c r="C4793" s="17" t="s">
        <v>45</v>
      </c>
      <c r="D4793" s="17" t="s">
        <v>111</v>
      </c>
      <c r="E4793" s="17" t="s">
        <v>165</v>
      </c>
      <c r="F4793" s="17" t="s">
        <v>166</v>
      </c>
      <c r="G4793" s="17">
        <v>7</v>
      </c>
      <c r="H4793" s="17">
        <v>70309</v>
      </c>
      <c r="I4793" s="17">
        <v>492163</v>
      </c>
      <c r="J4793" s="17">
        <v>2105</v>
      </c>
      <c r="K4793" s="17">
        <v>490058</v>
      </c>
      <c r="L4793" s="17">
        <v>74748.770229999995</v>
      </c>
      <c r="M4793" s="17">
        <v>2024</v>
      </c>
      <c r="N4793" s="17" t="s">
        <v>114</v>
      </c>
    </row>
    <row r="4794" spans="1:14" ht="14.25" customHeight="1">
      <c r="A4794" s="17">
        <v>14793</v>
      </c>
      <c r="B4794" s="18">
        <v>45981</v>
      </c>
      <c r="C4794" s="17" t="s">
        <v>167</v>
      </c>
      <c r="D4794" s="17" t="s">
        <v>86</v>
      </c>
      <c r="E4794" s="17" t="s">
        <v>165</v>
      </c>
      <c r="F4794" s="17" t="s">
        <v>166</v>
      </c>
      <c r="G4794" s="17">
        <v>4</v>
      </c>
      <c r="H4794" s="17">
        <v>26762</v>
      </c>
      <c r="I4794" s="17">
        <v>107048</v>
      </c>
      <c r="J4794" s="17">
        <v>3090</v>
      </c>
      <c r="K4794" s="17">
        <v>103958</v>
      </c>
      <c r="L4794" s="17">
        <v>25383.622759999998</v>
      </c>
      <c r="M4794" s="17">
        <v>2025</v>
      </c>
      <c r="N4794" s="17" t="s">
        <v>173</v>
      </c>
    </row>
    <row r="4795" spans="1:14" ht="14.25" customHeight="1">
      <c r="A4795" s="17">
        <v>14794</v>
      </c>
      <c r="B4795" s="18">
        <v>45979</v>
      </c>
      <c r="C4795" s="17" t="s">
        <v>45</v>
      </c>
      <c r="D4795" s="17" t="s">
        <v>111</v>
      </c>
      <c r="E4795" s="17" t="s">
        <v>168</v>
      </c>
      <c r="F4795" s="17" t="s">
        <v>172</v>
      </c>
      <c r="G4795" s="17">
        <v>8</v>
      </c>
      <c r="H4795" s="17">
        <v>8228</v>
      </c>
      <c r="I4795" s="17">
        <v>65824</v>
      </c>
      <c r="J4795" s="17">
        <v>401</v>
      </c>
      <c r="K4795" s="17">
        <v>65423</v>
      </c>
      <c r="L4795" s="17">
        <v>7827.6538700000001</v>
      </c>
      <c r="M4795" s="17">
        <v>2025</v>
      </c>
      <c r="N4795" s="17" t="s">
        <v>173</v>
      </c>
    </row>
    <row r="4796" spans="1:14" ht="14.25" customHeight="1">
      <c r="A4796" s="17">
        <v>14795</v>
      </c>
      <c r="B4796" s="18">
        <v>45508</v>
      </c>
      <c r="C4796" s="17" t="s">
        <v>45</v>
      </c>
      <c r="D4796" s="17" t="s">
        <v>83</v>
      </c>
      <c r="E4796" s="17" t="s">
        <v>162</v>
      </c>
      <c r="F4796" s="17" t="s">
        <v>163</v>
      </c>
      <c r="G4796" s="17">
        <v>5</v>
      </c>
      <c r="H4796" s="17">
        <v>64405</v>
      </c>
      <c r="I4796" s="17">
        <v>322025</v>
      </c>
      <c r="J4796" s="17">
        <v>187</v>
      </c>
      <c r="K4796" s="17">
        <v>321838</v>
      </c>
      <c r="L4796" s="17">
        <v>79993.278579999998</v>
      </c>
      <c r="M4796" s="17">
        <v>2024</v>
      </c>
      <c r="N4796" s="17" t="s">
        <v>126</v>
      </c>
    </row>
    <row r="4797" spans="1:14" ht="14.25" customHeight="1">
      <c r="A4797" s="17">
        <v>14796</v>
      </c>
      <c r="B4797" s="18">
        <v>45347</v>
      </c>
      <c r="C4797" s="17" t="s">
        <v>45</v>
      </c>
      <c r="D4797" s="17" t="s">
        <v>83</v>
      </c>
      <c r="E4797" s="17" t="s">
        <v>165</v>
      </c>
      <c r="F4797" s="17" t="s">
        <v>172</v>
      </c>
      <c r="G4797" s="17">
        <v>9</v>
      </c>
      <c r="H4797" s="17">
        <v>73946</v>
      </c>
      <c r="I4797" s="17">
        <v>665514</v>
      </c>
      <c r="J4797" s="17">
        <v>3984</v>
      </c>
      <c r="K4797" s="17">
        <v>661530</v>
      </c>
      <c r="L4797" s="17">
        <v>67388.575119999994</v>
      </c>
      <c r="M4797" s="17">
        <v>2024</v>
      </c>
      <c r="N4797" s="17" t="s">
        <v>175</v>
      </c>
    </row>
    <row r="4798" spans="1:14" ht="14.25" customHeight="1">
      <c r="A4798" s="17">
        <v>14797</v>
      </c>
      <c r="B4798" s="18">
        <v>45657</v>
      </c>
      <c r="C4798" s="17" t="s">
        <v>58</v>
      </c>
      <c r="D4798" s="17" t="s">
        <v>170</v>
      </c>
      <c r="E4798" s="17" t="s">
        <v>165</v>
      </c>
      <c r="F4798" s="17" t="s">
        <v>172</v>
      </c>
      <c r="G4798" s="17">
        <v>6</v>
      </c>
      <c r="H4798" s="17">
        <v>5408</v>
      </c>
      <c r="I4798" s="17">
        <v>32448</v>
      </c>
      <c r="J4798" s="17">
        <v>138</v>
      </c>
      <c r="K4798" s="17">
        <v>32310</v>
      </c>
      <c r="L4798" s="17">
        <v>5420.1299580000004</v>
      </c>
      <c r="M4798" s="17">
        <v>2024</v>
      </c>
      <c r="N4798" s="17" t="s">
        <v>169</v>
      </c>
    </row>
    <row r="4799" spans="1:14" ht="14.25" customHeight="1">
      <c r="A4799" s="17">
        <v>14798</v>
      </c>
      <c r="B4799" s="18">
        <v>45990</v>
      </c>
      <c r="C4799" s="17" t="s">
        <v>39</v>
      </c>
      <c r="D4799" s="17" t="s">
        <v>86</v>
      </c>
      <c r="E4799" s="17" t="s">
        <v>165</v>
      </c>
      <c r="F4799" s="17" t="s">
        <v>163</v>
      </c>
      <c r="G4799" s="17">
        <v>2</v>
      </c>
      <c r="H4799" s="17">
        <v>52497</v>
      </c>
      <c r="I4799" s="17">
        <v>104994</v>
      </c>
      <c r="J4799" s="17">
        <v>142</v>
      </c>
      <c r="K4799" s="17">
        <v>104852</v>
      </c>
      <c r="L4799" s="17">
        <v>14445.645210000001</v>
      </c>
      <c r="M4799" s="17">
        <v>2025</v>
      </c>
      <c r="N4799" s="17" t="s">
        <v>173</v>
      </c>
    </row>
    <row r="4800" spans="1:14" ht="14.25" customHeight="1">
      <c r="A4800" s="17">
        <v>14799</v>
      </c>
      <c r="B4800" s="18">
        <v>45795</v>
      </c>
      <c r="C4800" s="17" t="s">
        <v>58</v>
      </c>
      <c r="D4800" s="17" t="s">
        <v>86</v>
      </c>
      <c r="E4800" s="17" t="s">
        <v>165</v>
      </c>
      <c r="F4800" s="17" t="s">
        <v>163</v>
      </c>
      <c r="G4800" s="17">
        <v>1</v>
      </c>
      <c r="H4800" s="17">
        <v>56419</v>
      </c>
      <c r="I4800" s="17">
        <v>56419</v>
      </c>
      <c r="J4800" s="17">
        <v>4203</v>
      </c>
      <c r="K4800" s="17">
        <v>52216</v>
      </c>
      <c r="L4800" s="17">
        <v>9656.9743080000007</v>
      </c>
      <c r="M4800" s="17">
        <v>2025</v>
      </c>
      <c r="N4800" s="17" t="s">
        <v>117</v>
      </c>
    </row>
    <row r="4801" spans="1:14" ht="14.25" customHeight="1">
      <c r="A4801" s="17">
        <v>14800</v>
      </c>
      <c r="B4801" s="18">
        <v>45746</v>
      </c>
      <c r="C4801" s="17" t="s">
        <v>39</v>
      </c>
      <c r="D4801" s="17" t="s">
        <v>170</v>
      </c>
      <c r="E4801" s="17" t="s">
        <v>168</v>
      </c>
      <c r="F4801" s="17" t="s">
        <v>166</v>
      </c>
      <c r="G4801" s="17">
        <v>1</v>
      </c>
      <c r="H4801" s="17">
        <v>63087</v>
      </c>
      <c r="I4801" s="17">
        <v>63087</v>
      </c>
      <c r="J4801" s="17">
        <v>220</v>
      </c>
      <c r="K4801" s="17">
        <v>62867</v>
      </c>
      <c r="L4801" s="17">
        <v>7197.1791730000004</v>
      </c>
      <c r="M4801" s="17">
        <v>2025</v>
      </c>
      <c r="N4801" s="17" t="s">
        <v>112</v>
      </c>
    </row>
    <row r="4802" spans="1:14" ht="14.25" customHeight="1">
      <c r="A4802" s="17">
        <v>14801</v>
      </c>
      <c r="B4802" s="18">
        <v>45395</v>
      </c>
      <c r="C4802" s="17" t="s">
        <v>167</v>
      </c>
      <c r="D4802" s="17" t="s">
        <v>83</v>
      </c>
      <c r="E4802" s="17" t="s">
        <v>162</v>
      </c>
      <c r="F4802" s="17" t="s">
        <v>163</v>
      </c>
      <c r="G4802" s="17">
        <v>9</v>
      </c>
      <c r="H4802" s="17">
        <v>10773</v>
      </c>
      <c r="I4802" s="17">
        <v>96957</v>
      </c>
      <c r="J4802" s="17">
        <v>4240</v>
      </c>
      <c r="K4802" s="17">
        <v>92717</v>
      </c>
      <c r="L4802" s="17">
        <v>21452.25043</v>
      </c>
      <c r="M4802" s="17">
        <v>2024</v>
      </c>
      <c r="N4802" s="17" t="s">
        <v>114</v>
      </c>
    </row>
    <row r="4803" spans="1:14" ht="14.25" customHeight="1">
      <c r="A4803" s="17">
        <v>14802</v>
      </c>
      <c r="B4803" s="18">
        <v>45368</v>
      </c>
      <c r="C4803" s="17" t="s">
        <v>50</v>
      </c>
      <c r="D4803" s="17" t="s">
        <v>83</v>
      </c>
      <c r="E4803" s="17" t="s">
        <v>168</v>
      </c>
      <c r="F4803" s="17" t="s">
        <v>166</v>
      </c>
      <c r="G4803" s="17">
        <v>1</v>
      </c>
      <c r="H4803" s="17">
        <v>57986</v>
      </c>
      <c r="I4803" s="17">
        <v>57986</v>
      </c>
      <c r="J4803" s="17">
        <v>4605</v>
      </c>
      <c r="K4803" s="17">
        <v>53381</v>
      </c>
      <c r="L4803" s="17">
        <v>6431.2873669999999</v>
      </c>
      <c r="M4803" s="17">
        <v>2024</v>
      </c>
      <c r="N4803" s="17" t="s">
        <v>112</v>
      </c>
    </row>
    <row r="4804" spans="1:14" ht="14.25" customHeight="1">
      <c r="A4804" s="17">
        <v>14803</v>
      </c>
      <c r="B4804" s="18">
        <v>45521</v>
      </c>
      <c r="C4804" s="17" t="s">
        <v>167</v>
      </c>
      <c r="D4804" s="17" t="s">
        <v>83</v>
      </c>
      <c r="E4804" s="17" t="s">
        <v>165</v>
      </c>
      <c r="F4804" s="17" t="s">
        <v>166</v>
      </c>
      <c r="G4804" s="17">
        <v>3</v>
      </c>
      <c r="H4804" s="17">
        <v>64175</v>
      </c>
      <c r="I4804" s="17">
        <v>192525</v>
      </c>
      <c r="J4804" s="17">
        <v>2423</v>
      </c>
      <c r="K4804" s="17">
        <v>190102</v>
      </c>
      <c r="L4804" s="17">
        <v>35759.783029999999</v>
      </c>
      <c r="M4804" s="17">
        <v>2024</v>
      </c>
      <c r="N4804" s="17" t="s">
        <v>126</v>
      </c>
    </row>
    <row r="4805" spans="1:14" ht="14.25" customHeight="1">
      <c r="A4805" s="17">
        <v>14804</v>
      </c>
      <c r="B4805" s="18">
        <v>45549</v>
      </c>
      <c r="C4805" s="17" t="s">
        <v>58</v>
      </c>
      <c r="D4805" s="17" t="s">
        <v>111</v>
      </c>
      <c r="E4805" s="17" t="s">
        <v>165</v>
      </c>
      <c r="F4805" s="17" t="s">
        <v>166</v>
      </c>
      <c r="G4805" s="17">
        <v>2</v>
      </c>
      <c r="H4805" s="17">
        <v>79715</v>
      </c>
      <c r="I4805" s="17">
        <v>159430</v>
      </c>
      <c r="J4805" s="17">
        <v>4100</v>
      </c>
      <c r="K4805" s="17">
        <v>155330</v>
      </c>
      <c r="L4805" s="17">
        <v>16309.96524</v>
      </c>
      <c r="M4805" s="17">
        <v>2024</v>
      </c>
      <c r="N4805" s="17" t="s">
        <v>129</v>
      </c>
    </row>
    <row r="4806" spans="1:14" ht="14.25" customHeight="1">
      <c r="A4806" s="17">
        <v>14805</v>
      </c>
      <c r="B4806" s="18">
        <v>45555</v>
      </c>
      <c r="C4806" s="17" t="s">
        <v>58</v>
      </c>
      <c r="D4806" s="17" t="s">
        <v>89</v>
      </c>
      <c r="E4806" s="17" t="s">
        <v>162</v>
      </c>
      <c r="F4806" s="17" t="s">
        <v>166</v>
      </c>
      <c r="G4806" s="17">
        <v>4</v>
      </c>
      <c r="H4806" s="17">
        <v>10617</v>
      </c>
      <c r="I4806" s="17">
        <v>42468</v>
      </c>
      <c r="J4806" s="17">
        <v>4028</v>
      </c>
      <c r="K4806" s="17">
        <v>38440</v>
      </c>
      <c r="L4806" s="17">
        <v>5637.1804320000001</v>
      </c>
      <c r="M4806" s="17">
        <v>2024</v>
      </c>
      <c r="N4806" s="17" t="s">
        <v>129</v>
      </c>
    </row>
    <row r="4807" spans="1:14" ht="14.25" customHeight="1">
      <c r="A4807" s="17">
        <v>14806</v>
      </c>
      <c r="B4807" s="18">
        <v>45622</v>
      </c>
      <c r="C4807" s="17" t="s">
        <v>39</v>
      </c>
      <c r="D4807" s="17" t="s">
        <v>83</v>
      </c>
      <c r="E4807" s="17" t="s">
        <v>162</v>
      </c>
      <c r="F4807" s="17" t="s">
        <v>166</v>
      </c>
      <c r="G4807" s="17">
        <v>1</v>
      </c>
      <c r="H4807" s="17">
        <v>73237</v>
      </c>
      <c r="I4807" s="17">
        <v>73237</v>
      </c>
      <c r="J4807" s="17">
        <v>387</v>
      </c>
      <c r="K4807" s="17">
        <v>72850</v>
      </c>
      <c r="L4807" s="17">
        <v>8921.0970149999994</v>
      </c>
      <c r="M4807" s="17">
        <v>2024</v>
      </c>
      <c r="N4807" s="17" t="s">
        <v>173</v>
      </c>
    </row>
    <row r="4808" spans="1:14" ht="14.25" customHeight="1">
      <c r="A4808" s="17">
        <v>14807</v>
      </c>
      <c r="B4808" s="18">
        <v>45473</v>
      </c>
      <c r="C4808" s="17" t="s">
        <v>58</v>
      </c>
      <c r="D4808" s="17" t="s">
        <v>89</v>
      </c>
      <c r="E4808" s="17" t="s">
        <v>168</v>
      </c>
      <c r="F4808" s="17" t="s">
        <v>166</v>
      </c>
      <c r="G4808" s="17">
        <v>1</v>
      </c>
      <c r="H4808" s="17">
        <v>8907</v>
      </c>
      <c r="I4808" s="17">
        <v>8907</v>
      </c>
      <c r="J4808" s="17">
        <v>3838</v>
      </c>
      <c r="K4808" s="17">
        <v>5069</v>
      </c>
      <c r="L4808" s="17">
        <v>1250.4056969999999</v>
      </c>
      <c r="M4808" s="17">
        <v>2024</v>
      </c>
      <c r="N4808" s="17" t="s">
        <v>120</v>
      </c>
    </row>
    <row r="4809" spans="1:14" ht="14.25" customHeight="1">
      <c r="A4809" s="17">
        <v>14808</v>
      </c>
      <c r="B4809" s="18">
        <v>45841</v>
      </c>
      <c r="C4809" s="17" t="s">
        <v>45</v>
      </c>
      <c r="D4809" s="17" t="s">
        <v>89</v>
      </c>
      <c r="E4809" s="17" t="s">
        <v>162</v>
      </c>
      <c r="F4809" s="17" t="s">
        <v>163</v>
      </c>
      <c r="G4809" s="17">
        <v>4</v>
      </c>
      <c r="H4809" s="17">
        <v>18841</v>
      </c>
      <c r="I4809" s="17">
        <v>75364</v>
      </c>
      <c r="J4809" s="17">
        <v>3031</v>
      </c>
      <c r="K4809" s="17">
        <v>72333</v>
      </c>
      <c r="L4809" s="17">
        <v>7363.7312380000003</v>
      </c>
      <c r="M4809" s="17">
        <v>2025</v>
      </c>
      <c r="N4809" s="17" t="s">
        <v>123</v>
      </c>
    </row>
    <row r="4810" spans="1:14" ht="14.25" customHeight="1">
      <c r="A4810" s="17">
        <v>14809</v>
      </c>
      <c r="B4810" s="18">
        <v>45979</v>
      </c>
      <c r="C4810" s="17" t="s">
        <v>58</v>
      </c>
      <c r="D4810" s="17" t="s">
        <v>86</v>
      </c>
      <c r="E4810" s="17" t="s">
        <v>168</v>
      </c>
      <c r="F4810" s="17" t="s">
        <v>163</v>
      </c>
      <c r="G4810" s="17">
        <v>4</v>
      </c>
      <c r="H4810" s="17">
        <v>54827</v>
      </c>
      <c r="I4810" s="17">
        <v>219308</v>
      </c>
      <c r="J4810" s="17">
        <v>559</v>
      </c>
      <c r="K4810" s="17">
        <v>218749</v>
      </c>
      <c r="L4810" s="17">
        <v>33437.81925</v>
      </c>
      <c r="M4810" s="17">
        <v>2025</v>
      </c>
      <c r="N4810" s="17" t="s">
        <v>173</v>
      </c>
    </row>
    <row r="4811" spans="1:14" ht="14.25" customHeight="1">
      <c r="A4811" s="17">
        <v>14810</v>
      </c>
      <c r="B4811" s="18">
        <v>45318</v>
      </c>
      <c r="C4811" s="17" t="s">
        <v>39</v>
      </c>
      <c r="D4811" s="17" t="s">
        <v>170</v>
      </c>
      <c r="E4811" s="17" t="s">
        <v>168</v>
      </c>
      <c r="F4811" s="17" t="s">
        <v>164</v>
      </c>
      <c r="G4811" s="17">
        <v>7</v>
      </c>
      <c r="H4811" s="17">
        <v>59079</v>
      </c>
      <c r="I4811" s="17">
        <v>413553</v>
      </c>
      <c r="J4811" s="17">
        <v>1839</v>
      </c>
      <c r="K4811" s="17">
        <v>411714</v>
      </c>
      <c r="L4811" s="17">
        <v>59869.97249</v>
      </c>
      <c r="M4811" s="17">
        <v>2024</v>
      </c>
      <c r="N4811" s="17" t="s">
        <v>171</v>
      </c>
    </row>
    <row r="4812" spans="1:14" ht="14.25" customHeight="1">
      <c r="A4812" s="17">
        <v>14811</v>
      </c>
      <c r="B4812" s="18">
        <v>45567</v>
      </c>
      <c r="C4812" s="17" t="s">
        <v>39</v>
      </c>
      <c r="D4812" s="17" t="s">
        <v>111</v>
      </c>
      <c r="E4812" s="17" t="s">
        <v>165</v>
      </c>
      <c r="F4812" s="17" t="s">
        <v>163</v>
      </c>
      <c r="G4812" s="17">
        <v>8</v>
      </c>
      <c r="H4812" s="17">
        <v>66467</v>
      </c>
      <c r="I4812" s="17">
        <v>531736</v>
      </c>
      <c r="J4812" s="17">
        <v>3234</v>
      </c>
      <c r="K4812" s="17">
        <v>528502</v>
      </c>
      <c r="L4812" s="17">
        <v>104963.6887</v>
      </c>
      <c r="M4812" s="17">
        <v>2024</v>
      </c>
      <c r="N4812" s="17" t="s">
        <v>174</v>
      </c>
    </row>
    <row r="4813" spans="1:14" ht="14.25" customHeight="1">
      <c r="A4813" s="17">
        <v>14812</v>
      </c>
      <c r="B4813" s="18">
        <v>45943</v>
      </c>
      <c r="C4813" s="17" t="s">
        <v>45</v>
      </c>
      <c r="D4813" s="17" t="s">
        <v>89</v>
      </c>
      <c r="E4813" s="17" t="s">
        <v>168</v>
      </c>
      <c r="F4813" s="17" t="s">
        <v>172</v>
      </c>
      <c r="G4813" s="17">
        <v>8</v>
      </c>
      <c r="H4813" s="17">
        <v>53091</v>
      </c>
      <c r="I4813" s="17">
        <v>424728</v>
      </c>
      <c r="J4813" s="17">
        <v>1771</v>
      </c>
      <c r="K4813" s="17">
        <v>422957</v>
      </c>
      <c r="L4813" s="17">
        <v>45872.518349999998</v>
      </c>
      <c r="M4813" s="17">
        <v>2025</v>
      </c>
      <c r="N4813" s="17" t="s">
        <v>174</v>
      </c>
    </row>
    <row r="4814" spans="1:14" ht="14.25" customHeight="1">
      <c r="A4814" s="17">
        <v>14813</v>
      </c>
      <c r="B4814" s="18">
        <v>45590</v>
      </c>
      <c r="C4814" s="17" t="s">
        <v>39</v>
      </c>
      <c r="D4814" s="17" t="s">
        <v>111</v>
      </c>
      <c r="E4814" s="17" t="s">
        <v>165</v>
      </c>
      <c r="F4814" s="17" t="s">
        <v>164</v>
      </c>
      <c r="G4814" s="17">
        <v>8</v>
      </c>
      <c r="H4814" s="17">
        <v>59501</v>
      </c>
      <c r="I4814" s="17">
        <v>476008</v>
      </c>
      <c r="J4814" s="17">
        <v>364</v>
      </c>
      <c r="K4814" s="17">
        <v>475644</v>
      </c>
      <c r="L4814" s="17">
        <v>105399.2219</v>
      </c>
      <c r="M4814" s="17">
        <v>2024</v>
      </c>
      <c r="N4814" s="17" t="s">
        <v>174</v>
      </c>
    </row>
    <row r="4815" spans="1:14" ht="14.25" customHeight="1">
      <c r="A4815" s="17">
        <v>14814</v>
      </c>
      <c r="B4815" s="18">
        <v>45382</v>
      </c>
      <c r="C4815" s="17" t="s">
        <v>50</v>
      </c>
      <c r="D4815" s="17" t="s">
        <v>86</v>
      </c>
      <c r="E4815" s="17" t="s">
        <v>168</v>
      </c>
      <c r="F4815" s="17" t="s">
        <v>163</v>
      </c>
      <c r="G4815" s="17">
        <v>9</v>
      </c>
      <c r="H4815" s="17">
        <v>66855</v>
      </c>
      <c r="I4815" s="17">
        <v>601695</v>
      </c>
      <c r="J4815" s="17">
        <v>416</v>
      </c>
      <c r="K4815" s="17">
        <v>601279</v>
      </c>
      <c r="L4815" s="17">
        <v>102204.54429999999</v>
      </c>
      <c r="M4815" s="17">
        <v>2024</v>
      </c>
      <c r="N4815" s="17" t="s">
        <v>112</v>
      </c>
    </row>
    <row r="4816" spans="1:14" ht="14.25" customHeight="1">
      <c r="A4816" s="17">
        <v>14815</v>
      </c>
      <c r="B4816" s="18">
        <v>45771</v>
      </c>
      <c r="C4816" s="17" t="s">
        <v>167</v>
      </c>
      <c r="D4816" s="17" t="s">
        <v>83</v>
      </c>
      <c r="E4816" s="17" t="s">
        <v>168</v>
      </c>
      <c r="F4816" s="17" t="s">
        <v>172</v>
      </c>
      <c r="G4816" s="17">
        <v>1</v>
      </c>
      <c r="H4816" s="17">
        <v>24859</v>
      </c>
      <c r="I4816" s="17">
        <v>24859</v>
      </c>
      <c r="J4816" s="17">
        <v>1635</v>
      </c>
      <c r="K4816" s="17">
        <v>23224</v>
      </c>
      <c r="L4816" s="17">
        <v>3899.6785279999999</v>
      </c>
      <c r="M4816" s="17">
        <v>2025</v>
      </c>
      <c r="N4816" s="17" t="s">
        <v>114</v>
      </c>
    </row>
    <row r="4817" spans="1:14" ht="14.25" customHeight="1">
      <c r="A4817" s="17">
        <v>14816</v>
      </c>
      <c r="B4817" s="18">
        <v>45864</v>
      </c>
      <c r="C4817" s="17" t="s">
        <v>58</v>
      </c>
      <c r="D4817" s="17" t="s">
        <v>89</v>
      </c>
      <c r="E4817" s="17" t="s">
        <v>162</v>
      </c>
      <c r="F4817" s="17" t="s">
        <v>163</v>
      </c>
      <c r="G4817" s="17">
        <v>9</v>
      </c>
      <c r="H4817" s="17">
        <v>77352</v>
      </c>
      <c r="I4817" s="17">
        <v>696168</v>
      </c>
      <c r="J4817" s="17">
        <v>2068</v>
      </c>
      <c r="K4817" s="17">
        <v>694100</v>
      </c>
      <c r="L4817" s="17">
        <v>93022.228400000007</v>
      </c>
      <c r="M4817" s="17">
        <v>2025</v>
      </c>
      <c r="N4817" s="17" t="s">
        <v>123</v>
      </c>
    </row>
    <row r="4818" spans="1:14" ht="14.25" customHeight="1">
      <c r="A4818" s="17">
        <v>14817</v>
      </c>
      <c r="B4818" s="18">
        <v>45749</v>
      </c>
      <c r="C4818" s="17" t="s">
        <v>50</v>
      </c>
      <c r="D4818" s="17" t="s">
        <v>170</v>
      </c>
      <c r="E4818" s="17" t="s">
        <v>162</v>
      </c>
      <c r="F4818" s="17" t="s">
        <v>166</v>
      </c>
      <c r="G4818" s="17">
        <v>8</v>
      </c>
      <c r="H4818" s="17">
        <v>54693</v>
      </c>
      <c r="I4818" s="17">
        <v>437544</v>
      </c>
      <c r="J4818" s="17">
        <v>516</v>
      </c>
      <c r="K4818" s="17">
        <v>437028</v>
      </c>
      <c r="L4818" s="17">
        <v>75827.423790000001</v>
      </c>
      <c r="M4818" s="17">
        <v>2025</v>
      </c>
      <c r="N4818" s="17" t="s">
        <v>114</v>
      </c>
    </row>
    <row r="4819" spans="1:14" ht="14.25" customHeight="1">
      <c r="A4819" s="17">
        <v>14818</v>
      </c>
      <c r="B4819" s="18">
        <v>45742</v>
      </c>
      <c r="C4819" s="17" t="s">
        <v>58</v>
      </c>
      <c r="D4819" s="17" t="s">
        <v>86</v>
      </c>
      <c r="E4819" s="17" t="s">
        <v>165</v>
      </c>
      <c r="F4819" s="17" t="s">
        <v>164</v>
      </c>
      <c r="G4819" s="17">
        <v>1</v>
      </c>
      <c r="H4819" s="17">
        <v>21548</v>
      </c>
      <c r="I4819" s="17">
        <v>21548</v>
      </c>
      <c r="J4819" s="17">
        <v>4031</v>
      </c>
      <c r="K4819" s="17">
        <v>17517</v>
      </c>
      <c r="L4819" s="17">
        <v>2707.8482490000001</v>
      </c>
      <c r="M4819" s="17">
        <v>2025</v>
      </c>
      <c r="N4819" s="17" t="s">
        <v>112</v>
      </c>
    </row>
    <row r="4820" spans="1:14" ht="14.25" customHeight="1">
      <c r="A4820" s="17">
        <v>14819</v>
      </c>
      <c r="B4820" s="18">
        <v>45656</v>
      </c>
      <c r="C4820" s="17" t="s">
        <v>50</v>
      </c>
      <c r="D4820" s="17" t="s">
        <v>111</v>
      </c>
      <c r="E4820" s="17" t="s">
        <v>162</v>
      </c>
      <c r="F4820" s="17" t="s">
        <v>166</v>
      </c>
      <c r="G4820" s="17">
        <v>7</v>
      </c>
      <c r="H4820" s="17">
        <v>38385</v>
      </c>
      <c r="I4820" s="17">
        <v>268695</v>
      </c>
      <c r="J4820" s="17">
        <v>1220</v>
      </c>
      <c r="K4820" s="17">
        <v>267475</v>
      </c>
      <c r="L4820" s="17">
        <v>36582.680240000002</v>
      </c>
      <c r="M4820" s="17">
        <v>2024</v>
      </c>
      <c r="N4820" s="17" t="s">
        <v>169</v>
      </c>
    </row>
    <row r="4821" spans="1:14" ht="14.25" customHeight="1">
      <c r="A4821" s="17">
        <v>14820</v>
      </c>
      <c r="B4821" s="18">
        <v>45966</v>
      </c>
      <c r="C4821" s="17" t="s">
        <v>58</v>
      </c>
      <c r="D4821" s="17" t="s">
        <v>83</v>
      </c>
      <c r="E4821" s="17" t="s">
        <v>168</v>
      </c>
      <c r="F4821" s="17" t="s">
        <v>164</v>
      </c>
      <c r="G4821" s="17">
        <v>9</v>
      </c>
      <c r="H4821" s="17">
        <v>29644</v>
      </c>
      <c r="I4821" s="17">
        <v>266796</v>
      </c>
      <c r="J4821" s="17">
        <v>660</v>
      </c>
      <c r="K4821" s="17">
        <v>266136</v>
      </c>
      <c r="L4821" s="17">
        <v>33346.851649999997</v>
      </c>
      <c r="M4821" s="17">
        <v>2025</v>
      </c>
      <c r="N4821" s="17" t="s">
        <v>173</v>
      </c>
    </row>
    <row r="4822" spans="1:14" ht="14.25" customHeight="1">
      <c r="A4822" s="17">
        <v>14821</v>
      </c>
      <c r="B4822" s="18">
        <v>45642</v>
      </c>
      <c r="C4822" s="17" t="s">
        <v>45</v>
      </c>
      <c r="D4822" s="17" t="s">
        <v>111</v>
      </c>
      <c r="E4822" s="17" t="s">
        <v>165</v>
      </c>
      <c r="F4822" s="17" t="s">
        <v>164</v>
      </c>
      <c r="G4822" s="17">
        <v>4</v>
      </c>
      <c r="H4822" s="17">
        <v>10639</v>
      </c>
      <c r="I4822" s="17">
        <v>42556</v>
      </c>
      <c r="J4822" s="17">
        <v>3416</v>
      </c>
      <c r="K4822" s="17">
        <v>39140</v>
      </c>
      <c r="L4822" s="17">
        <v>8190.0581190000003</v>
      </c>
      <c r="M4822" s="17">
        <v>2024</v>
      </c>
      <c r="N4822" s="17" t="s">
        <v>169</v>
      </c>
    </row>
    <row r="4823" spans="1:14" ht="14.25" customHeight="1">
      <c r="A4823" s="17">
        <v>14822</v>
      </c>
      <c r="B4823" s="18">
        <v>45946</v>
      </c>
      <c r="C4823" s="17" t="s">
        <v>39</v>
      </c>
      <c r="D4823" s="17" t="s">
        <v>170</v>
      </c>
      <c r="E4823" s="17" t="s">
        <v>165</v>
      </c>
      <c r="F4823" s="17" t="s">
        <v>166</v>
      </c>
      <c r="G4823" s="17">
        <v>9</v>
      </c>
      <c r="H4823" s="17">
        <v>25580</v>
      </c>
      <c r="I4823" s="17">
        <v>230220</v>
      </c>
      <c r="J4823" s="17">
        <v>329</v>
      </c>
      <c r="K4823" s="17">
        <v>229891</v>
      </c>
      <c r="L4823" s="17">
        <v>27887.260180000001</v>
      </c>
      <c r="M4823" s="17">
        <v>2025</v>
      </c>
      <c r="N4823" s="17" t="s">
        <v>174</v>
      </c>
    </row>
    <row r="4824" spans="1:14" ht="14.25" customHeight="1">
      <c r="A4824" s="17">
        <v>14823</v>
      </c>
      <c r="B4824" s="18">
        <v>45691</v>
      </c>
      <c r="C4824" s="17" t="s">
        <v>39</v>
      </c>
      <c r="D4824" s="17" t="s">
        <v>89</v>
      </c>
      <c r="E4824" s="17" t="s">
        <v>165</v>
      </c>
      <c r="F4824" s="17" t="s">
        <v>164</v>
      </c>
      <c r="G4824" s="17">
        <v>1</v>
      </c>
      <c r="H4824" s="17">
        <v>31974</v>
      </c>
      <c r="I4824" s="17">
        <v>31974</v>
      </c>
      <c r="J4824" s="17">
        <v>377</v>
      </c>
      <c r="K4824" s="17">
        <v>31597</v>
      </c>
      <c r="L4824" s="17">
        <v>3955.85907</v>
      </c>
      <c r="M4824" s="17">
        <v>2025</v>
      </c>
      <c r="N4824" s="17" t="s">
        <v>175</v>
      </c>
    </row>
    <row r="4825" spans="1:14" ht="14.25" customHeight="1">
      <c r="A4825" s="17">
        <v>14824</v>
      </c>
      <c r="B4825" s="18">
        <v>45544</v>
      </c>
      <c r="C4825" s="17" t="s">
        <v>45</v>
      </c>
      <c r="D4825" s="17" t="s">
        <v>170</v>
      </c>
      <c r="E4825" s="17" t="s">
        <v>168</v>
      </c>
      <c r="F4825" s="17" t="s">
        <v>164</v>
      </c>
      <c r="G4825" s="17">
        <v>9</v>
      </c>
      <c r="H4825" s="17">
        <v>50373</v>
      </c>
      <c r="I4825" s="17">
        <v>453357</v>
      </c>
      <c r="J4825" s="17">
        <v>3282</v>
      </c>
      <c r="K4825" s="17">
        <v>450075</v>
      </c>
      <c r="L4825" s="17">
        <v>83966.307990000001</v>
      </c>
      <c r="M4825" s="17">
        <v>2024</v>
      </c>
      <c r="N4825" s="17" t="s">
        <v>129</v>
      </c>
    </row>
    <row r="4826" spans="1:14" ht="14.25" customHeight="1">
      <c r="A4826" s="17">
        <v>14825</v>
      </c>
      <c r="B4826" s="18">
        <v>45750</v>
      </c>
      <c r="C4826" s="17" t="s">
        <v>50</v>
      </c>
      <c r="D4826" s="17" t="s">
        <v>111</v>
      </c>
      <c r="E4826" s="17" t="s">
        <v>162</v>
      </c>
      <c r="F4826" s="17" t="s">
        <v>163</v>
      </c>
      <c r="G4826" s="17">
        <v>6</v>
      </c>
      <c r="H4826" s="17">
        <v>52612</v>
      </c>
      <c r="I4826" s="17">
        <v>315672</v>
      </c>
      <c r="J4826" s="17">
        <v>159</v>
      </c>
      <c r="K4826" s="17">
        <v>315513</v>
      </c>
      <c r="L4826" s="17">
        <v>42250.858890000003</v>
      </c>
      <c r="M4826" s="17">
        <v>2025</v>
      </c>
      <c r="N4826" s="17" t="s">
        <v>114</v>
      </c>
    </row>
    <row r="4827" spans="1:14" ht="14.25" customHeight="1">
      <c r="A4827" s="17">
        <v>14826</v>
      </c>
      <c r="B4827" s="18">
        <v>45990</v>
      </c>
      <c r="C4827" s="17" t="s">
        <v>167</v>
      </c>
      <c r="D4827" s="17" t="s">
        <v>111</v>
      </c>
      <c r="E4827" s="17" t="s">
        <v>165</v>
      </c>
      <c r="F4827" s="17" t="s">
        <v>172</v>
      </c>
      <c r="G4827" s="17">
        <v>4</v>
      </c>
      <c r="H4827" s="17">
        <v>29761</v>
      </c>
      <c r="I4827" s="17">
        <v>119044</v>
      </c>
      <c r="J4827" s="17">
        <v>4753</v>
      </c>
      <c r="K4827" s="17">
        <v>114291</v>
      </c>
      <c r="L4827" s="17">
        <v>19304.48919</v>
      </c>
      <c r="M4827" s="17">
        <v>2025</v>
      </c>
      <c r="N4827" s="17" t="s">
        <v>173</v>
      </c>
    </row>
    <row r="4828" spans="1:14" ht="14.25" customHeight="1">
      <c r="A4828" s="17">
        <v>14827</v>
      </c>
      <c r="B4828" s="18">
        <v>45790</v>
      </c>
      <c r="C4828" s="17" t="s">
        <v>50</v>
      </c>
      <c r="D4828" s="17" t="s">
        <v>170</v>
      </c>
      <c r="E4828" s="17" t="s">
        <v>168</v>
      </c>
      <c r="F4828" s="17" t="s">
        <v>166</v>
      </c>
      <c r="G4828" s="17">
        <v>5</v>
      </c>
      <c r="H4828" s="17">
        <v>15701</v>
      </c>
      <c r="I4828" s="17">
        <v>78505</v>
      </c>
      <c r="J4828" s="17">
        <v>1263</v>
      </c>
      <c r="K4828" s="17">
        <v>77242</v>
      </c>
      <c r="L4828" s="17">
        <v>14130.46632</v>
      </c>
      <c r="M4828" s="17">
        <v>2025</v>
      </c>
      <c r="N4828" s="17" t="s">
        <v>117</v>
      </c>
    </row>
    <row r="4829" spans="1:14" ht="14.25" customHeight="1">
      <c r="A4829" s="17">
        <v>14828</v>
      </c>
      <c r="B4829" s="18">
        <v>45799</v>
      </c>
      <c r="C4829" s="17" t="s">
        <v>39</v>
      </c>
      <c r="D4829" s="17" t="s">
        <v>170</v>
      </c>
      <c r="E4829" s="17" t="s">
        <v>162</v>
      </c>
      <c r="F4829" s="17" t="s">
        <v>163</v>
      </c>
      <c r="G4829" s="17">
        <v>7</v>
      </c>
      <c r="H4829" s="17">
        <v>25822</v>
      </c>
      <c r="I4829" s="17">
        <v>180754</v>
      </c>
      <c r="J4829" s="17">
        <v>4174</v>
      </c>
      <c r="K4829" s="17">
        <v>176580</v>
      </c>
      <c r="L4829" s="17">
        <v>24926.820970000001</v>
      </c>
      <c r="M4829" s="17">
        <v>2025</v>
      </c>
      <c r="N4829" s="17" t="s">
        <v>117</v>
      </c>
    </row>
    <row r="4830" spans="1:14" ht="14.25" customHeight="1">
      <c r="A4830" s="17">
        <v>14829</v>
      </c>
      <c r="B4830" s="18">
        <v>45595</v>
      </c>
      <c r="C4830" s="17" t="s">
        <v>167</v>
      </c>
      <c r="D4830" s="17" t="s">
        <v>170</v>
      </c>
      <c r="E4830" s="17" t="s">
        <v>162</v>
      </c>
      <c r="F4830" s="17" t="s">
        <v>163</v>
      </c>
      <c r="G4830" s="17">
        <v>4</v>
      </c>
      <c r="H4830" s="17">
        <v>19970</v>
      </c>
      <c r="I4830" s="17">
        <v>79880</v>
      </c>
      <c r="J4830" s="17">
        <v>2199</v>
      </c>
      <c r="K4830" s="17">
        <v>77681</v>
      </c>
      <c r="L4830" s="17">
        <v>11771.24566</v>
      </c>
      <c r="M4830" s="17">
        <v>2024</v>
      </c>
      <c r="N4830" s="17" t="s">
        <v>174</v>
      </c>
    </row>
    <row r="4831" spans="1:14" ht="14.25" customHeight="1">
      <c r="A4831" s="17">
        <v>14830</v>
      </c>
      <c r="B4831" s="18">
        <v>45792</v>
      </c>
      <c r="C4831" s="17" t="s">
        <v>58</v>
      </c>
      <c r="D4831" s="17" t="s">
        <v>83</v>
      </c>
      <c r="E4831" s="17" t="s">
        <v>165</v>
      </c>
      <c r="F4831" s="17" t="s">
        <v>166</v>
      </c>
      <c r="G4831" s="17">
        <v>8</v>
      </c>
      <c r="H4831" s="17">
        <v>40847</v>
      </c>
      <c r="I4831" s="17">
        <v>326776</v>
      </c>
      <c r="J4831" s="17">
        <v>2564</v>
      </c>
      <c r="K4831" s="17">
        <v>324212</v>
      </c>
      <c r="L4831" s="17">
        <v>42643.936370000003</v>
      </c>
      <c r="M4831" s="17">
        <v>2025</v>
      </c>
      <c r="N4831" s="17" t="s">
        <v>117</v>
      </c>
    </row>
    <row r="4832" spans="1:14" ht="14.25" customHeight="1">
      <c r="A4832" s="17">
        <v>14831</v>
      </c>
      <c r="B4832" s="18">
        <v>45889</v>
      </c>
      <c r="C4832" s="17" t="s">
        <v>167</v>
      </c>
      <c r="D4832" s="17" t="s">
        <v>111</v>
      </c>
      <c r="E4832" s="17" t="s">
        <v>168</v>
      </c>
      <c r="F4832" s="17" t="s">
        <v>164</v>
      </c>
      <c r="G4832" s="17">
        <v>3</v>
      </c>
      <c r="H4832" s="17">
        <v>28103</v>
      </c>
      <c r="I4832" s="17">
        <v>84309</v>
      </c>
      <c r="J4832" s="17">
        <v>2430</v>
      </c>
      <c r="K4832" s="17">
        <v>81879</v>
      </c>
      <c r="L4832" s="17">
        <v>13842.764510000001</v>
      </c>
      <c r="M4832" s="17">
        <v>2025</v>
      </c>
      <c r="N4832" s="17" t="s">
        <v>126</v>
      </c>
    </row>
    <row r="4833" spans="1:14" ht="14.25" customHeight="1">
      <c r="A4833" s="17">
        <v>14832</v>
      </c>
      <c r="B4833" s="18">
        <v>45457</v>
      </c>
      <c r="C4833" s="17" t="s">
        <v>50</v>
      </c>
      <c r="D4833" s="17" t="s">
        <v>86</v>
      </c>
      <c r="E4833" s="17" t="s">
        <v>162</v>
      </c>
      <c r="F4833" s="17" t="s">
        <v>166</v>
      </c>
      <c r="G4833" s="17">
        <v>2</v>
      </c>
      <c r="H4833" s="17">
        <v>62479</v>
      </c>
      <c r="I4833" s="17">
        <v>124958</v>
      </c>
      <c r="J4833" s="17">
        <v>4788</v>
      </c>
      <c r="K4833" s="17">
        <v>120170</v>
      </c>
      <c r="L4833" s="17">
        <v>29905.504570000001</v>
      </c>
      <c r="M4833" s="17">
        <v>2024</v>
      </c>
      <c r="N4833" s="17" t="s">
        <v>120</v>
      </c>
    </row>
    <row r="4834" spans="1:14" ht="14.25" customHeight="1">
      <c r="A4834" s="17">
        <v>14833</v>
      </c>
      <c r="B4834" s="18">
        <v>45706</v>
      </c>
      <c r="C4834" s="17" t="s">
        <v>45</v>
      </c>
      <c r="D4834" s="17" t="s">
        <v>83</v>
      </c>
      <c r="E4834" s="17" t="s">
        <v>168</v>
      </c>
      <c r="F4834" s="17" t="s">
        <v>172</v>
      </c>
      <c r="G4834" s="17">
        <v>1</v>
      </c>
      <c r="H4834" s="17">
        <v>65787</v>
      </c>
      <c r="I4834" s="17">
        <v>65787</v>
      </c>
      <c r="J4834" s="17">
        <v>2037</v>
      </c>
      <c r="K4834" s="17">
        <v>63750</v>
      </c>
      <c r="L4834" s="17">
        <v>9843.4325520000002</v>
      </c>
      <c r="M4834" s="17">
        <v>2025</v>
      </c>
      <c r="N4834" s="17" t="s">
        <v>175</v>
      </c>
    </row>
    <row r="4835" spans="1:14" ht="14.25" customHeight="1">
      <c r="A4835" s="17">
        <v>14834</v>
      </c>
      <c r="B4835" s="18">
        <v>45753</v>
      </c>
      <c r="C4835" s="17" t="s">
        <v>58</v>
      </c>
      <c r="D4835" s="17" t="s">
        <v>83</v>
      </c>
      <c r="E4835" s="17" t="s">
        <v>162</v>
      </c>
      <c r="F4835" s="17" t="s">
        <v>172</v>
      </c>
      <c r="G4835" s="17">
        <v>6</v>
      </c>
      <c r="H4835" s="17">
        <v>21944</v>
      </c>
      <c r="I4835" s="17">
        <v>131664</v>
      </c>
      <c r="J4835" s="17">
        <v>2399</v>
      </c>
      <c r="K4835" s="17">
        <v>129265</v>
      </c>
      <c r="L4835" s="17">
        <v>25594.41272</v>
      </c>
      <c r="M4835" s="17">
        <v>2025</v>
      </c>
      <c r="N4835" s="17" t="s">
        <v>114</v>
      </c>
    </row>
    <row r="4836" spans="1:14" ht="14.25" customHeight="1">
      <c r="A4836" s="17">
        <v>14835</v>
      </c>
      <c r="B4836" s="18">
        <v>45405</v>
      </c>
      <c r="C4836" s="17" t="s">
        <v>50</v>
      </c>
      <c r="D4836" s="17" t="s">
        <v>83</v>
      </c>
      <c r="E4836" s="17" t="s">
        <v>165</v>
      </c>
      <c r="F4836" s="17" t="s">
        <v>166</v>
      </c>
      <c r="G4836" s="17">
        <v>2</v>
      </c>
      <c r="H4836" s="17">
        <v>19974</v>
      </c>
      <c r="I4836" s="17">
        <v>39948</v>
      </c>
      <c r="J4836" s="17">
        <v>1224</v>
      </c>
      <c r="K4836" s="17">
        <v>38724</v>
      </c>
      <c r="L4836" s="17">
        <v>7566.0565079999997</v>
      </c>
      <c r="M4836" s="17">
        <v>2024</v>
      </c>
      <c r="N4836" s="17" t="s">
        <v>114</v>
      </c>
    </row>
    <row r="4837" spans="1:14" ht="14.25" customHeight="1">
      <c r="A4837" s="17">
        <v>14836</v>
      </c>
      <c r="B4837" s="18">
        <v>45724</v>
      </c>
      <c r="C4837" s="17" t="s">
        <v>58</v>
      </c>
      <c r="D4837" s="17" t="s">
        <v>86</v>
      </c>
      <c r="E4837" s="17" t="s">
        <v>165</v>
      </c>
      <c r="F4837" s="17" t="s">
        <v>163</v>
      </c>
      <c r="G4837" s="17">
        <v>8</v>
      </c>
      <c r="H4837" s="17">
        <v>51984</v>
      </c>
      <c r="I4837" s="17">
        <v>415872</v>
      </c>
      <c r="J4837" s="17">
        <v>1988</v>
      </c>
      <c r="K4837" s="17">
        <v>413884</v>
      </c>
      <c r="L4837" s="17">
        <v>90215.237040000007</v>
      </c>
      <c r="M4837" s="17">
        <v>2025</v>
      </c>
      <c r="N4837" s="17" t="s">
        <v>112</v>
      </c>
    </row>
    <row r="4838" spans="1:14" ht="14.25" customHeight="1">
      <c r="A4838" s="17">
        <v>14837</v>
      </c>
      <c r="B4838" s="18">
        <v>45647</v>
      </c>
      <c r="C4838" s="17" t="s">
        <v>167</v>
      </c>
      <c r="D4838" s="17" t="s">
        <v>170</v>
      </c>
      <c r="E4838" s="17" t="s">
        <v>162</v>
      </c>
      <c r="F4838" s="17" t="s">
        <v>166</v>
      </c>
      <c r="G4838" s="17">
        <v>4</v>
      </c>
      <c r="H4838" s="17">
        <v>51893</v>
      </c>
      <c r="I4838" s="17">
        <v>207572</v>
      </c>
      <c r="J4838" s="17">
        <v>865</v>
      </c>
      <c r="K4838" s="17">
        <v>206707</v>
      </c>
      <c r="L4838" s="17">
        <v>42744.478660000001</v>
      </c>
      <c r="M4838" s="17">
        <v>2024</v>
      </c>
      <c r="N4838" s="17" t="s">
        <v>169</v>
      </c>
    </row>
    <row r="4839" spans="1:14" ht="14.25" customHeight="1">
      <c r="A4839" s="17">
        <v>14838</v>
      </c>
      <c r="B4839" s="18">
        <v>45986</v>
      </c>
      <c r="C4839" s="17" t="s">
        <v>39</v>
      </c>
      <c r="D4839" s="17" t="s">
        <v>111</v>
      </c>
      <c r="E4839" s="17" t="s">
        <v>168</v>
      </c>
      <c r="F4839" s="17" t="s">
        <v>172</v>
      </c>
      <c r="G4839" s="17">
        <v>9</v>
      </c>
      <c r="H4839" s="17">
        <v>31314</v>
      </c>
      <c r="I4839" s="17">
        <v>281826</v>
      </c>
      <c r="J4839" s="17">
        <v>390</v>
      </c>
      <c r="K4839" s="17">
        <v>281436</v>
      </c>
      <c r="L4839" s="17">
        <v>28640.886180000001</v>
      </c>
      <c r="M4839" s="17">
        <v>2025</v>
      </c>
      <c r="N4839" s="17" t="s">
        <v>173</v>
      </c>
    </row>
    <row r="4840" spans="1:14" ht="14.25" customHeight="1">
      <c r="A4840" s="17">
        <v>14839</v>
      </c>
      <c r="B4840" s="18">
        <v>45498</v>
      </c>
      <c r="C4840" s="17" t="s">
        <v>50</v>
      </c>
      <c r="D4840" s="17" t="s">
        <v>89</v>
      </c>
      <c r="E4840" s="17" t="s">
        <v>162</v>
      </c>
      <c r="F4840" s="17" t="s">
        <v>166</v>
      </c>
      <c r="G4840" s="17">
        <v>4</v>
      </c>
      <c r="H4840" s="17">
        <v>34852</v>
      </c>
      <c r="I4840" s="17">
        <v>139408</v>
      </c>
      <c r="J4840" s="17">
        <v>1408</v>
      </c>
      <c r="K4840" s="17">
        <v>138000</v>
      </c>
      <c r="L4840" s="17">
        <v>20200.793809999999</v>
      </c>
      <c r="M4840" s="17">
        <v>2024</v>
      </c>
      <c r="N4840" s="17" t="s">
        <v>123</v>
      </c>
    </row>
    <row r="4841" spans="1:14" ht="14.25" customHeight="1">
      <c r="A4841" s="17">
        <v>14840</v>
      </c>
      <c r="B4841" s="18">
        <v>45526</v>
      </c>
      <c r="C4841" s="17" t="s">
        <v>45</v>
      </c>
      <c r="D4841" s="17" t="s">
        <v>89</v>
      </c>
      <c r="E4841" s="17" t="s">
        <v>168</v>
      </c>
      <c r="F4841" s="17" t="s">
        <v>164</v>
      </c>
      <c r="G4841" s="17">
        <v>4</v>
      </c>
      <c r="H4841" s="17">
        <v>9953</v>
      </c>
      <c r="I4841" s="17">
        <v>39812</v>
      </c>
      <c r="J4841" s="17">
        <v>4915</v>
      </c>
      <c r="K4841" s="17">
        <v>34897</v>
      </c>
      <c r="L4841" s="17">
        <v>8044.9806520000002</v>
      </c>
      <c r="M4841" s="17">
        <v>2024</v>
      </c>
      <c r="N4841" s="17" t="s">
        <v>126</v>
      </c>
    </row>
    <row r="4842" spans="1:14" ht="14.25" customHeight="1">
      <c r="A4842" s="17">
        <v>14841</v>
      </c>
      <c r="B4842" s="18">
        <v>45733</v>
      </c>
      <c r="C4842" s="17" t="s">
        <v>167</v>
      </c>
      <c r="D4842" s="17" t="s">
        <v>111</v>
      </c>
      <c r="E4842" s="17" t="s">
        <v>162</v>
      </c>
      <c r="F4842" s="17" t="s">
        <v>166</v>
      </c>
      <c r="G4842" s="17">
        <v>8</v>
      </c>
      <c r="H4842" s="17">
        <v>33448</v>
      </c>
      <c r="I4842" s="17">
        <v>267584</v>
      </c>
      <c r="J4842" s="17">
        <v>4030</v>
      </c>
      <c r="K4842" s="17">
        <v>263554</v>
      </c>
      <c r="L4842" s="17">
        <v>47685.492749999998</v>
      </c>
      <c r="M4842" s="17">
        <v>2025</v>
      </c>
      <c r="N4842" s="17" t="s">
        <v>112</v>
      </c>
    </row>
    <row r="4843" spans="1:14" ht="14.25" customHeight="1">
      <c r="A4843" s="17">
        <v>14842</v>
      </c>
      <c r="B4843" s="18">
        <v>45646</v>
      </c>
      <c r="C4843" s="17" t="s">
        <v>50</v>
      </c>
      <c r="D4843" s="17" t="s">
        <v>86</v>
      </c>
      <c r="E4843" s="17" t="s">
        <v>165</v>
      </c>
      <c r="F4843" s="17" t="s">
        <v>163</v>
      </c>
      <c r="G4843" s="17">
        <v>8</v>
      </c>
      <c r="H4843" s="17">
        <v>36771</v>
      </c>
      <c r="I4843" s="17">
        <v>294168</v>
      </c>
      <c r="J4843" s="17">
        <v>4435</v>
      </c>
      <c r="K4843" s="17">
        <v>289733</v>
      </c>
      <c r="L4843" s="17">
        <v>33502.873570000003</v>
      </c>
      <c r="M4843" s="17">
        <v>2024</v>
      </c>
      <c r="N4843" s="17" t="s">
        <v>169</v>
      </c>
    </row>
    <row r="4844" spans="1:14" ht="14.25" customHeight="1">
      <c r="A4844" s="17">
        <v>14843</v>
      </c>
      <c r="B4844" s="18">
        <v>45806</v>
      </c>
      <c r="C4844" s="17" t="s">
        <v>45</v>
      </c>
      <c r="D4844" s="17" t="s">
        <v>89</v>
      </c>
      <c r="E4844" s="17" t="s">
        <v>168</v>
      </c>
      <c r="F4844" s="17" t="s">
        <v>164</v>
      </c>
      <c r="G4844" s="17">
        <v>5</v>
      </c>
      <c r="H4844" s="17">
        <v>56550</v>
      </c>
      <c r="I4844" s="17">
        <v>282750</v>
      </c>
      <c r="J4844" s="17">
        <v>1554</v>
      </c>
      <c r="K4844" s="17">
        <v>281196</v>
      </c>
      <c r="L4844" s="17">
        <v>39766.88824</v>
      </c>
      <c r="M4844" s="17">
        <v>2025</v>
      </c>
      <c r="N4844" s="17" t="s">
        <v>117</v>
      </c>
    </row>
    <row r="4845" spans="1:14" ht="14.25" customHeight="1">
      <c r="A4845" s="17">
        <v>14844</v>
      </c>
      <c r="B4845" s="18">
        <v>45499</v>
      </c>
      <c r="C4845" s="17" t="s">
        <v>50</v>
      </c>
      <c r="D4845" s="17" t="s">
        <v>83</v>
      </c>
      <c r="E4845" s="17" t="s">
        <v>165</v>
      </c>
      <c r="F4845" s="17" t="s">
        <v>172</v>
      </c>
      <c r="G4845" s="17">
        <v>3</v>
      </c>
      <c r="H4845" s="17">
        <v>60378</v>
      </c>
      <c r="I4845" s="17">
        <v>181134</v>
      </c>
      <c r="J4845" s="17">
        <v>4047</v>
      </c>
      <c r="K4845" s="17">
        <v>177087</v>
      </c>
      <c r="L4845" s="17">
        <v>25236.29955</v>
      </c>
      <c r="M4845" s="17">
        <v>2024</v>
      </c>
      <c r="N4845" s="17" t="s">
        <v>123</v>
      </c>
    </row>
    <row r="4846" spans="1:14" ht="14.25" customHeight="1">
      <c r="A4846" s="17">
        <v>14845</v>
      </c>
      <c r="B4846" s="18">
        <v>46000</v>
      </c>
      <c r="C4846" s="17" t="s">
        <v>167</v>
      </c>
      <c r="D4846" s="17" t="s">
        <v>89</v>
      </c>
      <c r="E4846" s="17" t="s">
        <v>168</v>
      </c>
      <c r="F4846" s="17" t="s">
        <v>166</v>
      </c>
      <c r="G4846" s="17">
        <v>2</v>
      </c>
      <c r="H4846" s="17">
        <v>59895</v>
      </c>
      <c r="I4846" s="17">
        <v>119790</v>
      </c>
      <c r="J4846" s="17">
        <v>131</v>
      </c>
      <c r="K4846" s="17">
        <v>119659</v>
      </c>
      <c r="L4846" s="17">
        <v>27638.429359999998</v>
      </c>
      <c r="M4846" s="17">
        <v>2025</v>
      </c>
      <c r="N4846" s="17" t="s">
        <v>169</v>
      </c>
    </row>
    <row r="4847" spans="1:14" ht="14.25" customHeight="1">
      <c r="A4847" s="17">
        <v>14846</v>
      </c>
      <c r="B4847" s="18">
        <v>45416</v>
      </c>
      <c r="C4847" s="17" t="s">
        <v>50</v>
      </c>
      <c r="D4847" s="17" t="s">
        <v>111</v>
      </c>
      <c r="E4847" s="17" t="s">
        <v>162</v>
      </c>
      <c r="F4847" s="17" t="s">
        <v>163</v>
      </c>
      <c r="G4847" s="17">
        <v>9</v>
      </c>
      <c r="H4847" s="17">
        <v>63737</v>
      </c>
      <c r="I4847" s="17">
        <v>573633</v>
      </c>
      <c r="J4847" s="17">
        <v>3679</v>
      </c>
      <c r="K4847" s="17">
        <v>569954</v>
      </c>
      <c r="L4847" s="17">
        <v>104307.39019999999</v>
      </c>
      <c r="M4847" s="17">
        <v>2024</v>
      </c>
      <c r="N4847" s="17" t="s">
        <v>117</v>
      </c>
    </row>
    <row r="4848" spans="1:14" ht="14.25" customHeight="1">
      <c r="A4848" s="17">
        <v>14847</v>
      </c>
      <c r="B4848" s="18">
        <v>45429</v>
      </c>
      <c r="C4848" s="17" t="s">
        <v>58</v>
      </c>
      <c r="D4848" s="17" t="s">
        <v>83</v>
      </c>
      <c r="E4848" s="17" t="s">
        <v>165</v>
      </c>
      <c r="F4848" s="17" t="s">
        <v>163</v>
      </c>
      <c r="G4848" s="17">
        <v>9</v>
      </c>
      <c r="H4848" s="17">
        <v>73124</v>
      </c>
      <c r="I4848" s="17">
        <v>658116</v>
      </c>
      <c r="J4848" s="17">
        <v>3076</v>
      </c>
      <c r="K4848" s="17">
        <v>655040</v>
      </c>
      <c r="L4848" s="17">
        <v>125275.4457</v>
      </c>
      <c r="M4848" s="17">
        <v>2024</v>
      </c>
      <c r="N4848" s="17" t="s">
        <v>117</v>
      </c>
    </row>
    <row r="4849" spans="1:14" ht="14.25" customHeight="1">
      <c r="A4849" s="17">
        <v>14848</v>
      </c>
      <c r="B4849" s="18">
        <v>45630</v>
      </c>
      <c r="C4849" s="17" t="s">
        <v>167</v>
      </c>
      <c r="D4849" s="17" t="s">
        <v>89</v>
      </c>
      <c r="E4849" s="17" t="s">
        <v>165</v>
      </c>
      <c r="F4849" s="17" t="s">
        <v>172</v>
      </c>
      <c r="G4849" s="17">
        <v>5</v>
      </c>
      <c r="H4849" s="17">
        <v>65810</v>
      </c>
      <c r="I4849" s="17">
        <v>329050</v>
      </c>
      <c r="J4849" s="17">
        <v>4472</v>
      </c>
      <c r="K4849" s="17">
        <v>324578</v>
      </c>
      <c r="L4849" s="17">
        <v>50328.96847</v>
      </c>
      <c r="M4849" s="17">
        <v>2024</v>
      </c>
      <c r="N4849" s="17" t="s">
        <v>169</v>
      </c>
    </row>
    <row r="4850" spans="1:14" ht="14.25" customHeight="1">
      <c r="A4850" s="17">
        <v>14849</v>
      </c>
      <c r="B4850" s="18">
        <v>45828</v>
      </c>
      <c r="C4850" s="17" t="s">
        <v>50</v>
      </c>
      <c r="D4850" s="17" t="s">
        <v>111</v>
      </c>
      <c r="E4850" s="17" t="s">
        <v>168</v>
      </c>
      <c r="F4850" s="17" t="s">
        <v>166</v>
      </c>
      <c r="G4850" s="17">
        <v>8</v>
      </c>
      <c r="H4850" s="17">
        <v>76892</v>
      </c>
      <c r="I4850" s="17">
        <v>615136</v>
      </c>
      <c r="J4850" s="17">
        <v>4735</v>
      </c>
      <c r="K4850" s="17">
        <v>610401</v>
      </c>
      <c r="L4850" s="17">
        <v>66562.127810000005</v>
      </c>
      <c r="M4850" s="17">
        <v>2025</v>
      </c>
      <c r="N4850" s="17" t="s">
        <v>120</v>
      </c>
    </row>
    <row r="4851" spans="1:14" ht="14.25" customHeight="1">
      <c r="A4851" s="17">
        <v>14850</v>
      </c>
      <c r="B4851" s="18">
        <v>45359</v>
      </c>
      <c r="C4851" s="17" t="s">
        <v>39</v>
      </c>
      <c r="D4851" s="17" t="s">
        <v>86</v>
      </c>
      <c r="E4851" s="17" t="s">
        <v>168</v>
      </c>
      <c r="F4851" s="17" t="s">
        <v>163</v>
      </c>
      <c r="G4851" s="17">
        <v>7</v>
      </c>
      <c r="H4851" s="17">
        <v>25069</v>
      </c>
      <c r="I4851" s="17">
        <v>175483</v>
      </c>
      <c r="J4851" s="17">
        <v>1521</v>
      </c>
      <c r="K4851" s="17">
        <v>173962</v>
      </c>
      <c r="L4851" s="17">
        <v>19359.751270000001</v>
      </c>
      <c r="M4851" s="17">
        <v>2024</v>
      </c>
      <c r="N4851" s="17" t="s">
        <v>112</v>
      </c>
    </row>
    <row r="4852" spans="1:14" ht="14.25" customHeight="1">
      <c r="A4852" s="17">
        <v>14851</v>
      </c>
      <c r="B4852" s="18">
        <v>45864</v>
      </c>
      <c r="C4852" s="17" t="s">
        <v>50</v>
      </c>
      <c r="D4852" s="17" t="s">
        <v>111</v>
      </c>
      <c r="E4852" s="17" t="s">
        <v>168</v>
      </c>
      <c r="F4852" s="17" t="s">
        <v>164</v>
      </c>
      <c r="G4852" s="17">
        <v>3</v>
      </c>
      <c r="H4852" s="17">
        <v>19695</v>
      </c>
      <c r="I4852" s="17">
        <v>59085</v>
      </c>
      <c r="J4852" s="17">
        <v>3269</v>
      </c>
      <c r="K4852" s="17">
        <v>55816</v>
      </c>
      <c r="L4852" s="17">
        <v>9101.2107919999999</v>
      </c>
      <c r="M4852" s="17">
        <v>2025</v>
      </c>
      <c r="N4852" s="17" t="s">
        <v>123</v>
      </c>
    </row>
    <row r="4853" spans="1:14" ht="14.25" customHeight="1">
      <c r="A4853" s="17">
        <v>14852</v>
      </c>
      <c r="B4853" s="18">
        <v>45832</v>
      </c>
      <c r="C4853" s="17" t="s">
        <v>58</v>
      </c>
      <c r="D4853" s="17" t="s">
        <v>86</v>
      </c>
      <c r="E4853" s="17" t="s">
        <v>165</v>
      </c>
      <c r="F4853" s="17" t="s">
        <v>166</v>
      </c>
      <c r="G4853" s="17">
        <v>5</v>
      </c>
      <c r="H4853" s="17">
        <v>58461</v>
      </c>
      <c r="I4853" s="17">
        <v>292305</v>
      </c>
      <c r="J4853" s="17">
        <v>440</v>
      </c>
      <c r="K4853" s="17">
        <v>291865</v>
      </c>
      <c r="L4853" s="17">
        <v>36957.137620000001</v>
      </c>
      <c r="M4853" s="17">
        <v>2025</v>
      </c>
      <c r="N4853" s="17" t="s">
        <v>120</v>
      </c>
    </row>
    <row r="4854" spans="1:14" ht="14.25" customHeight="1">
      <c r="A4854" s="17">
        <v>14853</v>
      </c>
      <c r="B4854" s="18">
        <v>45674</v>
      </c>
      <c r="C4854" s="17" t="s">
        <v>45</v>
      </c>
      <c r="D4854" s="17" t="s">
        <v>83</v>
      </c>
      <c r="E4854" s="17" t="s">
        <v>162</v>
      </c>
      <c r="F4854" s="17" t="s">
        <v>172</v>
      </c>
      <c r="G4854" s="17">
        <v>9</v>
      </c>
      <c r="H4854" s="17">
        <v>25783</v>
      </c>
      <c r="I4854" s="17">
        <v>232047</v>
      </c>
      <c r="J4854" s="17">
        <v>1741</v>
      </c>
      <c r="K4854" s="17">
        <v>230306</v>
      </c>
      <c r="L4854" s="17">
        <v>26632.443960000001</v>
      </c>
      <c r="M4854" s="17">
        <v>2025</v>
      </c>
      <c r="N4854" s="17" t="s">
        <v>171</v>
      </c>
    </row>
    <row r="4855" spans="1:14" ht="14.25" customHeight="1">
      <c r="A4855" s="17">
        <v>14854</v>
      </c>
      <c r="B4855" s="18">
        <v>45310</v>
      </c>
      <c r="C4855" s="17" t="s">
        <v>45</v>
      </c>
      <c r="D4855" s="17" t="s">
        <v>111</v>
      </c>
      <c r="E4855" s="17" t="s">
        <v>168</v>
      </c>
      <c r="F4855" s="17" t="s">
        <v>164</v>
      </c>
      <c r="G4855" s="17">
        <v>4</v>
      </c>
      <c r="H4855" s="17">
        <v>6403</v>
      </c>
      <c r="I4855" s="17">
        <v>25612</v>
      </c>
      <c r="J4855" s="17">
        <v>1203</v>
      </c>
      <c r="K4855" s="17">
        <v>24409</v>
      </c>
      <c r="L4855" s="17">
        <v>3401.0654030000001</v>
      </c>
      <c r="M4855" s="17">
        <v>2024</v>
      </c>
      <c r="N4855" s="17" t="s">
        <v>171</v>
      </c>
    </row>
    <row r="4856" spans="1:14" ht="14.25" customHeight="1">
      <c r="A4856" s="17">
        <v>14855</v>
      </c>
      <c r="B4856" s="18">
        <v>45974</v>
      </c>
      <c r="C4856" s="17" t="s">
        <v>45</v>
      </c>
      <c r="D4856" s="17" t="s">
        <v>170</v>
      </c>
      <c r="E4856" s="17" t="s">
        <v>162</v>
      </c>
      <c r="F4856" s="17" t="s">
        <v>166</v>
      </c>
      <c r="G4856" s="17">
        <v>3</v>
      </c>
      <c r="H4856" s="17">
        <v>33327</v>
      </c>
      <c r="I4856" s="17">
        <v>99981</v>
      </c>
      <c r="J4856" s="17">
        <v>240</v>
      </c>
      <c r="K4856" s="17">
        <v>99741</v>
      </c>
      <c r="L4856" s="17">
        <v>21075.966909999999</v>
      </c>
      <c r="M4856" s="17">
        <v>2025</v>
      </c>
      <c r="N4856" s="17" t="s">
        <v>173</v>
      </c>
    </row>
    <row r="4857" spans="1:14" ht="14.25" customHeight="1">
      <c r="A4857" s="17">
        <v>14856</v>
      </c>
      <c r="B4857" s="18">
        <v>45741</v>
      </c>
      <c r="C4857" s="17" t="s">
        <v>39</v>
      </c>
      <c r="D4857" s="17" t="s">
        <v>170</v>
      </c>
      <c r="E4857" s="17" t="s">
        <v>168</v>
      </c>
      <c r="F4857" s="17" t="s">
        <v>163</v>
      </c>
      <c r="G4857" s="17">
        <v>7</v>
      </c>
      <c r="H4857" s="17">
        <v>72821</v>
      </c>
      <c r="I4857" s="17">
        <v>509747</v>
      </c>
      <c r="J4857" s="17">
        <v>3391</v>
      </c>
      <c r="K4857" s="17">
        <v>506356</v>
      </c>
      <c r="L4857" s="17">
        <v>56181.588479999999</v>
      </c>
      <c r="M4857" s="17">
        <v>2025</v>
      </c>
      <c r="N4857" s="17" t="s">
        <v>112</v>
      </c>
    </row>
    <row r="4858" spans="1:14" ht="14.25" customHeight="1">
      <c r="A4858" s="17">
        <v>14857</v>
      </c>
      <c r="B4858" s="18">
        <v>45365</v>
      </c>
      <c r="C4858" s="17" t="s">
        <v>58</v>
      </c>
      <c r="D4858" s="17" t="s">
        <v>170</v>
      </c>
      <c r="E4858" s="17" t="s">
        <v>162</v>
      </c>
      <c r="F4858" s="17" t="s">
        <v>172</v>
      </c>
      <c r="G4858" s="17">
        <v>8</v>
      </c>
      <c r="H4858" s="17">
        <v>13862</v>
      </c>
      <c r="I4858" s="17">
        <v>110896</v>
      </c>
      <c r="J4858" s="17">
        <v>3721</v>
      </c>
      <c r="K4858" s="17">
        <v>107175</v>
      </c>
      <c r="L4858" s="17">
        <v>17923.29177</v>
      </c>
      <c r="M4858" s="17">
        <v>2024</v>
      </c>
      <c r="N4858" s="17" t="s">
        <v>112</v>
      </c>
    </row>
    <row r="4859" spans="1:14" ht="14.25" customHeight="1">
      <c r="A4859" s="17">
        <v>14858</v>
      </c>
      <c r="B4859" s="18">
        <v>45864</v>
      </c>
      <c r="C4859" s="17" t="s">
        <v>167</v>
      </c>
      <c r="D4859" s="17" t="s">
        <v>170</v>
      </c>
      <c r="E4859" s="17" t="s">
        <v>168</v>
      </c>
      <c r="F4859" s="17" t="s">
        <v>172</v>
      </c>
      <c r="G4859" s="17">
        <v>5</v>
      </c>
      <c r="H4859" s="17">
        <v>72264</v>
      </c>
      <c r="I4859" s="17">
        <v>361320</v>
      </c>
      <c r="J4859" s="17">
        <v>4118</v>
      </c>
      <c r="K4859" s="17">
        <v>357202</v>
      </c>
      <c r="L4859" s="17">
        <v>79982.197839999993</v>
      </c>
      <c r="M4859" s="17">
        <v>2025</v>
      </c>
      <c r="N4859" s="17" t="s">
        <v>123</v>
      </c>
    </row>
    <row r="4860" spans="1:14" ht="14.25" customHeight="1">
      <c r="A4860" s="17">
        <v>14859</v>
      </c>
      <c r="B4860" s="18">
        <v>45956</v>
      </c>
      <c r="C4860" s="17" t="s">
        <v>45</v>
      </c>
      <c r="D4860" s="17" t="s">
        <v>170</v>
      </c>
      <c r="E4860" s="17" t="s">
        <v>162</v>
      </c>
      <c r="F4860" s="17" t="s">
        <v>166</v>
      </c>
      <c r="G4860" s="17">
        <v>8</v>
      </c>
      <c r="H4860" s="17">
        <v>16430</v>
      </c>
      <c r="I4860" s="17">
        <v>131440</v>
      </c>
      <c r="J4860" s="17">
        <v>1203</v>
      </c>
      <c r="K4860" s="17">
        <v>130237</v>
      </c>
      <c r="L4860" s="17">
        <v>18257.758620000001</v>
      </c>
      <c r="M4860" s="17">
        <v>2025</v>
      </c>
      <c r="N4860" s="17" t="s">
        <v>174</v>
      </c>
    </row>
    <row r="4861" spans="1:14" ht="14.25" customHeight="1">
      <c r="A4861" s="17">
        <v>14860</v>
      </c>
      <c r="B4861" s="18">
        <v>45567</v>
      </c>
      <c r="C4861" s="17" t="s">
        <v>58</v>
      </c>
      <c r="D4861" s="17" t="s">
        <v>86</v>
      </c>
      <c r="E4861" s="17" t="s">
        <v>165</v>
      </c>
      <c r="F4861" s="17" t="s">
        <v>172</v>
      </c>
      <c r="G4861" s="17">
        <v>5</v>
      </c>
      <c r="H4861" s="17">
        <v>39017</v>
      </c>
      <c r="I4861" s="17">
        <v>195085</v>
      </c>
      <c r="J4861" s="17">
        <v>1887</v>
      </c>
      <c r="K4861" s="17">
        <v>193198</v>
      </c>
      <c r="L4861" s="17">
        <v>28068.0242</v>
      </c>
      <c r="M4861" s="17">
        <v>2024</v>
      </c>
      <c r="N4861" s="17" t="s">
        <v>174</v>
      </c>
    </row>
    <row r="4862" spans="1:14" ht="14.25" customHeight="1">
      <c r="A4862" s="17">
        <v>14861</v>
      </c>
      <c r="B4862" s="18">
        <v>45339</v>
      </c>
      <c r="C4862" s="17" t="s">
        <v>50</v>
      </c>
      <c r="D4862" s="17" t="s">
        <v>111</v>
      </c>
      <c r="E4862" s="17" t="s">
        <v>168</v>
      </c>
      <c r="F4862" s="17" t="s">
        <v>164</v>
      </c>
      <c r="G4862" s="17">
        <v>9</v>
      </c>
      <c r="H4862" s="17">
        <v>38646</v>
      </c>
      <c r="I4862" s="17">
        <v>347814</v>
      </c>
      <c r="J4862" s="17">
        <v>4270</v>
      </c>
      <c r="K4862" s="17">
        <v>343544</v>
      </c>
      <c r="L4862" s="17">
        <v>79919.015799999994</v>
      </c>
      <c r="M4862" s="17">
        <v>2024</v>
      </c>
      <c r="N4862" s="17" t="s">
        <v>175</v>
      </c>
    </row>
    <row r="4863" spans="1:14" ht="14.25" customHeight="1">
      <c r="A4863" s="17">
        <v>14862</v>
      </c>
      <c r="B4863" s="18">
        <v>45502</v>
      </c>
      <c r="C4863" s="17" t="s">
        <v>39</v>
      </c>
      <c r="D4863" s="17" t="s">
        <v>83</v>
      </c>
      <c r="E4863" s="17" t="s">
        <v>168</v>
      </c>
      <c r="F4863" s="17" t="s">
        <v>166</v>
      </c>
      <c r="G4863" s="17">
        <v>7</v>
      </c>
      <c r="H4863" s="17">
        <v>33922</v>
      </c>
      <c r="I4863" s="17">
        <v>237454</v>
      </c>
      <c r="J4863" s="17">
        <v>197</v>
      </c>
      <c r="K4863" s="17">
        <v>237257</v>
      </c>
      <c r="L4863" s="17">
        <v>46858.384919999997</v>
      </c>
      <c r="M4863" s="17">
        <v>2024</v>
      </c>
      <c r="N4863" s="17" t="s">
        <v>123</v>
      </c>
    </row>
    <row r="4864" spans="1:14" ht="14.25" customHeight="1">
      <c r="A4864" s="17">
        <v>14863</v>
      </c>
      <c r="B4864" s="18">
        <v>45942</v>
      </c>
      <c r="C4864" s="17" t="s">
        <v>58</v>
      </c>
      <c r="D4864" s="17" t="s">
        <v>170</v>
      </c>
      <c r="E4864" s="17" t="s">
        <v>165</v>
      </c>
      <c r="F4864" s="17" t="s">
        <v>164</v>
      </c>
      <c r="G4864" s="17">
        <v>5</v>
      </c>
      <c r="H4864" s="17">
        <v>16543</v>
      </c>
      <c r="I4864" s="17">
        <v>82715</v>
      </c>
      <c r="J4864" s="17">
        <v>3525</v>
      </c>
      <c r="K4864" s="17">
        <v>79190</v>
      </c>
      <c r="L4864" s="17">
        <v>17394.62312</v>
      </c>
      <c r="M4864" s="17">
        <v>2025</v>
      </c>
      <c r="N4864" s="17" t="s">
        <v>174</v>
      </c>
    </row>
    <row r="4865" spans="1:14" ht="14.25" customHeight="1">
      <c r="A4865" s="17">
        <v>14864</v>
      </c>
      <c r="B4865" s="18">
        <v>45913</v>
      </c>
      <c r="C4865" s="17" t="s">
        <v>58</v>
      </c>
      <c r="D4865" s="17" t="s">
        <v>170</v>
      </c>
      <c r="E4865" s="17" t="s">
        <v>168</v>
      </c>
      <c r="F4865" s="17" t="s">
        <v>172</v>
      </c>
      <c r="G4865" s="17">
        <v>9</v>
      </c>
      <c r="H4865" s="17">
        <v>54649</v>
      </c>
      <c r="I4865" s="17">
        <v>491841</v>
      </c>
      <c r="J4865" s="17">
        <v>4194</v>
      </c>
      <c r="K4865" s="17">
        <v>487647</v>
      </c>
      <c r="L4865" s="17">
        <v>69919.135290000006</v>
      </c>
      <c r="M4865" s="17">
        <v>2025</v>
      </c>
      <c r="N4865" s="17" t="s">
        <v>129</v>
      </c>
    </row>
    <row r="4866" spans="1:14" ht="14.25" customHeight="1">
      <c r="A4866" s="17">
        <v>14865</v>
      </c>
      <c r="B4866" s="18">
        <v>45986</v>
      </c>
      <c r="C4866" s="17" t="s">
        <v>167</v>
      </c>
      <c r="D4866" s="17" t="s">
        <v>83</v>
      </c>
      <c r="E4866" s="17" t="s">
        <v>168</v>
      </c>
      <c r="F4866" s="17" t="s">
        <v>172</v>
      </c>
      <c r="G4866" s="17">
        <v>5</v>
      </c>
      <c r="H4866" s="17">
        <v>30553</v>
      </c>
      <c r="I4866" s="17">
        <v>152765</v>
      </c>
      <c r="J4866" s="17">
        <v>744</v>
      </c>
      <c r="K4866" s="17">
        <v>152021</v>
      </c>
      <c r="L4866" s="17">
        <v>37931.813009999998</v>
      </c>
      <c r="M4866" s="17">
        <v>2025</v>
      </c>
      <c r="N4866" s="17" t="s">
        <v>173</v>
      </c>
    </row>
    <row r="4867" spans="1:14" ht="14.25" customHeight="1">
      <c r="A4867" s="17">
        <v>14866</v>
      </c>
      <c r="B4867" s="18">
        <v>45831</v>
      </c>
      <c r="C4867" s="17" t="s">
        <v>58</v>
      </c>
      <c r="D4867" s="17" t="s">
        <v>83</v>
      </c>
      <c r="E4867" s="17" t="s">
        <v>165</v>
      </c>
      <c r="F4867" s="17" t="s">
        <v>172</v>
      </c>
      <c r="G4867" s="17">
        <v>8</v>
      </c>
      <c r="H4867" s="17">
        <v>53860</v>
      </c>
      <c r="I4867" s="17">
        <v>430880</v>
      </c>
      <c r="J4867" s="17">
        <v>452</v>
      </c>
      <c r="K4867" s="17">
        <v>430428</v>
      </c>
      <c r="L4867" s="17">
        <v>52139.661410000001</v>
      </c>
      <c r="M4867" s="17">
        <v>2025</v>
      </c>
      <c r="N4867" s="17" t="s">
        <v>120</v>
      </c>
    </row>
    <row r="4868" spans="1:14" ht="14.25" customHeight="1">
      <c r="A4868" s="17">
        <v>14867</v>
      </c>
      <c r="B4868" s="18">
        <v>46000</v>
      </c>
      <c r="C4868" s="17" t="s">
        <v>167</v>
      </c>
      <c r="D4868" s="17" t="s">
        <v>170</v>
      </c>
      <c r="E4868" s="17" t="s">
        <v>165</v>
      </c>
      <c r="F4868" s="17" t="s">
        <v>164</v>
      </c>
      <c r="G4868" s="17">
        <v>4</v>
      </c>
      <c r="H4868" s="17">
        <v>65388</v>
      </c>
      <c r="I4868" s="17">
        <v>261552</v>
      </c>
      <c r="J4868" s="17">
        <v>3262</v>
      </c>
      <c r="K4868" s="17">
        <v>258290</v>
      </c>
      <c r="L4868" s="17">
        <v>63097.809549999998</v>
      </c>
      <c r="M4868" s="17">
        <v>2025</v>
      </c>
      <c r="N4868" s="17" t="s">
        <v>169</v>
      </c>
    </row>
    <row r="4869" spans="1:14" ht="14.25" customHeight="1">
      <c r="A4869" s="17">
        <v>14868</v>
      </c>
      <c r="B4869" s="18">
        <v>45482</v>
      </c>
      <c r="C4869" s="17" t="s">
        <v>39</v>
      </c>
      <c r="D4869" s="17" t="s">
        <v>86</v>
      </c>
      <c r="E4869" s="17" t="s">
        <v>162</v>
      </c>
      <c r="F4869" s="17" t="s">
        <v>172</v>
      </c>
      <c r="G4869" s="17">
        <v>9</v>
      </c>
      <c r="H4869" s="17">
        <v>65092</v>
      </c>
      <c r="I4869" s="17">
        <v>585828</v>
      </c>
      <c r="J4869" s="17">
        <v>3021</v>
      </c>
      <c r="K4869" s="17">
        <v>582807</v>
      </c>
      <c r="L4869" s="17">
        <v>137143.15220000001</v>
      </c>
      <c r="M4869" s="17">
        <v>2024</v>
      </c>
      <c r="N4869" s="17" t="s">
        <v>123</v>
      </c>
    </row>
    <row r="4870" spans="1:14" ht="14.25" customHeight="1">
      <c r="A4870" s="17">
        <v>14869</v>
      </c>
      <c r="B4870" s="18">
        <v>45606</v>
      </c>
      <c r="C4870" s="17" t="s">
        <v>39</v>
      </c>
      <c r="D4870" s="17" t="s">
        <v>83</v>
      </c>
      <c r="E4870" s="17" t="s">
        <v>165</v>
      </c>
      <c r="F4870" s="17" t="s">
        <v>166</v>
      </c>
      <c r="G4870" s="17">
        <v>6</v>
      </c>
      <c r="H4870" s="17">
        <v>78114</v>
      </c>
      <c r="I4870" s="17">
        <v>468684</v>
      </c>
      <c r="J4870" s="17">
        <v>498</v>
      </c>
      <c r="K4870" s="17">
        <v>468186</v>
      </c>
      <c r="L4870" s="17">
        <v>85577.002229999998</v>
      </c>
      <c r="M4870" s="17">
        <v>2024</v>
      </c>
      <c r="N4870" s="17" t="s">
        <v>173</v>
      </c>
    </row>
    <row r="4871" spans="1:14" ht="14.25" customHeight="1">
      <c r="A4871" s="17">
        <v>14870</v>
      </c>
      <c r="B4871" s="18">
        <v>45854</v>
      </c>
      <c r="C4871" s="17" t="s">
        <v>50</v>
      </c>
      <c r="D4871" s="17" t="s">
        <v>111</v>
      </c>
      <c r="E4871" s="17" t="s">
        <v>165</v>
      </c>
      <c r="F4871" s="17" t="s">
        <v>163</v>
      </c>
      <c r="G4871" s="17">
        <v>6</v>
      </c>
      <c r="H4871" s="17">
        <v>26263</v>
      </c>
      <c r="I4871" s="17">
        <v>157578</v>
      </c>
      <c r="J4871" s="17">
        <v>3687</v>
      </c>
      <c r="K4871" s="17">
        <v>153891</v>
      </c>
      <c r="L4871" s="17">
        <v>28899.879089999999</v>
      </c>
      <c r="M4871" s="17">
        <v>2025</v>
      </c>
      <c r="N4871" s="17" t="s">
        <v>123</v>
      </c>
    </row>
    <row r="4872" spans="1:14" ht="14.25" customHeight="1">
      <c r="A4872" s="17">
        <v>14871</v>
      </c>
      <c r="B4872" s="18">
        <v>45952</v>
      </c>
      <c r="C4872" s="17" t="s">
        <v>167</v>
      </c>
      <c r="D4872" s="17" t="s">
        <v>111</v>
      </c>
      <c r="E4872" s="17" t="s">
        <v>168</v>
      </c>
      <c r="F4872" s="17" t="s">
        <v>166</v>
      </c>
      <c r="G4872" s="17">
        <v>3</v>
      </c>
      <c r="H4872" s="17">
        <v>17232</v>
      </c>
      <c r="I4872" s="17">
        <v>51696</v>
      </c>
      <c r="J4872" s="17">
        <v>3262</v>
      </c>
      <c r="K4872" s="17">
        <v>48434</v>
      </c>
      <c r="L4872" s="17">
        <v>10474.200339999999</v>
      </c>
      <c r="M4872" s="17">
        <v>2025</v>
      </c>
      <c r="N4872" s="17" t="s">
        <v>174</v>
      </c>
    </row>
    <row r="4873" spans="1:14" ht="14.25" customHeight="1">
      <c r="A4873" s="17">
        <v>14872</v>
      </c>
      <c r="B4873" s="18">
        <v>45853</v>
      </c>
      <c r="C4873" s="17" t="s">
        <v>167</v>
      </c>
      <c r="D4873" s="17" t="s">
        <v>86</v>
      </c>
      <c r="E4873" s="17" t="s">
        <v>165</v>
      </c>
      <c r="F4873" s="17" t="s">
        <v>163</v>
      </c>
      <c r="G4873" s="17">
        <v>3</v>
      </c>
      <c r="H4873" s="17">
        <v>14092</v>
      </c>
      <c r="I4873" s="17">
        <v>42276</v>
      </c>
      <c r="J4873" s="17">
        <v>140</v>
      </c>
      <c r="K4873" s="17">
        <v>42136</v>
      </c>
      <c r="L4873" s="17">
        <v>6152.5856240000003</v>
      </c>
      <c r="M4873" s="17">
        <v>2025</v>
      </c>
      <c r="N4873" s="17" t="s">
        <v>123</v>
      </c>
    </row>
    <row r="4874" spans="1:14" ht="14.25" customHeight="1">
      <c r="A4874" s="17">
        <v>14873</v>
      </c>
      <c r="B4874" s="18">
        <v>45404</v>
      </c>
      <c r="C4874" s="17" t="s">
        <v>45</v>
      </c>
      <c r="D4874" s="17" t="s">
        <v>89</v>
      </c>
      <c r="E4874" s="17" t="s">
        <v>168</v>
      </c>
      <c r="F4874" s="17" t="s">
        <v>172</v>
      </c>
      <c r="G4874" s="17">
        <v>4</v>
      </c>
      <c r="H4874" s="17">
        <v>39234</v>
      </c>
      <c r="I4874" s="17">
        <v>156936</v>
      </c>
      <c r="J4874" s="17">
        <v>1714</v>
      </c>
      <c r="K4874" s="17">
        <v>155222</v>
      </c>
      <c r="L4874" s="17">
        <v>27803.437180000001</v>
      </c>
      <c r="M4874" s="17">
        <v>2024</v>
      </c>
      <c r="N4874" s="17" t="s">
        <v>114</v>
      </c>
    </row>
    <row r="4875" spans="1:14" ht="14.25" customHeight="1">
      <c r="A4875" s="17">
        <v>14874</v>
      </c>
      <c r="B4875" s="18">
        <v>45461</v>
      </c>
      <c r="C4875" s="17" t="s">
        <v>45</v>
      </c>
      <c r="D4875" s="17" t="s">
        <v>86</v>
      </c>
      <c r="E4875" s="17" t="s">
        <v>165</v>
      </c>
      <c r="F4875" s="17" t="s">
        <v>166</v>
      </c>
      <c r="G4875" s="17">
        <v>1</v>
      </c>
      <c r="H4875" s="17">
        <v>45482</v>
      </c>
      <c r="I4875" s="17">
        <v>45482</v>
      </c>
      <c r="J4875" s="17">
        <v>2820</v>
      </c>
      <c r="K4875" s="17">
        <v>42662</v>
      </c>
      <c r="L4875" s="17">
        <v>10040.77342</v>
      </c>
      <c r="M4875" s="17">
        <v>2024</v>
      </c>
      <c r="N4875" s="17" t="s">
        <v>120</v>
      </c>
    </row>
    <row r="4876" spans="1:14" ht="14.25" customHeight="1">
      <c r="A4876" s="17">
        <v>14875</v>
      </c>
      <c r="B4876" s="18">
        <v>45759</v>
      </c>
      <c r="C4876" s="17" t="s">
        <v>50</v>
      </c>
      <c r="D4876" s="17" t="s">
        <v>170</v>
      </c>
      <c r="E4876" s="17" t="s">
        <v>165</v>
      </c>
      <c r="F4876" s="17" t="s">
        <v>164</v>
      </c>
      <c r="G4876" s="17">
        <v>6</v>
      </c>
      <c r="H4876" s="17">
        <v>23117</v>
      </c>
      <c r="I4876" s="17">
        <v>138702</v>
      </c>
      <c r="J4876" s="17">
        <v>2222</v>
      </c>
      <c r="K4876" s="17">
        <v>136480</v>
      </c>
      <c r="L4876" s="17">
        <v>15045.194289999999</v>
      </c>
      <c r="M4876" s="17">
        <v>2025</v>
      </c>
      <c r="N4876" s="17" t="s">
        <v>114</v>
      </c>
    </row>
    <row r="4877" spans="1:14" ht="14.25" customHeight="1">
      <c r="A4877" s="17">
        <v>14876</v>
      </c>
      <c r="B4877" s="18">
        <v>45969</v>
      </c>
      <c r="C4877" s="17" t="s">
        <v>39</v>
      </c>
      <c r="D4877" s="17" t="s">
        <v>89</v>
      </c>
      <c r="E4877" s="17" t="s">
        <v>162</v>
      </c>
      <c r="F4877" s="17" t="s">
        <v>163</v>
      </c>
      <c r="G4877" s="17">
        <v>1</v>
      </c>
      <c r="H4877" s="17">
        <v>38258</v>
      </c>
      <c r="I4877" s="17">
        <v>38258</v>
      </c>
      <c r="J4877" s="17">
        <v>2467</v>
      </c>
      <c r="K4877" s="17">
        <v>35791</v>
      </c>
      <c r="L4877" s="17">
        <v>8440.5664909999996</v>
      </c>
      <c r="M4877" s="17">
        <v>2025</v>
      </c>
      <c r="N4877" s="17" t="s">
        <v>173</v>
      </c>
    </row>
    <row r="4878" spans="1:14" ht="14.25" customHeight="1">
      <c r="A4878" s="17">
        <v>14877</v>
      </c>
      <c r="B4878" s="18">
        <v>45305</v>
      </c>
      <c r="C4878" s="17" t="s">
        <v>45</v>
      </c>
      <c r="D4878" s="17" t="s">
        <v>170</v>
      </c>
      <c r="E4878" s="17" t="s">
        <v>165</v>
      </c>
      <c r="F4878" s="17" t="s">
        <v>164</v>
      </c>
      <c r="G4878" s="17">
        <v>4</v>
      </c>
      <c r="H4878" s="17">
        <v>64097</v>
      </c>
      <c r="I4878" s="17">
        <v>256388</v>
      </c>
      <c r="J4878" s="17">
        <v>675</v>
      </c>
      <c r="K4878" s="17">
        <v>255713</v>
      </c>
      <c r="L4878" s="17">
        <v>53524.998979999997</v>
      </c>
      <c r="M4878" s="17">
        <v>2024</v>
      </c>
      <c r="N4878" s="17" t="s">
        <v>171</v>
      </c>
    </row>
    <row r="4879" spans="1:14" ht="14.25" customHeight="1">
      <c r="A4879" s="17">
        <v>14878</v>
      </c>
      <c r="B4879" s="18">
        <v>46006</v>
      </c>
      <c r="C4879" s="17" t="s">
        <v>58</v>
      </c>
      <c r="D4879" s="17" t="s">
        <v>111</v>
      </c>
      <c r="E4879" s="17" t="s">
        <v>165</v>
      </c>
      <c r="F4879" s="17" t="s">
        <v>163</v>
      </c>
      <c r="G4879" s="17">
        <v>7</v>
      </c>
      <c r="H4879" s="17">
        <v>23302</v>
      </c>
      <c r="I4879" s="17">
        <v>163114</v>
      </c>
      <c r="J4879" s="17">
        <v>3505</v>
      </c>
      <c r="K4879" s="17">
        <v>159609</v>
      </c>
      <c r="L4879" s="17">
        <v>34392.0245</v>
      </c>
      <c r="M4879" s="17">
        <v>2025</v>
      </c>
      <c r="N4879" s="17" t="s">
        <v>169</v>
      </c>
    </row>
    <row r="4880" spans="1:14" ht="14.25" customHeight="1">
      <c r="A4880" s="17">
        <v>14879</v>
      </c>
      <c r="B4880" s="18">
        <v>45579</v>
      </c>
      <c r="C4880" s="17" t="s">
        <v>39</v>
      </c>
      <c r="D4880" s="17" t="s">
        <v>83</v>
      </c>
      <c r="E4880" s="17" t="s">
        <v>168</v>
      </c>
      <c r="F4880" s="17" t="s">
        <v>172</v>
      </c>
      <c r="G4880" s="17">
        <v>6</v>
      </c>
      <c r="H4880" s="17">
        <v>45934</v>
      </c>
      <c r="I4880" s="17">
        <v>275604</v>
      </c>
      <c r="J4880" s="17">
        <v>3602</v>
      </c>
      <c r="K4880" s="17">
        <v>272002</v>
      </c>
      <c r="L4880" s="17">
        <v>29840.71802</v>
      </c>
      <c r="M4880" s="17">
        <v>2024</v>
      </c>
      <c r="N4880" s="17" t="s">
        <v>174</v>
      </c>
    </row>
    <row r="4881" spans="1:14" ht="14.25" customHeight="1">
      <c r="A4881" s="17">
        <v>14880</v>
      </c>
      <c r="B4881" s="18">
        <v>45480</v>
      </c>
      <c r="C4881" s="17" t="s">
        <v>58</v>
      </c>
      <c r="D4881" s="17" t="s">
        <v>170</v>
      </c>
      <c r="E4881" s="17" t="s">
        <v>168</v>
      </c>
      <c r="F4881" s="17" t="s">
        <v>166</v>
      </c>
      <c r="G4881" s="17">
        <v>8</v>
      </c>
      <c r="H4881" s="17">
        <v>47446</v>
      </c>
      <c r="I4881" s="17">
        <v>379568</v>
      </c>
      <c r="J4881" s="17">
        <v>917</v>
      </c>
      <c r="K4881" s="17">
        <v>378651</v>
      </c>
      <c r="L4881" s="17">
        <v>48529.237569999998</v>
      </c>
      <c r="M4881" s="17">
        <v>2024</v>
      </c>
      <c r="N4881" s="17" t="s">
        <v>123</v>
      </c>
    </row>
    <row r="4882" spans="1:14" ht="14.25" customHeight="1">
      <c r="A4882" s="17">
        <v>14881</v>
      </c>
      <c r="B4882" s="18">
        <v>45446</v>
      </c>
      <c r="C4882" s="17" t="s">
        <v>167</v>
      </c>
      <c r="D4882" s="17" t="s">
        <v>111</v>
      </c>
      <c r="E4882" s="17" t="s">
        <v>162</v>
      </c>
      <c r="F4882" s="17" t="s">
        <v>163</v>
      </c>
      <c r="G4882" s="17">
        <v>4</v>
      </c>
      <c r="H4882" s="17">
        <v>76635</v>
      </c>
      <c r="I4882" s="17">
        <v>306540</v>
      </c>
      <c r="J4882" s="17">
        <v>1822</v>
      </c>
      <c r="K4882" s="17">
        <v>304718</v>
      </c>
      <c r="L4882" s="17">
        <v>72763.388749999998</v>
      </c>
      <c r="M4882" s="17">
        <v>2024</v>
      </c>
      <c r="N4882" s="17" t="s">
        <v>120</v>
      </c>
    </row>
    <row r="4883" spans="1:14" ht="14.25" customHeight="1">
      <c r="A4883" s="17">
        <v>14882</v>
      </c>
      <c r="B4883" s="18">
        <v>45858</v>
      </c>
      <c r="C4883" s="17" t="s">
        <v>39</v>
      </c>
      <c r="D4883" s="17" t="s">
        <v>86</v>
      </c>
      <c r="E4883" s="17" t="s">
        <v>165</v>
      </c>
      <c r="F4883" s="17" t="s">
        <v>166</v>
      </c>
      <c r="G4883" s="17">
        <v>9</v>
      </c>
      <c r="H4883" s="17">
        <v>31076</v>
      </c>
      <c r="I4883" s="17">
        <v>279684</v>
      </c>
      <c r="J4883" s="17">
        <v>3822</v>
      </c>
      <c r="K4883" s="17">
        <v>275862</v>
      </c>
      <c r="L4883" s="17">
        <v>32719.362099999998</v>
      </c>
      <c r="M4883" s="17">
        <v>2025</v>
      </c>
      <c r="N4883" s="17" t="s">
        <v>123</v>
      </c>
    </row>
    <row r="4884" spans="1:14" ht="14.25" customHeight="1">
      <c r="A4884" s="17">
        <v>14883</v>
      </c>
      <c r="B4884" s="18">
        <v>45985</v>
      </c>
      <c r="C4884" s="17" t="s">
        <v>50</v>
      </c>
      <c r="D4884" s="17" t="s">
        <v>170</v>
      </c>
      <c r="E4884" s="17" t="s">
        <v>168</v>
      </c>
      <c r="F4884" s="17" t="s">
        <v>163</v>
      </c>
      <c r="G4884" s="17">
        <v>8</v>
      </c>
      <c r="H4884" s="17">
        <v>54349</v>
      </c>
      <c r="I4884" s="17">
        <v>434792</v>
      </c>
      <c r="J4884" s="17">
        <v>2603</v>
      </c>
      <c r="K4884" s="17">
        <v>432189</v>
      </c>
      <c r="L4884" s="17">
        <v>84137.443079999997</v>
      </c>
      <c r="M4884" s="17">
        <v>2025</v>
      </c>
      <c r="N4884" s="17" t="s">
        <v>173</v>
      </c>
    </row>
    <row r="4885" spans="1:14" ht="14.25" customHeight="1">
      <c r="A4885" s="17">
        <v>14884</v>
      </c>
      <c r="B4885" s="18">
        <v>46013</v>
      </c>
      <c r="C4885" s="17" t="s">
        <v>167</v>
      </c>
      <c r="D4885" s="17" t="s">
        <v>111</v>
      </c>
      <c r="E4885" s="17" t="s">
        <v>165</v>
      </c>
      <c r="F4885" s="17" t="s">
        <v>163</v>
      </c>
      <c r="G4885" s="17">
        <v>5</v>
      </c>
      <c r="H4885" s="17">
        <v>51578</v>
      </c>
      <c r="I4885" s="17">
        <v>257890</v>
      </c>
      <c r="J4885" s="17">
        <v>4803</v>
      </c>
      <c r="K4885" s="17">
        <v>253087</v>
      </c>
      <c r="L4885" s="17">
        <v>55022.096400000002</v>
      </c>
      <c r="M4885" s="17">
        <v>2025</v>
      </c>
      <c r="N4885" s="17" t="s">
        <v>169</v>
      </c>
    </row>
    <row r="4886" spans="1:14" ht="14.25" customHeight="1">
      <c r="A4886" s="17">
        <v>14885</v>
      </c>
      <c r="B4886" s="18">
        <v>45762</v>
      </c>
      <c r="C4886" s="17" t="s">
        <v>167</v>
      </c>
      <c r="D4886" s="17" t="s">
        <v>83</v>
      </c>
      <c r="E4886" s="17" t="s">
        <v>162</v>
      </c>
      <c r="F4886" s="17" t="s">
        <v>172</v>
      </c>
      <c r="G4886" s="17">
        <v>6</v>
      </c>
      <c r="H4886" s="17">
        <v>14726</v>
      </c>
      <c r="I4886" s="17">
        <v>88356</v>
      </c>
      <c r="J4886" s="17">
        <v>1730</v>
      </c>
      <c r="K4886" s="17">
        <v>86626</v>
      </c>
      <c r="L4886" s="17">
        <v>11667.8555</v>
      </c>
      <c r="M4886" s="17">
        <v>2025</v>
      </c>
      <c r="N4886" s="17" t="s">
        <v>114</v>
      </c>
    </row>
    <row r="4887" spans="1:14" ht="14.25" customHeight="1">
      <c r="A4887" s="17">
        <v>14886</v>
      </c>
      <c r="B4887" s="18">
        <v>45366</v>
      </c>
      <c r="C4887" s="17" t="s">
        <v>58</v>
      </c>
      <c r="D4887" s="17" t="s">
        <v>170</v>
      </c>
      <c r="E4887" s="17" t="s">
        <v>168</v>
      </c>
      <c r="F4887" s="17" t="s">
        <v>163</v>
      </c>
      <c r="G4887" s="17">
        <v>5</v>
      </c>
      <c r="H4887" s="17">
        <v>55865</v>
      </c>
      <c r="I4887" s="17">
        <v>279325</v>
      </c>
      <c r="J4887" s="17">
        <v>3428</v>
      </c>
      <c r="K4887" s="17">
        <v>275897</v>
      </c>
      <c r="L4887" s="17">
        <v>56508.818440000003</v>
      </c>
      <c r="M4887" s="17">
        <v>2024</v>
      </c>
      <c r="N4887" s="17" t="s">
        <v>112</v>
      </c>
    </row>
    <row r="4888" spans="1:14" ht="14.25" customHeight="1">
      <c r="A4888" s="17">
        <v>14887</v>
      </c>
      <c r="B4888" s="18">
        <v>45568</v>
      </c>
      <c r="C4888" s="17" t="s">
        <v>167</v>
      </c>
      <c r="D4888" s="17" t="s">
        <v>111</v>
      </c>
      <c r="E4888" s="17" t="s">
        <v>168</v>
      </c>
      <c r="F4888" s="17" t="s">
        <v>164</v>
      </c>
      <c r="G4888" s="17">
        <v>6</v>
      </c>
      <c r="H4888" s="17">
        <v>13102</v>
      </c>
      <c r="I4888" s="17">
        <v>78612</v>
      </c>
      <c r="J4888" s="17">
        <v>4656</v>
      </c>
      <c r="K4888" s="17">
        <v>73956</v>
      </c>
      <c r="L4888" s="17">
        <v>8123.0664930000003</v>
      </c>
      <c r="M4888" s="17">
        <v>2024</v>
      </c>
      <c r="N4888" s="17" t="s">
        <v>174</v>
      </c>
    </row>
    <row r="4889" spans="1:14" ht="14.25" customHeight="1">
      <c r="A4889" s="17">
        <v>14888</v>
      </c>
      <c r="B4889" s="18">
        <v>45936</v>
      </c>
      <c r="C4889" s="17" t="s">
        <v>45</v>
      </c>
      <c r="D4889" s="17" t="s">
        <v>170</v>
      </c>
      <c r="E4889" s="17" t="s">
        <v>162</v>
      </c>
      <c r="F4889" s="17" t="s">
        <v>163</v>
      </c>
      <c r="G4889" s="17">
        <v>1</v>
      </c>
      <c r="H4889" s="17">
        <v>17754</v>
      </c>
      <c r="I4889" s="17">
        <v>17754</v>
      </c>
      <c r="J4889" s="17">
        <v>4154</v>
      </c>
      <c r="K4889" s="17">
        <v>13600</v>
      </c>
      <c r="L4889" s="17">
        <v>2377.4875419999998</v>
      </c>
      <c r="M4889" s="17">
        <v>2025</v>
      </c>
      <c r="N4889" s="17" t="s">
        <v>174</v>
      </c>
    </row>
    <row r="4890" spans="1:14" ht="14.25" customHeight="1">
      <c r="A4890" s="17">
        <v>14889</v>
      </c>
      <c r="B4890" s="18">
        <v>45634</v>
      </c>
      <c r="C4890" s="17" t="s">
        <v>39</v>
      </c>
      <c r="D4890" s="17" t="s">
        <v>83</v>
      </c>
      <c r="E4890" s="17" t="s">
        <v>165</v>
      </c>
      <c r="F4890" s="17" t="s">
        <v>163</v>
      </c>
      <c r="G4890" s="17">
        <v>4</v>
      </c>
      <c r="H4890" s="17">
        <v>41612</v>
      </c>
      <c r="I4890" s="17">
        <v>166448</v>
      </c>
      <c r="J4890" s="17">
        <v>3718</v>
      </c>
      <c r="K4890" s="17">
        <v>162730</v>
      </c>
      <c r="L4890" s="17">
        <v>24436.34519</v>
      </c>
      <c r="M4890" s="17">
        <v>2024</v>
      </c>
      <c r="N4890" s="17" t="s">
        <v>169</v>
      </c>
    </row>
    <row r="4891" spans="1:14" ht="14.25" customHeight="1">
      <c r="A4891" s="17">
        <v>14890</v>
      </c>
      <c r="B4891" s="18">
        <v>45716</v>
      </c>
      <c r="C4891" s="17" t="s">
        <v>45</v>
      </c>
      <c r="D4891" s="17" t="s">
        <v>170</v>
      </c>
      <c r="E4891" s="17" t="s">
        <v>168</v>
      </c>
      <c r="F4891" s="17" t="s">
        <v>163</v>
      </c>
      <c r="G4891" s="17">
        <v>9</v>
      </c>
      <c r="H4891" s="17">
        <v>38363</v>
      </c>
      <c r="I4891" s="17">
        <v>345267</v>
      </c>
      <c r="J4891" s="17">
        <v>1624</v>
      </c>
      <c r="K4891" s="17">
        <v>343643</v>
      </c>
      <c r="L4891" s="17">
        <v>67650.008610000004</v>
      </c>
      <c r="M4891" s="17">
        <v>2025</v>
      </c>
      <c r="N4891" s="17" t="s">
        <v>175</v>
      </c>
    </row>
    <row r="4892" spans="1:14" ht="14.25" customHeight="1">
      <c r="A4892" s="17">
        <v>14891</v>
      </c>
      <c r="B4892" s="18">
        <v>45862</v>
      </c>
      <c r="C4892" s="17" t="s">
        <v>58</v>
      </c>
      <c r="D4892" s="17" t="s">
        <v>170</v>
      </c>
      <c r="E4892" s="17" t="s">
        <v>168</v>
      </c>
      <c r="F4892" s="17" t="s">
        <v>172</v>
      </c>
      <c r="G4892" s="17">
        <v>4</v>
      </c>
      <c r="H4892" s="17">
        <v>78866</v>
      </c>
      <c r="I4892" s="17">
        <v>315464</v>
      </c>
      <c r="J4892" s="17">
        <v>1806</v>
      </c>
      <c r="K4892" s="17">
        <v>313658</v>
      </c>
      <c r="L4892" s="17">
        <v>73192.3223</v>
      </c>
      <c r="M4892" s="17">
        <v>2025</v>
      </c>
      <c r="N4892" s="17" t="s">
        <v>123</v>
      </c>
    </row>
    <row r="4893" spans="1:14" ht="14.25" customHeight="1">
      <c r="A4893" s="17">
        <v>14892</v>
      </c>
      <c r="B4893" s="18">
        <v>45802</v>
      </c>
      <c r="C4893" s="17" t="s">
        <v>58</v>
      </c>
      <c r="D4893" s="17" t="s">
        <v>111</v>
      </c>
      <c r="E4893" s="17" t="s">
        <v>162</v>
      </c>
      <c r="F4893" s="17" t="s">
        <v>166</v>
      </c>
      <c r="G4893" s="17">
        <v>2</v>
      </c>
      <c r="H4893" s="17">
        <v>70777</v>
      </c>
      <c r="I4893" s="17">
        <v>141554</v>
      </c>
      <c r="J4893" s="17">
        <v>4358</v>
      </c>
      <c r="K4893" s="17">
        <v>137196</v>
      </c>
      <c r="L4893" s="17">
        <v>16302.1278</v>
      </c>
      <c r="M4893" s="17">
        <v>2025</v>
      </c>
      <c r="N4893" s="17" t="s">
        <v>117</v>
      </c>
    </row>
    <row r="4894" spans="1:14" ht="14.25" customHeight="1">
      <c r="A4894" s="17">
        <v>14893</v>
      </c>
      <c r="B4894" s="18">
        <v>45473</v>
      </c>
      <c r="C4894" s="17" t="s">
        <v>39</v>
      </c>
      <c r="D4894" s="17" t="s">
        <v>89</v>
      </c>
      <c r="E4894" s="17" t="s">
        <v>162</v>
      </c>
      <c r="F4894" s="17" t="s">
        <v>166</v>
      </c>
      <c r="G4894" s="17">
        <v>6</v>
      </c>
      <c r="H4894" s="17">
        <v>23747</v>
      </c>
      <c r="I4894" s="17">
        <v>142482</v>
      </c>
      <c r="J4894" s="17">
        <v>1454</v>
      </c>
      <c r="K4894" s="17">
        <v>141028</v>
      </c>
      <c r="L4894" s="17">
        <v>23628.69814</v>
      </c>
      <c r="M4894" s="17">
        <v>2024</v>
      </c>
      <c r="N4894" s="17" t="s">
        <v>120</v>
      </c>
    </row>
    <row r="4895" spans="1:14" ht="14.25" customHeight="1">
      <c r="A4895" s="17">
        <v>14894</v>
      </c>
      <c r="B4895" s="18">
        <v>45749</v>
      </c>
      <c r="C4895" s="17" t="s">
        <v>167</v>
      </c>
      <c r="D4895" s="17" t="s">
        <v>170</v>
      </c>
      <c r="E4895" s="17" t="s">
        <v>162</v>
      </c>
      <c r="F4895" s="17" t="s">
        <v>172</v>
      </c>
      <c r="G4895" s="17">
        <v>2</v>
      </c>
      <c r="H4895" s="17">
        <v>52770</v>
      </c>
      <c r="I4895" s="17">
        <v>105540</v>
      </c>
      <c r="J4895" s="17">
        <v>353</v>
      </c>
      <c r="K4895" s="17">
        <v>105187</v>
      </c>
      <c r="L4895" s="17">
        <v>17195.873039999999</v>
      </c>
      <c r="M4895" s="17">
        <v>2025</v>
      </c>
      <c r="N4895" s="17" t="s">
        <v>114</v>
      </c>
    </row>
    <row r="4896" spans="1:14" ht="14.25" customHeight="1">
      <c r="A4896" s="17">
        <v>14895</v>
      </c>
      <c r="B4896" s="18">
        <v>45355</v>
      </c>
      <c r="C4896" s="17" t="s">
        <v>50</v>
      </c>
      <c r="D4896" s="17" t="s">
        <v>89</v>
      </c>
      <c r="E4896" s="17" t="s">
        <v>165</v>
      </c>
      <c r="F4896" s="17" t="s">
        <v>164</v>
      </c>
      <c r="G4896" s="17">
        <v>3</v>
      </c>
      <c r="H4896" s="17">
        <v>54884</v>
      </c>
      <c r="I4896" s="17">
        <v>164652</v>
      </c>
      <c r="J4896" s="17">
        <v>2933</v>
      </c>
      <c r="K4896" s="17">
        <v>161719</v>
      </c>
      <c r="L4896" s="17">
        <v>24026.476320000002</v>
      </c>
      <c r="M4896" s="17">
        <v>2024</v>
      </c>
      <c r="N4896" s="17" t="s">
        <v>112</v>
      </c>
    </row>
    <row r="4897" spans="1:14" ht="14.25" customHeight="1">
      <c r="A4897" s="17">
        <v>14896</v>
      </c>
      <c r="B4897" s="18">
        <v>45551</v>
      </c>
      <c r="C4897" s="17" t="s">
        <v>58</v>
      </c>
      <c r="D4897" s="17" t="s">
        <v>86</v>
      </c>
      <c r="E4897" s="17" t="s">
        <v>165</v>
      </c>
      <c r="F4897" s="17" t="s">
        <v>164</v>
      </c>
      <c r="G4897" s="17">
        <v>7</v>
      </c>
      <c r="H4897" s="17">
        <v>70670</v>
      </c>
      <c r="I4897" s="17">
        <v>494690</v>
      </c>
      <c r="J4897" s="17">
        <v>940</v>
      </c>
      <c r="K4897" s="17">
        <v>493750</v>
      </c>
      <c r="L4897" s="17">
        <v>84937.351070000004</v>
      </c>
      <c r="M4897" s="17">
        <v>2024</v>
      </c>
      <c r="N4897" s="17" t="s">
        <v>129</v>
      </c>
    </row>
    <row r="4898" spans="1:14" ht="14.25" customHeight="1">
      <c r="A4898" s="17">
        <v>14897</v>
      </c>
      <c r="B4898" s="18">
        <v>45484</v>
      </c>
      <c r="C4898" s="17" t="s">
        <v>39</v>
      </c>
      <c r="D4898" s="17" t="s">
        <v>170</v>
      </c>
      <c r="E4898" s="17" t="s">
        <v>165</v>
      </c>
      <c r="F4898" s="17" t="s">
        <v>172</v>
      </c>
      <c r="G4898" s="17">
        <v>4</v>
      </c>
      <c r="H4898" s="17">
        <v>40394</v>
      </c>
      <c r="I4898" s="17">
        <v>161576</v>
      </c>
      <c r="J4898" s="17">
        <v>3945</v>
      </c>
      <c r="K4898" s="17">
        <v>157631</v>
      </c>
      <c r="L4898" s="17">
        <v>36587.616600000001</v>
      </c>
      <c r="M4898" s="17">
        <v>2024</v>
      </c>
      <c r="N4898" s="17" t="s">
        <v>123</v>
      </c>
    </row>
    <row r="4899" spans="1:14" ht="14.25" customHeight="1">
      <c r="A4899" s="17">
        <v>14898</v>
      </c>
      <c r="B4899" s="18">
        <v>45946</v>
      </c>
      <c r="C4899" s="17" t="s">
        <v>50</v>
      </c>
      <c r="D4899" s="17" t="s">
        <v>89</v>
      </c>
      <c r="E4899" s="17" t="s">
        <v>162</v>
      </c>
      <c r="F4899" s="17" t="s">
        <v>166</v>
      </c>
      <c r="G4899" s="17">
        <v>1</v>
      </c>
      <c r="H4899" s="17">
        <v>65484</v>
      </c>
      <c r="I4899" s="17">
        <v>65484</v>
      </c>
      <c r="J4899" s="17">
        <v>4142</v>
      </c>
      <c r="K4899" s="17">
        <v>61342</v>
      </c>
      <c r="L4899" s="17">
        <v>15093.155549999999</v>
      </c>
      <c r="M4899" s="17">
        <v>2025</v>
      </c>
      <c r="N4899" s="17" t="s">
        <v>174</v>
      </c>
    </row>
    <row r="4900" spans="1:14" ht="14.25" customHeight="1">
      <c r="A4900" s="17">
        <v>14899</v>
      </c>
      <c r="B4900" s="18">
        <v>45907</v>
      </c>
      <c r="C4900" s="17" t="s">
        <v>167</v>
      </c>
      <c r="D4900" s="17" t="s">
        <v>86</v>
      </c>
      <c r="E4900" s="17" t="s">
        <v>168</v>
      </c>
      <c r="F4900" s="17" t="s">
        <v>164</v>
      </c>
      <c r="G4900" s="17">
        <v>9</v>
      </c>
      <c r="H4900" s="17">
        <v>48084</v>
      </c>
      <c r="I4900" s="17">
        <v>432756</v>
      </c>
      <c r="J4900" s="17">
        <v>4848</v>
      </c>
      <c r="K4900" s="17">
        <v>427908</v>
      </c>
      <c r="L4900" s="17">
        <v>42973.274140000001</v>
      </c>
      <c r="M4900" s="17">
        <v>2025</v>
      </c>
      <c r="N4900" s="17" t="s">
        <v>129</v>
      </c>
    </row>
    <row r="4901" spans="1:14" ht="14.25" customHeight="1">
      <c r="A4901" s="17">
        <v>14900</v>
      </c>
      <c r="B4901" s="18">
        <v>45697</v>
      </c>
      <c r="C4901" s="17" t="s">
        <v>58</v>
      </c>
      <c r="D4901" s="17" t="s">
        <v>111</v>
      </c>
      <c r="E4901" s="17" t="s">
        <v>165</v>
      </c>
      <c r="F4901" s="17" t="s">
        <v>172</v>
      </c>
      <c r="G4901" s="17">
        <v>6</v>
      </c>
      <c r="H4901" s="17">
        <v>36093</v>
      </c>
      <c r="I4901" s="17">
        <v>216558</v>
      </c>
      <c r="J4901" s="17">
        <v>229</v>
      </c>
      <c r="K4901" s="17">
        <v>216329</v>
      </c>
      <c r="L4901" s="17">
        <v>45613.993199999997</v>
      </c>
      <c r="M4901" s="17">
        <v>2025</v>
      </c>
      <c r="N4901" s="17" t="s">
        <v>175</v>
      </c>
    </row>
    <row r="4902" spans="1:14" ht="14.25" customHeight="1">
      <c r="A4902" s="17">
        <v>14901</v>
      </c>
      <c r="B4902" s="18">
        <v>46017</v>
      </c>
      <c r="C4902" s="17" t="s">
        <v>39</v>
      </c>
      <c r="D4902" s="17" t="s">
        <v>170</v>
      </c>
      <c r="E4902" s="17" t="s">
        <v>162</v>
      </c>
      <c r="F4902" s="17" t="s">
        <v>166</v>
      </c>
      <c r="G4902" s="17">
        <v>9</v>
      </c>
      <c r="H4902" s="17">
        <v>12179</v>
      </c>
      <c r="I4902" s="17">
        <v>109611</v>
      </c>
      <c r="J4902" s="17">
        <v>3482</v>
      </c>
      <c r="K4902" s="17">
        <v>106129</v>
      </c>
      <c r="L4902" s="17">
        <v>20404.592909999999</v>
      </c>
      <c r="M4902" s="17">
        <v>2025</v>
      </c>
      <c r="N4902" s="17" t="s">
        <v>169</v>
      </c>
    </row>
    <row r="4903" spans="1:14" ht="14.25" customHeight="1">
      <c r="A4903" s="17">
        <v>14902</v>
      </c>
      <c r="B4903" s="18">
        <v>46012</v>
      </c>
      <c r="C4903" s="17" t="s">
        <v>39</v>
      </c>
      <c r="D4903" s="17" t="s">
        <v>111</v>
      </c>
      <c r="E4903" s="17" t="s">
        <v>165</v>
      </c>
      <c r="F4903" s="17" t="s">
        <v>164</v>
      </c>
      <c r="G4903" s="17">
        <v>3</v>
      </c>
      <c r="H4903" s="17">
        <v>39278</v>
      </c>
      <c r="I4903" s="17">
        <v>117834</v>
      </c>
      <c r="J4903" s="17">
        <v>4852</v>
      </c>
      <c r="K4903" s="17">
        <v>112982</v>
      </c>
      <c r="L4903" s="17">
        <v>28152.495709999999</v>
      </c>
      <c r="M4903" s="17">
        <v>2025</v>
      </c>
      <c r="N4903" s="17" t="s">
        <v>169</v>
      </c>
    </row>
    <row r="4904" spans="1:14" ht="14.25" customHeight="1">
      <c r="A4904" s="17">
        <v>14903</v>
      </c>
      <c r="B4904" s="18">
        <v>45384</v>
      </c>
      <c r="C4904" s="17" t="s">
        <v>39</v>
      </c>
      <c r="D4904" s="17" t="s">
        <v>86</v>
      </c>
      <c r="E4904" s="17" t="s">
        <v>168</v>
      </c>
      <c r="F4904" s="17" t="s">
        <v>164</v>
      </c>
      <c r="G4904" s="17">
        <v>5</v>
      </c>
      <c r="H4904" s="17">
        <v>50813</v>
      </c>
      <c r="I4904" s="17">
        <v>254065</v>
      </c>
      <c r="J4904" s="17">
        <v>4857</v>
      </c>
      <c r="K4904" s="17">
        <v>249208</v>
      </c>
      <c r="L4904" s="17">
        <v>28282.5435</v>
      </c>
      <c r="M4904" s="17">
        <v>2024</v>
      </c>
      <c r="N4904" s="17" t="s">
        <v>114</v>
      </c>
    </row>
    <row r="4905" spans="1:14" ht="14.25" customHeight="1">
      <c r="A4905" s="17">
        <v>14904</v>
      </c>
      <c r="B4905" s="18">
        <v>45721</v>
      </c>
      <c r="C4905" s="17" t="s">
        <v>58</v>
      </c>
      <c r="D4905" s="17" t="s">
        <v>111</v>
      </c>
      <c r="E4905" s="17" t="s">
        <v>168</v>
      </c>
      <c r="F4905" s="17" t="s">
        <v>172</v>
      </c>
      <c r="G4905" s="17">
        <v>9</v>
      </c>
      <c r="H4905" s="17">
        <v>77443</v>
      </c>
      <c r="I4905" s="17">
        <v>696987</v>
      </c>
      <c r="J4905" s="17">
        <v>237</v>
      </c>
      <c r="K4905" s="17">
        <v>696750</v>
      </c>
      <c r="L4905" s="17">
        <v>154470.8303</v>
      </c>
      <c r="M4905" s="17">
        <v>2025</v>
      </c>
      <c r="N4905" s="17" t="s">
        <v>112</v>
      </c>
    </row>
    <row r="4906" spans="1:14" ht="14.25" customHeight="1">
      <c r="A4906" s="17">
        <v>14905</v>
      </c>
      <c r="B4906" s="18">
        <v>45945</v>
      </c>
      <c r="C4906" s="17" t="s">
        <v>50</v>
      </c>
      <c r="D4906" s="17" t="s">
        <v>111</v>
      </c>
      <c r="E4906" s="17" t="s">
        <v>162</v>
      </c>
      <c r="F4906" s="17" t="s">
        <v>166</v>
      </c>
      <c r="G4906" s="17">
        <v>6</v>
      </c>
      <c r="H4906" s="17">
        <v>68828</v>
      </c>
      <c r="I4906" s="17">
        <v>412968</v>
      </c>
      <c r="J4906" s="17">
        <v>3772</v>
      </c>
      <c r="K4906" s="17">
        <v>409196</v>
      </c>
      <c r="L4906" s="17">
        <v>98243.551300000006</v>
      </c>
      <c r="M4906" s="17">
        <v>2025</v>
      </c>
      <c r="N4906" s="17" t="s">
        <v>174</v>
      </c>
    </row>
    <row r="4907" spans="1:14" ht="14.25" customHeight="1">
      <c r="A4907" s="17">
        <v>14906</v>
      </c>
      <c r="B4907" s="18">
        <v>45725</v>
      </c>
      <c r="C4907" s="17" t="s">
        <v>39</v>
      </c>
      <c r="D4907" s="17" t="s">
        <v>83</v>
      </c>
      <c r="E4907" s="17" t="s">
        <v>168</v>
      </c>
      <c r="F4907" s="17" t="s">
        <v>164</v>
      </c>
      <c r="G4907" s="17">
        <v>2</v>
      </c>
      <c r="H4907" s="17">
        <v>74942</v>
      </c>
      <c r="I4907" s="17">
        <v>149884</v>
      </c>
      <c r="J4907" s="17">
        <v>4173</v>
      </c>
      <c r="K4907" s="17">
        <v>145711</v>
      </c>
      <c r="L4907" s="17">
        <v>34506.89213</v>
      </c>
      <c r="M4907" s="17">
        <v>2025</v>
      </c>
      <c r="N4907" s="17" t="s">
        <v>112</v>
      </c>
    </row>
    <row r="4908" spans="1:14" ht="14.25" customHeight="1">
      <c r="A4908" s="17">
        <v>14907</v>
      </c>
      <c r="B4908" s="18">
        <v>45695</v>
      </c>
      <c r="C4908" s="17" t="s">
        <v>167</v>
      </c>
      <c r="D4908" s="17" t="s">
        <v>86</v>
      </c>
      <c r="E4908" s="17" t="s">
        <v>162</v>
      </c>
      <c r="F4908" s="17" t="s">
        <v>172</v>
      </c>
      <c r="G4908" s="17">
        <v>1</v>
      </c>
      <c r="H4908" s="17">
        <v>24748</v>
      </c>
      <c r="I4908" s="17">
        <v>24748</v>
      </c>
      <c r="J4908" s="17">
        <v>2781</v>
      </c>
      <c r="K4908" s="17">
        <v>21967</v>
      </c>
      <c r="L4908" s="17">
        <v>4043.8150890000002</v>
      </c>
      <c r="M4908" s="17">
        <v>2025</v>
      </c>
      <c r="N4908" s="17" t="s">
        <v>175</v>
      </c>
    </row>
    <row r="4909" spans="1:14" ht="14.25" customHeight="1">
      <c r="A4909" s="17">
        <v>14908</v>
      </c>
      <c r="B4909" s="18">
        <v>45725</v>
      </c>
      <c r="C4909" s="17" t="s">
        <v>39</v>
      </c>
      <c r="D4909" s="17" t="s">
        <v>111</v>
      </c>
      <c r="E4909" s="17" t="s">
        <v>162</v>
      </c>
      <c r="F4909" s="17" t="s">
        <v>164</v>
      </c>
      <c r="G4909" s="17">
        <v>9</v>
      </c>
      <c r="H4909" s="17">
        <v>14742</v>
      </c>
      <c r="I4909" s="17">
        <v>132678</v>
      </c>
      <c r="J4909" s="17">
        <v>2606</v>
      </c>
      <c r="K4909" s="17">
        <v>130072</v>
      </c>
      <c r="L4909" s="17">
        <v>19398.082429999999</v>
      </c>
      <c r="M4909" s="17">
        <v>2025</v>
      </c>
      <c r="N4909" s="17" t="s">
        <v>112</v>
      </c>
    </row>
    <row r="4910" spans="1:14" ht="14.25" customHeight="1">
      <c r="A4910" s="17">
        <v>14909</v>
      </c>
      <c r="B4910" s="18">
        <v>45403</v>
      </c>
      <c r="C4910" s="17" t="s">
        <v>50</v>
      </c>
      <c r="D4910" s="17" t="s">
        <v>89</v>
      </c>
      <c r="E4910" s="17" t="s">
        <v>162</v>
      </c>
      <c r="F4910" s="17" t="s">
        <v>166</v>
      </c>
      <c r="G4910" s="17">
        <v>1</v>
      </c>
      <c r="H4910" s="17">
        <v>8411</v>
      </c>
      <c r="I4910" s="17">
        <v>8411</v>
      </c>
      <c r="J4910" s="17">
        <v>1984</v>
      </c>
      <c r="K4910" s="17">
        <v>6427</v>
      </c>
      <c r="L4910" s="17">
        <v>1259.5992940000001</v>
      </c>
      <c r="M4910" s="17">
        <v>2024</v>
      </c>
      <c r="N4910" s="17" t="s">
        <v>114</v>
      </c>
    </row>
    <row r="4911" spans="1:14" ht="14.25" customHeight="1">
      <c r="A4911" s="17">
        <v>14910</v>
      </c>
      <c r="B4911" s="18">
        <v>45666</v>
      </c>
      <c r="C4911" s="17" t="s">
        <v>58</v>
      </c>
      <c r="D4911" s="17" t="s">
        <v>86</v>
      </c>
      <c r="E4911" s="17" t="s">
        <v>162</v>
      </c>
      <c r="F4911" s="17" t="s">
        <v>163</v>
      </c>
      <c r="G4911" s="17">
        <v>5</v>
      </c>
      <c r="H4911" s="17">
        <v>43464</v>
      </c>
      <c r="I4911" s="17">
        <v>217320</v>
      </c>
      <c r="J4911" s="17">
        <v>3095</v>
      </c>
      <c r="K4911" s="17">
        <v>214225</v>
      </c>
      <c r="L4911" s="17">
        <v>31257.740979999999</v>
      </c>
      <c r="M4911" s="17">
        <v>2025</v>
      </c>
      <c r="N4911" s="17" t="s">
        <v>171</v>
      </c>
    </row>
    <row r="4912" spans="1:14" ht="14.25" customHeight="1">
      <c r="A4912" s="17">
        <v>14911</v>
      </c>
      <c r="B4912" s="18">
        <v>45350</v>
      </c>
      <c r="C4912" s="17" t="s">
        <v>39</v>
      </c>
      <c r="D4912" s="17" t="s">
        <v>83</v>
      </c>
      <c r="E4912" s="17" t="s">
        <v>168</v>
      </c>
      <c r="F4912" s="17" t="s">
        <v>164</v>
      </c>
      <c r="G4912" s="17">
        <v>1</v>
      </c>
      <c r="H4912" s="17">
        <v>34698</v>
      </c>
      <c r="I4912" s="17">
        <v>34698</v>
      </c>
      <c r="J4912" s="17">
        <v>1052</v>
      </c>
      <c r="K4912" s="17">
        <v>33646</v>
      </c>
      <c r="L4912" s="17">
        <v>5445.2817249999998</v>
      </c>
      <c r="M4912" s="17">
        <v>2024</v>
      </c>
      <c r="N4912" s="17" t="s">
        <v>175</v>
      </c>
    </row>
    <row r="4913" spans="1:14" ht="14.25" customHeight="1">
      <c r="A4913" s="17">
        <v>14912</v>
      </c>
      <c r="B4913" s="18">
        <v>45334</v>
      </c>
      <c r="C4913" s="17" t="s">
        <v>39</v>
      </c>
      <c r="D4913" s="17" t="s">
        <v>170</v>
      </c>
      <c r="E4913" s="17" t="s">
        <v>168</v>
      </c>
      <c r="F4913" s="17" t="s">
        <v>166</v>
      </c>
      <c r="G4913" s="17">
        <v>5</v>
      </c>
      <c r="H4913" s="17">
        <v>36108</v>
      </c>
      <c r="I4913" s="17">
        <v>180540</v>
      </c>
      <c r="J4913" s="17">
        <v>350</v>
      </c>
      <c r="K4913" s="17">
        <v>180190</v>
      </c>
      <c r="L4913" s="17">
        <v>30066.277750000001</v>
      </c>
      <c r="M4913" s="17">
        <v>2024</v>
      </c>
      <c r="N4913" s="17" t="s">
        <v>175</v>
      </c>
    </row>
    <row r="4914" spans="1:14" ht="14.25" customHeight="1">
      <c r="A4914" s="17">
        <v>14913</v>
      </c>
      <c r="B4914" s="18">
        <v>45498</v>
      </c>
      <c r="C4914" s="17" t="s">
        <v>167</v>
      </c>
      <c r="D4914" s="17" t="s">
        <v>111</v>
      </c>
      <c r="E4914" s="17" t="s">
        <v>168</v>
      </c>
      <c r="F4914" s="17" t="s">
        <v>164</v>
      </c>
      <c r="G4914" s="17">
        <v>5</v>
      </c>
      <c r="H4914" s="17">
        <v>76296</v>
      </c>
      <c r="I4914" s="17">
        <v>381480</v>
      </c>
      <c r="J4914" s="17">
        <v>912</v>
      </c>
      <c r="K4914" s="17">
        <v>380568</v>
      </c>
      <c r="L4914" s="17">
        <v>55293.68621</v>
      </c>
      <c r="M4914" s="17">
        <v>2024</v>
      </c>
      <c r="N4914" s="17" t="s">
        <v>123</v>
      </c>
    </row>
    <row r="4915" spans="1:14" ht="14.25" customHeight="1">
      <c r="A4915" s="17">
        <v>14914</v>
      </c>
      <c r="B4915" s="18">
        <v>45587</v>
      </c>
      <c r="C4915" s="17" t="s">
        <v>167</v>
      </c>
      <c r="D4915" s="17" t="s">
        <v>89</v>
      </c>
      <c r="E4915" s="17" t="s">
        <v>168</v>
      </c>
      <c r="F4915" s="17" t="s">
        <v>163</v>
      </c>
      <c r="G4915" s="17">
        <v>7</v>
      </c>
      <c r="H4915" s="17">
        <v>52133</v>
      </c>
      <c r="I4915" s="17">
        <v>364931</v>
      </c>
      <c r="J4915" s="17">
        <v>4445</v>
      </c>
      <c r="K4915" s="17">
        <v>360486</v>
      </c>
      <c r="L4915" s="17">
        <v>54532.196909999999</v>
      </c>
      <c r="M4915" s="17">
        <v>2024</v>
      </c>
      <c r="N4915" s="17" t="s">
        <v>174</v>
      </c>
    </row>
    <row r="4916" spans="1:14" ht="14.25" customHeight="1">
      <c r="A4916" s="17">
        <v>14915</v>
      </c>
      <c r="B4916" s="18">
        <v>45409</v>
      </c>
      <c r="C4916" s="17" t="s">
        <v>39</v>
      </c>
      <c r="D4916" s="17" t="s">
        <v>83</v>
      </c>
      <c r="E4916" s="17" t="s">
        <v>162</v>
      </c>
      <c r="F4916" s="17" t="s">
        <v>163</v>
      </c>
      <c r="G4916" s="17">
        <v>7</v>
      </c>
      <c r="H4916" s="17">
        <v>51662</v>
      </c>
      <c r="I4916" s="17">
        <v>361634</v>
      </c>
      <c r="J4916" s="17">
        <v>1304</v>
      </c>
      <c r="K4916" s="17">
        <v>360330</v>
      </c>
      <c r="L4916" s="17">
        <v>36428.270420000001</v>
      </c>
      <c r="M4916" s="17">
        <v>2024</v>
      </c>
      <c r="N4916" s="17" t="s">
        <v>114</v>
      </c>
    </row>
    <row r="4917" spans="1:14" ht="14.25" customHeight="1">
      <c r="A4917" s="17">
        <v>14916</v>
      </c>
      <c r="B4917" s="18">
        <v>45823</v>
      </c>
      <c r="C4917" s="17" t="s">
        <v>39</v>
      </c>
      <c r="D4917" s="17" t="s">
        <v>86</v>
      </c>
      <c r="E4917" s="17" t="s">
        <v>162</v>
      </c>
      <c r="F4917" s="17" t="s">
        <v>164</v>
      </c>
      <c r="G4917" s="17">
        <v>1</v>
      </c>
      <c r="H4917" s="17">
        <v>67421</v>
      </c>
      <c r="I4917" s="17">
        <v>67421</v>
      </c>
      <c r="J4917" s="17">
        <v>2523</v>
      </c>
      <c r="K4917" s="17">
        <v>64898</v>
      </c>
      <c r="L4917" s="17">
        <v>9381.7736150000001</v>
      </c>
      <c r="M4917" s="17">
        <v>2025</v>
      </c>
      <c r="N4917" s="17" t="s">
        <v>120</v>
      </c>
    </row>
    <row r="4918" spans="1:14" ht="14.25" customHeight="1">
      <c r="A4918" s="17">
        <v>14917</v>
      </c>
      <c r="B4918" s="18">
        <v>45513</v>
      </c>
      <c r="C4918" s="17" t="s">
        <v>167</v>
      </c>
      <c r="D4918" s="17" t="s">
        <v>111</v>
      </c>
      <c r="E4918" s="17" t="s">
        <v>168</v>
      </c>
      <c r="F4918" s="17" t="s">
        <v>172</v>
      </c>
      <c r="G4918" s="17">
        <v>9</v>
      </c>
      <c r="H4918" s="17">
        <v>30180</v>
      </c>
      <c r="I4918" s="17">
        <v>271620</v>
      </c>
      <c r="J4918" s="17">
        <v>291</v>
      </c>
      <c r="K4918" s="17">
        <v>271329</v>
      </c>
      <c r="L4918" s="17">
        <v>46355.421730000002</v>
      </c>
      <c r="M4918" s="17">
        <v>2024</v>
      </c>
      <c r="N4918" s="17" t="s">
        <v>126</v>
      </c>
    </row>
    <row r="4919" spans="1:14" ht="14.25" customHeight="1">
      <c r="A4919" s="17">
        <v>14918</v>
      </c>
      <c r="B4919" s="18">
        <v>45457</v>
      </c>
      <c r="C4919" s="17" t="s">
        <v>50</v>
      </c>
      <c r="D4919" s="17" t="s">
        <v>83</v>
      </c>
      <c r="E4919" s="17" t="s">
        <v>165</v>
      </c>
      <c r="F4919" s="17" t="s">
        <v>164</v>
      </c>
      <c r="G4919" s="17">
        <v>1</v>
      </c>
      <c r="H4919" s="17">
        <v>44194</v>
      </c>
      <c r="I4919" s="17">
        <v>44194</v>
      </c>
      <c r="J4919" s="17">
        <v>1212</v>
      </c>
      <c r="K4919" s="17">
        <v>42982</v>
      </c>
      <c r="L4919" s="17">
        <v>5413.6304179999997</v>
      </c>
      <c r="M4919" s="17">
        <v>2024</v>
      </c>
      <c r="N4919" s="17" t="s">
        <v>120</v>
      </c>
    </row>
    <row r="4920" spans="1:14" ht="14.25" customHeight="1">
      <c r="A4920" s="17">
        <v>14919</v>
      </c>
      <c r="B4920" s="18">
        <v>45934</v>
      </c>
      <c r="C4920" s="17" t="s">
        <v>45</v>
      </c>
      <c r="D4920" s="17" t="s">
        <v>83</v>
      </c>
      <c r="E4920" s="17" t="s">
        <v>165</v>
      </c>
      <c r="F4920" s="17" t="s">
        <v>166</v>
      </c>
      <c r="G4920" s="17">
        <v>5</v>
      </c>
      <c r="H4920" s="17">
        <v>17525</v>
      </c>
      <c r="I4920" s="17">
        <v>87625</v>
      </c>
      <c r="J4920" s="17">
        <v>467</v>
      </c>
      <c r="K4920" s="17">
        <v>87158</v>
      </c>
      <c r="L4920" s="17">
        <v>19247.771079999999</v>
      </c>
      <c r="M4920" s="17">
        <v>2025</v>
      </c>
      <c r="N4920" s="17" t="s">
        <v>174</v>
      </c>
    </row>
    <row r="4921" spans="1:14" ht="14.25" customHeight="1">
      <c r="A4921" s="17">
        <v>14920</v>
      </c>
      <c r="B4921" s="18">
        <v>45447</v>
      </c>
      <c r="C4921" s="17" t="s">
        <v>45</v>
      </c>
      <c r="D4921" s="17" t="s">
        <v>89</v>
      </c>
      <c r="E4921" s="17" t="s">
        <v>165</v>
      </c>
      <c r="F4921" s="17" t="s">
        <v>172</v>
      </c>
      <c r="G4921" s="17">
        <v>7</v>
      </c>
      <c r="H4921" s="17">
        <v>45674</v>
      </c>
      <c r="I4921" s="17">
        <v>319718</v>
      </c>
      <c r="J4921" s="17">
        <v>3277</v>
      </c>
      <c r="K4921" s="17">
        <v>316441</v>
      </c>
      <c r="L4921" s="17">
        <v>57163.659540000001</v>
      </c>
      <c r="M4921" s="17">
        <v>2024</v>
      </c>
      <c r="N4921" s="17" t="s">
        <v>120</v>
      </c>
    </row>
    <row r="4922" spans="1:14" ht="14.25" customHeight="1">
      <c r="A4922" s="17">
        <v>14921</v>
      </c>
      <c r="B4922" s="18">
        <v>45475</v>
      </c>
      <c r="C4922" s="17" t="s">
        <v>39</v>
      </c>
      <c r="D4922" s="17" t="s">
        <v>170</v>
      </c>
      <c r="E4922" s="17" t="s">
        <v>168</v>
      </c>
      <c r="F4922" s="17" t="s">
        <v>166</v>
      </c>
      <c r="G4922" s="17">
        <v>8</v>
      </c>
      <c r="H4922" s="17">
        <v>13922</v>
      </c>
      <c r="I4922" s="17">
        <v>111376</v>
      </c>
      <c r="J4922" s="17">
        <v>2525</v>
      </c>
      <c r="K4922" s="17">
        <v>108851</v>
      </c>
      <c r="L4922" s="17">
        <v>23847.305690000001</v>
      </c>
      <c r="M4922" s="17">
        <v>2024</v>
      </c>
      <c r="N4922" s="17" t="s">
        <v>123</v>
      </c>
    </row>
    <row r="4923" spans="1:14" ht="14.25" customHeight="1">
      <c r="A4923" s="17">
        <v>14922</v>
      </c>
      <c r="B4923" s="18">
        <v>45381</v>
      </c>
      <c r="C4923" s="17" t="s">
        <v>167</v>
      </c>
      <c r="D4923" s="17" t="s">
        <v>170</v>
      </c>
      <c r="E4923" s="17" t="s">
        <v>162</v>
      </c>
      <c r="F4923" s="17" t="s">
        <v>166</v>
      </c>
      <c r="G4923" s="17">
        <v>2</v>
      </c>
      <c r="H4923" s="17">
        <v>67782</v>
      </c>
      <c r="I4923" s="17">
        <v>135564</v>
      </c>
      <c r="J4923" s="17">
        <v>3575</v>
      </c>
      <c r="K4923" s="17">
        <v>131989</v>
      </c>
      <c r="L4923" s="17">
        <v>15735.13659</v>
      </c>
      <c r="M4923" s="17">
        <v>2024</v>
      </c>
      <c r="N4923" s="17" t="s">
        <v>112</v>
      </c>
    </row>
    <row r="4924" spans="1:14" ht="14.25" customHeight="1">
      <c r="A4924" s="17">
        <v>14923</v>
      </c>
      <c r="B4924" s="18">
        <v>45385</v>
      </c>
      <c r="C4924" s="17" t="s">
        <v>58</v>
      </c>
      <c r="D4924" s="17" t="s">
        <v>170</v>
      </c>
      <c r="E4924" s="17" t="s">
        <v>162</v>
      </c>
      <c r="F4924" s="17" t="s">
        <v>172</v>
      </c>
      <c r="G4924" s="17">
        <v>1</v>
      </c>
      <c r="H4924" s="17">
        <v>39846</v>
      </c>
      <c r="I4924" s="17">
        <v>39846</v>
      </c>
      <c r="J4924" s="17">
        <v>3199</v>
      </c>
      <c r="K4924" s="17">
        <v>36647</v>
      </c>
      <c r="L4924" s="17">
        <v>8175.0914089999997</v>
      </c>
      <c r="M4924" s="17">
        <v>2024</v>
      </c>
      <c r="N4924" s="17" t="s">
        <v>114</v>
      </c>
    </row>
    <row r="4925" spans="1:14" ht="14.25" customHeight="1">
      <c r="A4925" s="17">
        <v>14924</v>
      </c>
      <c r="B4925" s="18">
        <v>45304</v>
      </c>
      <c r="C4925" s="17" t="s">
        <v>58</v>
      </c>
      <c r="D4925" s="17" t="s">
        <v>86</v>
      </c>
      <c r="E4925" s="17" t="s">
        <v>165</v>
      </c>
      <c r="F4925" s="17" t="s">
        <v>163</v>
      </c>
      <c r="G4925" s="17">
        <v>4</v>
      </c>
      <c r="H4925" s="17">
        <v>72173</v>
      </c>
      <c r="I4925" s="17">
        <v>288692</v>
      </c>
      <c r="J4925" s="17">
        <v>4325</v>
      </c>
      <c r="K4925" s="17">
        <v>284367</v>
      </c>
      <c r="L4925" s="17">
        <v>69311.453070000003</v>
      </c>
      <c r="M4925" s="17">
        <v>2024</v>
      </c>
      <c r="N4925" s="17" t="s">
        <v>171</v>
      </c>
    </row>
    <row r="4926" spans="1:14" ht="14.25" customHeight="1">
      <c r="A4926" s="17">
        <v>14925</v>
      </c>
      <c r="B4926" s="18">
        <v>45729</v>
      </c>
      <c r="C4926" s="17" t="s">
        <v>45</v>
      </c>
      <c r="D4926" s="17" t="s">
        <v>83</v>
      </c>
      <c r="E4926" s="17" t="s">
        <v>165</v>
      </c>
      <c r="F4926" s="17" t="s">
        <v>166</v>
      </c>
      <c r="G4926" s="17">
        <v>4</v>
      </c>
      <c r="H4926" s="17">
        <v>18916</v>
      </c>
      <c r="I4926" s="17">
        <v>75664</v>
      </c>
      <c r="J4926" s="17">
        <v>1064</v>
      </c>
      <c r="K4926" s="17">
        <v>74600</v>
      </c>
      <c r="L4926" s="17">
        <v>11403.9601</v>
      </c>
      <c r="M4926" s="17">
        <v>2025</v>
      </c>
      <c r="N4926" s="17" t="s">
        <v>112</v>
      </c>
    </row>
    <row r="4927" spans="1:14" ht="14.25" customHeight="1">
      <c r="A4927" s="17">
        <v>14926</v>
      </c>
      <c r="B4927" s="18">
        <v>45829</v>
      </c>
      <c r="C4927" s="17" t="s">
        <v>50</v>
      </c>
      <c r="D4927" s="17" t="s">
        <v>86</v>
      </c>
      <c r="E4927" s="17" t="s">
        <v>162</v>
      </c>
      <c r="F4927" s="17" t="s">
        <v>164</v>
      </c>
      <c r="G4927" s="17">
        <v>6</v>
      </c>
      <c r="H4927" s="17">
        <v>35926</v>
      </c>
      <c r="I4927" s="17">
        <v>215556</v>
      </c>
      <c r="J4927" s="17">
        <v>4888</v>
      </c>
      <c r="K4927" s="17">
        <v>210668</v>
      </c>
      <c r="L4927" s="17">
        <v>30039.752769999999</v>
      </c>
      <c r="M4927" s="17">
        <v>2025</v>
      </c>
      <c r="N4927" s="17" t="s">
        <v>120</v>
      </c>
    </row>
    <row r="4928" spans="1:14" ht="14.25" customHeight="1">
      <c r="A4928" s="17">
        <v>14927</v>
      </c>
      <c r="B4928" s="18">
        <v>45878</v>
      </c>
      <c r="C4928" s="17" t="s">
        <v>45</v>
      </c>
      <c r="D4928" s="17" t="s">
        <v>83</v>
      </c>
      <c r="E4928" s="17" t="s">
        <v>165</v>
      </c>
      <c r="F4928" s="17" t="s">
        <v>163</v>
      </c>
      <c r="G4928" s="17">
        <v>1</v>
      </c>
      <c r="H4928" s="17">
        <v>47941</v>
      </c>
      <c r="I4928" s="17">
        <v>47941</v>
      </c>
      <c r="J4928" s="17">
        <v>3463</v>
      </c>
      <c r="K4928" s="17">
        <v>44478</v>
      </c>
      <c r="L4928" s="17">
        <v>8763.2660039999992</v>
      </c>
      <c r="M4928" s="17">
        <v>2025</v>
      </c>
      <c r="N4928" s="17" t="s">
        <v>126</v>
      </c>
    </row>
    <row r="4929" spans="1:14" ht="14.25" customHeight="1">
      <c r="A4929" s="17">
        <v>14928</v>
      </c>
      <c r="B4929" s="18">
        <v>45441</v>
      </c>
      <c r="C4929" s="17" t="s">
        <v>39</v>
      </c>
      <c r="D4929" s="17" t="s">
        <v>89</v>
      </c>
      <c r="E4929" s="17" t="s">
        <v>165</v>
      </c>
      <c r="F4929" s="17" t="s">
        <v>163</v>
      </c>
      <c r="G4929" s="17">
        <v>1</v>
      </c>
      <c r="H4929" s="17">
        <v>65294</v>
      </c>
      <c r="I4929" s="17">
        <v>65294</v>
      </c>
      <c r="J4929" s="17">
        <v>4919</v>
      </c>
      <c r="K4929" s="17">
        <v>60375</v>
      </c>
      <c r="L4929" s="17">
        <v>11796.497160000001</v>
      </c>
      <c r="M4929" s="17">
        <v>2024</v>
      </c>
      <c r="N4929" s="17" t="s">
        <v>117</v>
      </c>
    </row>
    <row r="4930" spans="1:14" ht="14.25" customHeight="1">
      <c r="A4930" s="17">
        <v>14929</v>
      </c>
      <c r="B4930" s="18">
        <v>45951</v>
      </c>
      <c r="C4930" s="17" t="s">
        <v>50</v>
      </c>
      <c r="D4930" s="17" t="s">
        <v>89</v>
      </c>
      <c r="E4930" s="17" t="s">
        <v>162</v>
      </c>
      <c r="F4930" s="17" t="s">
        <v>172</v>
      </c>
      <c r="G4930" s="17">
        <v>3</v>
      </c>
      <c r="H4930" s="17">
        <v>24684</v>
      </c>
      <c r="I4930" s="17">
        <v>74052</v>
      </c>
      <c r="J4930" s="17">
        <v>1693</v>
      </c>
      <c r="K4930" s="17">
        <v>72359</v>
      </c>
      <c r="L4930" s="17">
        <v>8456.6112240000002</v>
      </c>
      <c r="M4930" s="17">
        <v>2025</v>
      </c>
      <c r="N4930" s="17" t="s">
        <v>174</v>
      </c>
    </row>
    <row r="4931" spans="1:14" ht="14.25" customHeight="1">
      <c r="A4931" s="17">
        <v>14930</v>
      </c>
      <c r="B4931" s="18">
        <v>45299</v>
      </c>
      <c r="C4931" s="17" t="s">
        <v>58</v>
      </c>
      <c r="D4931" s="17" t="s">
        <v>86</v>
      </c>
      <c r="E4931" s="17" t="s">
        <v>165</v>
      </c>
      <c r="F4931" s="17" t="s">
        <v>164</v>
      </c>
      <c r="G4931" s="17">
        <v>5</v>
      </c>
      <c r="H4931" s="17">
        <v>21966</v>
      </c>
      <c r="I4931" s="17">
        <v>109830</v>
      </c>
      <c r="J4931" s="17">
        <v>4931</v>
      </c>
      <c r="K4931" s="17">
        <v>104899</v>
      </c>
      <c r="L4931" s="17">
        <v>25072.310460000001</v>
      </c>
      <c r="M4931" s="17">
        <v>2024</v>
      </c>
      <c r="N4931" s="17" t="s">
        <v>171</v>
      </c>
    </row>
    <row r="4932" spans="1:14" ht="14.25" customHeight="1">
      <c r="A4932" s="17">
        <v>14931</v>
      </c>
      <c r="B4932" s="18">
        <v>45320</v>
      </c>
      <c r="C4932" s="17" t="s">
        <v>167</v>
      </c>
      <c r="D4932" s="17" t="s">
        <v>86</v>
      </c>
      <c r="E4932" s="17" t="s">
        <v>165</v>
      </c>
      <c r="F4932" s="17" t="s">
        <v>164</v>
      </c>
      <c r="G4932" s="17">
        <v>6</v>
      </c>
      <c r="H4932" s="17">
        <v>62479</v>
      </c>
      <c r="I4932" s="17">
        <v>374874</v>
      </c>
      <c r="J4932" s="17">
        <v>2394</v>
      </c>
      <c r="K4932" s="17">
        <v>372480</v>
      </c>
      <c r="L4932" s="17">
        <v>64013.825510000002</v>
      </c>
      <c r="M4932" s="17">
        <v>2024</v>
      </c>
      <c r="N4932" s="17" t="s">
        <v>171</v>
      </c>
    </row>
    <row r="4933" spans="1:14" ht="14.25" customHeight="1">
      <c r="A4933" s="17">
        <v>14932</v>
      </c>
      <c r="B4933" s="18">
        <v>45587</v>
      </c>
      <c r="C4933" s="17" t="s">
        <v>167</v>
      </c>
      <c r="D4933" s="17" t="s">
        <v>89</v>
      </c>
      <c r="E4933" s="17" t="s">
        <v>168</v>
      </c>
      <c r="F4933" s="17" t="s">
        <v>163</v>
      </c>
      <c r="G4933" s="17">
        <v>5</v>
      </c>
      <c r="H4933" s="17">
        <v>63321</v>
      </c>
      <c r="I4933" s="17">
        <v>316605</v>
      </c>
      <c r="J4933" s="17">
        <v>2057</v>
      </c>
      <c r="K4933" s="17">
        <v>314548</v>
      </c>
      <c r="L4933" s="17">
        <v>67521.648159999997</v>
      </c>
      <c r="M4933" s="17">
        <v>2024</v>
      </c>
      <c r="N4933" s="17" t="s">
        <v>174</v>
      </c>
    </row>
    <row r="4934" spans="1:14" ht="14.25" customHeight="1">
      <c r="A4934" s="17">
        <v>14933</v>
      </c>
      <c r="B4934" s="18">
        <v>46012</v>
      </c>
      <c r="C4934" s="17" t="s">
        <v>39</v>
      </c>
      <c r="D4934" s="17" t="s">
        <v>111</v>
      </c>
      <c r="E4934" s="17" t="s">
        <v>165</v>
      </c>
      <c r="F4934" s="17" t="s">
        <v>166</v>
      </c>
      <c r="G4934" s="17">
        <v>5</v>
      </c>
      <c r="H4934" s="17">
        <v>79011</v>
      </c>
      <c r="I4934" s="17">
        <v>395055</v>
      </c>
      <c r="J4934" s="17">
        <v>86</v>
      </c>
      <c r="K4934" s="17">
        <v>394969</v>
      </c>
      <c r="L4934" s="17">
        <v>60784.801489999998</v>
      </c>
      <c r="M4934" s="17">
        <v>2025</v>
      </c>
      <c r="N4934" s="17" t="s">
        <v>169</v>
      </c>
    </row>
    <row r="4935" spans="1:14" ht="14.25" customHeight="1">
      <c r="A4935" s="17">
        <v>14934</v>
      </c>
      <c r="B4935" s="18">
        <v>45931</v>
      </c>
      <c r="C4935" s="17" t="s">
        <v>45</v>
      </c>
      <c r="D4935" s="17" t="s">
        <v>170</v>
      </c>
      <c r="E4935" s="17" t="s">
        <v>168</v>
      </c>
      <c r="F4935" s="17" t="s">
        <v>166</v>
      </c>
      <c r="G4935" s="17">
        <v>9</v>
      </c>
      <c r="H4935" s="17">
        <v>40166</v>
      </c>
      <c r="I4935" s="17">
        <v>361494</v>
      </c>
      <c r="J4935" s="17">
        <v>2592</v>
      </c>
      <c r="K4935" s="17">
        <v>358902</v>
      </c>
      <c r="L4935" s="17">
        <v>49970.103580000003</v>
      </c>
      <c r="M4935" s="17">
        <v>2025</v>
      </c>
      <c r="N4935" s="17" t="s">
        <v>174</v>
      </c>
    </row>
    <row r="4936" spans="1:14" ht="14.25" customHeight="1">
      <c r="A4936" s="17">
        <v>14935</v>
      </c>
      <c r="B4936" s="18">
        <v>45631</v>
      </c>
      <c r="C4936" s="17" t="s">
        <v>39</v>
      </c>
      <c r="D4936" s="17" t="s">
        <v>170</v>
      </c>
      <c r="E4936" s="17" t="s">
        <v>162</v>
      </c>
      <c r="F4936" s="17" t="s">
        <v>164</v>
      </c>
      <c r="G4936" s="17">
        <v>2</v>
      </c>
      <c r="H4936" s="17">
        <v>58264</v>
      </c>
      <c r="I4936" s="17">
        <v>116528</v>
      </c>
      <c r="J4936" s="17">
        <v>4042</v>
      </c>
      <c r="K4936" s="17">
        <v>112486</v>
      </c>
      <c r="L4936" s="17">
        <v>13126.07958</v>
      </c>
      <c r="M4936" s="17">
        <v>2024</v>
      </c>
      <c r="N4936" s="17" t="s">
        <v>169</v>
      </c>
    </row>
    <row r="4937" spans="1:14" ht="14.25" customHeight="1">
      <c r="A4937" s="17">
        <v>14936</v>
      </c>
      <c r="B4937" s="18">
        <v>45919</v>
      </c>
      <c r="C4937" s="17" t="s">
        <v>167</v>
      </c>
      <c r="D4937" s="17" t="s">
        <v>89</v>
      </c>
      <c r="E4937" s="17" t="s">
        <v>168</v>
      </c>
      <c r="F4937" s="17" t="s">
        <v>163</v>
      </c>
      <c r="G4937" s="17">
        <v>1</v>
      </c>
      <c r="H4937" s="17">
        <v>8466</v>
      </c>
      <c r="I4937" s="17">
        <v>8466</v>
      </c>
      <c r="J4937" s="17">
        <v>2920</v>
      </c>
      <c r="K4937" s="17">
        <v>5546</v>
      </c>
      <c r="L4937" s="17">
        <v>782.97211879999998</v>
      </c>
      <c r="M4937" s="17">
        <v>2025</v>
      </c>
      <c r="N4937" s="17" t="s">
        <v>129</v>
      </c>
    </row>
    <row r="4938" spans="1:14" ht="14.25" customHeight="1">
      <c r="A4938" s="17">
        <v>14937</v>
      </c>
      <c r="B4938" s="18">
        <v>45730</v>
      </c>
      <c r="C4938" s="17" t="s">
        <v>58</v>
      </c>
      <c r="D4938" s="17" t="s">
        <v>170</v>
      </c>
      <c r="E4938" s="17" t="s">
        <v>162</v>
      </c>
      <c r="F4938" s="17" t="s">
        <v>163</v>
      </c>
      <c r="G4938" s="17">
        <v>6</v>
      </c>
      <c r="H4938" s="17">
        <v>26902</v>
      </c>
      <c r="I4938" s="17">
        <v>161412</v>
      </c>
      <c r="J4938" s="17">
        <v>3</v>
      </c>
      <c r="K4938" s="17">
        <v>161409</v>
      </c>
      <c r="L4938" s="17">
        <v>40193.209170000002</v>
      </c>
      <c r="M4938" s="17">
        <v>2025</v>
      </c>
      <c r="N4938" s="17" t="s">
        <v>112</v>
      </c>
    </row>
    <row r="4939" spans="1:14" ht="14.25" customHeight="1">
      <c r="A4939" s="17">
        <v>14938</v>
      </c>
      <c r="B4939" s="18">
        <v>45435</v>
      </c>
      <c r="C4939" s="17" t="s">
        <v>167</v>
      </c>
      <c r="D4939" s="17" t="s">
        <v>111</v>
      </c>
      <c r="E4939" s="17" t="s">
        <v>168</v>
      </c>
      <c r="F4939" s="17" t="s">
        <v>163</v>
      </c>
      <c r="G4939" s="17">
        <v>9</v>
      </c>
      <c r="H4939" s="17">
        <v>64805</v>
      </c>
      <c r="I4939" s="17">
        <v>583245</v>
      </c>
      <c r="J4939" s="17">
        <v>3094</v>
      </c>
      <c r="K4939" s="17">
        <v>580151</v>
      </c>
      <c r="L4939" s="17">
        <v>115272.53879999999</v>
      </c>
      <c r="M4939" s="17">
        <v>2024</v>
      </c>
      <c r="N4939" s="17" t="s">
        <v>117</v>
      </c>
    </row>
    <row r="4940" spans="1:14" ht="14.25" customHeight="1">
      <c r="A4940" s="17">
        <v>14939</v>
      </c>
      <c r="B4940" s="18">
        <v>45810</v>
      </c>
      <c r="C4940" s="17" t="s">
        <v>50</v>
      </c>
      <c r="D4940" s="17" t="s">
        <v>111</v>
      </c>
      <c r="E4940" s="17" t="s">
        <v>168</v>
      </c>
      <c r="F4940" s="17" t="s">
        <v>172</v>
      </c>
      <c r="G4940" s="17">
        <v>7</v>
      </c>
      <c r="H4940" s="17">
        <v>10363</v>
      </c>
      <c r="I4940" s="17">
        <v>72541</v>
      </c>
      <c r="J4940" s="17">
        <v>1521</v>
      </c>
      <c r="K4940" s="17">
        <v>71020</v>
      </c>
      <c r="L4940" s="17">
        <v>15654.04016</v>
      </c>
      <c r="M4940" s="17">
        <v>2025</v>
      </c>
      <c r="N4940" s="17" t="s">
        <v>120</v>
      </c>
    </row>
    <row r="4941" spans="1:14" ht="14.25" customHeight="1">
      <c r="A4941" s="17">
        <v>14940</v>
      </c>
      <c r="B4941" s="18">
        <v>45336</v>
      </c>
      <c r="C4941" s="17" t="s">
        <v>167</v>
      </c>
      <c r="D4941" s="17" t="s">
        <v>83</v>
      </c>
      <c r="E4941" s="17" t="s">
        <v>168</v>
      </c>
      <c r="F4941" s="17" t="s">
        <v>164</v>
      </c>
      <c r="G4941" s="17">
        <v>8</v>
      </c>
      <c r="H4941" s="17">
        <v>64397</v>
      </c>
      <c r="I4941" s="17">
        <v>515176</v>
      </c>
      <c r="J4941" s="17">
        <v>2948</v>
      </c>
      <c r="K4941" s="17">
        <v>512228</v>
      </c>
      <c r="L4941" s="17">
        <v>124869.0821</v>
      </c>
      <c r="M4941" s="17">
        <v>2024</v>
      </c>
      <c r="N4941" s="17" t="s">
        <v>175</v>
      </c>
    </row>
    <row r="4942" spans="1:14" ht="14.25" customHeight="1">
      <c r="A4942" s="17">
        <v>14941</v>
      </c>
      <c r="B4942" s="18">
        <v>45530</v>
      </c>
      <c r="C4942" s="17" t="s">
        <v>167</v>
      </c>
      <c r="D4942" s="17" t="s">
        <v>86</v>
      </c>
      <c r="E4942" s="17" t="s">
        <v>165</v>
      </c>
      <c r="F4942" s="17" t="s">
        <v>164</v>
      </c>
      <c r="G4942" s="17">
        <v>5</v>
      </c>
      <c r="H4942" s="17">
        <v>7134</v>
      </c>
      <c r="I4942" s="17">
        <v>35670</v>
      </c>
      <c r="J4942" s="17">
        <v>3857</v>
      </c>
      <c r="K4942" s="17">
        <v>31813</v>
      </c>
      <c r="L4942" s="17">
        <v>3558.2427809999999</v>
      </c>
      <c r="M4942" s="17">
        <v>2024</v>
      </c>
      <c r="N4942" s="17" t="s">
        <v>126</v>
      </c>
    </row>
    <row r="4943" spans="1:14" ht="14.25" customHeight="1">
      <c r="A4943" s="17">
        <v>14942</v>
      </c>
      <c r="B4943" s="18">
        <v>45446</v>
      </c>
      <c r="C4943" s="17" t="s">
        <v>50</v>
      </c>
      <c r="D4943" s="17" t="s">
        <v>170</v>
      </c>
      <c r="E4943" s="17" t="s">
        <v>165</v>
      </c>
      <c r="F4943" s="17" t="s">
        <v>166</v>
      </c>
      <c r="G4943" s="17">
        <v>4</v>
      </c>
      <c r="H4943" s="17">
        <v>70126</v>
      </c>
      <c r="I4943" s="17">
        <v>280504</v>
      </c>
      <c r="J4943" s="17">
        <v>1977</v>
      </c>
      <c r="K4943" s="17">
        <v>278527</v>
      </c>
      <c r="L4943" s="17">
        <v>34733.476649999997</v>
      </c>
      <c r="M4943" s="17">
        <v>2024</v>
      </c>
      <c r="N4943" s="17" t="s">
        <v>120</v>
      </c>
    </row>
    <row r="4944" spans="1:14" ht="14.25" customHeight="1">
      <c r="A4944" s="17">
        <v>14943</v>
      </c>
      <c r="B4944" s="18">
        <v>45472</v>
      </c>
      <c r="C4944" s="17" t="s">
        <v>45</v>
      </c>
      <c r="D4944" s="17" t="s">
        <v>111</v>
      </c>
      <c r="E4944" s="17" t="s">
        <v>165</v>
      </c>
      <c r="F4944" s="17" t="s">
        <v>166</v>
      </c>
      <c r="G4944" s="17">
        <v>6</v>
      </c>
      <c r="H4944" s="17">
        <v>55791</v>
      </c>
      <c r="I4944" s="17">
        <v>334746</v>
      </c>
      <c r="J4944" s="17">
        <v>1474</v>
      </c>
      <c r="K4944" s="17">
        <v>333272</v>
      </c>
      <c r="L4944" s="17">
        <v>79716.947320000007</v>
      </c>
      <c r="M4944" s="17">
        <v>2024</v>
      </c>
      <c r="N4944" s="17" t="s">
        <v>120</v>
      </c>
    </row>
    <row r="4945" spans="1:14" ht="14.25" customHeight="1">
      <c r="A4945" s="17">
        <v>14944</v>
      </c>
      <c r="B4945" s="18">
        <v>45506</v>
      </c>
      <c r="C4945" s="17" t="s">
        <v>167</v>
      </c>
      <c r="D4945" s="17" t="s">
        <v>86</v>
      </c>
      <c r="E4945" s="17" t="s">
        <v>165</v>
      </c>
      <c r="F4945" s="17" t="s">
        <v>164</v>
      </c>
      <c r="G4945" s="17">
        <v>3</v>
      </c>
      <c r="H4945" s="17">
        <v>46379</v>
      </c>
      <c r="I4945" s="17">
        <v>139137</v>
      </c>
      <c r="J4945" s="17">
        <v>1130</v>
      </c>
      <c r="K4945" s="17">
        <v>138007</v>
      </c>
      <c r="L4945" s="17">
        <v>25487.55399</v>
      </c>
      <c r="M4945" s="17">
        <v>2024</v>
      </c>
      <c r="N4945" s="17" t="s">
        <v>126</v>
      </c>
    </row>
    <row r="4946" spans="1:14" ht="14.25" customHeight="1">
      <c r="A4946" s="17">
        <v>14945</v>
      </c>
      <c r="B4946" s="18">
        <v>45379</v>
      </c>
      <c r="C4946" s="17" t="s">
        <v>39</v>
      </c>
      <c r="D4946" s="17" t="s">
        <v>86</v>
      </c>
      <c r="E4946" s="17" t="s">
        <v>165</v>
      </c>
      <c r="F4946" s="17" t="s">
        <v>164</v>
      </c>
      <c r="G4946" s="17">
        <v>1</v>
      </c>
      <c r="H4946" s="17">
        <v>42723</v>
      </c>
      <c r="I4946" s="17">
        <v>42723</v>
      </c>
      <c r="J4946" s="17">
        <v>880</v>
      </c>
      <c r="K4946" s="17">
        <v>41843</v>
      </c>
      <c r="L4946" s="17">
        <v>8168.8992950000002</v>
      </c>
      <c r="M4946" s="17">
        <v>2024</v>
      </c>
      <c r="N4946" s="17" t="s">
        <v>112</v>
      </c>
    </row>
    <row r="4947" spans="1:14" ht="14.25" customHeight="1">
      <c r="A4947" s="17">
        <v>14946</v>
      </c>
      <c r="B4947" s="18">
        <v>45547</v>
      </c>
      <c r="C4947" s="17" t="s">
        <v>167</v>
      </c>
      <c r="D4947" s="17" t="s">
        <v>83</v>
      </c>
      <c r="E4947" s="17" t="s">
        <v>168</v>
      </c>
      <c r="F4947" s="17" t="s">
        <v>166</v>
      </c>
      <c r="G4947" s="17">
        <v>4</v>
      </c>
      <c r="H4947" s="17">
        <v>46166</v>
      </c>
      <c r="I4947" s="17">
        <v>184664</v>
      </c>
      <c r="J4947" s="17">
        <v>1401</v>
      </c>
      <c r="K4947" s="17">
        <v>183263</v>
      </c>
      <c r="L4947" s="17">
        <v>30081.731220000001</v>
      </c>
      <c r="M4947" s="17">
        <v>2024</v>
      </c>
      <c r="N4947" s="17" t="s">
        <v>129</v>
      </c>
    </row>
    <row r="4948" spans="1:14" ht="14.25" customHeight="1">
      <c r="A4948" s="17">
        <v>14947</v>
      </c>
      <c r="B4948" s="18">
        <v>45802</v>
      </c>
      <c r="C4948" s="17" t="s">
        <v>39</v>
      </c>
      <c r="D4948" s="17" t="s">
        <v>86</v>
      </c>
      <c r="E4948" s="17" t="s">
        <v>165</v>
      </c>
      <c r="F4948" s="17" t="s">
        <v>164</v>
      </c>
      <c r="G4948" s="17">
        <v>9</v>
      </c>
      <c r="H4948" s="17">
        <v>12249</v>
      </c>
      <c r="I4948" s="17">
        <v>110241</v>
      </c>
      <c r="J4948" s="17">
        <v>1975</v>
      </c>
      <c r="K4948" s="17">
        <v>108266</v>
      </c>
      <c r="L4948" s="17">
        <v>24052.841209999999</v>
      </c>
      <c r="M4948" s="17">
        <v>2025</v>
      </c>
      <c r="N4948" s="17" t="s">
        <v>117</v>
      </c>
    </row>
    <row r="4949" spans="1:14" ht="14.25" customHeight="1">
      <c r="A4949" s="17">
        <v>14948</v>
      </c>
      <c r="B4949" s="18">
        <v>45364</v>
      </c>
      <c r="C4949" s="17" t="s">
        <v>50</v>
      </c>
      <c r="D4949" s="17" t="s">
        <v>86</v>
      </c>
      <c r="E4949" s="17" t="s">
        <v>162</v>
      </c>
      <c r="F4949" s="17" t="s">
        <v>166</v>
      </c>
      <c r="G4949" s="17">
        <v>4</v>
      </c>
      <c r="H4949" s="17">
        <v>8796</v>
      </c>
      <c r="I4949" s="17">
        <v>35184</v>
      </c>
      <c r="J4949" s="17">
        <v>1750</v>
      </c>
      <c r="K4949" s="17">
        <v>33434</v>
      </c>
      <c r="L4949" s="17">
        <v>5937.4314629999999</v>
      </c>
      <c r="M4949" s="17">
        <v>2024</v>
      </c>
      <c r="N4949" s="17" t="s">
        <v>112</v>
      </c>
    </row>
    <row r="4950" spans="1:14" ht="14.25" customHeight="1">
      <c r="A4950" s="17">
        <v>14949</v>
      </c>
      <c r="B4950" s="18">
        <v>45470</v>
      </c>
      <c r="C4950" s="17" t="s">
        <v>167</v>
      </c>
      <c r="D4950" s="17" t="s">
        <v>89</v>
      </c>
      <c r="E4950" s="17" t="s">
        <v>168</v>
      </c>
      <c r="F4950" s="17" t="s">
        <v>164</v>
      </c>
      <c r="G4950" s="17">
        <v>1</v>
      </c>
      <c r="H4950" s="17">
        <v>23918</v>
      </c>
      <c r="I4950" s="17">
        <v>23918</v>
      </c>
      <c r="J4950" s="17">
        <v>1</v>
      </c>
      <c r="K4950" s="17">
        <v>23917</v>
      </c>
      <c r="L4950" s="17">
        <v>5355.4807380000002</v>
      </c>
      <c r="M4950" s="17">
        <v>2024</v>
      </c>
      <c r="N4950" s="17" t="s">
        <v>120</v>
      </c>
    </row>
    <row r="4951" spans="1:14" ht="14.25" customHeight="1">
      <c r="A4951" s="17">
        <v>14950</v>
      </c>
      <c r="B4951" s="18">
        <v>45503</v>
      </c>
      <c r="C4951" s="17" t="s">
        <v>50</v>
      </c>
      <c r="D4951" s="17" t="s">
        <v>83</v>
      </c>
      <c r="E4951" s="17" t="s">
        <v>168</v>
      </c>
      <c r="F4951" s="17" t="s">
        <v>172</v>
      </c>
      <c r="G4951" s="17">
        <v>4</v>
      </c>
      <c r="H4951" s="17">
        <v>23564</v>
      </c>
      <c r="I4951" s="17">
        <v>94256</v>
      </c>
      <c r="J4951" s="17">
        <v>1144</v>
      </c>
      <c r="K4951" s="17">
        <v>93112</v>
      </c>
      <c r="L4951" s="17">
        <v>23168.87185</v>
      </c>
      <c r="M4951" s="17">
        <v>2024</v>
      </c>
      <c r="N4951" s="17" t="s">
        <v>123</v>
      </c>
    </row>
    <row r="4952" spans="1:14" ht="14.25" customHeight="1">
      <c r="A4952" s="17">
        <v>14951</v>
      </c>
      <c r="B4952" s="18">
        <v>45525</v>
      </c>
      <c r="C4952" s="17" t="s">
        <v>50</v>
      </c>
      <c r="D4952" s="17" t="s">
        <v>83</v>
      </c>
      <c r="E4952" s="17" t="s">
        <v>162</v>
      </c>
      <c r="F4952" s="17" t="s">
        <v>172</v>
      </c>
      <c r="G4952" s="17">
        <v>7</v>
      </c>
      <c r="H4952" s="17">
        <v>71982</v>
      </c>
      <c r="I4952" s="17">
        <v>503874</v>
      </c>
      <c r="J4952" s="17">
        <v>1638</v>
      </c>
      <c r="K4952" s="17">
        <v>502236</v>
      </c>
      <c r="L4952" s="17">
        <v>98945.020980000001</v>
      </c>
      <c r="M4952" s="17">
        <v>2024</v>
      </c>
      <c r="N4952" s="17" t="s">
        <v>126</v>
      </c>
    </row>
    <row r="4953" spans="1:14" ht="14.25" customHeight="1">
      <c r="A4953" s="17">
        <v>14952</v>
      </c>
      <c r="B4953" s="18">
        <v>45756</v>
      </c>
      <c r="C4953" s="17" t="s">
        <v>45</v>
      </c>
      <c r="D4953" s="17" t="s">
        <v>170</v>
      </c>
      <c r="E4953" s="17" t="s">
        <v>165</v>
      </c>
      <c r="F4953" s="17" t="s">
        <v>163</v>
      </c>
      <c r="G4953" s="17">
        <v>3</v>
      </c>
      <c r="H4953" s="17">
        <v>71487</v>
      </c>
      <c r="I4953" s="17">
        <v>214461</v>
      </c>
      <c r="J4953" s="17">
        <v>148</v>
      </c>
      <c r="K4953" s="17">
        <v>214313</v>
      </c>
      <c r="L4953" s="17">
        <v>38431.043839999998</v>
      </c>
      <c r="M4953" s="17">
        <v>2025</v>
      </c>
      <c r="N4953" s="17" t="s">
        <v>114</v>
      </c>
    </row>
    <row r="4954" spans="1:14" ht="14.25" customHeight="1">
      <c r="A4954" s="17">
        <v>14953</v>
      </c>
      <c r="B4954" s="18">
        <v>45514</v>
      </c>
      <c r="C4954" s="17" t="s">
        <v>167</v>
      </c>
      <c r="D4954" s="17" t="s">
        <v>86</v>
      </c>
      <c r="E4954" s="17" t="s">
        <v>162</v>
      </c>
      <c r="F4954" s="17" t="s">
        <v>164</v>
      </c>
      <c r="G4954" s="17">
        <v>6</v>
      </c>
      <c r="H4954" s="17">
        <v>58173</v>
      </c>
      <c r="I4954" s="17">
        <v>349038</v>
      </c>
      <c r="J4954" s="17">
        <v>4247</v>
      </c>
      <c r="K4954" s="17">
        <v>344791</v>
      </c>
      <c r="L4954" s="17">
        <v>53364.571259999997</v>
      </c>
      <c r="M4954" s="17">
        <v>2024</v>
      </c>
      <c r="N4954" s="17" t="s">
        <v>126</v>
      </c>
    </row>
    <row r="4955" spans="1:14" ht="14.25" customHeight="1">
      <c r="A4955" s="17">
        <v>14954</v>
      </c>
      <c r="B4955" s="18">
        <v>45922</v>
      </c>
      <c r="C4955" s="17" t="s">
        <v>39</v>
      </c>
      <c r="D4955" s="17" t="s">
        <v>170</v>
      </c>
      <c r="E4955" s="17" t="s">
        <v>168</v>
      </c>
      <c r="F4955" s="17" t="s">
        <v>166</v>
      </c>
      <c r="G4955" s="17">
        <v>1</v>
      </c>
      <c r="H4955" s="17">
        <v>72253</v>
      </c>
      <c r="I4955" s="17">
        <v>72253</v>
      </c>
      <c r="J4955" s="17">
        <v>2353</v>
      </c>
      <c r="K4955" s="17">
        <v>69900</v>
      </c>
      <c r="L4955" s="17">
        <v>9031.3921989999999</v>
      </c>
      <c r="M4955" s="17">
        <v>2025</v>
      </c>
      <c r="N4955" s="17" t="s">
        <v>129</v>
      </c>
    </row>
    <row r="4956" spans="1:14" ht="14.25" customHeight="1">
      <c r="A4956" s="17">
        <v>14955</v>
      </c>
      <c r="B4956" s="18">
        <v>45555</v>
      </c>
      <c r="C4956" s="17" t="s">
        <v>39</v>
      </c>
      <c r="D4956" s="17" t="s">
        <v>111</v>
      </c>
      <c r="E4956" s="17" t="s">
        <v>168</v>
      </c>
      <c r="F4956" s="17" t="s">
        <v>164</v>
      </c>
      <c r="G4956" s="17">
        <v>4</v>
      </c>
      <c r="H4956" s="17">
        <v>58394</v>
      </c>
      <c r="I4956" s="17">
        <v>233576</v>
      </c>
      <c r="J4956" s="17">
        <v>2043</v>
      </c>
      <c r="K4956" s="17">
        <v>231533</v>
      </c>
      <c r="L4956" s="17">
        <v>45958.992129999999</v>
      </c>
      <c r="M4956" s="17">
        <v>2024</v>
      </c>
      <c r="N4956" s="17" t="s">
        <v>129</v>
      </c>
    </row>
    <row r="4957" spans="1:14" ht="14.25" customHeight="1">
      <c r="A4957" s="17">
        <v>14956</v>
      </c>
      <c r="B4957" s="18">
        <v>45498</v>
      </c>
      <c r="C4957" s="17" t="s">
        <v>167</v>
      </c>
      <c r="D4957" s="17" t="s">
        <v>86</v>
      </c>
      <c r="E4957" s="17" t="s">
        <v>168</v>
      </c>
      <c r="F4957" s="17" t="s">
        <v>164</v>
      </c>
      <c r="G4957" s="17">
        <v>3</v>
      </c>
      <c r="H4957" s="17">
        <v>16390</v>
      </c>
      <c r="I4957" s="17">
        <v>49170</v>
      </c>
      <c r="J4957" s="17">
        <v>1702</v>
      </c>
      <c r="K4957" s="17">
        <v>47468</v>
      </c>
      <c r="L4957" s="17">
        <v>5192.7893320000003</v>
      </c>
      <c r="M4957" s="17">
        <v>2024</v>
      </c>
      <c r="N4957" s="17" t="s">
        <v>123</v>
      </c>
    </row>
    <row r="4958" spans="1:14" ht="14.25" customHeight="1">
      <c r="A4958" s="17">
        <v>14957</v>
      </c>
      <c r="B4958" s="18">
        <v>45898</v>
      </c>
      <c r="C4958" s="17" t="s">
        <v>45</v>
      </c>
      <c r="D4958" s="17" t="s">
        <v>111</v>
      </c>
      <c r="E4958" s="17" t="s">
        <v>162</v>
      </c>
      <c r="F4958" s="17" t="s">
        <v>163</v>
      </c>
      <c r="G4958" s="17">
        <v>1</v>
      </c>
      <c r="H4958" s="17">
        <v>61627</v>
      </c>
      <c r="I4958" s="17">
        <v>61627</v>
      </c>
      <c r="J4958" s="17">
        <v>2929</v>
      </c>
      <c r="K4958" s="17">
        <v>58698</v>
      </c>
      <c r="L4958" s="17">
        <v>14289.6253</v>
      </c>
      <c r="M4958" s="17">
        <v>2025</v>
      </c>
      <c r="N4958" s="17" t="s">
        <v>126</v>
      </c>
    </row>
    <row r="4959" spans="1:14" ht="14.25" customHeight="1">
      <c r="A4959" s="17">
        <v>14958</v>
      </c>
      <c r="B4959" s="18">
        <v>45657</v>
      </c>
      <c r="C4959" s="17" t="s">
        <v>45</v>
      </c>
      <c r="D4959" s="17" t="s">
        <v>89</v>
      </c>
      <c r="E4959" s="17" t="s">
        <v>165</v>
      </c>
      <c r="F4959" s="17" t="s">
        <v>166</v>
      </c>
      <c r="G4959" s="17">
        <v>3</v>
      </c>
      <c r="H4959" s="17">
        <v>35950</v>
      </c>
      <c r="I4959" s="17">
        <v>107850</v>
      </c>
      <c r="J4959" s="17">
        <v>4570</v>
      </c>
      <c r="K4959" s="17">
        <v>103280</v>
      </c>
      <c r="L4959" s="17">
        <v>20359.92524</v>
      </c>
      <c r="M4959" s="17">
        <v>2024</v>
      </c>
      <c r="N4959" s="17" t="s">
        <v>169</v>
      </c>
    </row>
    <row r="4960" spans="1:14" ht="14.25" customHeight="1">
      <c r="A4960" s="17">
        <v>14959</v>
      </c>
      <c r="B4960" s="18">
        <v>45567</v>
      </c>
      <c r="C4960" s="17" t="s">
        <v>45</v>
      </c>
      <c r="D4960" s="17" t="s">
        <v>86</v>
      </c>
      <c r="E4960" s="17" t="s">
        <v>168</v>
      </c>
      <c r="F4960" s="17" t="s">
        <v>164</v>
      </c>
      <c r="G4960" s="17">
        <v>4</v>
      </c>
      <c r="H4960" s="17">
        <v>77130</v>
      </c>
      <c r="I4960" s="17">
        <v>308520</v>
      </c>
      <c r="J4960" s="17">
        <v>1387</v>
      </c>
      <c r="K4960" s="17">
        <v>307133</v>
      </c>
      <c r="L4960" s="17">
        <v>74911.095000000001</v>
      </c>
      <c r="M4960" s="17">
        <v>2024</v>
      </c>
      <c r="N4960" s="17" t="s">
        <v>174</v>
      </c>
    </row>
    <row r="4961" spans="1:14" ht="14.25" customHeight="1">
      <c r="A4961" s="17">
        <v>14960</v>
      </c>
      <c r="B4961" s="18">
        <v>45671</v>
      </c>
      <c r="C4961" s="17" t="s">
        <v>39</v>
      </c>
      <c r="D4961" s="17" t="s">
        <v>170</v>
      </c>
      <c r="E4961" s="17" t="s">
        <v>165</v>
      </c>
      <c r="F4961" s="17" t="s">
        <v>166</v>
      </c>
      <c r="G4961" s="17">
        <v>5</v>
      </c>
      <c r="H4961" s="17">
        <v>67963</v>
      </c>
      <c r="I4961" s="17">
        <v>339815</v>
      </c>
      <c r="J4961" s="17">
        <v>4902</v>
      </c>
      <c r="K4961" s="17">
        <v>334913</v>
      </c>
      <c r="L4961" s="17">
        <v>47169.540959999998</v>
      </c>
      <c r="M4961" s="17">
        <v>2025</v>
      </c>
      <c r="N4961" s="17" t="s">
        <v>171</v>
      </c>
    </row>
    <row r="4962" spans="1:14" ht="14.25" customHeight="1">
      <c r="A4962" s="17">
        <v>14961</v>
      </c>
      <c r="B4962" s="18">
        <v>45600</v>
      </c>
      <c r="C4962" s="17" t="s">
        <v>50</v>
      </c>
      <c r="D4962" s="17" t="s">
        <v>170</v>
      </c>
      <c r="E4962" s="17" t="s">
        <v>168</v>
      </c>
      <c r="F4962" s="17" t="s">
        <v>164</v>
      </c>
      <c r="G4962" s="17">
        <v>6</v>
      </c>
      <c r="H4962" s="17">
        <v>49693</v>
      </c>
      <c r="I4962" s="17">
        <v>298158</v>
      </c>
      <c r="J4962" s="17">
        <v>1663</v>
      </c>
      <c r="K4962" s="17">
        <v>296495</v>
      </c>
      <c r="L4962" s="17">
        <v>71745.08094</v>
      </c>
      <c r="M4962" s="17">
        <v>2024</v>
      </c>
      <c r="N4962" s="17" t="s">
        <v>173</v>
      </c>
    </row>
    <row r="4963" spans="1:14" ht="14.25" customHeight="1">
      <c r="A4963" s="17">
        <v>14962</v>
      </c>
      <c r="B4963" s="18">
        <v>45922</v>
      </c>
      <c r="C4963" s="17" t="s">
        <v>45</v>
      </c>
      <c r="D4963" s="17" t="s">
        <v>86</v>
      </c>
      <c r="E4963" s="17" t="s">
        <v>165</v>
      </c>
      <c r="F4963" s="17" t="s">
        <v>163</v>
      </c>
      <c r="G4963" s="17">
        <v>2</v>
      </c>
      <c r="H4963" s="17">
        <v>24600</v>
      </c>
      <c r="I4963" s="17">
        <v>49200</v>
      </c>
      <c r="J4963" s="17">
        <v>2080</v>
      </c>
      <c r="K4963" s="17">
        <v>47120</v>
      </c>
      <c r="L4963" s="17">
        <v>9038.500505</v>
      </c>
      <c r="M4963" s="17">
        <v>2025</v>
      </c>
      <c r="N4963" s="17" t="s">
        <v>129</v>
      </c>
    </row>
    <row r="4964" spans="1:14" ht="14.25" customHeight="1">
      <c r="A4964" s="17">
        <v>14963</v>
      </c>
      <c r="B4964" s="18">
        <v>45559</v>
      </c>
      <c r="C4964" s="17" t="s">
        <v>39</v>
      </c>
      <c r="D4964" s="17" t="s">
        <v>170</v>
      </c>
      <c r="E4964" s="17" t="s">
        <v>162</v>
      </c>
      <c r="F4964" s="17" t="s">
        <v>166</v>
      </c>
      <c r="G4964" s="17">
        <v>2</v>
      </c>
      <c r="H4964" s="17">
        <v>79634</v>
      </c>
      <c r="I4964" s="17">
        <v>159268</v>
      </c>
      <c r="J4964" s="17">
        <v>1996</v>
      </c>
      <c r="K4964" s="17">
        <v>157272</v>
      </c>
      <c r="L4964" s="17">
        <v>34841.975169999998</v>
      </c>
      <c r="M4964" s="17">
        <v>2024</v>
      </c>
      <c r="N4964" s="17" t="s">
        <v>129</v>
      </c>
    </row>
    <row r="4965" spans="1:14" ht="14.25" customHeight="1">
      <c r="A4965" s="17">
        <v>14964</v>
      </c>
      <c r="B4965" s="18">
        <v>45355</v>
      </c>
      <c r="C4965" s="17" t="s">
        <v>39</v>
      </c>
      <c r="D4965" s="17" t="s">
        <v>86</v>
      </c>
      <c r="E4965" s="17" t="s">
        <v>168</v>
      </c>
      <c r="F4965" s="17" t="s">
        <v>164</v>
      </c>
      <c r="G4965" s="17">
        <v>6</v>
      </c>
      <c r="H4965" s="17">
        <v>68086</v>
      </c>
      <c r="I4965" s="17">
        <v>408516</v>
      </c>
      <c r="J4965" s="17">
        <v>3692</v>
      </c>
      <c r="K4965" s="17">
        <v>404824</v>
      </c>
      <c r="L4965" s="17">
        <v>51347.267059999998</v>
      </c>
      <c r="M4965" s="17">
        <v>2024</v>
      </c>
      <c r="N4965" s="17" t="s">
        <v>112</v>
      </c>
    </row>
    <row r="4966" spans="1:14" ht="14.25" customHeight="1">
      <c r="A4966" s="17">
        <v>14965</v>
      </c>
      <c r="B4966" s="18">
        <v>45641</v>
      </c>
      <c r="C4966" s="17" t="s">
        <v>50</v>
      </c>
      <c r="D4966" s="17" t="s">
        <v>83</v>
      </c>
      <c r="E4966" s="17" t="s">
        <v>168</v>
      </c>
      <c r="F4966" s="17" t="s">
        <v>172</v>
      </c>
      <c r="G4966" s="17">
        <v>5</v>
      </c>
      <c r="H4966" s="17">
        <v>19012</v>
      </c>
      <c r="I4966" s="17">
        <v>95060</v>
      </c>
      <c r="J4966" s="17">
        <v>3230</v>
      </c>
      <c r="K4966" s="17">
        <v>91830</v>
      </c>
      <c r="L4966" s="17">
        <v>16071.77031</v>
      </c>
      <c r="M4966" s="17">
        <v>2024</v>
      </c>
      <c r="N4966" s="17" t="s">
        <v>169</v>
      </c>
    </row>
    <row r="4967" spans="1:14" ht="14.25" customHeight="1">
      <c r="A4967" s="17">
        <v>14966</v>
      </c>
      <c r="B4967" s="18">
        <v>45785</v>
      </c>
      <c r="C4967" s="17" t="s">
        <v>167</v>
      </c>
      <c r="D4967" s="17" t="s">
        <v>170</v>
      </c>
      <c r="E4967" s="17" t="s">
        <v>168</v>
      </c>
      <c r="F4967" s="17" t="s">
        <v>166</v>
      </c>
      <c r="G4967" s="17">
        <v>1</v>
      </c>
      <c r="H4967" s="17">
        <v>35702</v>
      </c>
      <c r="I4967" s="17">
        <v>35702</v>
      </c>
      <c r="J4967" s="17">
        <v>1250</v>
      </c>
      <c r="K4967" s="17">
        <v>34452</v>
      </c>
      <c r="L4967" s="17">
        <v>6385.4733800000004</v>
      </c>
      <c r="M4967" s="17">
        <v>2025</v>
      </c>
      <c r="N4967" s="17" t="s">
        <v>117</v>
      </c>
    </row>
    <row r="4968" spans="1:14" ht="14.25" customHeight="1">
      <c r="A4968" s="17">
        <v>14967</v>
      </c>
      <c r="B4968" s="18">
        <v>45814</v>
      </c>
      <c r="C4968" s="17" t="s">
        <v>167</v>
      </c>
      <c r="D4968" s="17" t="s">
        <v>86</v>
      </c>
      <c r="E4968" s="17" t="s">
        <v>162</v>
      </c>
      <c r="F4968" s="17" t="s">
        <v>163</v>
      </c>
      <c r="G4968" s="17">
        <v>3</v>
      </c>
      <c r="H4968" s="17">
        <v>53176</v>
      </c>
      <c r="I4968" s="17">
        <v>159528</v>
      </c>
      <c r="J4968" s="17">
        <v>4462</v>
      </c>
      <c r="K4968" s="17">
        <v>155066</v>
      </c>
      <c r="L4968" s="17">
        <v>24644.354640000001</v>
      </c>
      <c r="M4968" s="17">
        <v>2025</v>
      </c>
      <c r="N4968" s="17" t="s">
        <v>120</v>
      </c>
    </row>
    <row r="4969" spans="1:14" ht="14.25" customHeight="1">
      <c r="A4969" s="17">
        <v>14968</v>
      </c>
      <c r="B4969" s="18">
        <v>45389</v>
      </c>
      <c r="C4969" s="17" t="s">
        <v>45</v>
      </c>
      <c r="D4969" s="17" t="s">
        <v>86</v>
      </c>
      <c r="E4969" s="17" t="s">
        <v>162</v>
      </c>
      <c r="F4969" s="17" t="s">
        <v>172</v>
      </c>
      <c r="G4969" s="17">
        <v>5</v>
      </c>
      <c r="H4969" s="17">
        <v>15346</v>
      </c>
      <c r="I4969" s="17">
        <v>76730</v>
      </c>
      <c r="J4969" s="17">
        <v>2036</v>
      </c>
      <c r="K4969" s="17">
        <v>74694</v>
      </c>
      <c r="L4969" s="17">
        <v>10306.64489</v>
      </c>
      <c r="M4969" s="17">
        <v>2024</v>
      </c>
      <c r="N4969" s="17" t="s">
        <v>114</v>
      </c>
    </row>
    <row r="4970" spans="1:14" ht="14.25" customHeight="1">
      <c r="A4970" s="17">
        <v>14969</v>
      </c>
      <c r="B4970" s="18">
        <v>45362</v>
      </c>
      <c r="C4970" s="17" t="s">
        <v>45</v>
      </c>
      <c r="D4970" s="17" t="s">
        <v>170</v>
      </c>
      <c r="E4970" s="17" t="s">
        <v>165</v>
      </c>
      <c r="F4970" s="17" t="s">
        <v>166</v>
      </c>
      <c r="G4970" s="17">
        <v>2</v>
      </c>
      <c r="H4970" s="17">
        <v>19428</v>
      </c>
      <c r="I4970" s="17">
        <v>38856</v>
      </c>
      <c r="J4970" s="17">
        <v>537</v>
      </c>
      <c r="K4970" s="17">
        <v>38319</v>
      </c>
      <c r="L4970" s="17">
        <v>9032.4094980000009</v>
      </c>
      <c r="M4970" s="17">
        <v>2024</v>
      </c>
      <c r="N4970" s="17" t="s">
        <v>112</v>
      </c>
    </row>
    <row r="4971" spans="1:14" ht="14.25" customHeight="1">
      <c r="A4971" s="17">
        <v>14970</v>
      </c>
      <c r="B4971" s="18">
        <v>45655</v>
      </c>
      <c r="C4971" s="17" t="s">
        <v>50</v>
      </c>
      <c r="D4971" s="17" t="s">
        <v>83</v>
      </c>
      <c r="E4971" s="17" t="s">
        <v>162</v>
      </c>
      <c r="F4971" s="17" t="s">
        <v>166</v>
      </c>
      <c r="G4971" s="17">
        <v>1</v>
      </c>
      <c r="H4971" s="17">
        <v>10755</v>
      </c>
      <c r="I4971" s="17">
        <v>10755</v>
      </c>
      <c r="J4971" s="17">
        <v>1554</v>
      </c>
      <c r="K4971" s="17">
        <v>9201</v>
      </c>
      <c r="L4971" s="17">
        <v>1037.494015</v>
      </c>
      <c r="M4971" s="17">
        <v>2024</v>
      </c>
      <c r="N4971" s="17" t="s">
        <v>169</v>
      </c>
    </row>
    <row r="4972" spans="1:14" ht="14.25" customHeight="1">
      <c r="A4972" s="17">
        <v>14971</v>
      </c>
      <c r="B4972" s="18">
        <v>45861</v>
      </c>
      <c r="C4972" s="17" t="s">
        <v>45</v>
      </c>
      <c r="D4972" s="17" t="s">
        <v>170</v>
      </c>
      <c r="E4972" s="17" t="s">
        <v>168</v>
      </c>
      <c r="F4972" s="17" t="s">
        <v>166</v>
      </c>
      <c r="G4972" s="17">
        <v>9</v>
      </c>
      <c r="H4972" s="17">
        <v>11283</v>
      </c>
      <c r="I4972" s="17">
        <v>101547</v>
      </c>
      <c r="J4972" s="17">
        <v>2152</v>
      </c>
      <c r="K4972" s="17">
        <v>99395</v>
      </c>
      <c r="L4972" s="17">
        <v>12235.332039999999</v>
      </c>
      <c r="M4972" s="17">
        <v>2025</v>
      </c>
      <c r="N4972" s="17" t="s">
        <v>123</v>
      </c>
    </row>
    <row r="4973" spans="1:14" ht="14.25" customHeight="1">
      <c r="A4973" s="17">
        <v>14972</v>
      </c>
      <c r="B4973" s="18">
        <v>45567</v>
      </c>
      <c r="C4973" s="17" t="s">
        <v>50</v>
      </c>
      <c r="D4973" s="17" t="s">
        <v>86</v>
      </c>
      <c r="E4973" s="17" t="s">
        <v>165</v>
      </c>
      <c r="F4973" s="17" t="s">
        <v>166</v>
      </c>
      <c r="G4973" s="17">
        <v>5</v>
      </c>
      <c r="H4973" s="17">
        <v>54036</v>
      </c>
      <c r="I4973" s="17">
        <v>270180</v>
      </c>
      <c r="J4973" s="17">
        <v>790</v>
      </c>
      <c r="K4973" s="17">
        <v>269390</v>
      </c>
      <c r="L4973" s="17">
        <v>39890.349880000002</v>
      </c>
      <c r="M4973" s="17">
        <v>2024</v>
      </c>
      <c r="N4973" s="17" t="s">
        <v>174</v>
      </c>
    </row>
    <row r="4974" spans="1:14" ht="14.25" customHeight="1">
      <c r="A4974" s="17">
        <v>14973</v>
      </c>
      <c r="B4974" s="18">
        <v>45341</v>
      </c>
      <c r="C4974" s="17" t="s">
        <v>39</v>
      </c>
      <c r="D4974" s="17" t="s">
        <v>83</v>
      </c>
      <c r="E4974" s="17" t="s">
        <v>162</v>
      </c>
      <c r="F4974" s="17" t="s">
        <v>164</v>
      </c>
      <c r="G4974" s="17">
        <v>2</v>
      </c>
      <c r="H4974" s="17">
        <v>6337</v>
      </c>
      <c r="I4974" s="17">
        <v>12674</v>
      </c>
      <c r="J4974" s="17">
        <v>1948</v>
      </c>
      <c r="K4974" s="17">
        <v>10726</v>
      </c>
      <c r="L4974" s="17">
        <v>2552.4179549999999</v>
      </c>
      <c r="M4974" s="17">
        <v>2024</v>
      </c>
      <c r="N4974" s="17" t="s">
        <v>175</v>
      </c>
    </row>
    <row r="4975" spans="1:14" ht="14.25" customHeight="1">
      <c r="A4975" s="17">
        <v>14974</v>
      </c>
      <c r="B4975" s="18">
        <v>45649</v>
      </c>
      <c r="C4975" s="17" t="s">
        <v>45</v>
      </c>
      <c r="D4975" s="17" t="s">
        <v>111</v>
      </c>
      <c r="E4975" s="17" t="s">
        <v>165</v>
      </c>
      <c r="F4975" s="17" t="s">
        <v>164</v>
      </c>
      <c r="G4975" s="17">
        <v>4</v>
      </c>
      <c r="H4975" s="17">
        <v>64786</v>
      </c>
      <c r="I4975" s="17">
        <v>259144</v>
      </c>
      <c r="J4975" s="17">
        <v>4143</v>
      </c>
      <c r="K4975" s="17">
        <v>255001</v>
      </c>
      <c r="L4975" s="17">
        <v>47081.231299999999</v>
      </c>
      <c r="M4975" s="17">
        <v>2024</v>
      </c>
      <c r="N4975" s="17" t="s">
        <v>169</v>
      </c>
    </row>
    <row r="4976" spans="1:14" ht="14.25" customHeight="1">
      <c r="A4976" s="17">
        <v>14975</v>
      </c>
      <c r="B4976" s="18">
        <v>46019</v>
      </c>
      <c r="C4976" s="17" t="s">
        <v>39</v>
      </c>
      <c r="D4976" s="17" t="s">
        <v>89</v>
      </c>
      <c r="E4976" s="17" t="s">
        <v>165</v>
      </c>
      <c r="F4976" s="17" t="s">
        <v>166</v>
      </c>
      <c r="G4976" s="17">
        <v>3</v>
      </c>
      <c r="H4976" s="17">
        <v>67968</v>
      </c>
      <c r="I4976" s="17">
        <v>203904</v>
      </c>
      <c r="J4976" s="17">
        <v>4755</v>
      </c>
      <c r="K4976" s="17">
        <v>199149</v>
      </c>
      <c r="L4976" s="17">
        <v>31062.475129999999</v>
      </c>
      <c r="M4976" s="17">
        <v>2025</v>
      </c>
      <c r="N4976" s="17" t="s">
        <v>169</v>
      </c>
    </row>
    <row r="4977" spans="1:14" ht="14.25" customHeight="1">
      <c r="A4977" s="17">
        <v>14976</v>
      </c>
      <c r="B4977" s="18">
        <v>45855</v>
      </c>
      <c r="C4977" s="17" t="s">
        <v>58</v>
      </c>
      <c r="D4977" s="17" t="s">
        <v>170</v>
      </c>
      <c r="E4977" s="17" t="s">
        <v>165</v>
      </c>
      <c r="F4977" s="17" t="s">
        <v>163</v>
      </c>
      <c r="G4977" s="17">
        <v>7</v>
      </c>
      <c r="H4977" s="17">
        <v>25857</v>
      </c>
      <c r="I4977" s="17">
        <v>180999</v>
      </c>
      <c r="J4977" s="17">
        <v>1435</v>
      </c>
      <c r="K4977" s="17">
        <v>179564</v>
      </c>
      <c r="L4977" s="17">
        <v>28802.376660000002</v>
      </c>
      <c r="M4977" s="17">
        <v>2025</v>
      </c>
      <c r="N4977" s="17" t="s">
        <v>123</v>
      </c>
    </row>
    <row r="4978" spans="1:14" ht="14.25" customHeight="1">
      <c r="A4978" s="17">
        <v>14977</v>
      </c>
      <c r="B4978" s="18">
        <v>45776</v>
      </c>
      <c r="C4978" s="17" t="s">
        <v>50</v>
      </c>
      <c r="D4978" s="17" t="s">
        <v>86</v>
      </c>
      <c r="E4978" s="17" t="s">
        <v>168</v>
      </c>
      <c r="F4978" s="17" t="s">
        <v>164</v>
      </c>
      <c r="G4978" s="17">
        <v>1</v>
      </c>
      <c r="H4978" s="17">
        <v>32640</v>
      </c>
      <c r="I4978" s="17">
        <v>32640</v>
      </c>
      <c r="J4978" s="17">
        <v>3249</v>
      </c>
      <c r="K4978" s="17">
        <v>29391</v>
      </c>
      <c r="L4978" s="17">
        <v>6632.5681830000003</v>
      </c>
      <c r="M4978" s="17">
        <v>2025</v>
      </c>
      <c r="N4978" s="17" t="s">
        <v>114</v>
      </c>
    </row>
    <row r="4979" spans="1:14" ht="14.25" customHeight="1">
      <c r="A4979" s="17">
        <v>14978</v>
      </c>
      <c r="B4979" s="18">
        <v>45375</v>
      </c>
      <c r="C4979" s="17" t="s">
        <v>58</v>
      </c>
      <c r="D4979" s="17" t="s">
        <v>83</v>
      </c>
      <c r="E4979" s="17" t="s">
        <v>168</v>
      </c>
      <c r="F4979" s="17" t="s">
        <v>166</v>
      </c>
      <c r="G4979" s="17">
        <v>4</v>
      </c>
      <c r="H4979" s="17">
        <v>43435</v>
      </c>
      <c r="I4979" s="17">
        <v>173740</v>
      </c>
      <c r="J4979" s="17">
        <v>2848</v>
      </c>
      <c r="K4979" s="17">
        <v>170892</v>
      </c>
      <c r="L4979" s="17">
        <v>17775.662260000001</v>
      </c>
      <c r="M4979" s="17">
        <v>2024</v>
      </c>
      <c r="N4979" s="17" t="s">
        <v>112</v>
      </c>
    </row>
    <row r="4980" spans="1:14" ht="14.25" customHeight="1">
      <c r="A4980" s="17">
        <v>14979</v>
      </c>
      <c r="B4980" s="18">
        <v>45929</v>
      </c>
      <c r="C4980" s="17" t="s">
        <v>45</v>
      </c>
      <c r="D4980" s="17" t="s">
        <v>83</v>
      </c>
      <c r="E4980" s="17" t="s">
        <v>162</v>
      </c>
      <c r="F4980" s="17" t="s">
        <v>166</v>
      </c>
      <c r="G4980" s="17">
        <v>7</v>
      </c>
      <c r="H4980" s="17">
        <v>21214</v>
      </c>
      <c r="I4980" s="17">
        <v>148498</v>
      </c>
      <c r="J4980" s="17">
        <v>113</v>
      </c>
      <c r="K4980" s="17">
        <v>148385</v>
      </c>
      <c r="L4980" s="17">
        <v>15090.88192</v>
      </c>
      <c r="M4980" s="17">
        <v>2025</v>
      </c>
      <c r="N4980" s="17" t="s">
        <v>129</v>
      </c>
    </row>
    <row r="4981" spans="1:14" ht="14.25" customHeight="1">
      <c r="A4981" s="17">
        <v>14980</v>
      </c>
      <c r="B4981" s="18">
        <v>45875</v>
      </c>
      <c r="C4981" s="17" t="s">
        <v>39</v>
      </c>
      <c r="D4981" s="17" t="s">
        <v>111</v>
      </c>
      <c r="E4981" s="17" t="s">
        <v>168</v>
      </c>
      <c r="F4981" s="17" t="s">
        <v>163</v>
      </c>
      <c r="G4981" s="17">
        <v>5</v>
      </c>
      <c r="H4981" s="17">
        <v>46532</v>
      </c>
      <c r="I4981" s="17">
        <v>232660</v>
      </c>
      <c r="J4981" s="17">
        <v>2343</v>
      </c>
      <c r="K4981" s="17">
        <v>230317</v>
      </c>
      <c r="L4981" s="17">
        <v>24623.813340000001</v>
      </c>
      <c r="M4981" s="17">
        <v>2025</v>
      </c>
      <c r="N4981" s="17" t="s">
        <v>126</v>
      </c>
    </row>
    <row r="4982" spans="1:14" ht="14.25" customHeight="1">
      <c r="A4982" s="17">
        <v>14981</v>
      </c>
      <c r="B4982" s="18">
        <v>45587</v>
      </c>
      <c r="C4982" s="17" t="s">
        <v>45</v>
      </c>
      <c r="D4982" s="17" t="s">
        <v>170</v>
      </c>
      <c r="E4982" s="17" t="s">
        <v>165</v>
      </c>
      <c r="F4982" s="17" t="s">
        <v>163</v>
      </c>
      <c r="G4982" s="17">
        <v>4</v>
      </c>
      <c r="H4982" s="17">
        <v>31531</v>
      </c>
      <c r="I4982" s="17">
        <v>126124</v>
      </c>
      <c r="J4982" s="17">
        <v>4533</v>
      </c>
      <c r="K4982" s="17">
        <v>121591</v>
      </c>
      <c r="L4982" s="17">
        <v>20716.765780000002</v>
      </c>
      <c r="M4982" s="17">
        <v>2024</v>
      </c>
      <c r="N4982" s="17" t="s">
        <v>174</v>
      </c>
    </row>
    <row r="4983" spans="1:14" ht="14.25" customHeight="1">
      <c r="A4983" s="17">
        <v>14982</v>
      </c>
      <c r="B4983" s="18">
        <v>45527</v>
      </c>
      <c r="C4983" s="17" t="s">
        <v>58</v>
      </c>
      <c r="D4983" s="17" t="s">
        <v>83</v>
      </c>
      <c r="E4983" s="17" t="s">
        <v>165</v>
      </c>
      <c r="F4983" s="17" t="s">
        <v>163</v>
      </c>
      <c r="G4983" s="17">
        <v>4</v>
      </c>
      <c r="H4983" s="17">
        <v>78549</v>
      </c>
      <c r="I4983" s="17">
        <v>314196</v>
      </c>
      <c r="J4983" s="17">
        <v>161</v>
      </c>
      <c r="K4983" s="17">
        <v>314035</v>
      </c>
      <c r="L4983" s="17">
        <v>58783.398050000003</v>
      </c>
      <c r="M4983" s="17">
        <v>2024</v>
      </c>
      <c r="N4983" s="17" t="s">
        <v>126</v>
      </c>
    </row>
    <row r="4984" spans="1:14" ht="14.25" customHeight="1">
      <c r="A4984" s="17">
        <v>14983</v>
      </c>
      <c r="B4984" s="18">
        <v>45347</v>
      </c>
      <c r="C4984" s="17" t="s">
        <v>45</v>
      </c>
      <c r="D4984" s="17" t="s">
        <v>111</v>
      </c>
      <c r="E4984" s="17" t="s">
        <v>168</v>
      </c>
      <c r="F4984" s="17" t="s">
        <v>172</v>
      </c>
      <c r="G4984" s="17">
        <v>2</v>
      </c>
      <c r="H4984" s="17">
        <v>40812</v>
      </c>
      <c r="I4984" s="17">
        <v>81624</v>
      </c>
      <c r="J4984" s="17">
        <v>3912</v>
      </c>
      <c r="K4984" s="17">
        <v>77712</v>
      </c>
      <c r="L4984" s="17">
        <v>15050.508030000001</v>
      </c>
      <c r="M4984" s="17">
        <v>2024</v>
      </c>
      <c r="N4984" s="17" t="s">
        <v>175</v>
      </c>
    </row>
    <row r="4985" spans="1:14" ht="14.25" customHeight="1">
      <c r="A4985" s="17">
        <v>14984</v>
      </c>
      <c r="B4985" s="18">
        <v>45651</v>
      </c>
      <c r="C4985" s="17" t="s">
        <v>167</v>
      </c>
      <c r="D4985" s="17" t="s">
        <v>86</v>
      </c>
      <c r="E4985" s="17" t="s">
        <v>165</v>
      </c>
      <c r="F4985" s="17" t="s">
        <v>166</v>
      </c>
      <c r="G4985" s="17">
        <v>8</v>
      </c>
      <c r="H4985" s="17">
        <v>63928</v>
      </c>
      <c r="I4985" s="17">
        <v>511424</v>
      </c>
      <c r="J4985" s="17">
        <v>503</v>
      </c>
      <c r="K4985" s="17">
        <v>510921</v>
      </c>
      <c r="L4985" s="17">
        <v>107125.0966</v>
      </c>
      <c r="M4985" s="17">
        <v>2024</v>
      </c>
      <c r="N4985" s="17" t="s">
        <v>169</v>
      </c>
    </row>
    <row r="4986" spans="1:14" ht="14.25" customHeight="1">
      <c r="A4986" s="17">
        <v>14985</v>
      </c>
      <c r="B4986" s="18">
        <v>45401</v>
      </c>
      <c r="C4986" s="17" t="s">
        <v>58</v>
      </c>
      <c r="D4986" s="17" t="s">
        <v>111</v>
      </c>
      <c r="E4986" s="17" t="s">
        <v>168</v>
      </c>
      <c r="F4986" s="17" t="s">
        <v>163</v>
      </c>
      <c r="G4986" s="17">
        <v>4</v>
      </c>
      <c r="H4986" s="17">
        <v>75554</v>
      </c>
      <c r="I4986" s="17">
        <v>302216</v>
      </c>
      <c r="J4986" s="17">
        <v>2634</v>
      </c>
      <c r="K4986" s="17">
        <v>299582</v>
      </c>
      <c r="L4986" s="17">
        <v>38483.87472</v>
      </c>
      <c r="M4986" s="17">
        <v>2024</v>
      </c>
      <c r="N4986" s="17" t="s">
        <v>114</v>
      </c>
    </row>
    <row r="4987" spans="1:14" ht="14.25" customHeight="1">
      <c r="A4987" s="17">
        <v>14986</v>
      </c>
      <c r="B4987" s="18">
        <v>45483</v>
      </c>
      <c r="C4987" s="17" t="s">
        <v>45</v>
      </c>
      <c r="D4987" s="17" t="s">
        <v>170</v>
      </c>
      <c r="E4987" s="17" t="s">
        <v>165</v>
      </c>
      <c r="F4987" s="17" t="s">
        <v>166</v>
      </c>
      <c r="G4987" s="17">
        <v>2</v>
      </c>
      <c r="H4987" s="17">
        <v>68883</v>
      </c>
      <c r="I4987" s="17">
        <v>137766</v>
      </c>
      <c r="J4987" s="17">
        <v>2505</v>
      </c>
      <c r="K4987" s="17">
        <v>135261</v>
      </c>
      <c r="L4987" s="17">
        <v>18847.633140000002</v>
      </c>
      <c r="M4987" s="17">
        <v>2024</v>
      </c>
      <c r="N4987" s="17" t="s">
        <v>123</v>
      </c>
    </row>
    <row r="4988" spans="1:14" ht="14.25" customHeight="1">
      <c r="A4988" s="17">
        <v>14987</v>
      </c>
      <c r="B4988" s="18">
        <v>45384</v>
      </c>
      <c r="C4988" s="17" t="s">
        <v>39</v>
      </c>
      <c r="D4988" s="17" t="s">
        <v>111</v>
      </c>
      <c r="E4988" s="17" t="s">
        <v>162</v>
      </c>
      <c r="F4988" s="17" t="s">
        <v>164</v>
      </c>
      <c r="G4988" s="17">
        <v>9</v>
      </c>
      <c r="H4988" s="17">
        <v>57398</v>
      </c>
      <c r="I4988" s="17">
        <v>516582</v>
      </c>
      <c r="J4988" s="17">
        <v>1394</v>
      </c>
      <c r="K4988" s="17">
        <v>515188</v>
      </c>
      <c r="L4988" s="17">
        <v>70336.583880000006</v>
      </c>
      <c r="M4988" s="17">
        <v>2024</v>
      </c>
      <c r="N4988" s="17" t="s">
        <v>114</v>
      </c>
    </row>
    <row r="4989" spans="1:14" ht="14.25" customHeight="1">
      <c r="A4989" s="17">
        <v>14988</v>
      </c>
      <c r="B4989" s="18">
        <v>45859</v>
      </c>
      <c r="C4989" s="17" t="s">
        <v>45</v>
      </c>
      <c r="D4989" s="17" t="s">
        <v>83</v>
      </c>
      <c r="E4989" s="17" t="s">
        <v>162</v>
      </c>
      <c r="F4989" s="17" t="s">
        <v>166</v>
      </c>
      <c r="G4989" s="17">
        <v>7</v>
      </c>
      <c r="H4989" s="17">
        <v>47774</v>
      </c>
      <c r="I4989" s="17">
        <v>334418</v>
      </c>
      <c r="J4989" s="17">
        <v>1509</v>
      </c>
      <c r="K4989" s="17">
        <v>332909</v>
      </c>
      <c r="L4989" s="17">
        <v>40740.0101</v>
      </c>
      <c r="M4989" s="17">
        <v>2025</v>
      </c>
      <c r="N4989" s="17" t="s">
        <v>123</v>
      </c>
    </row>
    <row r="4990" spans="1:14" ht="14.25" customHeight="1">
      <c r="A4990" s="17">
        <v>14989</v>
      </c>
      <c r="B4990" s="18">
        <v>45351</v>
      </c>
      <c r="C4990" s="17" t="s">
        <v>39</v>
      </c>
      <c r="D4990" s="17" t="s">
        <v>83</v>
      </c>
      <c r="E4990" s="17" t="s">
        <v>168</v>
      </c>
      <c r="F4990" s="17" t="s">
        <v>166</v>
      </c>
      <c r="G4990" s="17">
        <v>3</v>
      </c>
      <c r="H4990" s="17">
        <v>36090</v>
      </c>
      <c r="I4990" s="17">
        <v>108270</v>
      </c>
      <c r="J4990" s="17">
        <v>2319</v>
      </c>
      <c r="K4990" s="17">
        <v>105951</v>
      </c>
      <c r="L4990" s="17">
        <v>14479.193359999999</v>
      </c>
      <c r="M4990" s="17">
        <v>2024</v>
      </c>
      <c r="N4990" s="17" t="s">
        <v>175</v>
      </c>
    </row>
    <row r="4991" spans="1:14" ht="14.25" customHeight="1">
      <c r="A4991" s="17">
        <v>14990</v>
      </c>
      <c r="B4991" s="18">
        <v>45941</v>
      </c>
      <c r="C4991" s="17" t="s">
        <v>167</v>
      </c>
      <c r="D4991" s="17" t="s">
        <v>89</v>
      </c>
      <c r="E4991" s="17" t="s">
        <v>168</v>
      </c>
      <c r="F4991" s="17" t="s">
        <v>172</v>
      </c>
      <c r="G4991" s="17">
        <v>7</v>
      </c>
      <c r="H4991" s="17">
        <v>41809</v>
      </c>
      <c r="I4991" s="17">
        <v>292663</v>
      </c>
      <c r="J4991" s="17">
        <v>3250</v>
      </c>
      <c r="K4991" s="17">
        <v>289413</v>
      </c>
      <c r="L4991" s="17">
        <v>55581.157930000001</v>
      </c>
      <c r="M4991" s="17">
        <v>2025</v>
      </c>
      <c r="N4991" s="17" t="s">
        <v>174</v>
      </c>
    </row>
    <row r="4992" spans="1:14" ht="14.25" customHeight="1">
      <c r="A4992" s="17">
        <v>14991</v>
      </c>
      <c r="B4992" s="18">
        <v>45330</v>
      </c>
      <c r="C4992" s="17" t="s">
        <v>45</v>
      </c>
      <c r="D4992" s="17" t="s">
        <v>111</v>
      </c>
      <c r="E4992" s="17" t="s">
        <v>168</v>
      </c>
      <c r="F4992" s="17" t="s">
        <v>164</v>
      </c>
      <c r="G4992" s="17">
        <v>1</v>
      </c>
      <c r="H4992" s="17">
        <v>72425</v>
      </c>
      <c r="I4992" s="17">
        <v>72425</v>
      </c>
      <c r="J4992" s="17">
        <v>479</v>
      </c>
      <c r="K4992" s="17">
        <v>71946</v>
      </c>
      <c r="L4992" s="17">
        <v>11148.877280000001</v>
      </c>
      <c r="M4992" s="17">
        <v>2024</v>
      </c>
      <c r="N4992" s="17" t="s">
        <v>175</v>
      </c>
    </row>
    <row r="4993" spans="1:14" ht="14.25" customHeight="1">
      <c r="A4993" s="17">
        <v>14992</v>
      </c>
      <c r="B4993" s="18">
        <v>45831</v>
      </c>
      <c r="C4993" s="17" t="s">
        <v>167</v>
      </c>
      <c r="D4993" s="17" t="s">
        <v>86</v>
      </c>
      <c r="E4993" s="17" t="s">
        <v>168</v>
      </c>
      <c r="F4993" s="17" t="s">
        <v>164</v>
      </c>
      <c r="G4993" s="17">
        <v>1</v>
      </c>
      <c r="H4993" s="17">
        <v>29060</v>
      </c>
      <c r="I4993" s="17">
        <v>29060</v>
      </c>
      <c r="J4993" s="17">
        <v>4254</v>
      </c>
      <c r="K4993" s="17">
        <v>24806</v>
      </c>
      <c r="L4993" s="17">
        <v>5337.9253870000002</v>
      </c>
      <c r="M4993" s="17">
        <v>2025</v>
      </c>
      <c r="N4993" s="17" t="s">
        <v>120</v>
      </c>
    </row>
    <row r="4994" spans="1:14" ht="14.25" customHeight="1">
      <c r="A4994" s="17">
        <v>14993</v>
      </c>
      <c r="B4994" s="18">
        <v>45340</v>
      </c>
      <c r="C4994" s="17" t="s">
        <v>58</v>
      </c>
      <c r="D4994" s="17" t="s">
        <v>170</v>
      </c>
      <c r="E4994" s="17" t="s">
        <v>168</v>
      </c>
      <c r="F4994" s="17" t="s">
        <v>172</v>
      </c>
      <c r="G4994" s="17">
        <v>4</v>
      </c>
      <c r="H4994" s="17">
        <v>15091</v>
      </c>
      <c r="I4994" s="17">
        <v>60364</v>
      </c>
      <c r="J4994" s="17">
        <v>754</v>
      </c>
      <c r="K4994" s="17">
        <v>59610</v>
      </c>
      <c r="L4994" s="17">
        <v>10757.38869</v>
      </c>
      <c r="M4994" s="17">
        <v>2024</v>
      </c>
      <c r="N4994" s="17" t="s">
        <v>175</v>
      </c>
    </row>
    <row r="4995" spans="1:14" ht="14.25" customHeight="1">
      <c r="A4995" s="17">
        <v>14994</v>
      </c>
      <c r="B4995" s="18">
        <v>45711</v>
      </c>
      <c r="C4995" s="17" t="s">
        <v>39</v>
      </c>
      <c r="D4995" s="17" t="s">
        <v>89</v>
      </c>
      <c r="E4995" s="17" t="s">
        <v>165</v>
      </c>
      <c r="F4995" s="17" t="s">
        <v>163</v>
      </c>
      <c r="G4995" s="17">
        <v>4</v>
      </c>
      <c r="H4995" s="17">
        <v>51283</v>
      </c>
      <c r="I4995" s="17">
        <v>205132</v>
      </c>
      <c r="J4995" s="17">
        <v>3999</v>
      </c>
      <c r="K4995" s="17">
        <v>201133</v>
      </c>
      <c r="L4995" s="17">
        <v>26510.51107</v>
      </c>
      <c r="M4995" s="17">
        <v>2025</v>
      </c>
      <c r="N4995" s="17" t="s">
        <v>175</v>
      </c>
    </row>
    <row r="4996" spans="1:14" ht="14.25" customHeight="1">
      <c r="A4996" s="17">
        <v>14995</v>
      </c>
      <c r="B4996" s="18">
        <v>45928</v>
      </c>
      <c r="C4996" s="17" t="s">
        <v>58</v>
      </c>
      <c r="D4996" s="17" t="s">
        <v>111</v>
      </c>
      <c r="E4996" s="17" t="s">
        <v>162</v>
      </c>
      <c r="F4996" s="17" t="s">
        <v>163</v>
      </c>
      <c r="G4996" s="17">
        <v>4</v>
      </c>
      <c r="H4996" s="17">
        <v>24039</v>
      </c>
      <c r="I4996" s="17">
        <v>96156</v>
      </c>
      <c r="J4996" s="17">
        <v>1836</v>
      </c>
      <c r="K4996" s="17">
        <v>94320</v>
      </c>
      <c r="L4996" s="17">
        <v>16044.52054</v>
      </c>
      <c r="M4996" s="17">
        <v>2025</v>
      </c>
      <c r="N4996" s="17" t="s">
        <v>129</v>
      </c>
    </row>
    <row r="4997" spans="1:14" ht="14.25" customHeight="1">
      <c r="A4997" s="17">
        <v>14996</v>
      </c>
      <c r="B4997" s="18">
        <v>45304</v>
      </c>
      <c r="C4997" s="17" t="s">
        <v>39</v>
      </c>
      <c r="D4997" s="17" t="s">
        <v>86</v>
      </c>
      <c r="E4997" s="17" t="s">
        <v>165</v>
      </c>
      <c r="F4997" s="17" t="s">
        <v>166</v>
      </c>
      <c r="G4997" s="17">
        <v>9</v>
      </c>
      <c r="H4997" s="17">
        <v>48289</v>
      </c>
      <c r="I4997" s="17">
        <v>434601</v>
      </c>
      <c r="J4997" s="17">
        <v>203</v>
      </c>
      <c r="K4997" s="17">
        <v>434398</v>
      </c>
      <c r="L4997" s="17">
        <v>82103.533169999995</v>
      </c>
      <c r="M4997" s="17">
        <v>2024</v>
      </c>
      <c r="N4997" s="17" t="s">
        <v>171</v>
      </c>
    </row>
    <row r="4998" spans="1:14" ht="14.25" customHeight="1">
      <c r="A4998" s="17">
        <v>14997</v>
      </c>
      <c r="B4998" s="18">
        <v>45327</v>
      </c>
      <c r="C4998" s="17" t="s">
        <v>167</v>
      </c>
      <c r="D4998" s="17" t="s">
        <v>89</v>
      </c>
      <c r="E4998" s="17" t="s">
        <v>162</v>
      </c>
      <c r="F4998" s="17" t="s">
        <v>172</v>
      </c>
      <c r="G4998" s="17">
        <v>6</v>
      </c>
      <c r="H4998" s="17">
        <v>8718</v>
      </c>
      <c r="I4998" s="17">
        <v>52308</v>
      </c>
      <c r="J4998" s="17">
        <v>2842</v>
      </c>
      <c r="K4998" s="17">
        <v>49466</v>
      </c>
      <c r="L4998" s="17">
        <v>11373.68007</v>
      </c>
      <c r="M4998" s="17">
        <v>2024</v>
      </c>
      <c r="N4998" s="17" t="s">
        <v>175</v>
      </c>
    </row>
    <row r="4999" spans="1:14" ht="14.25" customHeight="1">
      <c r="A4999" s="17">
        <v>14998</v>
      </c>
      <c r="B4999" s="18">
        <v>45392</v>
      </c>
      <c r="C4999" s="17" t="s">
        <v>50</v>
      </c>
      <c r="D4999" s="17" t="s">
        <v>83</v>
      </c>
      <c r="E4999" s="17" t="s">
        <v>165</v>
      </c>
      <c r="F4999" s="17" t="s">
        <v>163</v>
      </c>
      <c r="G4999" s="17">
        <v>3</v>
      </c>
      <c r="H4999" s="17">
        <v>26919</v>
      </c>
      <c r="I4999" s="17">
        <v>80757</v>
      </c>
      <c r="J4999" s="17">
        <v>3349</v>
      </c>
      <c r="K4999" s="17">
        <v>77408</v>
      </c>
      <c r="L4999" s="17">
        <v>17421.2618</v>
      </c>
      <c r="M4999" s="17">
        <v>2024</v>
      </c>
      <c r="N4999" s="17" t="s">
        <v>114</v>
      </c>
    </row>
    <row r="5000" spans="1:14" ht="14.25" customHeight="1">
      <c r="A5000" s="17">
        <v>14999</v>
      </c>
      <c r="B5000" s="18">
        <v>45377</v>
      </c>
      <c r="C5000" s="17" t="s">
        <v>45</v>
      </c>
      <c r="D5000" s="17" t="s">
        <v>170</v>
      </c>
      <c r="E5000" s="17" t="s">
        <v>165</v>
      </c>
      <c r="F5000" s="17" t="s">
        <v>164</v>
      </c>
      <c r="G5000" s="17">
        <v>6</v>
      </c>
      <c r="H5000" s="17">
        <v>47016</v>
      </c>
      <c r="I5000" s="17">
        <v>282096</v>
      </c>
      <c r="J5000" s="17">
        <v>3214</v>
      </c>
      <c r="K5000" s="17">
        <v>278882</v>
      </c>
      <c r="L5000" s="17">
        <v>45728.832419999999</v>
      </c>
      <c r="M5000" s="17">
        <v>2024</v>
      </c>
      <c r="N5000" s="17" t="s">
        <v>112</v>
      </c>
    </row>
    <row r="5001" spans="1:14" ht="14.25" customHeight="1">
      <c r="A5001" s="17">
        <v>15000</v>
      </c>
      <c r="B5001" s="18">
        <v>45807</v>
      </c>
      <c r="C5001" s="17" t="s">
        <v>167</v>
      </c>
      <c r="D5001" s="17" t="s">
        <v>111</v>
      </c>
      <c r="E5001" s="17" t="s">
        <v>165</v>
      </c>
      <c r="F5001" s="17" t="s">
        <v>172</v>
      </c>
      <c r="G5001" s="17">
        <v>2</v>
      </c>
      <c r="H5001" s="17">
        <v>39398</v>
      </c>
      <c r="I5001" s="17">
        <v>78796</v>
      </c>
      <c r="J5001" s="17">
        <v>3591</v>
      </c>
      <c r="K5001" s="17">
        <v>75205</v>
      </c>
      <c r="L5001" s="17">
        <v>14826.769</v>
      </c>
      <c r="M5001" s="17">
        <v>2025</v>
      </c>
      <c r="N5001" s="17" t="s">
        <v>117</v>
      </c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07"/>
  <sheetViews>
    <sheetView topLeftCell="A105" workbookViewId="0">
      <selection activeCell="L95" sqref="L95"/>
    </sheetView>
  </sheetViews>
  <sheetFormatPr defaultRowHeight="14.5"/>
  <cols>
    <col min="2" max="2" width="9.453125" bestFit="1" customWidth="1"/>
    <col min="14" max="14" width="16.36328125" bestFit="1" customWidth="1"/>
  </cols>
  <sheetData>
    <row r="1" spans="1:24" ht="15" thickBot="1">
      <c r="A1" s="28" t="s">
        <v>2</v>
      </c>
      <c r="B1" s="29"/>
      <c r="C1" s="29"/>
      <c r="D1" s="29"/>
      <c r="E1" s="30"/>
    </row>
    <row r="2" spans="1:24" ht="15" thickBot="1">
      <c r="A2" s="31" t="s">
        <v>4</v>
      </c>
      <c r="B2" s="29"/>
      <c r="C2" s="29"/>
      <c r="D2" s="29"/>
      <c r="E2" s="30"/>
    </row>
    <row r="3" spans="1:24" ht="15" thickBot="1">
      <c r="A3" s="31" t="s">
        <v>5</v>
      </c>
      <c r="B3" s="29"/>
      <c r="C3" s="29"/>
      <c r="D3" s="29"/>
      <c r="E3" s="30"/>
    </row>
    <row r="4" spans="1:24" ht="15" thickBot="1">
      <c r="A4" s="5"/>
      <c r="B4" s="5"/>
      <c r="C4" s="5"/>
      <c r="D4" s="5"/>
      <c r="E4" s="5"/>
    </row>
    <row r="5" spans="1:24" ht="29.5" thickBot="1">
      <c r="A5" s="6" t="s">
        <v>6</v>
      </c>
      <c r="B5" s="7" t="s">
        <v>7</v>
      </c>
      <c r="C5" s="7" t="s">
        <v>8</v>
      </c>
      <c r="D5" s="7" t="s">
        <v>9</v>
      </c>
      <c r="E5" s="7" t="s">
        <v>10</v>
      </c>
    </row>
    <row r="6" spans="1:24" ht="15" thickBot="1">
      <c r="A6" s="6" t="s">
        <v>11</v>
      </c>
      <c r="B6" s="7" t="s">
        <v>12</v>
      </c>
      <c r="C6" s="7" t="s">
        <v>13</v>
      </c>
      <c r="D6" s="7">
        <v>80</v>
      </c>
      <c r="E6" s="7">
        <v>90</v>
      </c>
    </row>
    <row r="7" spans="1:24" ht="15" thickBot="1">
      <c r="A7" s="6" t="s">
        <v>14</v>
      </c>
      <c r="B7" s="7" t="s">
        <v>15</v>
      </c>
      <c r="C7" s="7" t="s">
        <v>16</v>
      </c>
      <c r="D7" s="7">
        <v>75</v>
      </c>
      <c r="E7" s="7">
        <v>49</v>
      </c>
    </row>
    <row r="8" spans="1:24" ht="15" thickBot="1">
      <c r="A8" s="6" t="s">
        <v>17</v>
      </c>
      <c r="B8" s="7" t="s">
        <v>18</v>
      </c>
      <c r="C8" s="7" t="s">
        <v>19</v>
      </c>
      <c r="D8" s="7">
        <v>40</v>
      </c>
      <c r="E8" s="7">
        <v>50</v>
      </c>
    </row>
    <row r="9" spans="1:24" ht="15" thickBot="1">
      <c r="A9" s="6" t="s">
        <v>20</v>
      </c>
      <c r="B9" s="7" t="s">
        <v>21</v>
      </c>
      <c r="C9" s="7" t="s">
        <v>22</v>
      </c>
      <c r="D9" s="7">
        <v>60</v>
      </c>
      <c r="E9" s="7">
        <v>80</v>
      </c>
    </row>
    <row r="10" spans="1:24" ht="15" thickBot="1">
      <c r="A10" s="6" t="s">
        <v>23</v>
      </c>
      <c r="B10" s="7" t="s">
        <v>24</v>
      </c>
      <c r="C10" s="7" t="s">
        <v>16</v>
      </c>
      <c r="D10" s="7">
        <v>55</v>
      </c>
      <c r="E10" s="7">
        <v>70</v>
      </c>
    </row>
    <row r="13" spans="1:24" ht="15" thickBot="1"/>
    <row r="14" spans="1:24" ht="15" thickBot="1">
      <c r="A14" s="3"/>
      <c r="B14" s="3"/>
      <c r="C14" s="3"/>
      <c r="D14" s="3"/>
      <c r="E14" s="3"/>
      <c r="F14" s="3"/>
      <c r="G14" s="3"/>
      <c r="H14" s="3"/>
      <c r="I14" s="8" t="s">
        <v>25</v>
      </c>
      <c r="J14" s="3"/>
    </row>
    <row r="15" spans="1:24" ht="15" thickBot="1">
      <c r="A15" s="32" t="s">
        <v>26</v>
      </c>
      <c r="B15" s="33"/>
      <c r="C15" s="33"/>
      <c r="D15" s="34"/>
      <c r="E15" s="5"/>
      <c r="F15" s="5"/>
      <c r="G15" s="5"/>
      <c r="H15" s="5"/>
      <c r="I15" s="5"/>
      <c r="J15" s="5"/>
    </row>
    <row r="16" spans="1:24" ht="58.5" thickBot="1">
      <c r="A16" s="9" t="s">
        <v>27</v>
      </c>
      <c r="B16" s="10" t="s">
        <v>28</v>
      </c>
      <c r="C16" s="10" t="s">
        <v>29</v>
      </c>
      <c r="D16" s="10" t="s">
        <v>30</v>
      </c>
      <c r="E16" s="10" t="s">
        <v>31</v>
      </c>
      <c r="F16" s="10" t="s">
        <v>32</v>
      </c>
      <c r="G16" s="10" t="s">
        <v>33</v>
      </c>
      <c r="H16" s="10" t="s">
        <v>34</v>
      </c>
      <c r="I16" s="10" t="s">
        <v>35</v>
      </c>
      <c r="J16" s="10" t="s">
        <v>36</v>
      </c>
      <c r="K16" s="44" t="s">
        <v>80</v>
      </c>
      <c r="L16" s="44" t="s">
        <v>160</v>
      </c>
      <c r="M16" s="44" t="s">
        <v>176</v>
      </c>
      <c r="N16" s="45" t="s">
        <v>177</v>
      </c>
      <c r="O16" s="49" t="s">
        <v>178</v>
      </c>
      <c r="P16" s="49" t="s">
        <v>179</v>
      </c>
      <c r="Q16" s="49" t="s">
        <v>180</v>
      </c>
      <c r="R16" s="49" t="s">
        <v>181</v>
      </c>
      <c r="S16" t="s">
        <v>182</v>
      </c>
      <c r="U16" s="35" t="s">
        <v>75</v>
      </c>
      <c r="V16" s="36"/>
      <c r="W16" s="36"/>
      <c r="X16" s="37"/>
    </row>
    <row r="17" spans="1:21" ht="15" thickBot="1">
      <c r="A17" s="6">
        <v>1001</v>
      </c>
      <c r="B17" s="11">
        <v>45658</v>
      </c>
      <c r="C17" s="7" t="s">
        <v>37</v>
      </c>
      <c r="D17" s="7" t="s">
        <v>38</v>
      </c>
      <c r="E17" s="7" t="s">
        <v>39</v>
      </c>
      <c r="F17" s="7">
        <v>5</v>
      </c>
      <c r="G17" s="7">
        <v>2000</v>
      </c>
      <c r="H17" s="7">
        <v>500</v>
      </c>
      <c r="I17" s="7">
        <v>0</v>
      </c>
      <c r="J17" s="7">
        <v>4.5</v>
      </c>
      <c r="K17">
        <f>F17*G17</f>
        <v>10000</v>
      </c>
      <c r="L17">
        <f>K17- H17</f>
        <v>9500</v>
      </c>
      <c r="M17" t="str">
        <f>IF(L17&gt;15000,"High","Normal")</f>
        <v>Normal</v>
      </c>
      <c r="N17" s="46">
        <f>B17</f>
        <v>45658</v>
      </c>
      <c r="O17">
        <f>SUMIF(E17:E26,"Mumbai",L17:L26)</f>
        <v>36100</v>
      </c>
      <c r="P17" t="str">
        <f>IF(J17&gt;=4.5,"Excellent",IF(J17&gt;=4,"Good","Average"))</f>
        <v>Excellent</v>
      </c>
      <c r="Q17">
        <f>SUMIF(J17:J26,"&gt;=4",L17:L26)</f>
        <v>68800</v>
      </c>
      <c r="R17">
        <f>SUMIF(L17:L26,"&gt;=1000",H17:H26)</f>
        <v>4900</v>
      </c>
      <c r="S17" t="str">
        <f>IF(AND(L17&gt;15000,H17&gt;500),"Premeum Order","Not Premeum order")</f>
        <v>Not Premeum order</v>
      </c>
      <c r="U17" t="str">
        <f>CONCATENATE($C17," ",$D17,"--",$E17)</f>
        <v>Amit Sharma--Mumbai</v>
      </c>
    </row>
    <row r="18" spans="1:21" ht="15" thickBot="1">
      <c r="A18" s="6">
        <v>1002</v>
      </c>
      <c r="B18" s="11">
        <v>45778</v>
      </c>
      <c r="C18" s="7" t="s">
        <v>40</v>
      </c>
      <c r="D18" s="7" t="s">
        <v>41</v>
      </c>
      <c r="E18" s="7" t="s">
        <v>42</v>
      </c>
      <c r="F18" s="7">
        <v>3</v>
      </c>
      <c r="G18" s="7">
        <v>1500</v>
      </c>
      <c r="H18" s="7">
        <v>0</v>
      </c>
      <c r="I18" s="7">
        <v>0</v>
      </c>
      <c r="J18" s="7">
        <v>3.8</v>
      </c>
      <c r="K18">
        <f t="shared" ref="K18:K26" si="0">F18*G18</f>
        <v>4500</v>
      </c>
      <c r="L18">
        <f t="shared" ref="L18:L26" si="1">K18- H18</f>
        <v>4500</v>
      </c>
      <c r="M18" t="str">
        <f t="shared" ref="M18:M26" si="2">IF($L$17&gt;15000,"High","Normal")</f>
        <v>Normal</v>
      </c>
      <c r="N18" s="46">
        <f t="shared" ref="N18:N26" si="3">B18</f>
        <v>45778</v>
      </c>
      <c r="P18" t="str">
        <f t="shared" ref="P18:P26" si="4">IF(J18&gt;=4.5,"Excellent",IF(J18&gt;=4,"Good","Average"))</f>
        <v>Average</v>
      </c>
      <c r="S18" t="str">
        <f t="shared" ref="S18:S26" si="5">IF(AND(L18&gt;15000,H18&gt;500),"Premeum Order","Not Premeum order")</f>
        <v>Not Premeum order</v>
      </c>
      <c r="U18" t="str">
        <f t="shared" ref="U18:U26" si="6">CONCATENATE($C18," ",$D18,"--",$E18)</f>
        <v>Neha Verma--MUMBAI</v>
      </c>
    </row>
    <row r="19" spans="1:21" ht="15" thickBot="1">
      <c r="A19" s="6">
        <v>1003</v>
      </c>
      <c r="B19" s="11">
        <v>45931</v>
      </c>
      <c r="C19" s="7" t="s">
        <v>43</v>
      </c>
      <c r="D19" s="7" t="s">
        <v>44</v>
      </c>
      <c r="E19" s="7" t="s">
        <v>45</v>
      </c>
      <c r="F19" s="7">
        <v>8</v>
      </c>
      <c r="G19" s="7">
        <v>1800</v>
      </c>
      <c r="H19" s="7">
        <v>800</v>
      </c>
      <c r="I19" s="7">
        <v>0</v>
      </c>
      <c r="J19" s="7">
        <v>4.2</v>
      </c>
      <c r="K19">
        <f t="shared" si="0"/>
        <v>14400</v>
      </c>
      <c r="L19">
        <f t="shared" si="1"/>
        <v>13600</v>
      </c>
      <c r="M19" t="str">
        <f t="shared" si="2"/>
        <v>Normal</v>
      </c>
      <c r="N19" s="46">
        <f t="shared" si="3"/>
        <v>45931</v>
      </c>
      <c r="P19" t="str">
        <f t="shared" si="4"/>
        <v>Good</v>
      </c>
      <c r="S19" t="str">
        <f t="shared" si="5"/>
        <v>Not Premeum order</v>
      </c>
      <c r="U19" t="str">
        <f t="shared" si="6"/>
        <v>Rahul Singh--Delhi</v>
      </c>
    </row>
    <row r="20" spans="1:21" ht="15" thickBot="1">
      <c r="A20" s="6">
        <v>1004</v>
      </c>
      <c r="B20" s="11">
        <v>45992</v>
      </c>
      <c r="C20" s="7" t="s">
        <v>11</v>
      </c>
      <c r="D20" s="7" t="s">
        <v>46</v>
      </c>
      <c r="E20" s="7" t="s">
        <v>47</v>
      </c>
      <c r="F20" s="7">
        <v>2</v>
      </c>
      <c r="G20" s="7">
        <v>3000</v>
      </c>
      <c r="H20" s="7">
        <v>300</v>
      </c>
      <c r="I20" s="7">
        <v>0</v>
      </c>
      <c r="J20" s="7">
        <v>4.9000000000000004</v>
      </c>
      <c r="K20">
        <f t="shared" si="0"/>
        <v>6000</v>
      </c>
      <c r="L20">
        <f t="shared" si="1"/>
        <v>5700</v>
      </c>
      <c r="M20" t="str">
        <f t="shared" si="2"/>
        <v>Normal</v>
      </c>
      <c r="N20" s="46">
        <f>B20</f>
        <v>45992</v>
      </c>
      <c r="P20" t="str">
        <f t="shared" si="4"/>
        <v>Excellent</v>
      </c>
      <c r="S20" t="str">
        <f t="shared" si="5"/>
        <v>Not Premeum order</v>
      </c>
      <c r="U20" t="str">
        <f t="shared" si="6"/>
        <v>Priya Kapoor--pune</v>
      </c>
    </row>
    <row r="21" spans="1:21" ht="29.5" thickBot="1">
      <c r="A21" s="6">
        <v>1005</v>
      </c>
      <c r="B21" s="11">
        <v>45672</v>
      </c>
      <c r="C21" s="7" t="s">
        <v>48</v>
      </c>
      <c r="D21" s="7" t="s">
        <v>49</v>
      </c>
      <c r="E21" s="7" t="s">
        <v>50</v>
      </c>
      <c r="F21" s="7">
        <v>6</v>
      </c>
      <c r="G21" s="7">
        <v>2500</v>
      </c>
      <c r="H21" s="7">
        <v>600</v>
      </c>
      <c r="I21" s="7">
        <v>0</v>
      </c>
      <c r="J21" s="7">
        <v>3.5</v>
      </c>
      <c r="K21">
        <f t="shared" si="0"/>
        <v>15000</v>
      </c>
      <c r="L21">
        <f t="shared" si="1"/>
        <v>14400</v>
      </c>
      <c r="M21" t="str">
        <f t="shared" si="2"/>
        <v>Normal</v>
      </c>
      <c r="N21" s="46">
        <f t="shared" si="3"/>
        <v>45672</v>
      </c>
      <c r="P21" t="str">
        <f t="shared" si="4"/>
        <v>Average</v>
      </c>
      <c r="S21" t="str">
        <f t="shared" si="5"/>
        <v>Not Premeum order</v>
      </c>
      <c r="U21" t="str">
        <f t="shared" si="6"/>
        <v>Karan Mehta--Bangalore</v>
      </c>
    </row>
    <row r="22" spans="1:21" ht="15" thickBot="1">
      <c r="A22" s="6">
        <v>1006</v>
      </c>
      <c r="B22" s="11">
        <v>45659</v>
      </c>
      <c r="C22" s="7" t="s">
        <v>51</v>
      </c>
      <c r="D22" s="7" t="s">
        <v>52</v>
      </c>
      <c r="E22" s="7" t="s">
        <v>39</v>
      </c>
      <c r="F22" s="7">
        <v>4</v>
      </c>
      <c r="G22" s="7">
        <v>2200</v>
      </c>
      <c r="H22" s="7">
        <v>200</v>
      </c>
      <c r="I22" s="7">
        <v>0</v>
      </c>
      <c r="J22" s="7">
        <v>4.0999999999999996</v>
      </c>
      <c r="K22">
        <f t="shared" si="0"/>
        <v>8800</v>
      </c>
      <c r="L22">
        <f t="shared" si="1"/>
        <v>8600</v>
      </c>
      <c r="M22" t="str">
        <f t="shared" si="2"/>
        <v>Normal</v>
      </c>
      <c r="N22" s="46">
        <f t="shared" si="3"/>
        <v>45659</v>
      </c>
      <c r="P22" t="str">
        <f t="shared" si="4"/>
        <v>Good</v>
      </c>
      <c r="S22" t="str">
        <f t="shared" si="5"/>
        <v>Not Premeum order</v>
      </c>
      <c r="U22" t="str">
        <f t="shared" si="6"/>
        <v>Sneha Rao--Mumbai</v>
      </c>
    </row>
    <row r="23" spans="1:21" ht="15" thickBot="1">
      <c r="A23" s="6">
        <v>1007</v>
      </c>
      <c r="B23" s="11">
        <v>45659</v>
      </c>
      <c r="C23" s="7" t="s">
        <v>53</v>
      </c>
      <c r="D23" s="7" t="s">
        <v>54</v>
      </c>
      <c r="E23" s="7" t="s">
        <v>55</v>
      </c>
      <c r="F23" s="7">
        <v>7</v>
      </c>
      <c r="G23" s="7">
        <v>1700</v>
      </c>
      <c r="H23" s="7">
        <v>0</v>
      </c>
      <c r="I23" s="7">
        <v>0</v>
      </c>
      <c r="J23" s="7">
        <v>3.9</v>
      </c>
      <c r="K23">
        <f t="shared" si="0"/>
        <v>11900</v>
      </c>
      <c r="L23">
        <f t="shared" si="1"/>
        <v>11900</v>
      </c>
      <c r="M23" t="str">
        <f t="shared" si="2"/>
        <v>Normal</v>
      </c>
      <c r="N23" s="46">
        <f t="shared" si="3"/>
        <v>45659</v>
      </c>
      <c r="P23" t="str">
        <f t="shared" si="4"/>
        <v>Average</v>
      </c>
      <c r="S23" t="str">
        <f t="shared" si="5"/>
        <v>Not Premeum order</v>
      </c>
      <c r="U23" t="str">
        <f t="shared" si="6"/>
        <v>Vikas Desai--DELHI</v>
      </c>
    </row>
    <row r="24" spans="1:21" ht="15" thickBot="1">
      <c r="A24" s="6">
        <v>1008</v>
      </c>
      <c r="B24" s="11">
        <v>45662</v>
      </c>
      <c r="C24" s="7" t="s">
        <v>56</v>
      </c>
      <c r="D24" s="7" t="s">
        <v>57</v>
      </c>
      <c r="E24" s="7" t="s">
        <v>58</v>
      </c>
      <c r="F24" s="7">
        <v>9</v>
      </c>
      <c r="G24" s="7">
        <v>2100</v>
      </c>
      <c r="H24" s="7">
        <v>1000</v>
      </c>
      <c r="I24" s="7">
        <v>0</v>
      </c>
      <c r="J24" s="7">
        <v>4.7</v>
      </c>
      <c r="K24">
        <f t="shared" si="0"/>
        <v>18900</v>
      </c>
      <c r="L24">
        <f t="shared" si="1"/>
        <v>17900</v>
      </c>
      <c r="M24" t="str">
        <f>IF(M17&gt;15000, "High","Normal")</f>
        <v>High</v>
      </c>
      <c r="N24" s="46">
        <f t="shared" si="3"/>
        <v>45662</v>
      </c>
      <c r="P24" t="str">
        <f t="shared" si="4"/>
        <v>Excellent</v>
      </c>
      <c r="S24" t="str">
        <f t="shared" si="5"/>
        <v>Premeum Order</v>
      </c>
      <c r="U24" t="str">
        <f t="shared" si="6"/>
        <v>Anjali Gupta--Pune</v>
      </c>
    </row>
    <row r="25" spans="1:21" ht="29.5" thickBot="1">
      <c r="A25" s="6">
        <v>1009</v>
      </c>
      <c r="B25" s="11">
        <v>45665</v>
      </c>
      <c r="C25" s="7" t="s">
        <v>59</v>
      </c>
      <c r="D25" s="7" t="s">
        <v>38</v>
      </c>
      <c r="E25" s="7" t="s">
        <v>50</v>
      </c>
      <c r="F25" s="7">
        <v>1</v>
      </c>
      <c r="G25" s="7">
        <v>4000</v>
      </c>
      <c r="H25" s="7">
        <v>0</v>
      </c>
      <c r="I25" s="7">
        <v>0</v>
      </c>
      <c r="J25" s="7">
        <v>3.6</v>
      </c>
      <c r="K25">
        <f t="shared" si="0"/>
        <v>4000</v>
      </c>
      <c r="L25">
        <f t="shared" si="1"/>
        <v>4000</v>
      </c>
      <c r="M25" t="str">
        <f t="shared" si="2"/>
        <v>Normal</v>
      </c>
      <c r="N25" s="46">
        <f t="shared" si="3"/>
        <v>45665</v>
      </c>
      <c r="P25" t="str">
        <f t="shared" si="4"/>
        <v>Average</v>
      </c>
      <c r="S25" t="str">
        <f t="shared" si="5"/>
        <v>Not Premeum order</v>
      </c>
      <c r="U25" t="str">
        <f t="shared" si="6"/>
        <v>Rohit Sharma--Bangalore</v>
      </c>
    </row>
    <row r="26" spans="1:21" ht="15" thickBot="1">
      <c r="A26" s="6">
        <v>1010</v>
      </c>
      <c r="B26" s="11">
        <v>45660</v>
      </c>
      <c r="C26" s="7" t="s">
        <v>60</v>
      </c>
      <c r="D26" s="7" t="s">
        <v>61</v>
      </c>
      <c r="E26" s="7" t="s">
        <v>39</v>
      </c>
      <c r="F26" s="7">
        <v>10</v>
      </c>
      <c r="G26" s="7">
        <v>1500</v>
      </c>
      <c r="H26" s="7">
        <v>1500</v>
      </c>
      <c r="I26" s="7">
        <v>0</v>
      </c>
      <c r="J26" s="7">
        <v>4.3</v>
      </c>
      <c r="K26">
        <f t="shared" si="0"/>
        <v>15000</v>
      </c>
      <c r="L26">
        <f t="shared" si="1"/>
        <v>13500</v>
      </c>
      <c r="M26" t="str">
        <f t="shared" si="2"/>
        <v>Normal</v>
      </c>
      <c r="N26" s="46">
        <f t="shared" si="3"/>
        <v>45660</v>
      </c>
      <c r="P26" t="str">
        <f t="shared" si="4"/>
        <v>Good</v>
      </c>
      <c r="S26" t="str">
        <f t="shared" si="5"/>
        <v>Not Premeum order</v>
      </c>
      <c r="U26" t="str">
        <f t="shared" si="6"/>
        <v>Pooja Shah--Mumbai</v>
      </c>
    </row>
    <row r="27" spans="1:21" ht="15" thickBot="1"/>
    <row r="28" spans="1:21" ht="15" thickBot="1">
      <c r="A28" s="35" t="s">
        <v>62</v>
      </c>
      <c r="B28" s="36"/>
      <c r="C28" s="36"/>
      <c r="D28" s="37"/>
    </row>
    <row r="29" spans="1:21" ht="15" thickBot="1">
      <c r="A29" s="35" t="s">
        <v>63</v>
      </c>
      <c r="B29" s="36"/>
      <c r="C29" s="36"/>
      <c r="D29" s="37"/>
    </row>
    <row r="30" spans="1:21" ht="15" thickBot="1">
      <c r="A30" s="35" t="s">
        <v>64</v>
      </c>
      <c r="B30" s="36"/>
      <c r="C30" s="36"/>
      <c r="D30" s="37"/>
    </row>
    <row r="31" spans="1:21" ht="15" thickBot="1">
      <c r="A31" s="35" t="s">
        <v>65</v>
      </c>
      <c r="B31" s="36"/>
      <c r="C31" s="36"/>
      <c r="D31" s="37"/>
    </row>
    <row r="32" spans="1:21" ht="15" thickBot="1">
      <c r="A32" s="35" t="s">
        <v>66</v>
      </c>
      <c r="B32" s="36"/>
      <c r="C32" s="36"/>
      <c r="D32" s="37"/>
    </row>
    <row r="33" spans="1:14" ht="15" thickBot="1">
      <c r="A33" s="35" t="s">
        <v>67</v>
      </c>
      <c r="B33" s="36"/>
      <c r="C33" s="36"/>
      <c r="D33" s="37"/>
    </row>
    <row r="34" spans="1:14" ht="15" thickBot="1">
      <c r="A34" s="35" t="s">
        <v>68</v>
      </c>
      <c r="B34" s="36"/>
      <c r="C34" s="36"/>
      <c r="D34" s="37"/>
    </row>
    <row r="35" spans="1:14" ht="15" thickBot="1">
      <c r="A35" s="35" t="s">
        <v>69</v>
      </c>
      <c r="B35" s="36"/>
      <c r="C35" s="36"/>
      <c r="D35" s="37"/>
    </row>
    <row r="36" spans="1:14" ht="15" thickBot="1">
      <c r="A36" s="35" t="s">
        <v>70</v>
      </c>
      <c r="B36" s="36"/>
      <c r="C36" s="36"/>
      <c r="D36" s="37"/>
    </row>
    <row r="37" spans="1:14" ht="15" thickBot="1">
      <c r="A37" s="35" t="s">
        <v>71</v>
      </c>
      <c r="B37" s="36"/>
      <c r="C37" s="36"/>
      <c r="D37" s="37"/>
    </row>
    <row r="38" spans="1:14" ht="15" thickBot="1">
      <c r="A38" s="35" t="s">
        <v>72</v>
      </c>
      <c r="B38" s="36"/>
      <c r="C38" s="36"/>
      <c r="D38" s="37"/>
    </row>
    <row r="39" spans="1:14" ht="15" thickBot="1">
      <c r="A39" s="50" t="s">
        <v>73</v>
      </c>
      <c r="B39" s="36"/>
      <c r="C39" s="36"/>
      <c r="D39" s="37"/>
    </row>
    <row r="40" spans="1:14" ht="15" thickBot="1">
      <c r="A40" s="50" t="s">
        <v>74</v>
      </c>
      <c r="B40" s="36"/>
      <c r="C40" s="36"/>
      <c r="D40" s="37"/>
    </row>
    <row r="41" spans="1:14" ht="15" thickBot="1">
      <c r="A41" s="35" t="s">
        <v>75</v>
      </c>
      <c r="B41" s="36"/>
      <c r="C41" s="36"/>
      <c r="D41" s="37"/>
    </row>
    <row r="43" spans="1:14" ht="15" thickBot="1"/>
    <row r="44" spans="1:14" ht="15" thickBot="1">
      <c r="A44" s="32" t="s">
        <v>76</v>
      </c>
      <c r="B44" s="33"/>
      <c r="C44" s="34"/>
      <c r="D44" s="5"/>
      <c r="E44" s="5"/>
      <c r="F44" s="5"/>
      <c r="G44" s="5"/>
      <c r="H44" s="3"/>
      <c r="I44" s="4" t="s">
        <v>3</v>
      </c>
      <c r="J44" s="3"/>
    </row>
    <row r="45" spans="1:14" ht="29.5" thickBot="1">
      <c r="A45" s="9" t="s">
        <v>27</v>
      </c>
      <c r="B45" s="10" t="s">
        <v>77</v>
      </c>
      <c r="C45" s="10" t="s">
        <v>78</v>
      </c>
      <c r="D45" s="10" t="s">
        <v>31</v>
      </c>
      <c r="E45" s="10" t="s">
        <v>79</v>
      </c>
      <c r="F45" s="10" t="s">
        <v>32</v>
      </c>
      <c r="G45" s="10" t="s">
        <v>80</v>
      </c>
      <c r="H45" s="3"/>
      <c r="I45" s="3"/>
      <c r="J45" s="39" t="s">
        <v>100</v>
      </c>
      <c r="K45" s="30"/>
      <c r="L45" s="3"/>
      <c r="M45" s="38" t="s">
        <v>101</v>
      </c>
      <c r="N45" s="30"/>
    </row>
    <row r="46" spans="1:14" ht="29.5" thickBot="1">
      <c r="A46" s="6">
        <v>1001</v>
      </c>
      <c r="B46" s="7" t="s">
        <v>81</v>
      </c>
      <c r="C46" s="7" t="s">
        <v>82</v>
      </c>
      <c r="D46" s="7" t="s">
        <v>39</v>
      </c>
      <c r="E46" s="7" t="s">
        <v>83</v>
      </c>
      <c r="F46" s="7">
        <v>2</v>
      </c>
      <c r="G46" s="7">
        <v>120000</v>
      </c>
      <c r="H46" s="3"/>
      <c r="I46" s="3"/>
      <c r="J46" s="5"/>
      <c r="K46" s="5"/>
      <c r="L46" s="3"/>
      <c r="M46" s="5"/>
      <c r="N46" s="5"/>
    </row>
    <row r="47" spans="1:14" ht="29.5" thickBot="1">
      <c r="A47" s="6">
        <v>1002</v>
      </c>
      <c r="B47" s="7" t="s">
        <v>84</v>
      </c>
      <c r="C47" s="7" t="s">
        <v>85</v>
      </c>
      <c r="D47" s="7" t="s">
        <v>45</v>
      </c>
      <c r="E47" s="7" t="s">
        <v>86</v>
      </c>
      <c r="F47" s="7">
        <v>3</v>
      </c>
      <c r="G47" s="7">
        <v>45000</v>
      </c>
      <c r="H47" s="3"/>
      <c r="I47" s="3"/>
      <c r="J47" s="12" t="s">
        <v>27</v>
      </c>
      <c r="K47" s="13" t="s">
        <v>80</v>
      </c>
      <c r="L47" s="14"/>
      <c r="M47" s="13" t="s">
        <v>78</v>
      </c>
      <c r="N47" s="13" t="s">
        <v>32</v>
      </c>
    </row>
    <row r="48" spans="1:14" ht="29.5" thickBot="1">
      <c r="A48" s="6">
        <v>1003</v>
      </c>
      <c r="B48" s="7" t="s">
        <v>87</v>
      </c>
      <c r="C48" s="7" t="s">
        <v>88</v>
      </c>
      <c r="D48" s="7" t="s">
        <v>58</v>
      </c>
      <c r="E48" s="7" t="s">
        <v>89</v>
      </c>
      <c r="F48" s="7">
        <v>1</v>
      </c>
      <c r="G48" s="7">
        <v>30000</v>
      </c>
      <c r="H48" s="3"/>
      <c r="I48" s="3"/>
      <c r="J48" s="12">
        <v>1005</v>
      </c>
      <c r="K48" s="15">
        <f>VLOOKUP(1005,A45:$G$53,6,FALSE)</f>
        <v>4</v>
      </c>
      <c r="L48" s="14"/>
      <c r="M48" s="10" t="s">
        <v>88</v>
      </c>
      <c r="N48" s="51" t="e">
        <f ca="1">XLOOKUP(Rahul)</f>
        <v>#NAME?</v>
      </c>
    </row>
    <row r="49" spans="1:14" ht="29.5" thickBot="1">
      <c r="A49" s="6">
        <v>1004</v>
      </c>
      <c r="B49" s="7" t="s">
        <v>90</v>
      </c>
      <c r="C49" s="7" t="s">
        <v>91</v>
      </c>
      <c r="D49" s="7" t="s">
        <v>50</v>
      </c>
      <c r="E49" s="7" t="s">
        <v>83</v>
      </c>
      <c r="F49" s="7">
        <v>1</v>
      </c>
      <c r="G49" s="7">
        <v>60000</v>
      </c>
      <c r="H49" s="3"/>
      <c r="I49" s="3"/>
      <c r="J49" s="12">
        <v>1008</v>
      </c>
      <c r="K49" s="15">
        <f>VLOOKUP(1008,A45:$G$53,6,FALSE)</f>
        <v>5</v>
      </c>
      <c r="L49" s="14"/>
      <c r="M49" s="10" t="s">
        <v>97</v>
      </c>
      <c r="N49" s="15"/>
    </row>
    <row r="50" spans="1:14" ht="29.5" thickBot="1">
      <c r="A50" s="6">
        <v>1005</v>
      </c>
      <c r="B50" s="7" t="s">
        <v>92</v>
      </c>
      <c r="C50" s="7" t="s">
        <v>93</v>
      </c>
      <c r="D50" s="7" t="s">
        <v>39</v>
      </c>
      <c r="E50" s="7" t="s">
        <v>86</v>
      </c>
      <c r="F50" s="7">
        <v>4</v>
      </c>
      <c r="G50" s="7">
        <v>60000</v>
      </c>
      <c r="H50" s="3"/>
      <c r="I50" s="3"/>
      <c r="J50" s="12">
        <v>1020</v>
      </c>
      <c r="K50" s="15" t="e">
        <f>VLOOKUP(1020,A45:$G$53,6,FALSE)</f>
        <v>#N/A</v>
      </c>
      <c r="L50" s="14"/>
      <c r="M50" s="10" t="s">
        <v>82</v>
      </c>
      <c r="N50" s="15"/>
    </row>
    <row r="51" spans="1:14" ht="29.5" thickBot="1">
      <c r="A51" s="6">
        <v>1006</v>
      </c>
      <c r="B51" s="7" t="s">
        <v>94</v>
      </c>
      <c r="C51" s="7" t="s">
        <v>95</v>
      </c>
      <c r="D51" s="7" t="s">
        <v>45</v>
      </c>
      <c r="E51" s="7" t="s">
        <v>89</v>
      </c>
      <c r="F51" s="7">
        <v>2</v>
      </c>
      <c r="G51" s="7">
        <v>60000</v>
      </c>
      <c r="H51" s="3"/>
      <c r="I51" s="3"/>
      <c r="J51" s="12">
        <v>1002</v>
      </c>
      <c r="K51" s="15">
        <f>VLOOKUP(1002,A45:$G$53,6,FALSE)</f>
        <v>3</v>
      </c>
      <c r="L51" s="14"/>
      <c r="M51" s="10" t="s">
        <v>99</v>
      </c>
      <c r="N51" s="15"/>
    </row>
    <row r="52" spans="1:14" ht="29.5" thickBot="1">
      <c r="A52" s="6">
        <v>1007</v>
      </c>
      <c r="B52" s="7" t="s">
        <v>96</v>
      </c>
      <c r="C52" s="7" t="s">
        <v>97</v>
      </c>
      <c r="D52" s="7" t="s">
        <v>58</v>
      </c>
      <c r="E52" s="7" t="s">
        <v>83</v>
      </c>
      <c r="F52" s="7">
        <v>1</v>
      </c>
      <c r="G52" s="7">
        <v>65000</v>
      </c>
      <c r="H52" s="3"/>
      <c r="I52" s="3"/>
      <c r="J52" s="12">
        <v>1004</v>
      </c>
      <c r="K52" s="15">
        <f>VLOOKUP(1004,A45:$G$53,6,FALSE)</f>
        <v>1</v>
      </c>
      <c r="L52" s="14"/>
      <c r="M52" s="10" t="s">
        <v>102</v>
      </c>
      <c r="N52" s="15"/>
    </row>
    <row r="53" spans="1:14" ht="29.5" thickBot="1">
      <c r="A53" s="6">
        <v>1008</v>
      </c>
      <c r="B53" s="7" t="s">
        <v>98</v>
      </c>
      <c r="C53" s="7" t="s">
        <v>99</v>
      </c>
      <c r="D53" s="7" t="s">
        <v>50</v>
      </c>
      <c r="E53" s="7" t="s">
        <v>86</v>
      </c>
      <c r="F53" s="7">
        <v>5</v>
      </c>
      <c r="G53" s="7">
        <v>75000</v>
      </c>
      <c r="H53" s="3"/>
      <c r="I53" s="3"/>
      <c r="J53" s="3"/>
      <c r="M53" s="3"/>
      <c r="N53" s="3"/>
    </row>
    <row r="54" spans="1:14" ht="15" thickBot="1">
      <c r="A54" s="3"/>
      <c r="B54" s="3"/>
      <c r="C54" s="3"/>
      <c r="D54" s="3"/>
      <c r="E54" s="3"/>
      <c r="F54" s="3"/>
      <c r="G54" s="3"/>
      <c r="H54" s="3"/>
      <c r="I54" s="3"/>
      <c r="J54" s="3"/>
    </row>
    <row r="55" spans="1:14" ht="15" thickBot="1">
      <c r="F55" s="3"/>
      <c r="G55" s="3"/>
      <c r="H55" s="3"/>
      <c r="I55" s="3"/>
      <c r="J55" s="3"/>
    </row>
    <row r="56" spans="1:14" ht="15" thickBot="1">
      <c r="F56" s="3"/>
      <c r="G56" s="3"/>
      <c r="H56" s="3"/>
      <c r="I56" s="3"/>
      <c r="J56" s="3"/>
    </row>
    <row r="57" spans="1:14" ht="15" thickBot="1">
      <c r="F57" s="3"/>
      <c r="G57" s="3"/>
      <c r="H57" s="3"/>
      <c r="I57" s="3"/>
      <c r="J57" s="3"/>
    </row>
    <row r="58" spans="1:14" ht="15" thickBot="1">
      <c r="A58" s="28" t="s">
        <v>103</v>
      </c>
      <c r="B58" s="30"/>
      <c r="C58" s="3"/>
      <c r="D58" s="3"/>
      <c r="E58" s="3"/>
      <c r="F58" s="3"/>
      <c r="G58" s="3"/>
      <c r="H58" s="3"/>
      <c r="I58" s="4" t="s">
        <v>25</v>
      </c>
      <c r="J58" s="3"/>
    </row>
    <row r="59" spans="1:14" ht="15" thickBot="1">
      <c r="A59" s="5"/>
      <c r="B59" s="5"/>
      <c r="C59" s="5"/>
      <c r="D59" s="5"/>
      <c r="E59" s="5"/>
      <c r="F59" s="5"/>
      <c r="G59" s="5"/>
      <c r="H59" s="5"/>
      <c r="I59" s="3"/>
      <c r="J59" s="3"/>
    </row>
    <row r="60" spans="1:14" ht="29.5" thickBot="1">
      <c r="A60" s="9" t="s">
        <v>104</v>
      </c>
      <c r="B60" s="10" t="s">
        <v>31</v>
      </c>
      <c r="C60" s="10" t="s">
        <v>79</v>
      </c>
      <c r="D60" s="10" t="s">
        <v>105</v>
      </c>
      <c r="E60" s="10" t="s">
        <v>106</v>
      </c>
      <c r="F60" s="10" t="s">
        <v>107</v>
      </c>
      <c r="G60" s="10" t="s">
        <v>108</v>
      </c>
      <c r="H60" s="10" t="s">
        <v>35</v>
      </c>
      <c r="I60" s="3"/>
      <c r="J60" s="3"/>
    </row>
    <row r="61" spans="1:14" ht="15" thickBot="1">
      <c r="A61" s="6" t="s">
        <v>109</v>
      </c>
      <c r="B61" s="7" t="s">
        <v>39</v>
      </c>
      <c r="C61" s="7" t="s">
        <v>83</v>
      </c>
      <c r="D61" s="7">
        <v>50</v>
      </c>
      <c r="E61" s="7">
        <v>2500000</v>
      </c>
      <c r="F61" s="7">
        <v>2000000</v>
      </c>
      <c r="G61" s="7">
        <v>500000</v>
      </c>
      <c r="H61" s="7">
        <v>2300000</v>
      </c>
      <c r="I61" s="3"/>
      <c r="J61" s="3"/>
    </row>
    <row r="62" spans="1:14" ht="15" thickBot="1">
      <c r="A62" s="6" t="s">
        <v>110</v>
      </c>
      <c r="B62" s="7" t="s">
        <v>45</v>
      </c>
      <c r="C62" s="7" t="s">
        <v>111</v>
      </c>
      <c r="D62" s="7">
        <v>40</v>
      </c>
      <c r="E62" s="7">
        <v>2000000</v>
      </c>
      <c r="F62" s="7">
        <v>1600000</v>
      </c>
      <c r="G62" s="7">
        <v>400000</v>
      </c>
      <c r="H62" s="7">
        <v>1900000</v>
      </c>
      <c r="I62" s="3"/>
      <c r="J62" s="3"/>
    </row>
    <row r="63" spans="1:14" ht="15" thickBot="1">
      <c r="A63" s="6" t="s">
        <v>112</v>
      </c>
      <c r="B63" s="7" t="s">
        <v>58</v>
      </c>
      <c r="C63" s="7" t="s">
        <v>113</v>
      </c>
      <c r="D63" s="7">
        <v>35</v>
      </c>
      <c r="E63" s="7">
        <v>1750000</v>
      </c>
      <c r="F63" s="7">
        <v>1400000</v>
      </c>
      <c r="G63" s="7">
        <v>350000</v>
      </c>
      <c r="H63" s="7">
        <v>1600000</v>
      </c>
      <c r="I63" s="3"/>
      <c r="J63" s="3"/>
    </row>
    <row r="64" spans="1:14" ht="15" thickBot="1">
      <c r="A64" s="6" t="s">
        <v>114</v>
      </c>
      <c r="B64" s="7" t="s">
        <v>115</v>
      </c>
      <c r="C64" s="7" t="s">
        <v>116</v>
      </c>
      <c r="D64" s="7">
        <v>60</v>
      </c>
      <c r="E64" s="7">
        <v>3000000</v>
      </c>
      <c r="F64" s="7">
        <v>2400000</v>
      </c>
      <c r="G64" s="7">
        <v>600000</v>
      </c>
      <c r="H64" s="7">
        <v>2700000</v>
      </c>
      <c r="I64" s="3"/>
      <c r="J64" s="3"/>
    </row>
    <row r="65" spans="1:9" ht="15" thickBot="1">
      <c r="A65" s="6" t="s">
        <v>117</v>
      </c>
      <c r="B65" s="7" t="s">
        <v>118</v>
      </c>
      <c r="C65" s="7" t="s">
        <v>119</v>
      </c>
      <c r="D65" s="7">
        <v>45</v>
      </c>
      <c r="E65" s="7">
        <v>2250000</v>
      </c>
      <c r="F65" s="7">
        <v>1800000</v>
      </c>
      <c r="G65" s="7">
        <v>450000</v>
      </c>
      <c r="H65" s="7">
        <v>2100000</v>
      </c>
      <c r="I65" s="3"/>
    </row>
    <row r="66" spans="1:9" ht="29.5" thickBot="1">
      <c r="A66" s="6" t="s">
        <v>120</v>
      </c>
      <c r="B66" s="7" t="s">
        <v>121</v>
      </c>
      <c r="C66" s="7" t="s">
        <v>122</v>
      </c>
      <c r="D66" s="7">
        <v>38</v>
      </c>
      <c r="E66" s="7">
        <v>1900000</v>
      </c>
      <c r="F66" s="7">
        <v>1500000</v>
      </c>
      <c r="G66" s="7">
        <v>400000</v>
      </c>
      <c r="H66" s="7">
        <v>1750000</v>
      </c>
      <c r="I66" s="3"/>
    </row>
    <row r="67" spans="1:9" ht="29.5" thickBot="1">
      <c r="A67" s="6" t="s">
        <v>123</v>
      </c>
      <c r="B67" s="7" t="s">
        <v>124</v>
      </c>
      <c r="C67" s="7" t="s">
        <v>125</v>
      </c>
      <c r="D67" s="7">
        <v>70</v>
      </c>
      <c r="E67" s="7">
        <v>3500000</v>
      </c>
      <c r="F67" s="7">
        <v>2800000</v>
      </c>
      <c r="G67" s="7">
        <v>700000</v>
      </c>
      <c r="H67" s="7">
        <v>3200000</v>
      </c>
      <c r="I67" s="3"/>
    </row>
    <row r="68" spans="1:9" ht="15" thickBot="1">
      <c r="A68" s="6" t="s">
        <v>126</v>
      </c>
      <c r="B68" s="7" t="s">
        <v>127</v>
      </c>
      <c r="C68" s="7" t="s">
        <v>128</v>
      </c>
      <c r="D68" s="7">
        <v>50</v>
      </c>
      <c r="E68" s="7">
        <v>2500000</v>
      </c>
      <c r="F68" s="7">
        <v>2000000</v>
      </c>
      <c r="G68" s="7">
        <v>500000</v>
      </c>
      <c r="H68" s="7">
        <v>2300000</v>
      </c>
      <c r="I68" s="3"/>
    </row>
    <row r="69" spans="1:9" ht="29.5" thickBot="1">
      <c r="A69" s="6" t="s">
        <v>129</v>
      </c>
      <c r="B69" s="7" t="s">
        <v>130</v>
      </c>
      <c r="C69" s="7" t="s">
        <v>131</v>
      </c>
      <c r="D69" s="7">
        <v>42</v>
      </c>
      <c r="E69" s="7">
        <v>2100000</v>
      </c>
      <c r="F69" s="7">
        <v>1650000</v>
      </c>
      <c r="G69" s="7">
        <v>450000</v>
      </c>
      <c r="H69" s="7">
        <v>1900000</v>
      </c>
      <c r="I69" s="3"/>
    </row>
    <row r="70" spans="1:9" ht="15" thickBot="1">
      <c r="A70" s="3"/>
      <c r="B70" s="3"/>
      <c r="C70" s="3"/>
      <c r="D70" s="3"/>
      <c r="E70" s="3"/>
      <c r="F70" s="3"/>
      <c r="G70" s="3"/>
      <c r="H70" s="3"/>
      <c r="I70" s="3"/>
    </row>
    <row r="71" spans="1:9" ht="15" thickBot="1">
      <c r="A71" s="40" t="s">
        <v>132</v>
      </c>
      <c r="B71" s="29"/>
      <c r="C71" s="29"/>
      <c r="D71" s="29"/>
      <c r="E71" s="29"/>
      <c r="F71" s="30"/>
      <c r="G71" s="3"/>
      <c r="H71" s="3"/>
      <c r="I71" s="3"/>
    </row>
    <row r="88" spans="1:12" ht="15" thickBot="1"/>
    <row r="89" spans="1:12" ht="15" thickBot="1">
      <c r="A89" s="42" t="s">
        <v>146</v>
      </c>
      <c r="B89" s="29"/>
      <c r="C89" s="29"/>
      <c r="D89" s="30"/>
      <c r="E89" s="3"/>
      <c r="F89" s="3"/>
      <c r="G89" s="3"/>
      <c r="H89" s="3"/>
      <c r="I89" s="4" t="s">
        <v>25</v>
      </c>
    </row>
    <row r="90" spans="1:12" ht="15" thickBot="1">
      <c r="A90" s="5"/>
      <c r="B90" s="5"/>
      <c r="C90" s="5"/>
      <c r="D90" s="5"/>
      <c r="E90" s="5"/>
      <c r="F90" s="5"/>
      <c r="G90" s="5"/>
      <c r="H90" s="3"/>
      <c r="I90" s="3"/>
    </row>
    <row r="91" spans="1:12" ht="87.5" customHeight="1" thickBot="1">
      <c r="A91" s="9" t="s">
        <v>147</v>
      </c>
      <c r="B91" s="10" t="s">
        <v>6</v>
      </c>
      <c r="C91" s="10" t="s">
        <v>8</v>
      </c>
      <c r="D91" s="10" t="s">
        <v>148</v>
      </c>
      <c r="E91" s="10" t="s">
        <v>149</v>
      </c>
      <c r="F91" s="10" t="s">
        <v>150</v>
      </c>
      <c r="G91" s="10" t="s">
        <v>31</v>
      </c>
      <c r="H91" s="55" t="s">
        <v>196</v>
      </c>
      <c r="I91" s="3" t="s">
        <v>197</v>
      </c>
      <c r="J91" s="58" t="s">
        <v>198</v>
      </c>
      <c r="K91" s="59" t="s">
        <v>199</v>
      </c>
      <c r="L91" s="59" t="s">
        <v>200</v>
      </c>
    </row>
    <row r="92" spans="1:12" ht="15" thickBot="1">
      <c r="A92" s="6">
        <v>101</v>
      </c>
      <c r="B92" s="7" t="s">
        <v>37</v>
      </c>
      <c r="C92" s="7" t="s">
        <v>13</v>
      </c>
      <c r="D92" s="7">
        <v>25000</v>
      </c>
      <c r="E92" s="7">
        <v>50000</v>
      </c>
      <c r="F92" s="7">
        <v>3</v>
      </c>
      <c r="G92" s="7" t="s">
        <v>39</v>
      </c>
      <c r="H92" s="3">
        <f>SUMIF(G92:G98,"Mumbai",D92:D98)</f>
        <v>77000</v>
      </c>
      <c r="I92" s="3">
        <f>AVERAGEIF(C92:C98,"Sales",E92:E98)</f>
        <v>71000</v>
      </c>
      <c r="K92">
        <f>SUMIFS(E92:E98,G92:G98,"pune",F92:F98,"&gt;3")</f>
        <v>40000</v>
      </c>
      <c r="L92">
        <f>COUNTIFS(C92:C98,"hr",G92:G98,"mumbai")</f>
        <v>1</v>
      </c>
    </row>
    <row r="93" spans="1:12" ht="15" thickBot="1">
      <c r="A93" s="6">
        <v>102</v>
      </c>
      <c r="B93" s="7" t="s">
        <v>51</v>
      </c>
      <c r="C93" s="7" t="s">
        <v>151</v>
      </c>
      <c r="D93" s="7">
        <v>22000</v>
      </c>
      <c r="E93" s="7">
        <v>30000</v>
      </c>
      <c r="F93" s="7">
        <v>2</v>
      </c>
      <c r="G93" s="7" t="s">
        <v>58</v>
      </c>
      <c r="H93" s="3"/>
      <c r="I93" s="3"/>
    </row>
    <row r="94" spans="1:12" ht="15" thickBot="1">
      <c r="A94" s="6">
        <v>103</v>
      </c>
      <c r="B94" s="7" t="s">
        <v>43</v>
      </c>
      <c r="C94" s="7" t="s">
        <v>149</v>
      </c>
      <c r="D94" s="7">
        <v>28000</v>
      </c>
      <c r="E94" s="7">
        <v>70000</v>
      </c>
      <c r="F94" s="7">
        <v>5</v>
      </c>
      <c r="G94" s="7" t="s">
        <v>39</v>
      </c>
      <c r="H94" s="3"/>
      <c r="I94" s="3"/>
    </row>
    <row r="95" spans="1:12" ht="15" thickBot="1">
      <c r="A95" s="6">
        <v>104</v>
      </c>
      <c r="B95" s="7" t="s">
        <v>11</v>
      </c>
      <c r="C95" s="7" t="s">
        <v>13</v>
      </c>
      <c r="D95" s="7">
        <v>30000</v>
      </c>
      <c r="E95" s="7">
        <v>65000</v>
      </c>
      <c r="F95" s="7">
        <v>6</v>
      </c>
      <c r="G95" s="7" t="s">
        <v>45</v>
      </c>
      <c r="H95" s="3"/>
      <c r="I95" s="3"/>
    </row>
    <row r="96" spans="1:12" ht="15" thickBot="1">
      <c r="A96" s="6">
        <v>105</v>
      </c>
      <c r="B96" s="7" t="s">
        <v>48</v>
      </c>
      <c r="C96" s="7" t="s">
        <v>152</v>
      </c>
      <c r="D96" s="7">
        <v>27000</v>
      </c>
      <c r="E96" s="7">
        <v>40000</v>
      </c>
      <c r="F96" s="7">
        <v>4</v>
      </c>
      <c r="G96" s="7" t="s">
        <v>58</v>
      </c>
      <c r="H96" s="3"/>
      <c r="I96" s="3"/>
    </row>
    <row r="97" spans="1:9" ht="15" thickBot="1">
      <c r="A97" s="6">
        <v>106</v>
      </c>
      <c r="B97" s="7" t="s">
        <v>40</v>
      </c>
      <c r="C97" s="7" t="s">
        <v>151</v>
      </c>
      <c r="D97" s="7">
        <v>24000</v>
      </c>
      <c r="E97" s="7">
        <v>35000</v>
      </c>
      <c r="F97" s="7">
        <v>3</v>
      </c>
      <c r="G97" s="7" t="s">
        <v>39</v>
      </c>
      <c r="H97" s="3"/>
      <c r="I97" s="3"/>
    </row>
    <row r="98" spans="1:9" ht="15" thickBot="1">
      <c r="A98" s="6">
        <v>107</v>
      </c>
      <c r="B98" s="7" t="s">
        <v>153</v>
      </c>
      <c r="C98" s="7" t="s">
        <v>149</v>
      </c>
      <c r="D98" s="7">
        <v>26000</v>
      </c>
      <c r="E98" s="7">
        <v>72000</v>
      </c>
      <c r="F98" s="7">
        <v>5</v>
      </c>
      <c r="G98" s="7" t="s">
        <v>45</v>
      </c>
      <c r="H98" s="3"/>
      <c r="I98" s="3"/>
    </row>
    <row r="99" spans="1:9" ht="15" thickBot="1">
      <c r="A99" s="3"/>
      <c r="B99" s="3"/>
      <c r="C99" s="3"/>
      <c r="D99" s="3"/>
      <c r="E99" s="3"/>
      <c r="F99" s="3"/>
      <c r="G99" s="3"/>
      <c r="H99" s="3"/>
      <c r="I99" s="3"/>
    </row>
    <row r="100" spans="1:9" ht="15" thickBot="1">
      <c r="A100" s="43" t="s">
        <v>154</v>
      </c>
      <c r="B100" s="29"/>
      <c r="C100" s="29"/>
      <c r="D100" s="29"/>
      <c r="E100" s="30"/>
      <c r="F100" s="55" t="s">
        <v>195</v>
      </c>
      <c r="G100" s="3"/>
      <c r="H100" s="3"/>
      <c r="I100" s="3"/>
    </row>
    <row r="101" spans="1:9" ht="15" thickBot="1">
      <c r="A101" s="56" t="s">
        <v>155</v>
      </c>
      <c r="B101" s="20"/>
      <c r="C101" s="20"/>
      <c r="D101" s="20"/>
      <c r="E101" s="21"/>
      <c r="F101" s="3"/>
      <c r="G101" s="3"/>
      <c r="H101" s="3"/>
      <c r="I101" s="3"/>
    </row>
    <row r="102" spans="1:9" ht="15" thickBot="1">
      <c r="A102" s="25"/>
      <c r="B102" s="26"/>
      <c r="C102" s="26"/>
      <c r="D102" s="26"/>
      <c r="E102" s="27"/>
      <c r="F102" s="3"/>
      <c r="G102" s="3"/>
      <c r="H102" s="3"/>
      <c r="I102" s="3"/>
    </row>
    <row r="103" spans="1:9" ht="15" thickBot="1">
      <c r="A103" s="57" t="s">
        <v>156</v>
      </c>
      <c r="B103" s="29"/>
      <c r="C103" s="29"/>
      <c r="D103" s="29"/>
      <c r="E103" s="30"/>
      <c r="F103" s="3"/>
      <c r="G103" s="3"/>
      <c r="H103" s="3"/>
      <c r="I103" s="3"/>
    </row>
    <row r="104" spans="1:9" ht="15" thickBot="1">
      <c r="A104" s="56" t="s">
        <v>157</v>
      </c>
      <c r="B104" s="20"/>
      <c r="C104" s="20"/>
      <c r="D104" s="20"/>
      <c r="E104" s="21"/>
      <c r="F104" s="3"/>
      <c r="G104" s="3"/>
      <c r="H104" s="3"/>
      <c r="I104" s="3"/>
    </row>
    <row r="105" spans="1:9" ht="15" thickBot="1">
      <c r="A105" s="25"/>
      <c r="B105" s="26"/>
      <c r="C105" s="26"/>
      <c r="D105" s="26"/>
      <c r="E105" s="27"/>
      <c r="F105" s="3"/>
      <c r="G105" s="3"/>
      <c r="H105" s="3"/>
      <c r="I105" s="3"/>
    </row>
    <row r="106" spans="1:9" ht="15" thickBot="1">
      <c r="A106" s="56" t="s">
        <v>158</v>
      </c>
      <c r="B106" s="20"/>
      <c r="C106" s="20"/>
      <c r="D106" s="20"/>
      <c r="E106" s="21"/>
      <c r="F106" s="3"/>
      <c r="G106" s="3"/>
      <c r="H106" s="3"/>
      <c r="I106" s="3"/>
    </row>
    <row r="107" spans="1:9" ht="15" thickBot="1">
      <c r="A107" s="25"/>
      <c r="B107" s="26"/>
      <c r="C107" s="26"/>
      <c r="D107" s="26"/>
      <c r="E107" s="27"/>
      <c r="F107" s="3"/>
      <c r="G107" s="3"/>
      <c r="H107" s="3"/>
      <c r="I107" s="3"/>
    </row>
  </sheetData>
  <autoFilter ref="A16:O26"/>
  <mergeCells count="30">
    <mergeCell ref="A100:E100"/>
    <mergeCell ref="A101:E102"/>
    <mergeCell ref="A103:E103"/>
    <mergeCell ref="A104:E105"/>
    <mergeCell ref="A106:E107"/>
    <mergeCell ref="A89:D89"/>
    <mergeCell ref="U16:X16"/>
    <mergeCell ref="A44:C44"/>
    <mergeCell ref="J45:K45"/>
    <mergeCell ref="M45:N45"/>
    <mergeCell ref="A58:B58"/>
    <mergeCell ref="A71:F71"/>
    <mergeCell ref="A36:D36"/>
    <mergeCell ref="A37:D37"/>
    <mergeCell ref="A38:D38"/>
    <mergeCell ref="A39:D39"/>
    <mergeCell ref="A40:D40"/>
    <mergeCell ref="A41:D41"/>
    <mergeCell ref="A30:D30"/>
    <mergeCell ref="A31:D31"/>
    <mergeCell ref="A32:D32"/>
    <mergeCell ref="A33:D33"/>
    <mergeCell ref="A34:D34"/>
    <mergeCell ref="A35:D35"/>
    <mergeCell ref="A1:E1"/>
    <mergeCell ref="A2:E2"/>
    <mergeCell ref="A3:E3"/>
    <mergeCell ref="A15:D15"/>
    <mergeCell ref="A28:D28"/>
    <mergeCell ref="A29:D29"/>
  </mergeCells>
  <conditionalFormatting sqref="D5:D10">
    <cfRule type="cellIs" dxfId="1" priority="2" operator="greaterThan">
      <formula>60</formula>
    </cfRule>
  </conditionalFormatting>
  <conditionalFormatting sqref="C5:C10">
    <cfRule type="duplicateValues" dxfId="0" priority="1"/>
  </conditionalFormatting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0"/>
  <sheetViews>
    <sheetView topLeftCell="A93" workbookViewId="0">
      <selection activeCell="H105" sqref="H105"/>
    </sheetView>
  </sheetViews>
  <sheetFormatPr defaultRowHeight="14.5"/>
  <cols>
    <col min="6" max="6" width="12.36328125" customWidth="1"/>
    <col min="7" max="7" width="11.81640625" customWidth="1"/>
  </cols>
  <sheetData>
    <row r="1" spans="1:9" ht="15" thickBot="1">
      <c r="A1" s="28" t="s">
        <v>133</v>
      </c>
      <c r="B1" s="30"/>
      <c r="C1" s="3"/>
      <c r="D1" s="3"/>
    </row>
    <row r="2" spans="1:9" ht="15" thickBot="1">
      <c r="A2" s="3"/>
      <c r="B2" s="3"/>
      <c r="C2" s="3"/>
      <c r="D2" s="3"/>
    </row>
    <row r="3" spans="1:9" ht="15" thickBot="1">
      <c r="A3" s="41" t="s">
        <v>135</v>
      </c>
      <c r="B3" s="20"/>
      <c r="C3" s="20"/>
      <c r="D3" s="21"/>
      <c r="F3" s="35" t="s">
        <v>136</v>
      </c>
      <c r="G3" s="36"/>
      <c r="H3" s="36"/>
      <c r="I3" s="37"/>
    </row>
    <row r="4" spans="1:9" ht="15" thickBot="1">
      <c r="A4" s="25"/>
      <c r="B4" s="26"/>
      <c r="C4" s="26"/>
      <c r="D4" s="27"/>
      <c r="F4" s="48" t="s">
        <v>186</v>
      </c>
    </row>
    <row r="5" spans="1:9" ht="15" thickBot="1">
      <c r="A5" s="5"/>
      <c r="B5" s="5"/>
      <c r="C5" s="5"/>
      <c r="D5" s="5"/>
      <c r="F5" s="52" t="s">
        <v>183</v>
      </c>
      <c r="G5" t="s">
        <v>185</v>
      </c>
    </row>
    <row r="6" spans="1:9">
      <c r="F6" s="53" t="s">
        <v>50</v>
      </c>
      <c r="G6" s="47">
        <v>209825642</v>
      </c>
    </row>
    <row r="7" spans="1:9">
      <c r="F7" s="53" t="s">
        <v>167</v>
      </c>
      <c r="G7" s="47">
        <v>210468755</v>
      </c>
    </row>
    <row r="8" spans="1:9">
      <c r="F8" s="53" t="s">
        <v>45</v>
      </c>
      <c r="G8" s="47">
        <v>233576416</v>
      </c>
    </row>
    <row r="9" spans="1:9">
      <c r="F9" s="53" t="s">
        <v>39</v>
      </c>
      <c r="G9" s="47">
        <v>211120349</v>
      </c>
    </row>
    <row r="10" spans="1:9">
      <c r="F10" s="53" t="s">
        <v>58</v>
      </c>
      <c r="G10" s="47">
        <v>199462816</v>
      </c>
    </row>
    <row r="11" spans="1:9">
      <c r="F11" s="53" t="s">
        <v>184</v>
      </c>
      <c r="G11" s="47">
        <v>1064453978</v>
      </c>
    </row>
    <row r="12" spans="1:9" ht="15" thickBot="1"/>
    <row r="13" spans="1:9" ht="15" thickBot="1">
      <c r="F13" s="35" t="s">
        <v>137</v>
      </c>
      <c r="G13" s="36"/>
      <c r="H13" s="36"/>
      <c r="I13" s="37"/>
    </row>
    <row r="16" spans="1:9">
      <c r="F16" s="52" t="s">
        <v>183</v>
      </c>
      <c r="G16" t="s">
        <v>185</v>
      </c>
    </row>
    <row r="17" spans="6:9">
      <c r="F17" s="53" t="s">
        <v>50</v>
      </c>
      <c r="G17" s="47">
        <v>209825642</v>
      </c>
    </row>
    <row r="18" spans="6:9">
      <c r="F18" s="53" t="s">
        <v>167</v>
      </c>
      <c r="G18" s="47">
        <v>210468755</v>
      </c>
    </row>
    <row r="19" spans="6:9">
      <c r="F19" s="53" t="s">
        <v>45</v>
      </c>
      <c r="G19" s="47">
        <v>233576416</v>
      </c>
    </row>
    <row r="20" spans="6:9">
      <c r="F20" s="53" t="s">
        <v>39</v>
      </c>
      <c r="G20" s="47">
        <v>211120349</v>
      </c>
    </row>
    <row r="21" spans="6:9">
      <c r="F21" s="53" t="s">
        <v>58</v>
      </c>
      <c r="G21" s="47">
        <v>199462816</v>
      </c>
    </row>
    <row r="22" spans="6:9">
      <c r="F22" s="53" t="s">
        <v>184</v>
      </c>
      <c r="G22" s="47">
        <v>1064453978</v>
      </c>
    </row>
    <row r="23" spans="6:9" ht="15" thickBot="1"/>
    <row r="24" spans="6:9" ht="15" thickBot="1">
      <c r="F24" s="35" t="s">
        <v>138</v>
      </c>
      <c r="G24" s="36"/>
      <c r="H24" s="36"/>
      <c r="I24" s="37"/>
    </row>
    <row r="25" spans="6:9">
      <c r="F25" s="54" t="s">
        <v>188</v>
      </c>
    </row>
    <row r="27" spans="6:9">
      <c r="F27" s="52" t="s">
        <v>183</v>
      </c>
      <c r="G27" t="s">
        <v>187</v>
      </c>
    </row>
    <row r="28" spans="6:9">
      <c r="F28" s="53" t="s">
        <v>111</v>
      </c>
      <c r="G28" s="47">
        <v>37979050.883151844</v>
      </c>
    </row>
    <row r="29" spans="6:9">
      <c r="F29" s="53" t="s">
        <v>83</v>
      </c>
      <c r="G29" s="47">
        <v>34899605.555987425</v>
      </c>
    </row>
    <row r="30" spans="6:9">
      <c r="F30" s="53" t="s">
        <v>86</v>
      </c>
      <c r="G30" s="47">
        <v>36367476.988788605</v>
      </c>
    </row>
    <row r="31" spans="6:9">
      <c r="F31" s="53" t="s">
        <v>170</v>
      </c>
      <c r="G31" s="47">
        <v>37499703.223293759</v>
      </c>
    </row>
    <row r="32" spans="6:9">
      <c r="F32" s="53" t="s">
        <v>89</v>
      </c>
      <c r="G32" s="47">
        <v>35408217.855294026</v>
      </c>
    </row>
    <row r="33" spans="1:9">
      <c r="F33" s="53" t="s">
        <v>184</v>
      </c>
      <c r="G33" s="47">
        <v>182154054.50651565</v>
      </c>
    </row>
    <row r="34" spans="1:9" ht="15" thickBot="1"/>
    <row r="35" spans="1:9" ht="15" thickBot="1">
      <c r="F35" s="35" t="s">
        <v>139</v>
      </c>
      <c r="G35" s="36"/>
      <c r="H35" s="36"/>
      <c r="I35" s="37"/>
    </row>
    <row r="37" spans="1:9">
      <c r="F37" s="52" t="s">
        <v>183</v>
      </c>
      <c r="G37" t="s">
        <v>185</v>
      </c>
    </row>
    <row r="38" spans="1:9">
      <c r="F38" s="53" t="s">
        <v>111</v>
      </c>
      <c r="G38" s="47">
        <v>218997051</v>
      </c>
    </row>
    <row r="39" spans="1:9">
      <c r="F39" s="53" t="s">
        <v>86</v>
      </c>
      <c r="G39" s="47">
        <v>216351062</v>
      </c>
    </row>
    <row r="40" spans="1:9">
      <c r="F40" s="53" t="s">
        <v>170</v>
      </c>
      <c r="G40" s="47">
        <v>218145775</v>
      </c>
    </row>
    <row r="41" spans="1:9">
      <c r="F41" s="53" t="s">
        <v>89</v>
      </c>
      <c r="G41" s="47">
        <v>205851586</v>
      </c>
    </row>
    <row r="42" spans="1:9">
      <c r="F42" s="53" t="s">
        <v>184</v>
      </c>
      <c r="G42" s="47">
        <v>859345474</v>
      </c>
    </row>
    <row r="44" spans="1:9" ht="15" thickBot="1"/>
    <row r="45" spans="1:9" ht="15" thickBot="1">
      <c r="A45" s="35"/>
      <c r="B45" s="36"/>
      <c r="C45" s="36"/>
      <c r="D45" s="37"/>
      <c r="F45" s="35" t="s">
        <v>140</v>
      </c>
      <c r="G45" s="36"/>
      <c r="H45" s="36"/>
      <c r="I45" s="37"/>
    </row>
    <row r="46" spans="1:9" ht="15" thickBot="1">
      <c r="A46" s="35"/>
      <c r="B46" s="36"/>
      <c r="C46" s="36"/>
      <c r="D46" s="37"/>
      <c r="F46" s="48" t="s">
        <v>189</v>
      </c>
    </row>
    <row r="47" spans="1:9">
      <c r="F47" s="52" t="s">
        <v>183</v>
      </c>
      <c r="G47" t="s">
        <v>187</v>
      </c>
    </row>
    <row r="48" spans="1:9">
      <c r="F48" s="53" t="s">
        <v>165</v>
      </c>
      <c r="G48" s="47">
        <v>61373585.235657178</v>
      </c>
    </row>
    <row r="49" spans="6:9">
      <c r="F49" s="53" t="s">
        <v>184</v>
      </c>
      <c r="G49" s="47">
        <v>61373585.235657178</v>
      </c>
    </row>
    <row r="50" spans="6:9" ht="15" thickBot="1"/>
    <row r="51" spans="6:9" ht="15" thickBot="1">
      <c r="F51" s="35" t="s">
        <v>141</v>
      </c>
      <c r="G51" s="36"/>
      <c r="H51" s="36"/>
      <c r="I51" s="37"/>
    </row>
    <row r="54" spans="6:9">
      <c r="F54" s="52" t="s">
        <v>183</v>
      </c>
      <c r="G54" t="s">
        <v>190</v>
      </c>
    </row>
    <row r="55" spans="6:9">
      <c r="F55" s="53" t="s">
        <v>171</v>
      </c>
      <c r="G55" s="47">
        <v>1100767</v>
      </c>
    </row>
    <row r="56" spans="6:9">
      <c r="F56" s="53" t="s">
        <v>175</v>
      </c>
      <c r="G56" s="47">
        <v>946005</v>
      </c>
    </row>
    <row r="57" spans="6:9">
      <c r="F57" s="53" t="s">
        <v>112</v>
      </c>
      <c r="G57" s="47">
        <v>996621</v>
      </c>
    </row>
    <row r="58" spans="6:9">
      <c r="F58" s="53" t="s">
        <v>114</v>
      </c>
      <c r="G58" s="47">
        <v>1030526</v>
      </c>
    </row>
    <row r="59" spans="6:9">
      <c r="F59" s="53" t="s">
        <v>117</v>
      </c>
      <c r="G59" s="47">
        <v>1147044</v>
      </c>
    </row>
    <row r="60" spans="6:9">
      <c r="F60" s="53" t="s">
        <v>120</v>
      </c>
      <c r="G60" s="47">
        <v>997621</v>
      </c>
    </row>
    <row r="61" spans="6:9">
      <c r="F61" s="53" t="s">
        <v>123</v>
      </c>
      <c r="G61" s="47">
        <v>1165640</v>
      </c>
    </row>
    <row r="62" spans="6:9">
      <c r="F62" s="53" t="s">
        <v>126</v>
      </c>
      <c r="G62" s="47">
        <v>1003585</v>
      </c>
    </row>
    <row r="63" spans="6:9">
      <c r="F63" s="53" t="s">
        <v>129</v>
      </c>
      <c r="G63" s="47">
        <v>994177</v>
      </c>
    </row>
    <row r="64" spans="6:9">
      <c r="F64" s="53" t="s">
        <v>174</v>
      </c>
      <c r="G64" s="47">
        <v>1181790</v>
      </c>
    </row>
    <row r="65" spans="6:9">
      <c r="F65" s="53" t="s">
        <v>173</v>
      </c>
      <c r="G65" s="47">
        <v>945831</v>
      </c>
    </row>
    <row r="66" spans="6:9">
      <c r="F66" s="53" t="s">
        <v>169</v>
      </c>
      <c r="G66" s="47">
        <v>1017430</v>
      </c>
    </row>
    <row r="67" spans="6:9">
      <c r="F67" s="53" t="s">
        <v>184</v>
      </c>
      <c r="G67" s="47">
        <v>12527037</v>
      </c>
    </row>
    <row r="70" spans="6:9" ht="15" thickBot="1"/>
    <row r="71" spans="6:9" ht="15" thickBot="1">
      <c r="F71" s="35" t="s">
        <v>142</v>
      </c>
      <c r="G71" s="36"/>
      <c r="H71" s="36"/>
      <c r="I71" s="37"/>
    </row>
    <row r="72" spans="6:9">
      <c r="F72" s="48" t="s">
        <v>192</v>
      </c>
    </row>
    <row r="75" spans="6:9">
      <c r="F75" s="52" t="s">
        <v>183</v>
      </c>
      <c r="G75" t="s">
        <v>191</v>
      </c>
    </row>
    <row r="76" spans="6:9">
      <c r="F76" s="53" t="s">
        <v>166</v>
      </c>
      <c r="G76" s="47">
        <v>276179288</v>
      </c>
    </row>
    <row r="77" spans="6:9">
      <c r="F77" s="53" t="s">
        <v>172</v>
      </c>
      <c r="G77" s="47">
        <v>258806541</v>
      </c>
    </row>
    <row r="78" spans="6:9">
      <c r="F78" s="53" t="s">
        <v>163</v>
      </c>
      <c r="G78" s="47">
        <v>263190093</v>
      </c>
    </row>
    <row r="79" spans="6:9">
      <c r="F79" s="53" t="s">
        <v>164</v>
      </c>
      <c r="G79" s="47">
        <v>253751019</v>
      </c>
    </row>
    <row r="80" spans="6:9">
      <c r="F80" s="53" t="s">
        <v>184</v>
      </c>
      <c r="G80" s="47">
        <v>1051926941</v>
      </c>
    </row>
    <row r="82" spans="6:9" ht="15" thickBot="1"/>
    <row r="83" spans="6:9" ht="15" thickBot="1">
      <c r="F83" s="35" t="s">
        <v>143</v>
      </c>
      <c r="G83" s="36"/>
      <c r="H83" s="36"/>
      <c r="I83" s="37"/>
    </row>
    <row r="84" spans="6:9">
      <c r="F84" s="52" t="s">
        <v>183</v>
      </c>
      <c r="G84" t="s">
        <v>191</v>
      </c>
    </row>
    <row r="85" spans="6:9">
      <c r="F85" s="53" t="s">
        <v>117</v>
      </c>
      <c r="G85" s="47">
        <v>92631591</v>
      </c>
    </row>
    <row r="86" spans="6:9">
      <c r="F86" s="53" t="s">
        <v>123</v>
      </c>
      <c r="G86" s="47">
        <v>93973074</v>
      </c>
    </row>
    <row r="87" spans="6:9">
      <c r="F87" s="53" t="s">
        <v>174</v>
      </c>
      <c r="G87" s="47">
        <v>102276334</v>
      </c>
    </row>
    <row r="88" spans="6:9">
      <c r="F88" s="53" t="s">
        <v>184</v>
      </c>
      <c r="G88" s="47">
        <v>288880999</v>
      </c>
    </row>
    <row r="90" spans="6:9" ht="15" thickBot="1"/>
    <row r="91" spans="6:9" ht="15" thickBot="1">
      <c r="F91" s="35" t="s">
        <v>144</v>
      </c>
      <c r="G91" s="36"/>
      <c r="H91" s="36"/>
      <c r="I91" s="37"/>
    </row>
    <row r="92" spans="6:9">
      <c r="F92" s="48" t="s">
        <v>194</v>
      </c>
    </row>
    <row r="93" spans="6:9">
      <c r="F93" s="52" t="s">
        <v>183</v>
      </c>
      <c r="G93" t="s">
        <v>193</v>
      </c>
    </row>
    <row r="94" spans="6:9">
      <c r="F94" s="53" t="s">
        <v>50</v>
      </c>
      <c r="G94" s="47">
        <v>42423.156057494867</v>
      </c>
    </row>
    <row r="95" spans="6:9">
      <c r="F95" s="53" t="s">
        <v>167</v>
      </c>
      <c r="G95" s="47">
        <v>41541.932391523711</v>
      </c>
    </row>
    <row r="96" spans="6:9">
      <c r="F96" s="53" t="s">
        <v>45</v>
      </c>
      <c r="G96" s="47">
        <v>42716.501405810683</v>
      </c>
    </row>
    <row r="97" spans="6:9">
      <c r="F97" s="53" t="s">
        <v>39</v>
      </c>
      <c r="G97" s="47">
        <v>43279.2155511811</v>
      </c>
    </row>
    <row r="98" spans="6:9">
      <c r="F98" s="53" t="s">
        <v>58</v>
      </c>
      <c r="G98" s="47">
        <v>42046.221638655465</v>
      </c>
    </row>
    <row r="99" spans="6:9">
      <c r="F99" s="53" t="s">
        <v>184</v>
      </c>
      <c r="G99" s="47">
        <v>42413.280400000003</v>
      </c>
    </row>
    <row r="100" spans="6:9" ht="15" thickBot="1"/>
    <row r="101" spans="6:9" ht="15" thickBot="1">
      <c r="F101" s="35" t="s">
        <v>145</v>
      </c>
      <c r="G101" s="36"/>
      <c r="H101" s="36"/>
      <c r="I101" s="37"/>
    </row>
    <row r="102" spans="6:9">
      <c r="F102" s="52" t="s">
        <v>161</v>
      </c>
      <c r="G102" s="53">
        <v>2024</v>
      </c>
    </row>
    <row r="104" spans="6:9">
      <c r="F104" s="52" t="s">
        <v>183</v>
      </c>
      <c r="G104" t="s">
        <v>187</v>
      </c>
    </row>
    <row r="105" spans="6:9">
      <c r="F105" s="53" t="s">
        <v>50</v>
      </c>
      <c r="G105" s="47">
        <v>17734941.648688603</v>
      </c>
    </row>
    <row r="106" spans="6:9">
      <c r="F106" s="53" t="s">
        <v>167</v>
      </c>
      <c r="G106" s="47">
        <v>16736549.196884805</v>
      </c>
    </row>
    <row r="107" spans="6:9">
      <c r="F107" s="53" t="s">
        <v>45</v>
      </c>
      <c r="G107" s="47">
        <v>21027593.499131981</v>
      </c>
    </row>
    <row r="108" spans="6:9">
      <c r="F108" s="53" t="s">
        <v>39</v>
      </c>
      <c r="G108" s="47">
        <v>17865966.411724992</v>
      </c>
    </row>
    <row r="109" spans="6:9">
      <c r="F109" s="53" t="s">
        <v>58</v>
      </c>
      <c r="G109" s="47">
        <v>16551639.80947578</v>
      </c>
    </row>
    <row r="110" spans="6:9">
      <c r="F110" s="53" t="s">
        <v>184</v>
      </c>
      <c r="G110" s="47">
        <v>89916690.565906167</v>
      </c>
    </row>
  </sheetData>
  <mergeCells count="14">
    <mergeCell ref="F24:I24"/>
    <mergeCell ref="F35:I35"/>
    <mergeCell ref="F45:I45"/>
    <mergeCell ref="F51:I51"/>
    <mergeCell ref="F71:I71"/>
    <mergeCell ref="F83:I83"/>
    <mergeCell ref="F91:I91"/>
    <mergeCell ref="F101:I101"/>
    <mergeCell ref="A1:B1"/>
    <mergeCell ref="A3:D4"/>
    <mergeCell ref="F3:I3"/>
    <mergeCell ref="F13:I13"/>
    <mergeCell ref="A45:D45"/>
    <mergeCell ref="A46:D4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Questions List</vt:lpstr>
      <vt:lpstr>Pivot Table Sheet</vt:lpstr>
      <vt:lpstr>Sheet1</vt:lpstr>
      <vt:lpstr>pivot answer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2026-07-08T09:53:14Z</dcterms:modified>
</cp:coreProperties>
</file>